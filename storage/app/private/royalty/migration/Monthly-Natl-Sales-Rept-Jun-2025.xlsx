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-Jul\Data Migration\MNSR\2025-Jun\"/>
    </mc:Choice>
  </mc:AlternateContent>
  <xr:revisionPtr revIDLastSave="0" documentId="13_ncr:1_{690A925F-AAE7-4010-AA47-F557E280045F}" xr6:coauthVersionLast="47" xr6:coauthVersionMax="47" xr10:uidLastSave="{00000000-0000-0000-0000-000000000000}"/>
  <bookViews>
    <workbookView xWindow="28680" yWindow="-120" windowWidth="20730" windowHeight="11040" activeTab="1" xr2:uid="{00000000-000D-0000-FFFF-FFFF00000000}"/>
  </bookViews>
  <sheets>
    <sheet name="Adjust-0" sheetId="4" r:id="rId1"/>
    <sheet name="Adjust-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999" i="5" l="1"/>
  <c r="AV999" i="5"/>
  <c r="AF999" i="5"/>
  <c r="AA999" i="5"/>
  <c r="W999" i="5"/>
  <c r="S999" i="5"/>
  <c r="O999" i="5"/>
  <c r="AQ999" i="5" s="1"/>
  <c r="AV998" i="5"/>
  <c r="AW998" i="5" s="1"/>
  <c r="AF998" i="5"/>
  <c r="AA998" i="5"/>
  <c r="W998" i="5"/>
  <c r="S998" i="5"/>
  <c r="O998" i="5"/>
  <c r="AV997" i="5"/>
  <c r="AW997" i="5" s="1"/>
  <c r="AQ997" i="5"/>
  <c r="AF997" i="5"/>
  <c r="AA997" i="5"/>
  <c r="W997" i="5"/>
  <c r="S997" i="5"/>
  <c r="O997" i="5"/>
  <c r="AV996" i="5"/>
  <c r="AW996" i="5" s="1"/>
  <c r="AF996" i="5"/>
  <c r="AA996" i="5"/>
  <c r="W996" i="5"/>
  <c r="S996" i="5"/>
  <c r="O996" i="5"/>
  <c r="AW995" i="5"/>
  <c r="AV995" i="5"/>
  <c r="AL995" i="5"/>
  <c r="AF995" i="5"/>
  <c r="AQ995" i="5" s="1"/>
  <c r="AA995" i="5"/>
  <c r="W995" i="5"/>
  <c r="S995" i="5"/>
  <c r="O995" i="5"/>
  <c r="AV994" i="5"/>
  <c r="AW994" i="5" s="1"/>
  <c r="AF994" i="5"/>
  <c r="AP994" i="5" s="1"/>
  <c r="AA994" i="5"/>
  <c r="W994" i="5"/>
  <c r="S994" i="5"/>
  <c r="O994" i="5"/>
  <c r="AV993" i="5"/>
  <c r="AW993" i="5" s="1"/>
  <c r="AF993" i="5"/>
  <c r="AA993" i="5"/>
  <c r="W993" i="5"/>
  <c r="S993" i="5"/>
  <c r="O993" i="5"/>
  <c r="AV992" i="5"/>
  <c r="AW992" i="5" s="1"/>
  <c r="AF992" i="5"/>
  <c r="AA992" i="5"/>
  <c r="W992" i="5"/>
  <c r="S992" i="5"/>
  <c r="O992" i="5"/>
  <c r="AV991" i="5"/>
  <c r="AW991" i="5" s="1"/>
  <c r="AF991" i="5"/>
  <c r="AA991" i="5"/>
  <c r="W991" i="5"/>
  <c r="S991" i="5"/>
  <c r="O991" i="5"/>
  <c r="AW990" i="5"/>
  <c r="AV990" i="5"/>
  <c r="AF990" i="5"/>
  <c r="AA990" i="5"/>
  <c r="W990" i="5"/>
  <c r="S990" i="5"/>
  <c r="O990" i="5"/>
  <c r="AW989" i="5"/>
  <c r="AV989" i="5"/>
  <c r="AF989" i="5"/>
  <c r="AA989" i="5"/>
  <c r="W989" i="5"/>
  <c r="S989" i="5"/>
  <c r="O989" i="5"/>
  <c r="AV988" i="5"/>
  <c r="AW988" i="5" s="1"/>
  <c r="AF988" i="5"/>
  <c r="AA988" i="5"/>
  <c r="W988" i="5"/>
  <c r="S988" i="5"/>
  <c r="AP988" i="5" s="1"/>
  <c r="O988" i="5"/>
  <c r="AV987" i="5"/>
  <c r="AW987" i="5" s="1"/>
  <c r="AF987" i="5"/>
  <c r="AA987" i="5"/>
  <c r="W987" i="5"/>
  <c r="S987" i="5"/>
  <c r="O987" i="5"/>
  <c r="AW986" i="5"/>
  <c r="AV986" i="5"/>
  <c r="AF986" i="5"/>
  <c r="AA986" i="5"/>
  <c r="W986" i="5"/>
  <c r="S986" i="5"/>
  <c r="O986" i="5"/>
  <c r="AV985" i="5"/>
  <c r="AW985" i="5" s="1"/>
  <c r="AL985" i="5"/>
  <c r="AF985" i="5"/>
  <c r="AQ985" i="5" s="1"/>
  <c r="AA985" i="5"/>
  <c r="W985" i="5"/>
  <c r="S985" i="5"/>
  <c r="O985" i="5"/>
  <c r="AW984" i="5"/>
  <c r="AV984" i="5"/>
  <c r="AP984" i="5"/>
  <c r="AF984" i="5"/>
  <c r="AA984" i="5"/>
  <c r="W984" i="5"/>
  <c r="S984" i="5"/>
  <c r="O984" i="5"/>
  <c r="AV983" i="5"/>
  <c r="AW983" i="5" s="1"/>
  <c r="AF983" i="5"/>
  <c r="AA983" i="5"/>
  <c r="W983" i="5"/>
  <c r="S983" i="5"/>
  <c r="O983" i="5"/>
  <c r="AV982" i="5"/>
  <c r="AW982" i="5" s="1"/>
  <c r="AF982" i="5"/>
  <c r="AA982" i="5"/>
  <c r="W982" i="5"/>
  <c r="S982" i="5"/>
  <c r="O982" i="5"/>
  <c r="AV981" i="5"/>
  <c r="AW981" i="5" s="1"/>
  <c r="AF981" i="5"/>
  <c r="AA981" i="5"/>
  <c r="W981" i="5"/>
  <c r="S981" i="5"/>
  <c r="O981" i="5"/>
  <c r="AV980" i="5"/>
  <c r="AW980" i="5" s="1"/>
  <c r="AF980" i="5"/>
  <c r="AA980" i="5"/>
  <c r="W980" i="5"/>
  <c r="S980" i="5"/>
  <c r="O980" i="5"/>
  <c r="AW979" i="5"/>
  <c r="AV979" i="5"/>
  <c r="AF979" i="5"/>
  <c r="AA979" i="5"/>
  <c r="W979" i="5"/>
  <c r="S979" i="5"/>
  <c r="O979" i="5"/>
  <c r="AV978" i="5"/>
  <c r="AW978" i="5" s="1"/>
  <c r="AF978" i="5"/>
  <c r="AA978" i="5"/>
  <c r="W978" i="5"/>
  <c r="S978" i="5"/>
  <c r="O978" i="5"/>
  <c r="AV977" i="5"/>
  <c r="AW977" i="5" s="1"/>
  <c r="AF977" i="5"/>
  <c r="AA977" i="5"/>
  <c r="W977" i="5"/>
  <c r="S977" i="5"/>
  <c r="O977" i="5"/>
  <c r="AW976" i="5"/>
  <c r="AV976" i="5"/>
  <c r="AF976" i="5"/>
  <c r="AA976" i="5"/>
  <c r="W976" i="5"/>
  <c r="S976" i="5"/>
  <c r="O976" i="5"/>
  <c r="AW975" i="5"/>
  <c r="AV975" i="5"/>
  <c r="AF975" i="5"/>
  <c r="AA975" i="5"/>
  <c r="W975" i="5"/>
  <c r="S975" i="5"/>
  <c r="O975" i="5"/>
  <c r="AW974" i="5"/>
  <c r="AV974" i="5"/>
  <c r="AF974" i="5"/>
  <c r="AA974" i="5"/>
  <c r="W974" i="5"/>
  <c r="S974" i="5"/>
  <c r="O974" i="5"/>
  <c r="AV973" i="5"/>
  <c r="AW973" i="5" s="1"/>
  <c r="AF973" i="5"/>
  <c r="AA973" i="5"/>
  <c r="W973" i="5"/>
  <c r="S973" i="5"/>
  <c r="O973" i="5"/>
  <c r="AV972" i="5"/>
  <c r="AW972" i="5" s="1"/>
  <c r="AF972" i="5"/>
  <c r="AA972" i="5"/>
  <c r="W972" i="5"/>
  <c r="S972" i="5"/>
  <c r="O972" i="5"/>
  <c r="AV971" i="5"/>
  <c r="AW971" i="5" s="1"/>
  <c r="AF971" i="5"/>
  <c r="AM971" i="5" s="1"/>
  <c r="AA971" i="5"/>
  <c r="W971" i="5"/>
  <c r="S971" i="5"/>
  <c r="O971" i="5"/>
  <c r="AQ971" i="5" s="1"/>
  <c r="AV970" i="5"/>
  <c r="AW970" i="5" s="1"/>
  <c r="AF970" i="5"/>
  <c r="AA970" i="5"/>
  <c r="W970" i="5"/>
  <c r="S970" i="5"/>
  <c r="O970" i="5"/>
  <c r="AW969" i="5"/>
  <c r="AV969" i="5"/>
  <c r="AF969" i="5"/>
  <c r="AA969" i="5"/>
  <c r="W969" i="5"/>
  <c r="S969" i="5"/>
  <c r="O969" i="5"/>
  <c r="AV968" i="5"/>
  <c r="AW968" i="5" s="1"/>
  <c r="AF968" i="5"/>
  <c r="AA968" i="5"/>
  <c r="AL968" i="5" s="1"/>
  <c r="W968" i="5"/>
  <c r="S968" i="5"/>
  <c r="O968" i="5"/>
  <c r="AV967" i="5"/>
  <c r="AW967" i="5" s="1"/>
  <c r="AF967" i="5"/>
  <c r="AA967" i="5"/>
  <c r="AP967" i="5" s="1"/>
  <c r="W967" i="5"/>
  <c r="S967" i="5"/>
  <c r="O967" i="5"/>
  <c r="AW966" i="5"/>
  <c r="AV966" i="5"/>
  <c r="AF966" i="5"/>
  <c r="AA966" i="5"/>
  <c r="W966" i="5"/>
  <c r="S966" i="5"/>
  <c r="O966" i="5"/>
  <c r="AW965" i="5"/>
  <c r="AV965" i="5"/>
  <c r="AF965" i="5"/>
  <c r="AQ965" i="5" s="1"/>
  <c r="AA965" i="5"/>
  <c r="W965" i="5"/>
  <c r="S965" i="5"/>
  <c r="O965" i="5"/>
  <c r="AL965" i="5" s="1"/>
  <c r="AW964" i="5"/>
  <c r="AV964" i="5"/>
  <c r="AF964" i="5"/>
  <c r="AA964" i="5"/>
  <c r="W964" i="5"/>
  <c r="S964" i="5"/>
  <c r="O964" i="5"/>
  <c r="AP964" i="5" s="1"/>
  <c r="AV963" i="5"/>
  <c r="AW963" i="5" s="1"/>
  <c r="AF963" i="5"/>
  <c r="AA963" i="5"/>
  <c r="W963" i="5"/>
  <c r="S963" i="5"/>
  <c r="O963" i="5"/>
  <c r="AQ963" i="5" s="1"/>
  <c r="AV962" i="5"/>
  <c r="AW962" i="5" s="1"/>
  <c r="AF962" i="5"/>
  <c r="AA962" i="5"/>
  <c r="W962" i="5"/>
  <c r="S962" i="5"/>
  <c r="O962" i="5"/>
  <c r="AV961" i="5"/>
  <c r="AW961" i="5" s="1"/>
  <c r="AQ961" i="5"/>
  <c r="AF961" i="5"/>
  <c r="AA961" i="5"/>
  <c r="W961" i="5"/>
  <c r="S961" i="5"/>
  <c r="AP961" i="5" s="1"/>
  <c r="O961" i="5"/>
  <c r="AW960" i="5"/>
  <c r="AV960" i="5"/>
  <c r="AF960" i="5"/>
  <c r="AA960" i="5"/>
  <c r="W960" i="5"/>
  <c r="S960" i="5"/>
  <c r="O960" i="5"/>
  <c r="AV959" i="5"/>
  <c r="AW959" i="5" s="1"/>
  <c r="AF959" i="5"/>
  <c r="AA959" i="5"/>
  <c r="W959" i="5"/>
  <c r="S959" i="5"/>
  <c r="O959" i="5"/>
  <c r="AV958" i="5"/>
  <c r="AW958" i="5" s="1"/>
  <c r="AF958" i="5"/>
  <c r="AA958" i="5"/>
  <c r="W958" i="5"/>
  <c r="S958" i="5"/>
  <c r="O958" i="5"/>
  <c r="AV957" i="5"/>
  <c r="AW957" i="5" s="1"/>
  <c r="AQ957" i="5"/>
  <c r="AF957" i="5"/>
  <c r="AA957" i="5"/>
  <c r="W957" i="5"/>
  <c r="S957" i="5"/>
  <c r="O957" i="5"/>
  <c r="AV956" i="5"/>
  <c r="AW956" i="5" s="1"/>
  <c r="AF956" i="5"/>
  <c r="AA956" i="5"/>
  <c r="W956" i="5"/>
  <c r="S956" i="5"/>
  <c r="O956" i="5"/>
  <c r="AW955" i="5"/>
  <c r="AV955" i="5"/>
  <c r="AF955" i="5"/>
  <c r="AA955" i="5"/>
  <c r="W955" i="5"/>
  <c r="S955" i="5"/>
  <c r="O955" i="5"/>
  <c r="AV954" i="5"/>
  <c r="AW954" i="5" s="1"/>
  <c r="AF954" i="5"/>
  <c r="AP954" i="5" s="1"/>
  <c r="AA954" i="5"/>
  <c r="W954" i="5"/>
  <c r="S954" i="5"/>
  <c r="O954" i="5"/>
  <c r="AV953" i="5"/>
  <c r="AW953" i="5" s="1"/>
  <c r="AF953" i="5"/>
  <c r="AA953" i="5"/>
  <c r="W953" i="5"/>
  <c r="S953" i="5"/>
  <c r="O953" i="5"/>
  <c r="AV952" i="5"/>
  <c r="AW952" i="5" s="1"/>
  <c r="AF952" i="5"/>
  <c r="AA952" i="5"/>
  <c r="W952" i="5"/>
  <c r="S952" i="5"/>
  <c r="O952" i="5"/>
  <c r="AV951" i="5"/>
  <c r="AW951" i="5" s="1"/>
  <c r="AF951" i="5"/>
  <c r="AA951" i="5"/>
  <c r="W951" i="5"/>
  <c r="S951" i="5"/>
  <c r="O951" i="5"/>
  <c r="AW950" i="5"/>
  <c r="AV950" i="5"/>
  <c r="AF950" i="5"/>
  <c r="AA950" i="5"/>
  <c r="W950" i="5"/>
  <c r="S950" i="5"/>
  <c r="O950" i="5"/>
  <c r="AW949" i="5"/>
  <c r="AV949" i="5"/>
  <c r="AF949" i="5"/>
  <c r="AA949" i="5"/>
  <c r="W949" i="5"/>
  <c r="S949" i="5"/>
  <c r="O949" i="5"/>
  <c r="AV948" i="5"/>
  <c r="AW948" i="5" s="1"/>
  <c r="AF948" i="5"/>
  <c r="AA948" i="5"/>
  <c r="W948" i="5"/>
  <c r="S948" i="5"/>
  <c r="AP948" i="5" s="1"/>
  <c r="O948" i="5"/>
  <c r="AV947" i="5"/>
  <c r="AW947" i="5" s="1"/>
  <c r="AF947" i="5"/>
  <c r="AA947" i="5"/>
  <c r="W947" i="5"/>
  <c r="S947" i="5"/>
  <c r="O947" i="5"/>
  <c r="AV946" i="5"/>
  <c r="AW946" i="5" s="1"/>
  <c r="AF946" i="5"/>
  <c r="AA946" i="5"/>
  <c r="W946" i="5"/>
  <c r="S946" i="5"/>
  <c r="O946" i="5"/>
  <c r="AW945" i="5"/>
  <c r="AV945" i="5"/>
  <c r="AF945" i="5"/>
  <c r="AA945" i="5"/>
  <c r="W945" i="5"/>
  <c r="S945" i="5"/>
  <c r="O945" i="5"/>
  <c r="AV944" i="5"/>
  <c r="AW944" i="5" s="1"/>
  <c r="AF944" i="5"/>
  <c r="AA944" i="5"/>
  <c r="W944" i="5"/>
  <c r="S944" i="5"/>
  <c r="O944" i="5"/>
  <c r="AV943" i="5"/>
  <c r="AW943" i="5" s="1"/>
  <c r="AF943" i="5"/>
  <c r="AA943" i="5"/>
  <c r="W943" i="5"/>
  <c r="S943" i="5"/>
  <c r="O943" i="5"/>
  <c r="AV942" i="5"/>
  <c r="AW942" i="5" s="1"/>
  <c r="AF942" i="5"/>
  <c r="AA942" i="5"/>
  <c r="W942" i="5"/>
  <c r="S942" i="5"/>
  <c r="O942" i="5"/>
  <c r="AV941" i="5"/>
  <c r="AW941" i="5" s="1"/>
  <c r="AF941" i="5"/>
  <c r="AA941" i="5"/>
  <c r="W941" i="5"/>
  <c r="S941" i="5"/>
  <c r="O941" i="5"/>
  <c r="AW940" i="5"/>
  <c r="AV940" i="5"/>
  <c r="AF940" i="5"/>
  <c r="AA940" i="5"/>
  <c r="W940" i="5"/>
  <c r="S940" i="5"/>
  <c r="O940" i="5"/>
  <c r="AV939" i="5"/>
  <c r="AW939" i="5" s="1"/>
  <c r="AF939" i="5"/>
  <c r="AA939" i="5"/>
  <c r="W939" i="5"/>
  <c r="S939" i="5"/>
  <c r="O939" i="5"/>
  <c r="AV938" i="5"/>
  <c r="AW938" i="5" s="1"/>
  <c r="AF938" i="5"/>
  <c r="AA938" i="5"/>
  <c r="W938" i="5"/>
  <c r="S938" i="5"/>
  <c r="O938" i="5"/>
  <c r="AV937" i="5"/>
  <c r="AW937" i="5" s="1"/>
  <c r="AF937" i="5"/>
  <c r="AA937" i="5"/>
  <c r="W937" i="5"/>
  <c r="S937" i="5"/>
  <c r="O937" i="5"/>
  <c r="AV936" i="5"/>
  <c r="AW936" i="5" s="1"/>
  <c r="AF936" i="5"/>
  <c r="AA936" i="5"/>
  <c r="W936" i="5"/>
  <c r="S936" i="5"/>
  <c r="O936" i="5"/>
  <c r="AW935" i="5"/>
  <c r="AV935" i="5"/>
  <c r="AF935" i="5"/>
  <c r="AA935" i="5"/>
  <c r="W935" i="5"/>
  <c r="S935" i="5"/>
  <c r="O935" i="5"/>
  <c r="AL935" i="5" s="1"/>
  <c r="AW934" i="5"/>
  <c r="AV934" i="5"/>
  <c r="AF934" i="5"/>
  <c r="AA934" i="5"/>
  <c r="W934" i="5"/>
  <c r="S934" i="5"/>
  <c r="O934" i="5"/>
  <c r="AP934" i="5" s="1"/>
  <c r="AV933" i="5"/>
  <c r="AW933" i="5" s="1"/>
  <c r="AF933" i="5"/>
  <c r="AA933" i="5"/>
  <c r="W933" i="5"/>
  <c r="S933" i="5"/>
  <c r="O933" i="5"/>
  <c r="AV932" i="5"/>
  <c r="AW932" i="5" s="1"/>
  <c r="AF932" i="5"/>
  <c r="AA932" i="5"/>
  <c r="W932" i="5"/>
  <c r="S932" i="5"/>
  <c r="O932" i="5"/>
  <c r="AV931" i="5"/>
  <c r="AW931" i="5" s="1"/>
  <c r="AF931" i="5"/>
  <c r="AA931" i="5"/>
  <c r="W931" i="5"/>
  <c r="S931" i="5"/>
  <c r="O931" i="5"/>
  <c r="AW930" i="5"/>
  <c r="AV930" i="5"/>
  <c r="AF930" i="5"/>
  <c r="AA930" i="5"/>
  <c r="W930" i="5"/>
  <c r="S930" i="5"/>
  <c r="O930" i="5"/>
  <c r="AV929" i="5"/>
  <c r="AW929" i="5" s="1"/>
  <c r="AF929" i="5"/>
  <c r="AA929" i="5"/>
  <c r="W929" i="5"/>
  <c r="S929" i="5"/>
  <c r="O929" i="5"/>
  <c r="AV928" i="5"/>
  <c r="AW928" i="5" s="1"/>
  <c r="AF928" i="5"/>
  <c r="AA928" i="5"/>
  <c r="W928" i="5"/>
  <c r="S928" i="5"/>
  <c r="O928" i="5"/>
  <c r="AQ928" i="5" s="1"/>
  <c r="AV927" i="5"/>
  <c r="AW927" i="5" s="1"/>
  <c r="AF927" i="5"/>
  <c r="AA927" i="5"/>
  <c r="W927" i="5"/>
  <c r="S927" i="5"/>
  <c r="O927" i="5"/>
  <c r="AQ927" i="5" s="1"/>
  <c r="AV926" i="5"/>
  <c r="AW926" i="5" s="1"/>
  <c r="AF926" i="5"/>
  <c r="AM926" i="5" s="1"/>
  <c r="AA926" i="5"/>
  <c r="W926" i="5"/>
  <c r="S926" i="5"/>
  <c r="O926" i="5"/>
  <c r="AV925" i="5"/>
  <c r="AW925" i="5" s="1"/>
  <c r="AM925" i="5"/>
  <c r="AL925" i="5"/>
  <c r="AN925" i="5" s="1"/>
  <c r="AF925" i="5"/>
  <c r="AP925" i="5" s="1"/>
  <c r="AA925" i="5"/>
  <c r="W925" i="5"/>
  <c r="S925" i="5"/>
  <c r="O925" i="5"/>
  <c r="AW924" i="5"/>
  <c r="AV924" i="5"/>
  <c r="AQ924" i="5"/>
  <c r="AF924" i="5"/>
  <c r="AA924" i="5"/>
  <c r="W924" i="5"/>
  <c r="S924" i="5"/>
  <c r="O924" i="5"/>
  <c r="AP924" i="5" s="1"/>
  <c r="AV923" i="5"/>
  <c r="AW923" i="5" s="1"/>
  <c r="AF923" i="5"/>
  <c r="AA923" i="5"/>
  <c r="W923" i="5"/>
  <c r="S923" i="5"/>
  <c r="O923" i="5"/>
  <c r="AV922" i="5"/>
  <c r="AW922" i="5" s="1"/>
  <c r="AQ922" i="5"/>
  <c r="AF922" i="5"/>
  <c r="AA922" i="5"/>
  <c r="W922" i="5"/>
  <c r="S922" i="5"/>
  <c r="O922" i="5"/>
  <c r="AP922" i="5" s="1"/>
  <c r="AR922" i="5" s="1"/>
  <c r="AV921" i="5"/>
  <c r="AW921" i="5" s="1"/>
  <c r="AF921" i="5"/>
  <c r="AA921" i="5"/>
  <c r="W921" i="5"/>
  <c r="S921" i="5"/>
  <c r="O921" i="5"/>
  <c r="AW920" i="5"/>
  <c r="AV920" i="5"/>
  <c r="AF920" i="5"/>
  <c r="AA920" i="5"/>
  <c r="W920" i="5"/>
  <c r="S920" i="5"/>
  <c r="O920" i="5"/>
  <c r="AV919" i="5"/>
  <c r="AW919" i="5" s="1"/>
  <c r="AF919" i="5"/>
  <c r="AA919" i="5"/>
  <c r="W919" i="5"/>
  <c r="S919" i="5"/>
  <c r="O919" i="5"/>
  <c r="AV918" i="5"/>
  <c r="AW918" i="5" s="1"/>
  <c r="AF918" i="5"/>
  <c r="AA918" i="5"/>
  <c r="W918" i="5"/>
  <c r="S918" i="5"/>
  <c r="AQ918" i="5" s="1"/>
  <c r="O918" i="5"/>
  <c r="AV917" i="5"/>
  <c r="AW917" i="5" s="1"/>
  <c r="AF917" i="5"/>
  <c r="AA917" i="5"/>
  <c r="W917" i="5"/>
  <c r="AQ917" i="5" s="1"/>
  <c r="S917" i="5"/>
  <c r="O917" i="5"/>
  <c r="AW916" i="5"/>
  <c r="AV916" i="5"/>
  <c r="AF916" i="5"/>
  <c r="AA916" i="5"/>
  <c r="W916" i="5"/>
  <c r="S916" i="5"/>
  <c r="O916" i="5"/>
  <c r="AW915" i="5"/>
  <c r="AV915" i="5"/>
  <c r="AF915" i="5"/>
  <c r="AA915" i="5"/>
  <c r="W915" i="5"/>
  <c r="S915" i="5"/>
  <c r="O915" i="5"/>
  <c r="AQ915" i="5" s="1"/>
  <c r="AV914" i="5"/>
  <c r="AW914" i="5" s="1"/>
  <c r="AF914" i="5"/>
  <c r="AA914" i="5"/>
  <c r="W914" i="5"/>
  <c r="S914" i="5"/>
  <c r="O914" i="5"/>
  <c r="AW913" i="5"/>
  <c r="AV913" i="5"/>
  <c r="AF913" i="5"/>
  <c r="AA913" i="5"/>
  <c r="W913" i="5"/>
  <c r="S913" i="5"/>
  <c r="O913" i="5"/>
  <c r="AQ913" i="5" s="1"/>
  <c r="AV912" i="5"/>
  <c r="AW912" i="5" s="1"/>
  <c r="AF912" i="5"/>
  <c r="AA912" i="5"/>
  <c r="W912" i="5"/>
  <c r="S912" i="5"/>
  <c r="O912" i="5"/>
  <c r="AV911" i="5"/>
  <c r="AW911" i="5" s="1"/>
  <c r="AF911" i="5"/>
  <c r="AA911" i="5"/>
  <c r="W911" i="5"/>
  <c r="AP911" i="5" s="1"/>
  <c r="S911" i="5"/>
  <c r="O911" i="5"/>
  <c r="AW910" i="5"/>
  <c r="AV910" i="5"/>
  <c r="AL910" i="5"/>
  <c r="AN910" i="5" s="1"/>
  <c r="AF910" i="5"/>
  <c r="AA910" i="5"/>
  <c r="W910" i="5"/>
  <c r="S910" i="5"/>
  <c r="O910" i="5"/>
  <c r="AM910" i="5" s="1"/>
  <c r="AW909" i="5"/>
  <c r="AV909" i="5"/>
  <c r="AQ909" i="5"/>
  <c r="AF909" i="5"/>
  <c r="AP909" i="5" s="1"/>
  <c r="AA909" i="5"/>
  <c r="W909" i="5"/>
  <c r="S909" i="5"/>
  <c r="O909" i="5"/>
  <c r="AV908" i="5"/>
  <c r="AW908" i="5" s="1"/>
  <c r="AF908" i="5"/>
  <c r="AA908" i="5"/>
  <c r="W908" i="5"/>
  <c r="S908" i="5"/>
  <c r="O908" i="5"/>
  <c r="AV907" i="5"/>
  <c r="AW907" i="5" s="1"/>
  <c r="AF907" i="5"/>
  <c r="AA907" i="5"/>
  <c r="W907" i="5"/>
  <c r="AP907" i="5" s="1"/>
  <c r="S907" i="5"/>
  <c r="O907" i="5"/>
  <c r="AW906" i="5"/>
  <c r="AV906" i="5"/>
  <c r="AF906" i="5"/>
  <c r="AA906" i="5"/>
  <c r="W906" i="5"/>
  <c r="S906" i="5"/>
  <c r="AP906" i="5" s="1"/>
  <c r="O906" i="5"/>
  <c r="AV905" i="5"/>
  <c r="AW905" i="5" s="1"/>
  <c r="AF905" i="5"/>
  <c r="AA905" i="5"/>
  <c r="W905" i="5"/>
  <c r="S905" i="5"/>
  <c r="O905" i="5"/>
  <c r="AV904" i="5"/>
  <c r="AW904" i="5" s="1"/>
  <c r="AF904" i="5"/>
  <c r="AA904" i="5"/>
  <c r="W904" i="5"/>
  <c r="S904" i="5"/>
  <c r="O904" i="5"/>
  <c r="AM904" i="5" s="1"/>
  <c r="AW903" i="5"/>
  <c r="AV903" i="5"/>
  <c r="AF903" i="5"/>
  <c r="AA903" i="5"/>
  <c r="W903" i="5"/>
  <c r="S903" i="5"/>
  <c r="AP903" i="5" s="1"/>
  <c r="O903" i="5"/>
  <c r="AV902" i="5"/>
  <c r="AW902" i="5" s="1"/>
  <c r="AF902" i="5"/>
  <c r="AL902" i="5" s="1"/>
  <c r="AA902" i="5"/>
  <c r="W902" i="5"/>
  <c r="S902" i="5"/>
  <c r="O902" i="5"/>
  <c r="AV901" i="5"/>
  <c r="AW901" i="5" s="1"/>
  <c r="AF901" i="5"/>
  <c r="AA901" i="5"/>
  <c r="W901" i="5"/>
  <c r="S901" i="5"/>
  <c r="AP901" i="5" s="1"/>
  <c r="O901" i="5"/>
  <c r="AV900" i="5"/>
  <c r="AW900" i="5" s="1"/>
  <c r="AF900" i="5"/>
  <c r="AA900" i="5"/>
  <c r="W900" i="5"/>
  <c r="S900" i="5"/>
  <c r="O900" i="5"/>
  <c r="AV899" i="5"/>
  <c r="AW899" i="5" s="1"/>
  <c r="AF899" i="5"/>
  <c r="AA899" i="5"/>
  <c r="W899" i="5"/>
  <c r="S899" i="5"/>
  <c r="O899" i="5"/>
  <c r="AV898" i="5"/>
  <c r="AW898" i="5" s="1"/>
  <c r="AF898" i="5"/>
  <c r="AL898" i="5" s="1"/>
  <c r="AA898" i="5"/>
  <c r="W898" i="5"/>
  <c r="S898" i="5"/>
  <c r="O898" i="5"/>
  <c r="AV897" i="5"/>
  <c r="AW897" i="5" s="1"/>
  <c r="AQ897" i="5"/>
  <c r="AM897" i="5"/>
  <c r="AF897" i="5"/>
  <c r="AA897" i="5"/>
  <c r="W897" i="5"/>
  <c r="S897" i="5"/>
  <c r="O897" i="5"/>
  <c r="AV896" i="5"/>
  <c r="AW896" i="5" s="1"/>
  <c r="AQ896" i="5"/>
  <c r="AF896" i="5"/>
  <c r="AA896" i="5"/>
  <c r="W896" i="5"/>
  <c r="S896" i="5"/>
  <c r="O896" i="5"/>
  <c r="AP896" i="5" s="1"/>
  <c r="AV895" i="5"/>
  <c r="AW895" i="5" s="1"/>
  <c r="AF895" i="5"/>
  <c r="AA895" i="5"/>
  <c r="W895" i="5"/>
  <c r="S895" i="5"/>
  <c r="O895" i="5"/>
  <c r="AV894" i="5"/>
  <c r="AW894" i="5" s="1"/>
  <c r="AF894" i="5"/>
  <c r="AA894" i="5"/>
  <c r="W894" i="5"/>
  <c r="S894" i="5"/>
  <c r="O894" i="5"/>
  <c r="AW893" i="5"/>
  <c r="AV893" i="5"/>
  <c r="AL893" i="5"/>
  <c r="AN893" i="5" s="1"/>
  <c r="AF893" i="5"/>
  <c r="AA893" i="5"/>
  <c r="W893" i="5"/>
  <c r="S893" i="5"/>
  <c r="O893" i="5"/>
  <c r="AM893" i="5" s="1"/>
  <c r="AV892" i="5"/>
  <c r="AW892" i="5" s="1"/>
  <c r="AF892" i="5"/>
  <c r="AA892" i="5"/>
  <c r="W892" i="5"/>
  <c r="S892" i="5"/>
  <c r="O892" i="5"/>
  <c r="AV891" i="5"/>
  <c r="AW891" i="5" s="1"/>
  <c r="AF891" i="5"/>
  <c r="AA891" i="5"/>
  <c r="W891" i="5"/>
  <c r="S891" i="5"/>
  <c r="O891" i="5"/>
  <c r="AW890" i="5"/>
  <c r="AV890" i="5"/>
  <c r="AF890" i="5"/>
  <c r="AA890" i="5"/>
  <c r="W890" i="5"/>
  <c r="S890" i="5"/>
  <c r="O890" i="5"/>
  <c r="AV889" i="5"/>
  <c r="AW889" i="5" s="1"/>
  <c r="AF889" i="5"/>
  <c r="AA889" i="5"/>
  <c r="W889" i="5"/>
  <c r="S889" i="5"/>
  <c r="O889" i="5"/>
  <c r="AQ889" i="5" s="1"/>
  <c r="AV888" i="5"/>
  <c r="AW888" i="5" s="1"/>
  <c r="AF888" i="5"/>
  <c r="AA888" i="5"/>
  <c r="W888" i="5"/>
  <c r="S888" i="5"/>
  <c r="O888" i="5"/>
  <c r="AQ888" i="5" s="1"/>
  <c r="AV887" i="5"/>
  <c r="AW887" i="5" s="1"/>
  <c r="AF887" i="5"/>
  <c r="AA887" i="5"/>
  <c r="W887" i="5"/>
  <c r="S887" i="5"/>
  <c r="O887" i="5"/>
  <c r="AW886" i="5"/>
  <c r="AV886" i="5"/>
  <c r="AF886" i="5"/>
  <c r="AA886" i="5"/>
  <c r="W886" i="5"/>
  <c r="S886" i="5"/>
  <c r="O886" i="5"/>
  <c r="AV885" i="5"/>
  <c r="AW885" i="5" s="1"/>
  <c r="AF885" i="5"/>
  <c r="AA885" i="5"/>
  <c r="W885" i="5"/>
  <c r="S885" i="5"/>
  <c r="O885" i="5"/>
  <c r="AV884" i="5"/>
  <c r="AW884" i="5" s="1"/>
  <c r="AF884" i="5"/>
  <c r="AA884" i="5"/>
  <c r="W884" i="5"/>
  <c r="S884" i="5"/>
  <c r="O884" i="5"/>
  <c r="AV883" i="5"/>
  <c r="AW883" i="5" s="1"/>
  <c r="AP883" i="5"/>
  <c r="AF883" i="5"/>
  <c r="AA883" i="5"/>
  <c r="W883" i="5"/>
  <c r="S883" i="5"/>
  <c r="O883" i="5"/>
  <c r="AV882" i="5"/>
  <c r="AW882" i="5" s="1"/>
  <c r="AF882" i="5"/>
  <c r="AA882" i="5"/>
  <c r="W882" i="5"/>
  <c r="S882" i="5"/>
  <c r="O882" i="5"/>
  <c r="AW881" i="5"/>
  <c r="AV881" i="5"/>
  <c r="AF881" i="5"/>
  <c r="AA881" i="5"/>
  <c r="W881" i="5"/>
  <c r="S881" i="5"/>
  <c r="O881" i="5"/>
  <c r="AV880" i="5"/>
  <c r="AW880" i="5" s="1"/>
  <c r="AF880" i="5"/>
  <c r="AA880" i="5"/>
  <c r="AQ880" i="5" s="1"/>
  <c r="W880" i="5"/>
  <c r="S880" i="5"/>
  <c r="O880" i="5"/>
  <c r="AV879" i="5"/>
  <c r="AW879" i="5" s="1"/>
  <c r="AF879" i="5"/>
  <c r="AM879" i="5" s="1"/>
  <c r="AA879" i="5"/>
  <c r="W879" i="5"/>
  <c r="S879" i="5"/>
  <c r="O879" i="5"/>
  <c r="AV878" i="5"/>
  <c r="AW878" i="5" s="1"/>
  <c r="AF878" i="5"/>
  <c r="AA878" i="5"/>
  <c r="W878" i="5"/>
  <c r="S878" i="5"/>
  <c r="O878" i="5"/>
  <c r="AW877" i="5"/>
  <c r="AV877" i="5"/>
  <c r="AF877" i="5"/>
  <c r="AA877" i="5"/>
  <c r="W877" i="5"/>
  <c r="S877" i="5"/>
  <c r="O877" i="5"/>
  <c r="AV876" i="5"/>
  <c r="AW876" i="5" s="1"/>
  <c r="AF876" i="5"/>
  <c r="AA876" i="5"/>
  <c r="W876" i="5"/>
  <c r="S876" i="5"/>
  <c r="O876" i="5"/>
  <c r="AM876" i="5" s="1"/>
  <c r="AV875" i="5"/>
  <c r="AW875" i="5" s="1"/>
  <c r="AF875" i="5"/>
  <c r="AA875" i="5"/>
  <c r="W875" i="5"/>
  <c r="S875" i="5"/>
  <c r="O875" i="5"/>
  <c r="AW874" i="5"/>
  <c r="AV874" i="5"/>
  <c r="AF874" i="5"/>
  <c r="AA874" i="5"/>
  <c r="W874" i="5"/>
  <c r="S874" i="5"/>
  <c r="O874" i="5"/>
  <c r="AV873" i="5"/>
  <c r="AW873" i="5" s="1"/>
  <c r="AF873" i="5"/>
  <c r="AA873" i="5"/>
  <c r="W873" i="5"/>
  <c r="S873" i="5"/>
  <c r="O873" i="5"/>
  <c r="AV872" i="5"/>
  <c r="AW872" i="5" s="1"/>
  <c r="AF872" i="5"/>
  <c r="AA872" i="5"/>
  <c r="W872" i="5"/>
  <c r="S872" i="5"/>
  <c r="AL872" i="5" s="1"/>
  <c r="O872" i="5"/>
  <c r="AP872" i="5" s="1"/>
  <c r="AV871" i="5"/>
  <c r="AW871" i="5" s="1"/>
  <c r="AF871" i="5"/>
  <c r="AA871" i="5"/>
  <c r="W871" i="5"/>
  <c r="S871" i="5"/>
  <c r="O871" i="5"/>
  <c r="AW870" i="5"/>
  <c r="AV870" i="5"/>
  <c r="AF870" i="5"/>
  <c r="AA870" i="5"/>
  <c r="W870" i="5"/>
  <c r="S870" i="5"/>
  <c r="O870" i="5"/>
  <c r="AV869" i="5"/>
  <c r="AW869" i="5" s="1"/>
  <c r="AM869" i="5"/>
  <c r="AL869" i="5"/>
  <c r="AF869" i="5"/>
  <c r="AA869" i="5"/>
  <c r="W869" i="5"/>
  <c r="S869" i="5"/>
  <c r="O869" i="5"/>
  <c r="AV868" i="5"/>
  <c r="AW868" i="5" s="1"/>
  <c r="AQ868" i="5"/>
  <c r="AP868" i="5"/>
  <c r="AR868" i="5" s="1"/>
  <c r="AF868" i="5"/>
  <c r="AA868" i="5"/>
  <c r="W868" i="5"/>
  <c r="S868" i="5"/>
  <c r="O868" i="5"/>
  <c r="AV867" i="5"/>
  <c r="AW867" i="5" s="1"/>
  <c r="AF867" i="5"/>
  <c r="AA867" i="5"/>
  <c r="W867" i="5"/>
  <c r="S867" i="5"/>
  <c r="O867" i="5"/>
  <c r="AV866" i="5"/>
  <c r="AW866" i="5" s="1"/>
  <c r="AF866" i="5"/>
  <c r="AA866" i="5"/>
  <c r="W866" i="5"/>
  <c r="S866" i="5"/>
  <c r="O866" i="5"/>
  <c r="AW865" i="5"/>
  <c r="AV865" i="5"/>
  <c r="AP865" i="5"/>
  <c r="AF865" i="5"/>
  <c r="AA865" i="5"/>
  <c r="W865" i="5"/>
  <c r="S865" i="5"/>
  <c r="O865" i="5"/>
  <c r="AW864" i="5"/>
  <c r="AV864" i="5"/>
  <c r="AF864" i="5"/>
  <c r="AA864" i="5"/>
  <c r="W864" i="5"/>
  <c r="S864" i="5"/>
  <c r="O864" i="5"/>
  <c r="AV863" i="5"/>
  <c r="AW863" i="5" s="1"/>
  <c r="AF863" i="5"/>
  <c r="AA863" i="5"/>
  <c r="AM863" i="5" s="1"/>
  <c r="W863" i="5"/>
  <c r="S863" i="5"/>
  <c r="O863" i="5"/>
  <c r="AV862" i="5"/>
  <c r="AW862" i="5" s="1"/>
  <c r="AF862" i="5"/>
  <c r="AA862" i="5"/>
  <c r="W862" i="5"/>
  <c r="S862" i="5"/>
  <c r="AL862" i="5" s="1"/>
  <c r="O862" i="5"/>
  <c r="AV861" i="5"/>
  <c r="AW861" i="5" s="1"/>
  <c r="AF861" i="5"/>
  <c r="AA861" i="5"/>
  <c r="W861" i="5"/>
  <c r="S861" i="5"/>
  <c r="O861" i="5"/>
  <c r="AW860" i="5"/>
  <c r="AV860" i="5"/>
  <c r="AF860" i="5"/>
  <c r="AA860" i="5"/>
  <c r="W860" i="5"/>
  <c r="S860" i="5"/>
  <c r="O860" i="5"/>
  <c r="AW859" i="5"/>
  <c r="AV859" i="5"/>
  <c r="AF859" i="5"/>
  <c r="AA859" i="5"/>
  <c r="W859" i="5"/>
  <c r="S859" i="5"/>
  <c r="O859" i="5"/>
  <c r="AV858" i="5"/>
  <c r="AW858" i="5" s="1"/>
  <c r="AF858" i="5"/>
  <c r="AA858" i="5"/>
  <c r="W858" i="5"/>
  <c r="S858" i="5"/>
  <c r="O858" i="5"/>
  <c r="AV857" i="5"/>
  <c r="AW857" i="5" s="1"/>
  <c r="AF857" i="5"/>
  <c r="AA857" i="5"/>
  <c r="W857" i="5"/>
  <c r="S857" i="5"/>
  <c r="O857" i="5"/>
  <c r="AV856" i="5"/>
  <c r="AW856" i="5" s="1"/>
  <c r="AF856" i="5"/>
  <c r="AA856" i="5"/>
  <c r="W856" i="5"/>
  <c r="S856" i="5"/>
  <c r="O856" i="5"/>
  <c r="AM856" i="5" s="1"/>
  <c r="AW855" i="5"/>
  <c r="AV855" i="5"/>
  <c r="AF855" i="5"/>
  <c r="AA855" i="5"/>
  <c r="W855" i="5"/>
  <c r="S855" i="5"/>
  <c r="O855" i="5"/>
  <c r="AV854" i="5"/>
  <c r="AW854" i="5" s="1"/>
  <c r="AF854" i="5"/>
  <c r="AA854" i="5"/>
  <c r="W854" i="5"/>
  <c r="S854" i="5"/>
  <c r="O854" i="5"/>
  <c r="AL854" i="5" s="1"/>
  <c r="AV853" i="5"/>
  <c r="AW853" i="5" s="1"/>
  <c r="AF853" i="5"/>
  <c r="AL853" i="5" s="1"/>
  <c r="AA853" i="5"/>
  <c r="W853" i="5"/>
  <c r="S853" i="5"/>
  <c r="O853" i="5"/>
  <c r="AV852" i="5"/>
  <c r="AW852" i="5" s="1"/>
  <c r="AP852" i="5"/>
  <c r="AF852" i="5"/>
  <c r="AA852" i="5"/>
  <c r="W852" i="5"/>
  <c r="S852" i="5"/>
  <c r="O852" i="5"/>
  <c r="AV851" i="5"/>
  <c r="AW851" i="5" s="1"/>
  <c r="AF851" i="5"/>
  <c r="AA851" i="5"/>
  <c r="W851" i="5"/>
  <c r="S851" i="5"/>
  <c r="O851" i="5"/>
  <c r="AV850" i="5"/>
  <c r="AW850" i="5" s="1"/>
  <c r="AF850" i="5"/>
  <c r="AA850" i="5"/>
  <c r="W850" i="5"/>
  <c r="S850" i="5"/>
  <c r="O850" i="5"/>
  <c r="AV849" i="5"/>
  <c r="AW849" i="5" s="1"/>
  <c r="AP849" i="5"/>
  <c r="AM849" i="5"/>
  <c r="AL849" i="5"/>
  <c r="AN849" i="5" s="1"/>
  <c r="AF849" i="5"/>
  <c r="AA849" i="5"/>
  <c r="W849" i="5"/>
  <c r="S849" i="5"/>
  <c r="O849" i="5"/>
  <c r="AV848" i="5"/>
  <c r="AW848" i="5" s="1"/>
  <c r="AF848" i="5"/>
  <c r="AA848" i="5"/>
  <c r="AP848" i="5" s="1"/>
  <c r="W848" i="5"/>
  <c r="S848" i="5"/>
  <c r="O848" i="5"/>
  <c r="AV847" i="5"/>
  <c r="AW847" i="5" s="1"/>
  <c r="AF847" i="5"/>
  <c r="AA847" i="5"/>
  <c r="W847" i="5"/>
  <c r="S847" i="5"/>
  <c r="O847" i="5"/>
  <c r="AV846" i="5"/>
  <c r="AW846" i="5" s="1"/>
  <c r="AF846" i="5"/>
  <c r="AA846" i="5"/>
  <c r="W846" i="5"/>
  <c r="S846" i="5"/>
  <c r="O846" i="5"/>
  <c r="AL846" i="5" s="1"/>
  <c r="AW845" i="5"/>
  <c r="AV845" i="5"/>
  <c r="AF845" i="5"/>
  <c r="AA845" i="5"/>
  <c r="W845" i="5"/>
  <c r="S845" i="5"/>
  <c r="O845" i="5"/>
  <c r="AV844" i="5"/>
  <c r="AW844" i="5" s="1"/>
  <c r="AF844" i="5"/>
  <c r="AA844" i="5"/>
  <c r="W844" i="5"/>
  <c r="S844" i="5"/>
  <c r="O844" i="5"/>
  <c r="AV843" i="5"/>
  <c r="AW843" i="5" s="1"/>
  <c r="AF843" i="5"/>
  <c r="AA843" i="5"/>
  <c r="AP843" i="5" s="1"/>
  <c r="W843" i="5"/>
  <c r="S843" i="5"/>
  <c r="O843" i="5"/>
  <c r="AV842" i="5"/>
  <c r="AW842" i="5" s="1"/>
  <c r="AF842" i="5"/>
  <c r="AA842" i="5"/>
  <c r="W842" i="5"/>
  <c r="S842" i="5"/>
  <c r="AL842" i="5" s="1"/>
  <c r="O842" i="5"/>
  <c r="AV841" i="5"/>
  <c r="AW841" i="5" s="1"/>
  <c r="AF841" i="5"/>
  <c r="AA841" i="5"/>
  <c r="W841" i="5"/>
  <c r="S841" i="5"/>
  <c r="O841" i="5"/>
  <c r="AW840" i="5"/>
  <c r="AV840" i="5"/>
  <c r="AF840" i="5"/>
  <c r="AA840" i="5"/>
  <c r="W840" i="5"/>
  <c r="S840" i="5"/>
  <c r="O840" i="5"/>
  <c r="AW839" i="5"/>
  <c r="AV839" i="5"/>
  <c r="AF839" i="5"/>
  <c r="AA839" i="5"/>
  <c r="W839" i="5"/>
  <c r="S839" i="5"/>
  <c r="O839" i="5"/>
  <c r="AQ839" i="5" s="1"/>
  <c r="AV838" i="5"/>
  <c r="AW838" i="5" s="1"/>
  <c r="AF838" i="5"/>
  <c r="AA838" i="5"/>
  <c r="W838" i="5"/>
  <c r="S838" i="5"/>
  <c r="O838" i="5"/>
  <c r="AV837" i="5"/>
  <c r="AW837" i="5" s="1"/>
  <c r="AF837" i="5"/>
  <c r="AA837" i="5"/>
  <c r="W837" i="5"/>
  <c r="S837" i="5"/>
  <c r="O837" i="5"/>
  <c r="AV836" i="5"/>
  <c r="AW836" i="5" s="1"/>
  <c r="AF836" i="5"/>
  <c r="AA836" i="5"/>
  <c r="W836" i="5"/>
  <c r="S836" i="5"/>
  <c r="O836" i="5"/>
  <c r="AV835" i="5"/>
  <c r="AW835" i="5" s="1"/>
  <c r="AF835" i="5"/>
  <c r="AA835" i="5"/>
  <c r="W835" i="5"/>
  <c r="S835" i="5"/>
  <c r="O835" i="5"/>
  <c r="AW834" i="5"/>
  <c r="AV834" i="5"/>
  <c r="AF834" i="5"/>
  <c r="AA834" i="5"/>
  <c r="W834" i="5"/>
  <c r="S834" i="5"/>
  <c r="O834" i="5"/>
  <c r="AV833" i="5"/>
  <c r="AW833" i="5" s="1"/>
  <c r="AF833" i="5"/>
  <c r="AA833" i="5"/>
  <c r="W833" i="5"/>
  <c r="S833" i="5"/>
  <c r="O833" i="5"/>
  <c r="AV832" i="5"/>
  <c r="AW832" i="5" s="1"/>
  <c r="AF832" i="5"/>
  <c r="AA832" i="5"/>
  <c r="W832" i="5"/>
  <c r="S832" i="5"/>
  <c r="O832" i="5"/>
  <c r="AV831" i="5"/>
  <c r="AW831" i="5" s="1"/>
  <c r="AF831" i="5"/>
  <c r="AA831" i="5"/>
  <c r="W831" i="5"/>
  <c r="S831" i="5"/>
  <c r="AQ831" i="5" s="1"/>
  <c r="O831" i="5"/>
  <c r="AV830" i="5"/>
  <c r="AW830" i="5" s="1"/>
  <c r="AF830" i="5"/>
  <c r="AA830" i="5"/>
  <c r="W830" i="5"/>
  <c r="S830" i="5"/>
  <c r="O830" i="5"/>
  <c r="AW829" i="5"/>
  <c r="AV829" i="5"/>
  <c r="AF829" i="5"/>
  <c r="AA829" i="5"/>
  <c r="W829" i="5"/>
  <c r="S829" i="5"/>
  <c r="O829" i="5"/>
  <c r="AV828" i="5"/>
  <c r="AW828" i="5" s="1"/>
  <c r="AF828" i="5"/>
  <c r="AA828" i="5"/>
  <c r="W828" i="5"/>
  <c r="S828" i="5"/>
  <c r="AP828" i="5" s="1"/>
  <c r="O828" i="5"/>
  <c r="AV827" i="5"/>
  <c r="AW827" i="5" s="1"/>
  <c r="AF827" i="5"/>
  <c r="AA827" i="5"/>
  <c r="W827" i="5"/>
  <c r="S827" i="5"/>
  <c r="O827" i="5"/>
  <c r="AL827" i="5" s="1"/>
  <c r="AW826" i="5"/>
  <c r="AV826" i="5"/>
  <c r="AF826" i="5"/>
  <c r="AA826" i="5"/>
  <c r="W826" i="5"/>
  <c r="S826" i="5"/>
  <c r="AP826" i="5" s="1"/>
  <c r="O826" i="5"/>
  <c r="AW825" i="5"/>
  <c r="AV825" i="5"/>
  <c r="AF825" i="5"/>
  <c r="AA825" i="5"/>
  <c r="W825" i="5"/>
  <c r="S825" i="5"/>
  <c r="O825" i="5"/>
  <c r="AV824" i="5"/>
  <c r="AW824" i="5" s="1"/>
  <c r="AP824" i="5"/>
  <c r="AF824" i="5"/>
  <c r="AA824" i="5"/>
  <c r="W824" i="5"/>
  <c r="S824" i="5"/>
  <c r="O824" i="5"/>
  <c r="AL824" i="5" s="1"/>
  <c r="AV823" i="5"/>
  <c r="AW823" i="5" s="1"/>
  <c r="AF823" i="5"/>
  <c r="AA823" i="5"/>
  <c r="W823" i="5"/>
  <c r="S823" i="5"/>
  <c r="O823" i="5"/>
  <c r="AV822" i="5"/>
  <c r="AW822" i="5" s="1"/>
  <c r="AF822" i="5"/>
  <c r="AA822" i="5"/>
  <c r="W822" i="5"/>
  <c r="S822" i="5"/>
  <c r="O822" i="5"/>
  <c r="AW821" i="5"/>
  <c r="AV821" i="5"/>
  <c r="AF821" i="5"/>
  <c r="AA821" i="5"/>
  <c r="W821" i="5"/>
  <c r="S821" i="5"/>
  <c r="O821" i="5"/>
  <c r="AQ821" i="5" s="1"/>
  <c r="AV820" i="5"/>
  <c r="AW820" i="5" s="1"/>
  <c r="AM820" i="5"/>
  <c r="AF820" i="5"/>
  <c r="AA820" i="5"/>
  <c r="W820" i="5"/>
  <c r="S820" i="5"/>
  <c r="O820" i="5"/>
  <c r="AL820" i="5" s="1"/>
  <c r="AV819" i="5"/>
  <c r="AW819" i="5" s="1"/>
  <c r="AF819" i="5"/>
  <c r="AA819" i="5"/>
  <c r="W819" i="5"/>
  <c r="S819" i="5"/>
  <c r="O819" i="5"/>
  <c r="AV818" i="5"/>
  <c r="AW818" i="5" s="1"/>
  <c r="AF818" i="5"/>
  <c r="AA818" i="5"/>
  <c r="W818" i="5"/>
  <c r="S818" i="5"/>
  <c r="O818" i="5"/>
  <c r="AW817" i="5"/>
  <c r="AV817" i="5"/>
  <c r="AF817" i="5"/>
  <c r="AL817" i="5" s="1"/>
  <c r="AA817" i="5"/>
  <c r="W817" i="5"/>
  <c r="S817" i="5"/>
  <c r="O817" i="5"/>
  <c r="AV816" i="5"/>
  <c r="AW816" i="5" s="1"/>
  <c r="AQ816" i="5"/>
  <c r="AP816" i="5"/>
  <c r="AM816" i="5"/>
  <c r="AF816" i="5"/>
  <c r="AA816" i="5"/>
  <c r="W816" i="5"/>
  <c r="S816" i="5"/>
  <c r="O816" i="5"/>
  <c r="AV815" i="5"/>
  <c r="AW815" i="5" s="1"/>
  <c r="AF815" i="5"/>
  <c r="AA815" i="5"/>
  <c r="W815" i="5"/>
  <c r="S815" i="5"/>
  <c r="O815" i="5"/>
  <c r="AV814" i="5"/>
  <c r="AW814" i="5" s="1"/>
  <c r="AF814" i="5"/>
  <c r="AA814" i="5"/>
  <c r="W814" i="5"/>
  <c r="AL814" i="5" s="1"/>
  <c r="S814" i="5"/>
  <c r="O814" i="5"/>
  <c r="AV813" i="5"/>
  <c r="AW813" i="5" s="1"/>
  <c r="AL813" i="5"/>
  <c r="AF813" i="5"/>
  <c r="AA813" i="5"/>
  <c r="W813" i="5"/>
  <c r="S813" i="5"/>
  <c r="O813" i="5"/>
  <c r="AP813" i="5" s="1"/>
  <c r="AV812" i="5"/>
  <c r="AW812" i="5" s="1"/>
  <c r="AF812" i="5"/>
  <c r="AA812" i="5"/>
  <c r="W812" i="5"/>
  <c r="S812" i="5"/>
  <c r="O812" i="5"/>
  <c r="AV811" i="5"/>
  <c r="AW811" i="5" s="1"/>
  <c r="AF811" i="5"/>
  <c r="AA811" i="5"/>
  <c r="W811" i="5"/>
  <c r="S811" i="5"/>
  <c r="O811" i="5"/>
  <c r="AV810" i="5"/>
  <c r="AW810" i="5" s="1"/>
  <c r="AF810" i="5"/>
  <c r="AA810" i="5"/>
  <c r="W810" i="5"/>
  <c r="S810" i="5"/>
  <c r="O810" i="5"/>
  <c r="AW809" i="5"/>
  <c r="AV809" i="5"/>
  <c r="AF809" i="5"/>
  <c r="AA809" i="5"/>
  <c r="W809" i="5"/>
  <c r="S809" i="5"/>
  <c r="O809" i="5"/>
  <c r="AV808" i="5"/>
  <c r="AW808" i="5" s="1"/>
  <c r="AF808" i="5"/>
  <c r="AA808" i="5"/>
  <c r="W808" i="5"/>
  <c r="S808" i="5"/>
  <c r="O808" i="5"/>
  <c r="AQ808" i="5" s="1"/>
  <c r="AW807" i="5"/>
  <c r="AV807" i="5"/>
  <c r="AF807" i="5"/>
  <c r="AA807" i="5"/>
  <c r="W807" i="5"/>
  <c r="AQ807" i="5" s="1"/>
  <c r="S807" i="5"/>
  <c r="O807" i="5"/>
  <c r="AV806" i="5"/>
  <c r="AW806" i="5" s="1"/>
  <c r="AF806" i="5"/>
  <c r="AA806" i="5"/>
  <c r="W806" i="5"/>
  <c r="S806" i="5"/>
  <c r="AL806" i="5" s="1"/>
  <c r="O806" i="5"/>
  <c r="AV805" i="5"/>
  <c r="AW805" i="5" s="1"/>
  <c r="AF805" i="5"/>
  <c r="AA805" i="5"/>
  <c r="W805" i="5"/>
  <c r="S805" i="5"/>
  <c r="O805" i="5"/>
  <c r="AW804" i="5"/>
  <c r="AV804" i="5"/>
  <c r="AF804" i="5"/>
  <c r="AA804" i="5"/>
  <c r="W804" i="5"/>
  <c r="S804" i="5"/>
  <c r="O804" i="5"/>
  <c r="AV803" i="5"/>
  <c r="AW803" i="5" s="1"/>
  <c r="AP803" i="5"/>
  <c r="AF803" i="5"/>
  <c r="AA803" i="5"/>
  <c r="W803" i="5"/>
  <c r="S803" i="5"/>
  <c r="O803" i="5"/>
  <c r="AV802" i="5"/>
  <c r="AW802" i="5" s="1"/>
  <c r="AF802" i="5"/>
  <c r="AA802" i="5"/>
  <c r="W802" i="5"/>
  <c r="S802" i="5"/>
  <c r="O802" i="5"/>
  <c r="AM802" i="5" s="1"/>
  <c r="AV801" i="5"/>
  <c r="AW801" i="5" s="1"/>
  <c r="AF801" i="5"/>
  <c r="AA801" i="5"/>
  <c r="W801" i="5"/>
  <c r="S801" i="5"/>
  <c r="O801" i="5"/>
  <c r="AV800" i="5"/>
  <c r="AW800" i="5" s="1"/>
  <c r="AM800" i="5"/>
  <c r="AL800" i="5"/>
  <c r="AN800" i="5" s="1"/>
  <c r="AF800" i="5"/>
  <c r="AQ800" i="5" s="1"/>
  <c r="AA800" i="5"/>
  <c r="W800" i="5"/>
  <c r="S800" i="5"/>
  <c r="O800" i="5"/>
  <c r="AW799" i="5"/>
  <c r="AV799" i="5"/>
  <c r="AQ799" i="5"/>
  <c r="AF799" i="5"/>
  <c r="AA799" i="5"/>
  <c r="W799" i="5"/>
  <c r="S799" i="5"/>
  <c r="O799" i="5"/>
  <c r="AV798" i="5"/>
  <c r="AW798" i="5" s="1"/>
  <c r="AF798" i="5"/>
  <c r="AA798" i="5"/>
  <c r="W798" i="5"/>
  <c r="S798" i="5"/>
  <c r="O798" i="5"/>
  <c r="AW797" i="5"/>
  <c r="AV797" i="5"/>
  <c r="AL797" i="5"/>
  <c r="AF797" i="5"/>
  <c r="AA797" i="5"/>
  <c r="W797" i="5"/>
  <c r="S797" i="5"/>
  <c r="O797" i="5"/>
  <c r="AV796" i="5"/>
  <c r="AW796" i="5" s="1"/>
  <c r="AF796" i="5"/>
  <c r="AA796" i="5"/>
  <c r="W796" i="5"/>
  <c r="S796" i="5"/>
  <c r="O796" i="5"/>
  <c r="AV795" i="5"/>
  <c r="AW795" i="5" s="1"/>
  <c r="AF795" i="5"/>
  <c r="AA795" i="5"/>
  <c r="W795" i="5"/>
  <c r="S795" i="5"/>
  <c r="O795" i="5"/>
  <c r="AV794" i="5"/>
  <c r="AW794" i="5" s="1"/>
  <c r="AF794" i="5"/>
  <c r="AA794" i="5"/>
  <c r="W794" i="5"/>
  <c r="S794" i="5"/>
  <c r="O794" i="5"/>
  <c r="AV793" i="5"/>
  <c r="AW793" i="5" s="1"/>
  <c r="AP793" i="5"/>
  <c r="AF793" i="5"/>
  <c r="AA793" i="5"/>
  <c r="W793" i="5"/>
  <c r="S793" i="5"/>
  <c r="O793" i="5"/>
  <c r="AV792" i="5"/>
  <c r="AW792" i="5" s="1"/>
  <c r="AF792" i="5"/>
  <c r="AA792" i="5"/>
  <c r="W792" i="5"/>
  <c r="S792" i="5"/>
  <c r="O792" i="5"/>
  <c r="AV791" i="5"/>
  <c r="AW791" i="5" s="1"/>
  <c r="AF791" i="5"/>
  <c r="AA791" i="5"/>
  <c r="W791" i="5"/>
  <c r="S791" i="5"/>
  <c r="O791" i="5"/>
  <c r="AV790" i="5"/>
  <c r="AW790" i="5" s="1"/>
  <c r="AM790" i="5"/>
  <c r="AL790" i="5"/>
  <c r="AN790" i="5" s="1"/>
  <c r="AF790" i="5"/>
  <c r="AA790" i="5"/>
  <c r="W790" i="5"/>
  <c r="S790" i="5"/>
  <c r="O790" i="5"/>
  <c r="AV789" i="5"/>
  <c r="AW789" i="5" s="1"/>
  <c r="AQ789" i="5"/>
  <c r="AP789" i="5"/>
  <c r="AR789" i="5" s="1"/>
  <c r="AF789" i="5"/>
  <c r="AA789" i="5"/>
  <c r="W789" i="5"/>
  <c r="S789" i="5"/>
  <c r="O789" i="5"/>
  <c r="AV788" i="5"/>
  <c r="AW788" i="5" s="1"/>
  <c r="AF788" i="5"/>
  <c r="AA788" i="5"/>
  <c r="W788" i="5"/>
  <c r="S788" i="5"/>
  <c r="O788" i="5"/>
  <c r="AV787" i="5"/>
  <c r="AW787" i="5" s="1"/>
  <c r="AF787" i="5"/>
  <c r="AA787" i="5"/>
  <c r="W787" i="5"/>
  <c r="S787" i="5"/>
  <c r="O787" i="5"/>
  <c r="AV786" i="5"/>
  <c r="AW786" i="5" s="1"/>
  <c r="AF786" i="5"/>
  <c r="AA786" i="5"/>
  <c r="W786" i="5"/>
  <c r="S786" i="5"/>
  <c r="O786" i="5"/>
  <c r="AV785" i="5"/>
  <c r="AW785" i="5" s="1"/>
  <c r="AF785" i="5"/>
  <c r="AA785" i="5"/>
  <c r="W785" i="5"/>
  <c r="S785" i="5"/>
  <c r="O785" i="5"/>
  <c r="AV784" i="5"/>
  <c r="AW784" i="5" s="1"/>
  <c r="AF784" i="5"/>
  <c r="AA784" i="5"/>
  <c r="W784" i="5"/>
  <c r="S784" i="5"/>
  <c r="O784" i="5"/>
  <c r="AV783" i="5"/>
  <c r="AW783" i="5" s="1"/>
  <c r="AF783" i="5"/>
  <c r="AM783" i="5" s="1"/>
  <c r="AA783" i="5"/>
  <c r="W783" i="5"/>
  <c r="S783" i="5"/>
  <c r="O783" i="5"/>
  <c r="AV782" i="5"/>
  <c r="AW782" i="5" s="1"/>
  <c r="AF782" i="5"/>
  <c r="AA782" i="5"/>
  <c r="W782" i="5"/>
  <c r="S782" i="5"/>
  <c r="O782" i="5"/>
  <c r="AW781" i="5"/>
  <c r="AV781" i="5"/>
  <c r="AF781" i="5"/>
  <c r="AA781" i="5"/>
  <c r="W781" i="5"/>
  <c r="S781" i="5"/>
  <c r="O781" i="5"/>
  <c r="AV780" i="5"/>
  <c r="AW780" i="5" s="1"/>
  <c r="AF780" i="5"/>
  <c r="AA780" i="5"/>
  <c r="W780" i="5"/>
  <c r="S780" i="5"/>
  <c r="O780" i="5"/>
  <c r="AM780" i="5" s="1"/>
  <c r="AV779" i="5"/>
  <c r="AW779" i="5" s="1"/>
  <c r="AF779" i="5"/>
  <c r="AA779" i="5"/>
  <c r="W779" i="5"/>
  <c r="S779" i="5"/>
  <c r="O779" i="5"/>
  <c r="AQ779" i="5" s="1"/>
  <c r="AV778" i="5"/>
  <c r="AW778" i="5" s="1"/>
  <c r="AF778" i="5"/>
  <c r="AA778" i="5"/>
  <c r="W778" i="5"/>
  <c r="S778" i="5"/>
  <c r="O778" i="5"/>
  <c r="AW777" i="5"/>
  <c r="AV777" i="5"/>
  <c r="AF777" i="5"/>
  <c r="AA777" i="5"/>
  <c r="W777" i="5"/>
  <c r="S777" i="5"/>
  <c r="O777" i="5"/>
  <c r="AV776" i="5"/>
  <c r="AW776" i="5" s="1"/>
  <c r="AF776" i="5"/>
  <c r="AA776" i="5"/>
  <c r="W776" i="5"/>
  <c r="S776" i="5"/>
  <c r="AQ776" i="5" s="1"/>
  <c r="O776" i="5"/>
  <c r="AP776" i="5" s="1"/>
  <c r="AR776" i="5" s="1"/>
  <c r="AV775" i="5"/>
  <c r="AW775" i="5" s="1"/>
  <c r="AF775" i="5"/>
  <c r="AA775" i="5"/>
  <c r="W775" i="5"/>
  <c r="S775" i="5"/>
  <c r="O775" i="5"/>
  <c r="AW774" i="5"/>
  <c r="AV774" i="5"/>
  <c r="AF774" i="5"/>
  <c r="AA774" i="5"/>
  <c r="W774" i="5"/>
  <c r="S774" i="5"/>
  <c r="O774" i="5"/>
  <c r="AV773" i="5"/>
  <c r="AW773" i="5" s="1"/>
  <c r="AF773" i="5"/>
  <c r="AA773" i="5"/>
  <c r="W773" i="5"/>
  <c r="S773" i="5"/>
  <c r="O773" i="5"/>
  <c r="AV772" i="5"/>
  <c r="AW772" i="5" s="1"/>
  <c r="AF772" i="5"/>
  <c r="AA772" i="5"/>
  <c r="W772" i="5"/>
  <c r="S772" i="5"/>
  <c r="O772" i="5"/>
  <c r="AV771" i="5"/>
  <c r="AW771" i="5" s="1"/>
  <c r="AF771" i="5"/>
  <c r="AA771" i="5"/>
  <c r="W771" i="5"/>
  <c r="S771" i="5"/>
  <c r="O771" i="5"/>
  <c r="AV770" i="5"/>
  <c r="AW770" i="5" s="1"/>
  <c r="AF770" i="5"/>
  <c r="AM770" i="5" s="1"/>
  <c r="AA770" i="5"/>
  <c r="W770" i="5"/>
  <c r="S770" i="5"/>
  <c r="O770" i="5"/>
  <c r="AV769" i="5"/>
  <c r="AW769" i="5" s="1"/>
  <c r="AQ769" i="5"/>
  <c r="AP769" i="5"/>
  <c r="AR769" i="5" s="1"/>
  <c r="AF769" i="5"/>
  <c r="AA769" i="5"/>
  <c r="W769" i="5"/>
  <c r="S769" i="5"/>
  <c r="O769" i="5"/>
  <c r="AV768" i="5"/>
  <c r="AW768" i="5" s="1"/>
  <c r="AF768" i="5"/>
  <c r="AA768" i="5"/>
  <c r="W768" i="5"/>
  <c r="S768" i="5"/>
  <c r="O768" i="5"/>
  <c r="AV767" i="5"/>
  <c r="AW767" i="5" s="1"/>
  <c r="AF767" i="5"/>
  <c r="AA767" i="5"/>
  <c r="W767" i="5"/>
  <c r="AQ767" i="5" s="1"/>
  <c r="S767" i="5"/>
  <c r="O767" i="5"/>
  <c r="AV766" i="5"/>
  <c r="AW766" i="5" s="1"/>
  <c r="AF766" i="5"/>
  <c r="AM766" i="5" s="1"/>
  <c r="AA766" i="5"/>
  <c r="W766" i="5"/>
  <c r="S766" i="5"/>
  <c r="AP766" i="5" s="1"/>
  <c r="O766" i="5"/>
  <c r="AV765" i="5"/>
  <c r="AW765" i="5" s="1"/>
  <c r="AF765" i="5"/>
  <c r="AA765" i="5"/>
  <c r="W765" i="5"/>
  <c r="S765" i="5"/>
  <c r="O765" i="5"/>
  <c r="AW764" i="5"/>
  <c r="AV764" i="5"/>
  <c r="AF764" i="5"/>
  <c r="AA764" i="5"/>
  <c r="W764" i="5"/>
  <c r="S764" i="5"/>
  <c r="O764" i="5"/>
  <c r="AV763" i="5"/>
  <c r="AW763" i="5" s="1"/>
  <c r="AF763" i="5"/>
  <c r="AA763" i="5"/>
  <c r="W763" i="5"/>
  <c r="S763" i="5"/>
  <c r="O763" i="5"/>
  <c r="AQ763" i="5" s="1"/>
  <c r="AV762" i="5"/>
  <c r="AW762" i="5" s="1"/>
  <c r="AF762" i="5"/>
  <c r="AA762" i="5"/>
  <c r="W762" i="5"/>
  <c r="S762" i="5"/>
  <c r="O762" i="5"/>
  <c r="AV761" i="5"/>
  <c r="AW761" i="5" s="1"/>
  <c r="AF761" i="5"/>
  <c r="AA761" i="5"/>
  <c r="W761" i="5"/>
  <c r="S761" i="5"/>
  <c r="O761" i="5"/>
  <c r="AV760" i="5"/>
  <c r="AW760" i="5" s="1"/>
  <c r="AF760" i="5"/>
  <c r="AA760" i="5"/>
  <c r="AM760" i="5" s="1"/>
  <c r="W760" i="5"/>
  <c r="S760" i="5"/>
  <c r="O760" i="5"/>
  <c r="AV759" i="5"/>
  <c r="AW759" i="5" s="1"/>
  <c r="AF759" i="5"/>
  <c r="AA759" i="5"/>
  <c r="W759" i="5"/>
  <c r="AQ759" i="5" s="1"/>
  <c r="S759" i="5"/>
  <c r="O759" i="5"/>
  <c r="AV758" i="5"/>
  <c r="AW758" i="5" s="1"/>
  <c r="AF758" i="5"/>
  <c r="AA758" i="5"/>
  <c r="W758" i="5"/>
  <c r="S758" i="5"/>
  <c r="O758" i="5"/>
  <c r="AQ758" i="5" s="1"/>
  <c r="AW757" i="5"/>
  <c r="AV757" i="5"/>
  <c r="AF757" i="5"/>
  <c r="AA757" i="5"/>
  <c r="W757" i="5"/>
  <c r="S757" i="5"/>
  <c r="O757" i="5"/>
  <c r="AV756" i="5"/>
  <c r="AW756" i="5" s="1"/>
  <c r="AF756" i="5"/>
  <c r="AA756" i="5"/>
  <c r="W756" i="5"/>
  <c r="S756" i="5"/>
  <c r="O756" i="5"/>
  <c r="AV755" i="5"/>
  <c r="AW755" i="5" s="1"/>
  <c r="AF755" i="5"/>
  <c r="AA755" i="5"/>
  <c r="W755" i="5"/>
  <c r="S755" i="5"/>
  <c r="O755" i="5"/>
  <c r="AW754" i="5"/>
  <c r="AV754" i="5"/>
  <c r="AF754" i="5"/>
  <c r="AA754" i="5"/>
  <c r="W754" i="5"/>
  <c r="S754" i="5"/>
  <c r="O754" i="5"/>
  <c r="AV753" i="5"/>
  <c r="AW753" i="5" s="1"/>
  <c r="AF753" i="5"/>
  <c r="AA753" i="5"/>
  <c r="W753" i="5"/>
  <c r="S753" i="5"/>
  <c r="O753" i="5"/>
  <c r="AV752" i="5"/>
  <c r="AW752" i="5" s="1"/>
  <c r="AF752" i="5"/>
  <c r="AA752" i="5"/>
  <c r="W752" i="5"/>
  <c r="S752" i="5"/>
  <c r="O752" i="5"/>
  <c r="AV751" i="5"/>
  <c r="AW751" i="5" s="1"/>
  <c r="AF751" i="5"/>
  <c r="AA751" i="5"/>
  <c r="W751" i="5"/>
  <c r="S751" i="5"/>
  <c r="O751" i="5"/>
  <c r="AV750" i="5"/>
  <c r="AW750" i="5" s="1"/>
  <c r="AF750" i="5"/>
  <c r="AA750" i="5"/>
  <c r="W750" i="5"/>
  <c r="S750" i="5"/>
  <c r="O750" i="5"/>
  <c r="AQ750" i="5" s="1"/>
  <c r="AW749" i="5"/>
  <c r="AV749" i="5"/>
  <c r="AF749" i="5"/>
  <c r="AA749" i="5"/>
  <c r="W749" i="5"/>
  <c r="S749" i="5"/>
  <c r="O749" i="5"/>
  <c r="AV748" i="5"/>
  <c r="AW748" i="5" s="1"/>
  <c r="AF748" i="5"/>
  <c r="AA748" i="5"/>
  <c r="W748" i="5"/>
  <c r="S748" i="5"/>
  <c r="O748" i="5"/>
  <c r="AW747" i="5"/>
  <c r="AV747" i="5"/>
  <c r="AF747" i="5"/>
  <c r="AA747" i="5"/>
  <c r="W747" i="5"/>
  <c r="S747" i="5"/>
  <c r="O747" i="5"/>
  <c r="AV746" i="5"/>
  <c r="AW746" i="5" s="1"/>
  <c r="AF746" i="5"/>
  <c r="AA746" i="5"/>
  <c r="W746" i="5"/>
  <c r="S746" i="5"/>
  <c r="O746" i="5"/>
  <c r="AV745" i="5"/>
  <c r="AW745" i="5" s="1"/>
  <c r="AF745" i="5"/>
  <c r="AA745" i="5"/>
  <c r="W745" i="5"/>
  <c r="S745" i="5"/>
  <c r="O745" i="5"/>
  <c r="AV744" i="5"/>
  <c r="AW744" i="5" s="1"/>
  <c r="AF744" i="5"/>
  <c r="AA744" i="5"/>
  <c r="W744" i="5"/>
  <c r="S744" i="5"/>
  <c r="O744" i="5"/>
  <c r="AV743" i="5"/>
  <c r="AW743" i="5" s="1"/>
  <c r="AF743" i="5"/>
  <c r="AA743" i="5"/>
  <c r="W743" i="5"/>
  <c r="S743" i="5"/>
  <c r="O743" i="5"/>
  <c r="AW742" i="5"/>
  <c r="AV742" i="5"/>
  <c r="AF742" i="5"/>
  <c r="AA742" i="5"/>
  <c r="W742" i="5"/>
  <c r="S742" i="5"/>
  <c r="O742" i="5"/>
  <c r="AV741" i="5"/>
  <c r="AW741" i="5" s="1"/>
  <c r="AF741" i="5"/>
  <c r="AA741" i="5"/>
  <c r="W741" i="5"/>
  <c r="S741" i="5"/>
  <c r="O741" i="5"/>
  <c r="AV740" i="5"/>
  <c r="AW740" i="5" s="1"/>
  <c r="AF740" i="5"/>
  <c r="AA740" i="5"/>
  <c r="W740" i="5"/>
  <c r="S740" i="5"/>
  <c r="O740" i="5"/>
  <c r="AV739" i="5"/>
  <c r="AW739" i="5" s="1"/>
  <c r="AF739" i="5"/>
  <c r="AA739" i="5"/>
  <c r="W739" i="5"/>
  <c r="S739" i="5"/>
  <c r="O739" i="5"/>
  <c r="AL739" i="5" s="1"/>
  <c r="AV738" i="5"/>
  <c r="AW738" i="5" s="1"/>
  <c r="AF738" i="5"/>
  <c r="AA738" i="5"/>
  <c r="W738" i="5"/>
  <c r="S738" i="5"/>
  <c r="O738" i="5"/>
  <c r="AV737" i="5"/>
  <c r="AW737" i="5" s="1"/>
  <c r="AF737" i="5"/>
  <c r="AL737" i="5" s="1"/>
  <c r="AA737" i="5"/>
  <c r="W737" i="5"/>
  <c r="S737" i="5"/>
  <c r="O737" i="5"/>
  <c r="AV736" i="5"/>
  <c r="AW736" i="5" s="1"/>
  <c r="AF736" i="5"/>
  <c r="AP736" i="5" s="1"/>
  <c r="AA736" i="5"/>
  <c r="W736" i="5"/>
  <c r="S736" i="5"/>
  <c r="O736" i="5"/>
  <c r="AV735" i="5"/>
  <c r="AW735" i="5" s="1"/>
  <c r="AF735" i="5"/>
  <c r="AA735" i="5"/>
  <c r="W735" i="5"/>
  <c r="S735" i="5"/>
  <c r="O735" i="5"/>
  <c r="AV734" i="5"/>
  <c r="AW734" i="5" s="1"/>
  <c r="AF734" i="5"/>
  <c r="AA734" i="5"/>
  <c r="W734" i="5"/>
  <c r="S734" i="5"/>
  <c r="AQ734" i="5" s="1"/>
  <c r="O734" i="5"/>
  <c r="AW733" i="5"/>
  <c r="AV733" i="5"/>
  <c r="AF733" i="5"/>
  <c r="AA733" i="5"/>
  <c r="W733" i="5"/>
  <c r="S733" i="5"/>
  <c r="O733" i="5"/>
  <c r="AV732" i="5"/>
  <c r="AW732" i="5" s="1"/>
  <c r="AF732" i="5"/>
  <c r="AA732" i="5"/>
  <c r="W732" i="5"/>
  <c r="S732" i="5"/>
  <c r="O732" i="5"/>
  <c r="AV731" i="5"/>
  <c r="AW731" i="5" s="1"/>
  <c r="AF731" i="5"/>
  <c r="AA731" i="5"/>
  <c r="W731" i="5"/>
  <c r="S731" i="5"/>
  <c r="O731" i="5"/>
  <c r="AP731" i="5" s="1"/>
  <c r="AV730" i="5"/>
  <c r="AW730" i="5" s="1"/>
  <c r="AF730" i="5"/>
  <c r="AA730" i="5"/>
  <c r="W730" i="5"/>
  <c r="S730" i="5"/>
  <c r="O730" i="5"/>
  <c r="AV729" i="5"/>
  <c r="AW729" i="5" s="1"/>
  <c r="AM729" i="5"/>
  <c r="AF729" i="5"/>
  <c r="AA729" i="5"/>
  <c r="W729" i="5"/>
  <c r="S729" i="5"/>
  <c r="O729" i="5"/>
  <c r="AV728" i="5"/>
  <c r="AW728" i="5" s="1"/>
  <c r="AF728" i="5"/>
  <c r="AA728" i="5"/>
  <c r="W728" i="5"/>
  <c r="S728" i="5"/>
  <c r="O728" i="5"/>
  <c r="AV727" i="5"/>
  <c r="AW727" i="5" s="1"/>
  <c r="AF727" i="5"/>
  <c r="AA727" i="5"/>
  <c r="W727" i="5"/>
  <c r="S727" i="5"/>
  <c r="O727" i="5"/>
  <c r="AV726" i="5"/>
  <c r="AW726" i="5" s="1"/>
  <c r="AF726" i="5"/>
  <c r="AA726" i="5"/>
  <c r="W726" i="5"/>
  <c r="S726" i="5"/>
  <c r="O726" i="5"/>
  <c r="AM726" i="5" s="1"/>
  <c r="AV725" i="5"/>
  <c r="AW725" i="5" s="1"/>
  <c r="AF725" i="5"/>
  <c r="AA725" i="5"/>
  <c r="W725" i="5"/>
  <c r="AM725" i="5" s="1"/>
  <c r="S725" i="5"/>
  <c r="O725" i="5"/>
  <c r="AV724" i="5"/>
  <c r="AW724" i="5" s="1"/>
  <c r="AF724" i="5"/>
  <c r="AA724" i="5"/>
  <c r="W724" i="5"/>
  <c r="S724" i="5"/>
  <c r="O724" i="5"/>
  <c r="AP724" i="5" s="1"/>
  <c r="AV723" i="5"/>
  <c r="AW723" i="5" s="1"/>
  <c r="AF723" i="5"/>
  <c r="AA723" i="5"/>
  <c r="W723" i="5"/>
  <c r="AQ723" i="5" s="1"/>
  <c r="S723" i="5"/>
  <c r="O723" i="5"/>
  <c r="AW722" i="5"/>
  <c r="AV722" i="5"/>
  <c r="AF722" i="5"/>
  <c r="AA722" i="5"/>
  <c r="W722" i="5"/>
  <c r="AQ722" i="5" s="1"/>
  <c r="S722" i="5"/>
  <c r="O722" i="5"/>
  <c r="AV721" i="5"/>
  <c r="AW721" i="5" s="1"/>
  <c r="AF721" i="5"/>
  <c r="AA721" i="5"/>
  <c r="W721" i="5"/>
  <c r="S721" i="5"/>
  <c r="O721" i="5"/>
  <c r="AP721" i="5" s="1"/>
  <c r="AV720" i="5"/>
  <c r="AW720" i="5" s="1"/>
  <c r="AF720" i="5"/>
  <c r="AA720" i="5"/>
  <c r="W720" i="5"/>
  <c r="S720" i="5"/>
  <c r="O720" i="5"/>
  <c r="AV719" i="5"/>
  <c r="AW719" i="5" s="1"/>
  <c r="AM719" i="5"/>
  <c r="AF719" i="5"/>
  <c r="AA719" i="5"/>
  <c r="W719" i="5"/>
  <c r="S719" i="5"/>
  <c r="O719" i="5"/>
  <c r="AV718" i="5"/>
  <c r="AW718" i="5" s="1"/>
  <c r="AF718" i="5"/>
  <c r="AA718" i="5"/>
  <c r="W718" i="5"/>
  <c r="S718" i="5"/>
  <c r="O718" i="5"/>
  <c r="AV717" i="5"/>
  <c r="AW717" i="5" s="1"/>
  <c r="AF717" i="5"/>
  <c r="AA717" i="5"/>
  <c r="W717" i="5"/>
  <c r="S717" i="5"/>
  <c r="O717" i="5"/>
  <c r="AV716" i="5"/>
  <c r="AW716" i="5" s="1"/>
  <c r="AF716" i="5"/>
  <c r="AA716" i="5"/>
  <c r="W716" i="5"/>
  <c r="S716" i="5"/>
  <c r="O716" i="5"/>
  <c r="AM716" i="5" s="1"/>
  <c r="AW715" i="5"/>
  <c r="AV715" i="5"/>
  <c r="AF715" i="5"/>
  <c r="AA715" i="5"/>
  <c r="AP715" i="5" s="1"/>
  <c r="W715" i="5"/>
  <c r="S715" i="5"/>
  <c r="AQ715" i="5" s="1"/>
  <c r="O715" i="5"/>
  <c r="AV714" i="5"/>
  <c r="AW714" i="5" s="1"/>
  <c r="AF714" i="5"/>
  <c r="AA714" i="5"/>
  <c r="W714" i="5"/>
  <c r="S714" i="5"/>
  <c r="AQ714" i="5" s="1"/>
  <c r="O714" i="5"/>
  <c r="AW713" i="5"/>
  <c r="AV713" i="5"/>
  <c r="AF713" i="5"/>
  <c r="AA713" i="5"/>
  <c r="W713" i="5"/>
  <c r="S713" i="5"/>
  <c r="O713" i="5"/>
  <c r="AV712" i="5"/>
  <c r="AW712" i="5" s="1"/>
  <c r="AF712" i="5"/>
  <c r="AA712" i="5"/>
  <c r="W712" i="5"/>
  <c r="S712" i="5"/>
  <c r="O712" i="5"/>
  <c r="AV711" i="5"/>
  <c r="AW711" i="5" s="1"/>
  <c r="AF711" i="5"/>
  <c r="AA711" i="5"/>
  <c r="W711" i="5"/>
  <c r="S711" i="5"/>
  <c r="O711" i="5"/>
  <c r="AV710" i="5"/>
  <c r="AW710" i="5" s="1"/>
  <c r="AF710" i="5"/>
  <c r="AA710" i="5"/>
  <c r="W710" i="5"/>
  <c r="S710" i="5"/>
  <c r="O710" i="5"/>
  <c r="AV709" i="5"/>
  <c r="AW709" i="5" s="1"/>
  <c r="AF709" i="5"/>
  <c r="AA709" i="5"/>
  <c r="W709" i="5"/>
  <c r="AM709" i="5" s="1"/>
  <c r="S709" i="5"/>
  <c r="O709" i="5"/>
  <c r="AV708" i="5"/>
  <c r="AW708" i="5" s="1"/>
  <c r="AQ708" i="5"/>
  <c r="AF708" i="5"/>
  <c r="AA708" i="5"/>
  <c r="W708" i="5"/>
  <c r="S708" i="5"/>
  <c r="O708" i="5"/>
  <c r="AV707" i="5"/>
  <c r="AW707" i="5" s="1"/>
  <c r="AF707" i="5"/>
  <c r="AA707" i="5"/>
  <c r="W707" i="5"/>
  <c r="S707" i="5"/>
  <c r="O707" i="5"/>
  <c r="AV706" i="5"/>
  <c r="AW706" i="5" s="1"/>
  <c r="AF706" i="5"/>
  <c r="AA706" i="5"/>
  <c r="W706" i="5"/>
  <c r="S706" i="5"/>
  <c r="O706" i="5"/>
  <c r="AV705" i="5"/>
  <c r="AW705" i="5" s="1"/>
  <c r="AF705" i="5"/>
  <c r="AA705" i="5"/>
  <c r="W705" i="5"/>
  <c r="S705" i="5"/>
  <c r="O705" i="5"/>
  <c r="AV704" i="5"/>
  <c r="AW704" i="5" s="1"/>
  <c r="AF704" i="5"/>
  <c r="AA704" i="5"/>
  <c r="W704" i="5"/>
  <c r="S704" i="5"/>
  <c r="O704" i="5"/>
  <c r="AV703" i="5"/>
  <c r="AW703" i="5" s="1"/>
  <c r="AF703" i="5"/>
  <c r="AA703" i="5"/>
  <c r="W703" i="5"/>
  <c r="S703" i="5"/>
  <c r="O703" i="5"/>
  <c r="AV702" i="5"/>
  <c r="AW702" i="5" s="1"/>
  <c r="AF702" i="5"/>
  <c r="AA702" i="5"/>
  <c r="W702" i="5"/>
  <c r="S702" i="5"/>
  <c r="O702" i="5"/>
  <c r="AV701" i="5"/>
  <c r="AW701" i="5" s="1"/>
  <c r="AF701" i="5"/>
  <c r="AA701" i="5"/>
  <c r="W701" i="5"/>
  <c r="S701" i="5"/>
  <c r="O701" i="5"/>
  <c r="AP701" i="5" s="1"/>
  <c r="AV700" i="5"/>
  <c r="AW700" i="5" s="1"/>
  <c r="AF700" i="5"/>
  <c r="AA700" i="5"/>
  <c r="W700" i="5"/>
  <c r="S700" i="5"/>
  <c r="O700" i="5"/>
  <c r="AV699" i="5"/>
  <c r="AW699" i="5" s="1"/>
  <c r="AF699" i="5"/>
  <c r="AA699" i="5"/>
  <c r="AM699" i="5" s="1"/>
  <c r="W699" i="5"/>
  <c r="S699" i="5"/>
  <c r="O699" i="5"/>
  <c r="AW698" i="5"/>
  <c r="AV698" i="5"/>
  <c r="AF698" i="5"/>
  <c r="AA698" i="5"/>
  <c r="AQ698" i="5" s="1"/>
  <c r="W698" i="5"/>
  <c r="S698" i="5"/>
  <c r="O698" i="5"/>
  <c r="AW697" i="5"/>
  <c r="AV697" i="5"/>
  <c r="AF697" i="5"/>
  <c r="AA697" i="5"/>
  <c r="W697" i="5"/>
  <c r="S697" i="5"/>
  <c r="O697" i="5"/>
  <c r="AV696" i="5"/>
  <c r="AW696" i="5" s="1"/>
  <c r="AF696" i="5"/>
  <c r="AA696" i="5"/>
  <c r="W696" i="5"/>
  <c r="AM696" i="5" s="1"/>
  <c r="S696" i="5"/>
  <c r="AL696" i="5" s="1"/>
  <c r="O696" i="5"/>
  <c r="AW695" i="5"/>
  <c r="AV695" i="5"/>
  <c r="AF695" i="5"/>
  <c r="AA695" i="5"/>
  <c r="W695" i="5"/>
  <c r="S695" i="5"/>
  <c r="O695" i="5"/>
  <c r="AV694" i="5"/>
  <c r="AW694" i="5" s="1"/>
  <c r="AF694" i="5"/>
  <c r="AA694" i="5"/>
  <c r="W694" i="5"/>
  <c r="S694" i="5"/>
  <c r="O694" i="5"/>
  <c r="AW693" i="5"/>
  <c r="AV693" i="5"/>
  <c r="AF693" i="5"/>
  <c r="AA693" i="5"/>
  <c r="W693" i="5"/>
  <c r="S693" i="5"/>
  <c r="O693" i="5"/>
  <c r="AV692" i="5"/>
  <c r="AW692" i="5" s="1"/>
  <c r="AP692" i="5"/>
  <c r="AF692" i="5"/>
  <c r="AA692" i="5"/>
  <c r="W692" i="5"/>
  <c r="S692" i="5"/>
  <c r="AL692" i="5" s="1"/>
  <c r="O692" i="5"/>
  <c r="AV691" i="5"/>
  <c r="AW691" i="5" s="1"/>
  <c r="AF691" i="5"/>
  <c r="AA691" i="5"/>
  <c r="W691" i="5"/>
  <c r="S691" i="5"/>
  <c r="O691" i="5"/>
  <c r="AV690" i="5"/>
  <c r="AW690" i="5" s="1"/>
  <c r="AF690" i="5"/>
  <c r="AA690" i="5"/>
  <c r="W690" i="5"/>
  <c r="S690" i="5"/>
  <c r="O690" i="5"/>
  <c r="AV689" i="5"/>
  <c r="AW689" i="5" s="1"/>
  <c r="AF689" i="5"/>
  <c r="AA689" i="5"/>
  <c r="W689" i="5"/>
  <c r="S689" i="5"/>
  <c r="AM689" i="5" s="1"/>
  <c r="O689" i="5"/>
  <c r="AV688" i="5"/>
  <c r="AW688" i="5" s="1"/>
  <c r="AF688" i="5"/>
  <c r="AA688" i="5"/>
  <c r="W688" i="5"/>
  <c r="S688" i="5"/>
  <c r="AQ688" i="5" s="1"/>
  <c r="O688" i="5"/>
  <c r="AV687" i="5"/>
  <c r="AW687" i="5" s="1"/>
  <c r="AF687" i="5"/>
  <c r="AA687" i="5"/>
  <c r="W687" i="5"/>
  <c r="S687" i="5"/>
  <c r="O687" i="5"/>
  <c r="AV686" i="5"/>
  <c r="AW686" i="5" s="1"/>
  <c r="AF686" i="5"/>
  <c r="AA686" i="5"/>
  <c r="W686" i="5"/>
  <c r="S686" i="5"/>
  <c r="O686" i="5"/>
  <c r="AW685" i="5"/>
  <c r="AV685" i="5"/>
  <c r="AF685" i="5"/>
  <c r="AA685" i="5"/>
  <c r="W685" i="5"/>
  <c r="S685" i="5"/>
  <c r="O685" i="5"/>
  <c r="AV684" i="5"/>
  <c r="AW684" i="5" s="1"/>
  <c r="AF684" i="5"/>
  <c r="AA684" i="5"/>
  <c r="W684" i="5"/>
  <c r="AQ684" i="5" s="1"/>
  <c r="S684" i="5"/>
  <c r="O684" i="5"/>
  <c r="AV683" i="5"/>
  <c r="AW683" i="5" s="1"/>
  <c r="AF683" i="5"/>
  <c r="AA683" i="5"/>
  <c r="W683" i="5"/>
  <c r="AL683" i="5" s="1"/>
  <c r="S683" i="5"/>
  <c r="O683" i="5"/>
  <c r="AV682" i="5"/>
  <c r="AW682" i="5" s="1"/>
  <c r="AF682" i="5"/>
  <c r="AA682" i="5"/>
  <c r="AP682" i="5" s="1"/>
  <c r="W682" i="5"/>
  <c r="S682" i="5"/>
  <c r="O682" i="5"/>
  <c r="AL682" i="5" s="1"/>
  <c r="AV681" i="5"/>
  <c r="AW681" i="5" s="1"/>
  <c r="AF681" i="5"/>
  <c r="AA681" i="5"/>
  <c r="W681" i="5"/>
  <c r="S681" i="5"/>
  <c r="O681" i="5"/>
  <c r="AV680" i="5"/>
  <c r="AW680" i="5" s="1"/>
  <c r="AF680" i="5"/>
  <c r="AA680" i="5"/>
  <c r="W680" i="5"/>
  <c r="S680" i="5"/>
  <c r="O680" i="5"/>
  <c r="AV679" i="5"/>
  <c r="AW679" i="5" s="1"/>
  <c r="AF679" i="5"/>
  <c r="AA679" i="5"/>
  <c r="W679" i="5"/>
  <c r="S679" i="5"/>
  <c r="AM679" i="5" s="1"/>
  <c r="O679" i="5"/>
  <c r="AV678" i="5"/>
  <c r="AW678" i="5" s="1"/>
  <c r="AF678" i="5"/>
  <c r="AA678" i="5"/>
  <c r="W678" i="5"/>
  <c r="S678" i="5"/>
  <c r="O678" i="5"/>
  <c r="AW677" i="5"/>
  <c r="AV677" i="5"/>
  <c r="AF677" i="5"/>
  <c r="AA677" i="5"/>
  <c r="W677" i="5"/>
  <c r="S677" i="5"/>
  <c r="O677" i="5"/>
  <c r="AV676" i="5"/>
  <c r="AW676" i="5" s="1"/>
  <c r="AF676" i="5"/>
  <c r="AA676" i="5"/>
  <c r="AL676" i="5" s="1"/>
  <c r="W676" i="5"/>
  <c r="S676" i="5"/>
  <c r="O676" i="5"/>
  <c r="AV675" i="5"/>
  <c r="AW675" i="5" s="1"/>
  <c r="AF675" i="5"/>
  <c r="AA675" i="5"/>
  <c r="W675" i="5"/>
  <c r="S675" i="5"/>
  <c r="O675" i="5"/>
  <c r="AM675" i="5" s="1"/>
  <c r="AV674" i="5"/>
  <c r="AW674" i="5" s="1"/>
  <c r="AF674" i="5"/>
  <c r="AA674" i="5"/>
  <c r="W674" i="5"/>
  <c r="AQ674" i="5" s="1"/>
  <c r="S674" i="5"/>
  <c r="O674" i="5"/>
  <c r="AV673" i="5"/>
  <c r="AW673" i="5" s="1"/>
  <c r="AF673" i="5"/>
  <c r="AA673" i="5"/>
  <c r="W673" i="5"/>
  <c r="S673" i="5"/>
  <c r="O673" i="5"/>
  <c r="AW672" i="5"/>
  <c r="AV672" i="5"/>
  <c r="AF672" i="5"/>
  <c r="AA672" i="5"/>
  <c r="W672" i="5"/>
  <c r="S672" i="5"/>
  <c r="O672" i="5"/>
  <c r="AV671" i="5"/>
  <c r="AW671" i="5" s="1"/>
  <c r="AF671" i="5"/>
  <c r="AA671" i="5"/>
  <c r="W671" i="5"/>
  <c r="S671" i="5"/>
  <c r="O671" i="5"/>
  <c r="AV670" i="5"/>
  <c r="AU670" i="5"/>
  <c r="AT670" i="5"/>
  <c r="AF670" i="5"/>
  <c r="AA670" i="5"/>
  <c r="W670" i="5"/>
  <c r="S670" i="5"/>
  <c r="O670" i="5"/>
  <c r="AW669" i="5"/>
  <c r="AV669" i="5"/>
  <c r="AF669" i="5"/>
  <c r="AA669" i="5"/>
  <c r="W669" i="5"/>
  <c r="S669" i="5"/>
  <c r="O669" i="5"/>
  <c r="AV668" i="5"/>
  <c r="AW668" i="5" s="1"/>
  <c r="AF668" i="5"/>
  <c r="AA668" i="5"/>
  <c r="W668" i="5"/>
  <c r="S668" i="5"/>
  <c r="O668" i="5"/>
  <c r="AQ668" i="5" s="1"/>
  <c r="AW667" i="5"/>
  <c r="AV667" i="5"/>
  <c r="AF667" i="5"/>
  <c r="AA667" i="5"/>
  <c r="W667" i="5"/>
  <c r="S667" i="5"/>
  <c r="O667" i="5"/>
  <c r="AV666" i="5"/>
  <c r="AW666" i="5" s="1"/>
  <c r="AF666" i="5"/>
  <c r="AA666" i="5"/>
  <c r="W666" i="5"/>
  <c r="S666" i="5"/>
  <c r="O666" i="5"/>
  <c r="AV665" i="5"/>
  <c r="AW665" i="5" s="1"/>
  <c r="AF665" i="5"/>
  <c r="AA665" i="5"/>
  <c r="W665" i="5"/>
  <c r="S665" i="5"/>
  <c r="O665" i="5"/>
  <c r="AV664" i="5"/>
  <c r="AF664" i="5"/>
  <c r="AA664" i="5"/>
  <c r="W664" i="5"/>
  <c r="S664" i="5"/>
  <c r="O664" i="5"/>
  <c r="AV663" i="5"/>
  <c r="AF663" i="5"/>
  <c r="AA663" i="5"/>
  <c r="W663" i="5"/>
  <c r="S663" i="5"/>
  <c r="O663" i="5"/>
  <c r="AW662" i="5"/>
  <c r="AV662" i="5"/>
  <c r="AF662" i="5"/>
  <c r="AA662" i="5"/>
  <c r="W662" i="5"/>
  <c r="S662" i="5"/>
  <c r="O662" i="5"/>
  <c r="AV661" i="5"/>
  <c r="AF661" i="5"/>
  <c r="AA661" i="5"/>
  <c r="W661" i="5"/>
  <c r="AP661" i="5" s="1"/>
  <c r="S661" i="5"/>
  <c r="O661" i="5"/>
  <c r="AV660" i="5"/>
  <c r="AW660" i="5" s="1"/>
  <c r="AF660" i="5"/>
  <c r="AA660" i="5"/>
  <c r="W660" i="5"/>
  <c r="S660" i="5"/>
  <c r="O660" i="5"/>
  <c r="AV659" i="5"/>
  <c r="AW659" i="5" s="1"/>
  <c r="AF659" i="5"/>
  <c r="AA659" i="5"/>
  <c r="W659" i="5"/>
  <c r="S659" i="5"/>
  <c r="O659" i="5"/>
  <c r="AV658" i="5"/>
  <c r="AW658" i="5" s="1"/>
  <c r="AF658" i="5"/>
  <c r="AA658" i="5"/>
  <c r="W658" i="5"/>
  <c r="S658" i="5"/>
  <c r="O658" i="5"/>
  <c r="AV657" i="5"/>
  <c r="AF657" i="5"/>
  <c r="AA657" i="5"/>
  <c r="W657" i="5"/>
  <c r="S657" i="5"/>
  <c r="O657" i="5"/>
  <c r="AW656" i="5"/>
  <c r="AV656" i="5"/>
  <c r="AF656" i="5"/>
  <c r="AA656" i="5"/>
  <c r="W656" i="5"/>
  <c r="S656" i="5"/>
  <c r="O656" i="5"/>
  <c r="AP656" i="5" s="1"/>
  <c r="AV655" i="5"/>
  <c r="AW655" i="5" s="1"/>
  <c r="AF655" i="5"/>
  <c r="AA655" i="5"/>
  <c r="W655" i="5"/>
  <c r="S655" i="5"/>
  <c r="O655" i="5"/>
  <c r="AV654" i="5"/>
  <c r="AF654" i="5"/>
  <c r="AA654" i="5"/>
  <c r="W654" i="5"/>
  <c r="S654" i="5"/>
  <c r="O654" i="5"/>
  <c r="AV653" i="5"/>
  <c r="AW653" i="5" s="1"/>
  <c r="AF653" i="5"/>
  <c r="AA653" i="5"/>
  <c r="W653" i="5"/>
  <c r="S653" i="5"/>
  <c r="O653" i="5"/>
  <c r="AV652" i="5"/>
  <c r="AF652" i="5"/>
  <c r="AA652" i="5"/>
  <c r="W652" i="5"/>
  <c r="S652" i="5"/>
  <c r="O652" i="5"/>
  <c r="AM652" i="5" s="1"/>
  <c r="AV651" i="5"/>
  <c r="AF651" i="5"/>
  <c r="AA651" i="5"/>
  <c r="W651" i="5"/>
  <c r="S651" i="5"/>
  <c r="O651" i="5"/>
  <c r="AV650" i="5"/>
  <c r="AF650" i="5"/>
  <c r="AA650" i="5"/>
  <c r="W650" i="5"/>
  <c r="S650" i="5"/>
  <c r="O650" i="5"/>
  <c r="AV649" i="5"/>
  <c r="AF649" i="5"/>
  <c r="AP649" i="5" s="1"/>
  <c r="AA649" i="5"/>
  <c r="W649" i="5"/>
  <c r="S649" i="5"/>
  <c r="O649" i="5"/>
  <c r="AV648" i="5"/>
  <c r="AF648" i="5"/>
  <c r="AA648" i="5"/>
  <c r="W648" i="5"/>
  <c r="S648" i="5"/>
  <c r="O648" i="5"/>
  <c r="AV647" i="5"/>
  <c r="AF647" i="5"/>
  <c r="AA647" i="5"/>
  <c r="W647" i="5"/>
  <c r="S647" i="5"/>
  <c r="O647" i="5"/>
  <c r="AQ647" i="5" s="1"/>
  <c r="AV646" i="5"/>
  <c r="AW646" i="5" s="1"/>
  <c r="AF646" i="5"/>
  <c r="AA646" i="5"/>
  <c r="W646" i="5"/>
  <c r="S646" i="5"/>
  <c r="O646" i="5"/>
  <c r="AV645" i="5"/>
  <c r="AM645" i="5"/>
  <c r="AF645" i="5"/>
  <c r="AA645" i="5"/>
  <c r="W645" i="5"/>
  <c r="S645" i="5"/>
  <c r="O645" i="5"/>
  <c r="AW644" i="5"/>
  <c r="AV644" i="5"/>
  <c r="AQ644" i="5"/>
  <c r="AF644" i="5"/>
  <c r="AA644" i="5"/>
  <c r="W644" i="5"/>
  <c r="S644" i="5"/>
  <c r="O644" i="5"/>
  <c r="AV643" i="5"/>
  <c r="AF643" i="5"/>
  <c r="AA643" i="5"/>
  <c r="W643" i="5"/>
  <c r="S643" i="5"/>
  <c r="O643" i="5"/>
  <c r="AV642" i="5"/>
  <c r="AF642" i="5"/>
  <c r="AA642" i="5"/>
  <c r="W642" i="5"/>
  <c r="S642" i="5"/>
  <c r="AL642" i="5" s="1"/>
  <c r="O642" i="5"/>
  <c r="AV641" i="5"/>
  <c r="AW641" i="5" s="1"/>
  <c r="AF641" i="5"/>
  <c r="AA641" i="5"/>
  <c r="W641" i="5"/>
  <c r="S641" i="5"/>
  <c r="O641" i="5"/>
  <c r="AV640" i="5"/>
  <c r="AF640" i="5"/>
  <c r="AA640" i="5"/>
  <c r="W640" i="5"/>
  <c r="S640" i="5"/>
  <c r="O640" i="5"/>
  <c r="AV639" i="5"/>
  <c r="AW639" i="5" s="1"/>
  <c r="AF639" i="5"/>
  <c r="AQ639" i="5" s="1"/>
  <c r="AA639" i="5"/>
  <c r="W639" i="5"/>
  <c r="S639" i="5"/>
  <c r="O639" i="5"/>
  <c r="AW638" i="5"/>
  <c r="AV638" i="5"/>
  <c r="AF638" i="5"/>
  <c r="AA638" i="5"/>
  <c r="W638" i="5"/>
  <c r="S638" i="5"/>
  <c r="O638" i="5"/>
  <c r="AV637" i="5"/>
  <c r="AF637" i="5"/>
  <c r="AA637" i="5"/>
  <c r="W637" i="5"/>
  <c r="S637" i="5"/>
  <c r="O637" i="5"/>
  <c r="AV636" i="5"/>
  <c r="AF636" i="5"/>
  <c r="AA636" i="5"/>
  <c r="W636" i="5"/>
  <c r="S636" i="5"/>
  <c r="O636" i="5"/>
  <c r="AL636" i="5" s="1"/>
  <c r="AV635" i="5"/>
  <c r="AF635" i="5"/>
  <c r="AA635" i="5"/>
  <c r="W635" i="5"/>
  <c r="S635" i="5"/>
  <c r="O635" i="5"/>
  <c r="AV634" i="5"/>
  <c r="AQ634" i="5"/>
  <c r="AF634" i="5"/>
  <c r="AA634" i="5"/>
  <c r="W634" i="5"/>
  <c r="S634" i="5"/>
  <c r="AL634" i="5" s="1"/>
  <c r="O634" i="5"/>
  <c r="AV633" i="5"/>
  <c r="AF633" i="5"/>
  <c r="AA633" i="5"/>
  <c r="W633" i="5"/>
  <c r="S633" i="5"/>
  <c r="O633" i="5"/>
  <c r="AW632" i="5"/>
  <c r="AV632" i="5"/>
  <c r="AF632" i="5"/>
  <c r="AA632" i="5"/>
  <c r="W632" i="5"/>
  <c r="S632" i="5"/>
  <c r="O632" i="5"/>
  <c r="AL632" i="5" s="1"/>
  <c r="AV631" i="5"/>
  <c r="AF631" i="5"/>
  <c r="AA631" i="5"/>
  <c r="W631" i="5"/>
  <c r="AP631" i="5" s="1"/>
  <c r="S631" i="5"/>
  <c r="O631" i="5"/>
  <c r="AV630" i="5"/>
  <c r="AF630" i="5"/>
  <c r="AA630" i="5"/>
  <c r="W630" i="5"/>
  <c r="S630" i="5"/>
  <c r="O630" i="5"/>
  <c r="AV629" i="5"/>
  <c r="AF629" i="5"/>
  <c r="AA629" i="5"/>
  <c r="W629" i="5"/>
  <c r="S629" i="5"/>
  <c r="O629" i="5"/>
  <c r="AV628" i="5"/>
  <c r="AF628" i="5"/>
  <c r="AA628" i="5"/>
  <c r="W628" i="5"/>
  <c r="S628" i="5"/>
  <c r="O628" i="5"/>
  <c r="AV627" i="5"/>
  <c r="AF627" i="5"/>
  <c r="AA627" i="5"/>
  <c r="W627" i="5"/>
  <c r="S627" i="5"/>
  <c r="O627" i="5"/>
  <c r="AV626" i="5"/>
  <c r="AF626" i="5"/>
  <c r="AA626" i="5"/>
  <c r="W626" i="5"/>
  <c r="S626" i="5"/>
  <c r="O626" i="5"/>
  <c r="AL626" i="5" s="1"/>
  <c r="AV625" i="5"/>
  <c r="AF625" i="5"/>
  <c r="AA625" i="5"/>
  <c r="W625" i="5"/>
  <c r="S625" i="5"/>
  <c r="O625" i="5"/>
  <c r="AV624" i="5"/>
  <c r="AF624" i="5"/>
  <c r="AA624" i="5"/>
  <c r="W624" i="5"/>
  <c r="AM624" i="5" s="1"/>
  <c r="S624" i="5"/>
  <c r="O624" i="5"/>
  <c r="AV623" i="5"/>
  <c r="AF623" i="5"/>
  <c r="AA623" i="5"/>
  <c r="W623" i="5"/>
  <c r="S623" i="5"/>
  <c r="O623" i="5"/>
  <c r="AV622" i="5"/>
  <c r="AF622" i="5"/>
  <c r="AA622" i="5"/>
  <c r="W622" i="5"/>
  <c r="S622" i="5"/>
  <c r="O622" i="5"/>
  <c r="AV621" i="5"/>
  <c r="AF621" i="5"/>
  <c r="AA621" i="5"/>
  <c r="W621" i="5"/>
  <c r="AP621" i="5" s="1"/>
  <c r="S621" i="5"/>
  <c r="O621" i="5"/>
  <c r="AV620" i="5"/>
  <c r="AF620" i="5"/>
  <c r="AA620" i="5"/>
  <c r="W620" i="5"/>
  <c r="S620" i="5"/>
  <c r="O620" i="5"/>
  <c r="AV619" i="5"/>
  <c r="AF619" i="5"/>
  <c r="AA619" i="5"/>
  <c r="W619" i="5"/>
  <c r="S619" i="5"/>
  <c r="O619" i="5"/>
  <c r="AV618" i="5"/>
  <c r="AF618" i="5"/>
  <c r="AA618" i="5"/>
  <c r="W618" i="5"/>
  <c r="S618" i="5"/>
  <c r="O618" i="5"/>
  <c r="AV617" i="5"/>
  <c r="AF617" i="5"/>
  <c r="AA617" i="5"/>
  <c r="W617" i="5"/>
  <c r="S617" i="5"/>
  <c r="O617" i="5"/>
  <c r="AV616" i="5"/>
  <c r="AF616" i="5"/>
  <c r="AA616" i="5"/>
  <c r="W616" i="5"/>
  <c r="S616" i="5"/>
  <c r="O616" i="5"/>
  <c r="AL616" i="5" s="1"/>
  <c r="AV615" i="5"/>
  <c r="AF615" i="5"/>
  <c r="AA615" i="5"/>
  <c r="W615" i="5"/>
  <c r="S615" i="5"/>
  <c r="O615" i="5"/>
  <c r="AW614" i="5"/>
  <c r="AV614" i="5"/>
  <c r="AF614" i="5"/>
  <c r="AA614" i="5"/>
  <c r="W614" i="5"/>
  <c r="S614" i="5"/>
  <c r="O614" i="5"/>
  <c r="AW613" i="5"/>
  <c r="AV613" i="5"/>
  <c r="AF613" i="5"/>
  <c r="AA613" i="5"/>
  <c r="W613" i="5"/>
  <c r="AQ613" i="5" s="1"/>
  <c r="S613" i="5"/>
  <c r="O613" i="5"/>
  <c r="AW612" i="5"/>
  <c r="AV612" i="5"/>
  <c r="AF612" i="5"/>
  <c r="AA612" i="5"/>
  <c r="W612" i="5"/>
  <c r="S612" i="5"/>
  <c r="AL612" i="5" s="1"/>
  <c r="O612" i="5"/>
  <c r="AV611" i="5"/>
  <c r="AW611" i="5" s="1"/>
  <c r="AP611" i="5"/>
  <c r="AF611" i="5"/>
  <c r="AA611" i="5"/>
  <c r="W611" i="5"/>
  <c r="S611" i="5"/>
  <c r="AL611" i="5" s="1"/>
  <c r="O611" i="5"/>
  <c r="AV610" i="5"/>
  <c r="AW610" i="5" s="1"/>
  <c r="AF610" i="5"/>
  <c r="AA610" i="5"/>
  <c r="W610" i="5"/>
  <c r="S610" i="5"/>
  <c r="O610" i="5"/>
  <c r="AV609" i="5"/>
  <c r="AW609" i="5" s="1"/>
  <c r="AF609" i="5"/>
  <c r="AA609" i="5"/>
  <c r="W609" i="5"/>
  <c r="S609" i="5"/>
  <c r="O609" i="5"/>
  <c r="AV608" i="5"/>
  <c r="AF608" i="5"/>
  <c r="AA608" i="5"/>
  <c r="W608" i="5"/>
  <c r="S608" i="5"/>
  <c r="O608" i="5"/>
  <c r="AQ608" i="5" s="1"/>
  <c r="AV607" i="5"/>
  <c r="AF607" i="5"/>
  <c r="AA607" i="5"/>
  <c r="W607" i="5"/>
  <c r="S607" i="5"/>
  <c r="O607" i="5"/>
  <c r="AV606" i="5"/>
  <c r="AF606" i="5"/>
  <c r="AA606" i="5"/>
  <c r="W606" i="5"/>
  <c r="S606" i="5"/>
  <c r="O606" i="5"/>
  <c r="AV605" i="5"/>
  <c r="AF605" i="5"/>
  <c r="AA605" i="5"/>
  <c r="W605" i="5"/>
  <c r="AM605" i="5" s="1"/>
  <c r="S605" i="5"/>
  <c r="O605" i="5"/>
  <c r="AV604" i="5"/>
  <c r="AF604" i="5"/>
  <c r="AA604" i="5"/>
  <c r="W604" i="5"/>
  <c r="AM604" i="5" s="1"/>
  <c r="S604" i="5"/>
  <c r="O604" i="5"/>
  <c r="AW603" i="5"/>
  <c r="AV603" i="5"/>
  <c r="AF603" i="5"/>
  <c r="AA603" i="5"/>
  <c r="W603" i="5"/>
  <c r="S603" i="5"/>
  <c r="O603" i="5"/>
  <c r="AV602" i="5"/>
  <c r="AF602" i="5"/>
  <c r="AA602" i="5"/>
  <c r="W602" i="5"/>
  <c r="S602" i="5"/>
  <c r="O602" i="5"/>
  <c r="AV601" i="5"/>
  <c r="AF601" i="5"/>
  <c r="AA601" i="5"/>
  <c r="W601" i="5"/>
  <c r="S601" i="5"/>
  <c r="O601" i="5"/>
  <c r="AV600" i="5"/>
  <c r="AF600" i="5"/>
  <c r="AA600" i="5"/>
  <c r="W600" i="5"/>
  <c r="S600" i="5"/>
  <c r="O600" i="5"/>
  <c r="AV599" i="5"/>
  <c r="AF599" i="5"/>
  <c r="AA599" i="5"/>
  <c r="W599" i="5"/>
  <c r="S599" i="5"/>
  <c r="O599" i="5"/>
  <c r="AV598" i="5"/>
  <c r="AF598" i="5"/>
  <c r="AA598" i="5"/>
  <c r="W598" i="5"/>
  <c r="S598" i="5"/>
  <c r="O598" i="5"/>
  <c r="AV597" i="5"/>
  <c r="AF597" i="5"/>
  <c r="AA597" i="5"/>
  <c r="W597" i="5"/>
  <c r="S597" i="5"/>
  <c r="O597" i="5"/>
  <c r="AV596" i="5"/>
  <c r="AF596" i="5"/>
  <c r="AA596" i="5"/>
  <c r="W596" i="5"/>
  <c r="S596" i="5"/>
  <c r="O596" i="5"/>
  <c r="AV595" i="5"/>
  <c r="AF595" i="5"/>
  <c r="AA595" i="5"/>
  <c r="W595" i="5"/>
  <c r="S595" i="5"/>
  <c r="O595" i="5"/>
  <c r="AV594" i="5"/>
  <c r="AF594" i="5"/>
  <c r="AA594" i="5"/>
  <c r="W594" i="5"/>
  <c r="S594" i="5"/>
  <c r="O594" i="5"/>
  <c r="AV593" i="5"/>
  <c r="AF593" i="5"/>
  <c r="AA593" i="5"/>
  <c r="W593" i="5"/>
  <c r="S593" i="5"/>
  <c r="O593" i="5"/>
  <c r="AV592" i="5"/>
  <c r="AF592" i="5"/>
  <c r="AA592" i="5"/>
  <c r="W592" i="5"/>
  <c r="S592" i="5"/>
  <c r="O592" i="5"/>
  <c r="AV591" i="5"/>
  <c r="AW591" i="5" s="1"/>
  <c r="AF591" i="5"/>
  <c r="AA591" i="5"/>
  <c r="W591" i="5"/>
  <c r="S591" i="5"/>
  <c r="AP591" i="5" s="1"/>
  <c r="O591" i="5"/>
  <c r="AV590" i="5"/>
  <c r="AW590" i="5" s="1"/>
  <c r="AF590" i="5"/>
  <c r="AA590" i="5"/>
  <c r="W590" i="5"/>
  <c r="S590" i="5"/>
  <c r="O590" i="5"/>
  <c r="AV589" i="5"/>
  <c r="AF589" i="5"/>
  <c r="AA589" i="5"/>
  <c r="W589" i="5"/>
  <c r="S589" i="5"/>
  <c r="O589" i="5"/>
  <c r="AV588" i="5"/>
  <c r="AF588" i="5"/>
  <c r="AA588" i="5"/>
  <c r="W588" i="5"/>
  <c r="S588" i="5"/>
  <c r="O588" i="5"/>
  <c r="AV587" i="5"/>
  <c r="AF587" i="5"/>
  <c r="AA587" i="5"/>
  <c r="W587" i="5"/>
  <c r="S587" i="5"/>
  <c r="O587" i="5"/>
  <c r="AV586" i="5"/>
  <c r="AF586" i="5"/>
  <c r="AA586" i="5"/>
  <c r="W586" i="5"/>
  <c r="S586" i="5"/>
  <c r="O586" i="5"/>
  <c r="AV585" i="5"/>
  <c r="AF585" i="5"/>
  <c r="AA585" i="5"/>
  <c r="W585" i="5"/>
  <c r="S585" i="5"/>
  <c r="O585" i="5"/>
  <c r="AV584" i="5"/>
  <c r="AF584" i="5"/>
  <c r="AA584" i="5"/>
  <c r="W584" i="5"/>
  <c r="S584" i="5"/>
  <c r="O584" i="5"/>
  <c r="AV583" i="5"/>
  <c r="AF583" i="5"/>
  <c r="AA583" i="5"/>
  <c r="W583" i="5"/>
  <c r="S583" i="5"/>
  <c r="O583" i="5"/>
  <c r="AV582" i="5"/>
  <c r="AF582" i="5"/>
  <c r="AA582" i="5"/>
  <c r="W582" i="5"/>
  <c r="S582" i="5"/>
  <c r="O582" i="5"/>
  <c r="AV581" i="5"/>
  <c r="AF581" i="5"/>
  <c r="AA581" i="5"/>
  <c r="W581" i="5"/>
  <c r="S581" i="5"/>
  <c r="AP581" i="5" s="1"/>
  <c r="O581" i="5"/>
  <c r="AV580" i="5"/>
  <c r="AF580" i="5"/>
  <c r="AA580" i="5"/>
  <c r="W580" i="5"/>
  <c r="S580" i="5"/>
  <c r="O580" i="5"/>
  <c r="AV579" i="5"/>
  <c r="AF579" i="5"/>
  <c r="AA579" i="5"/>
  <c r="W579" i="5"/>
  <c r="S579" i="5"/>
  <c r="O579" i="5"/>
  <c r="AV578" i="5"/>
  <c r="AF578" i="5"/>
  <c r="AA578" i="5"/>
  <c r="W578" i="5"/>
  <c r="S578" i="5"/>
  <c r="O578" i="5"/>
  <c r="AV577" i="5"/>
  <c r="AF577" i="5"/>
  <c r="AA577" i="5"/>
  <c r="W577" i="5"/>
  <c r="S577" i="5"/>
  <c r="O577" i="5"/>
  <c r="AL577" i="5" s="1"/>
  <c r="AV576" i="5"/>
  <c r="AF576" i="5"/>
  <c r="AA576" i="5"/>
  <c r="W576" i="5"/>
  <c r="S576" i="5"/>
  <c r="O576" i="5"/>
  <c r="AV575" i="5"/>
  <c r="AF575" i="5"/>
  <c r="AA575" i="5"/>
  <c r="W575" i="5"/>
  <c r="S575" i="5"/>
  <c r="O575" i="5"/>
  <c r="AV574" i="5"/>
  <c r="AF574" i="5"/>
  <c r="AA574" i="5"/>
  <c r="W574" i="5"/>
  <c r="S574" i="5"/>
  <c r="O574" i="5"/>
  <c r="AV573" i="5"/>
  <c r="AF573" i="5"/>
  <c r="AA573" i="5"/>
  <c r="W573" i="5"/>
  <c r="S573" i="5"/>
  <c r="O573" i="5"/>
  <c r="AV572" i="5"/>
  <c r="AF572" i="5"/>
  <c r="AA572" i="5"/>
  <c r="W572" i="5"/>
  <c r="AL572" i="5" s="1"/>
  <c r="S572" i="5"/>
  <c r="O572" i="5"/>
  <c r="AV571" i="5"/>
  <c r="AF571" i="5"/>
  <c r="AA571" i="5"/>
  <c r="W571" i="5"/>
  <c r="S571" i="5"/>
  <c r="O571" i="5"/>
  <c r="AV570" i="5"/>
  <c r="AF570" i="5"/>
  <c r="AA570" i="5"/>
  <c r="W570" i="5"/>
  <c r="S570" i="5"/>
  <c r="O570" i="5"/>
  <c r="AV569" i="5"/>
  <c r="AF569" i="5"/>
  <c r="AA569" i="5"/>
  <c r="W569" i="5"/>
  <c r="S569" i="5"/>
  <c r="O569" i="5"/>
  <c r="AW568" i="5"/>
  <c r="AV568" i="5"/>
  <c r="AF568" i="5"/>
  <c r="AA568" i="5"/>
  <c r="W568" i="5"/>
  <c r="S568" i="5"/>
  <c r="O568" i="5"/>
  <c r="AV567" i="5"/>
  <c r="AF567" i="5"/>
  <c r="AA567" i="5"/>
  <c r="W567" i="5"/>
  <c r="S567" i="5"/>
  <c r="O567" i="5"/>
  <c r="AL567" i="5" s="1"/>
  <c r="AV566" i="5"/>
  <c r="AF566" i="5"/>
  <c r="AA566" i="5"/>
  <c r="W566" i="5"/>
  <c r="S566" i="5"/>
  <c r="O566" i="5"/>
  <c r="AV565" i="5"/>
  <c r="AF565" i="5"/>
  <c r="AA565" i="5"/>
  <c r="W565" i="5"/>
  <c r="S565" i="5"/>
  <c r="O565" i="5"/>
  <c r="AV564" i="5"/>
  <c r="AF564" i="5"/>
  <c r="AA564" i="5"/>
  <c r="W564" i="5"/>
  <c r="S564" i="5"/>
  <c r="O564" i="5"/>
  <c r="AV563" i="5"/>
  <c r="AF563" i="5"/>
  <c r="AA563" i="5"/>
  <c r="W563" i="5"/>
  <c r="AQ563" i="5" s="1"/>
  <c r="S563" i="5"/>
  <c r="O563" i="5"/>
  <c r="AV562" i="5"/>
  <c r="AF562" i="5"/>
  <c r="AA562" i="5"/>
  <c r="W562" i="5"/>
  <c r="S562" i="5"/>
  <c r="O562" i="5"/>
  <c r="AV561" i="5"/>
  <c r="AF561" i="5"/>
  <c r="AA561" i="5"/>
  <c r="W561" i="5"/>
  <c r="S561" i="5"/>
  <c r="O561" i="5"/>
  <c r="AV560" i="5"/>
  <c r="AF560" i="5"/>
  <c r="AP560" i="5" s="1"/>
  <c r="AA560" i="5"/>
  <c r="W560" i="5"/>
  <c r="S560" i="5"/>
  <c r="O560" i="5"/>
  <c r="AV559" i="5"/>
  <c r="AW559" i="5" s="1"/>
  <c r="AF559" i="5"/>
  <c r="AM559" i="5" s="1"/>
  <c r="AA559" i="5"/>
  <c r="W559" i="5"/>
  <c r="S559" i="5"/>
  <c r="O559" i="5"/>
  <c r="AW558" i="5"/>
  <c r="AV558" i="5"/>
  <c r="AF558" i="5"/>
  <c r="AA558" i="5"/>
  <c r="W558" i="5"/>
  <c r="S558" i="5"/>
  <c r="O558" i="5"/>
  <c r="AV557" i="5"/>
  <c r="AF557" i="5"/>
  <c r="AA557" i="5"/>
  <c r="W557" i="5"/>
  <c r="S557" i="5"/>
  <c r="O557" i="5"/>
  <c r="AV556" i="5"/>
  <c r="AF556" i="5"/>
  <c r="AA556" i="5"/>
  <c r="W556" i="5"/>
  <c r="S556" i="5"/>
  <c r="O556" i="5"/>
  <c r="AV555" i="5"/>
  <c r="AF555" i="5"/>
  <c r="AA555" i="5"/>
  <c r="W555" i="5"/>
  <c r="S555" i="5"/>
  <c r="O555" i="5"/>
  <c r="AV554" i="5"/>
  <c r="AF554" i="5"/>
  <c r="AA554" i="5"/>
  <c r="W554" i="5"/>
  <c r="S554" i="5"/>
  <c r="O554" i="5"/>
  <c r="AV553" i="5"/>
  <c r="AQ553" i="5"/>
  <c r="AF553" i="5"/>
  <c r="AL553" i="5" s="1"/>
  <c r="AA553" i="5"/>
  <c r="W553" i="5"/>
  <c r="S553" i="5"/>
  <c r="O553" i="5"/>
  <c r="AV552" i="5"/>
  <c r="AL552" i="5"/>
  <c r="AF552" i="5"/>
  <c r="AA552" i="5"/>
  <c r="W552" i="5"/>
  <c r="S552" i="5"/>
  <c r="O552" i="5"/>
  <c r="AQ552" i="5" s="1"/>
  <c r="AV551" i="5"/>
  <c r="AF551" i="5"/>
  <c r="AA551" i="5"/>
  <c r="W551" i="5"/>
  <c r="S551" i="5"/>
  <c r="O551" i="5"/>
  <c r="AV550" i="5"/>
  <c r="AF550" i="5"/>
  <c r="AA550" i="5"/>
  <c r="W550" i="5"/>
  <c r="S550" i="5"/>
  <c r="O550" i="5"/>
  <c r="AV549" i="5"/>
  <c r="AW549" i="5" s="1"/>
  <c r="AF549" i="5"/>
  <c r="AA549" i="5"/>
  <c r="W549" i="5"/>
  <c r="S549" i="5"/>
  <c r="AQ549" i="5" s="1"/>
  <c r="O549" i="5"/>
  <c r="AV548" i="5"/>
  <c r="AF548" i="5"/>
  <c r="AA548" i="5"/>
  <c r="W548" i="5"/>
  <c r="S548" i="5"/>
  <c r="O548" i="5"/>
  <c r="AV547" i="5"/>
  <c r="AF547" i="5"/>
  <c r="AA547" i="5"/>
  <c r="W547" i="5"/>
  <c r="S547" i="5"/>
  <c r="O547" i="5"/>
  <c r="AV546" i="5"/>
  <c r="AF546" i="5"/>
  <c r="AA546" i="5"/>
  <c r="W546" i="5"/>
  <c r="S546" i="5"/>
  <c r="O546" i="5"/>
  <c r="AV545" i="5"/>
  <c r="AF545" i="5"/>
  <c r="AA545" i="5"/>
  <c r="W545" i="5"/>
  <c r="S545" i="5"/>
  <c r="O545" i="5"/>
  <c r="AV544" i="5"/>
  <c r="AF544" i="5"/>
  <c r="AA544" i="5"/>
  <c r="W544" i="5"/>
  <c r="S544" i="5"/>
  <c r="O544" i="5"/>
  <c r="AV543" i="5"/>
  <c r="AW543" i="5" s="1"/>
  <c r="AF543" i="5"/>
  <c r="AA543" i="5"/>
  <c r="W543" i="5"/>
  <c r="S543" i="5"/>
  <c r="O543" i="5"/>
  <c r="AW542" i="5"/>
  <c r="AV542" i="5"/>
  <c r="AF542" i="5"/>
  <c r="AA542" i="5"/>
  <c r="W542" i="5"/>
  <c r="S542" i="5"/>
  <c r="O542" i="5"/>
  <c r="AW541" i="5"/>
  <c r="AV541" i="5"/>
  <c r="AF541" i="5"/>
  <c r="AA541" i="5"/>
  <c r="W541" i="5"/>
  <c r="S541" i="5"/>
  <c r="O541" i="5"/>
  <c r="AP541" i="5" s="1"/>
  <c r="AV540" i="5"/>
  <c r="AF540" i="5"/>
  <c r="AA540" i="5"/>
  <c r="W540" i="5"/>
  <c r="S540" i="5"/>
  <c r="O540" i="5"/>
  <c r="AV539" i="5"/>
  <c r="AF539" i="5"/>
  <c r="AA539" i="5"/>
  <c r="W539" i="5"/>
  <c r="S539" i="5"/>
  <c r="O539" i="5"/>
  <c r="AV538" i="5"/>
  <c r="AF538" i="5"/>
  <c r="AA538" i="5"/>
  <c r="W538" i="5"/>
  <c r="S538" i="5"/>
  <c r="AQ538" i="5" s="1"/>
  <c r="O538" i="5"/>
  <c r="AV537" i="5"/>
  <c r="AW537" i="5" s="1"/>
  <c r="AF537" i="5"/>
  <c r="AQ537" i="5" s="1"/>
  <c r="AA537" i="5"/>
  <c r="W537" i="5"/>
  <c r="S537" i="5"/>
  <c r="O537" i="5"/>
  <c r="AV536" i="5"/>
  <c r="AF536" i="5"/>
  <c r="AA536" i="5"/>
  <c r="W536" i="5"/>
  <c r="S536" i="5"/>
  <c r="O536" i="5"/>
  <c r="AV535" i="5"/>
  <c r="AF535" i="5"/>
  <c r="AA535" i="5"/>
  <c r="W535" i="5"/>
  <c r="S535" i="5"/>
  <c r="O535" i="5"/>
  <c r="AQ535" i="5" s="1"/>
  <c r="AV534" i="5"/>
  <c r="AF534" i="5"/>
  <c r="AA534" i="5"/>
  <c r="W534" i="5"/>
  <c r="S534" i="5"/>
  <c r="O534" i="5"/>
  <c r="AV533" i="5"/>
  <c r="AM533" i="5"/>
  <c r="AF533" i="5"/>
  <c r="AA533" i="5"/>
  <c r="W533" i="5"/>
  <c r="S533" i="5"/>
  <c r="O533" i="5"/>
  <c r="AL533" i="5" s="1"/>
  <c r="AV532" i="5"/>
  <c r="AF532" i="5"/>
  <c r="AA532" i="5"/>
  <c r="W532" i="5"/>
  <c r="S532" i="5"/>
  <c r="O532" i="5"/>
  <c r="AV531" i="5"/>
  <c r="AF531" i="5"/>
  <c r="AA531" i="5"/>
  <c r="W531" i="5"/>
  <c r="S531" i="5"/>
  <c r="O531" i="5"/>
  <c r="AV530" i="5"/>
  <c r="AF530" i="5"/>
  <c r="AA530" i="5"/>
  <c r="W530" i="5"/>
  <c r="S530" i="5"/>
  <c r="O530" i="5"/>
  <c r="AQ530" i="5" s="1"/>
  <c r="AV529" i="5"/>
  <c r="AF529" i="5"/>
  <c r="AA529" i="5"/>
  <c r="W529" i="5"/>
  <c r="S529" i="5"/>
  <c r="O529" i="5"/>
  <c r="AV528" i="5"/>
  <c r="AF528" i="5"/>
  <c r="AA528" i="5"/>
  <c r="W528" i="5"/>
  <c r="S528" i="5"/>
  <c r="O528" i="5"/>
  <c r="AV527" i="5"/>
  <c r="AF527" i="5"/>
  <c r="AA527" i="5"/>
  <c r="W527" i="5"/>
  <c r="S527" i="5"/>
  <c r="AM527" i="5" s="1"/>
  <c r="O527" i="5"/>
  <c r="AV526" i="5"/>
  <c r="AF526" i="5"/>
  <c r="AA526" i="5"/>
  <c r="W526" i="5"/>
  <c r="S526" i="5"/>
  <c r="O526" i="5"/>
  <c r="AV525" i="5"/>
  <c r="AF525" i="5"/>
  <c r="AA525" i="5"/>
  <c r="W525" i="5"/>
  <c r="S525" i="5"/>
  <c r="O525" i="5"/>
  <c r="AV524" i="5"/>
  <c r="AF524" i="5"/>
  <c r="AA524" i="5"/>
  <c r="W524" i="5"/>
  <c r="S524" i="5"/>
  <c r="O524" i="5"/>
  <c r="AQ524" i="5" s="1"/>
  <c r="AV523" i="5"/>
  <c r="AF523" i="5"/>
  <c r="AA523" i="5"/>
  <c r="W523" i="5"/>
  <c r="S523" i="5"/>
  <c r="AM523" i="5" s="1"/>
  <c r="O523" i="5"/>
  <c r="AV522" i="5"/>
  <c r="AQ522" i="5"/>
  <c r="AF522" i="5"/>
  <c r="AA522" i="5"/>
  <c r="W522" i="5"/>
  <c r="S522" i="5"/>
  <c r="O522" i="5"/>
  <c r="AV521" i="5"/>
  <c r="AF521" i="5"/>
  <c r="AA521" i="5"/>
  <c r="W521" i="5"/>
  <c r="S521" i="5"/>
  <c r="O521" i="5"/>
  <c r="AW520" i="5"/>
  <c r="AV520" i="5"/>
  <c r="AF520" i="5"/>
  <c r="AA520" i="5"/>
  <c r="W520" i="5"/>
  <c r="S520" i="5"/>
  <c r="O520" i="5"/>
  <c r="AV519" i="5"/>
  <c r="AW519" i="5" s="1"/>
  <c r="AF519" i="5"/>
  <c r="AA519" i="5"/>
  <c r="W519" i="5"/>
  <c r="S519" i="5"/>
  <c r="AQ519" i="5" s="1"/>
  <c r="O519" i="5"/>
  <c r="AV518" i="5"/>
  <c r="AW518" i="5" s="1"/>
  <c r="AF518" i="5"/>
  <c r="AA518" i="5"/>
  <c r="W518" i="5"/>
  <c r="S518" i="5"/>
  <c r="O518" i="5"/>
  <c r="AV517" i="5"/>
  <c r="AF517" i="5"/>
  <c r="AA517" i="5"/>
  <c r="W517" i="5"/>
  <c r="S517" i="5"/>
  <c r="O517" i="5"/>
  <c r="AV516" i="5"/>
  <c r="AF516" i="5"/>
  <c r="AA516" i="5"/>
  <c r="W516" i="5"/>
  <c r="S516" i="5"/>
  <c r="O516" i="5"/>
  <c r="AV515" i="5"/>
  <c r="AF515" i="5"/>
  <c r="AA515" i="5"/>
  <c r="W515" i="5"/>
  <c r="S515" i="5"/>
  <c r="O515" i="5"/>
  <c r="AV514" i="5"/>
  <c r="AF514" i="5"/>
  <c r="AA514" i="5"/>
  <c r="W514" i="5"/>
  <c r="S514" i="5"/>
  <c r="O514" i="5"/>
  <c r="AV513" i="5"/>
  <c r="AW513" i="5" s="1"/>
  <c r="AF513" i="5"/>
  <c r="AA513" i="5"/>
  <c r="W513" i="5"/>
  <c r="AM513" i="5" s="1"/>
  <c r="S513" i="5"/>
  <c r="O513" i="5"/>
  <c r="AV512" i="5"/>
  <c r="AQ512" i="5"/>
  <c r="AF512" i="5"/>
  <c r="AA512" i="5"/>
  <c r="W512" i="5"/>
  <c r="S512" i="5"/>
  <c r="O512" i="5"/>
  <c r="AV511" i="5"/>
  <c r="AF511" i="5"/>
  <c r="AA511" i="5"/>
  <c r="W511" i="5"/>
  <c r="S511" i="5"/>
  <c r="O511" i="5"/>
  <c r="AW510" i="5"/>
  <c r="AV510" i="5"/>
  <c r="AF510" i="5"/>
  <c r="AA510" i="5"/>
  <c r="W510" i="5"/>
  <c r="S510" i="5"/>
  <c r="AL510" i="5" s="1"/>
  <c r="O510" i="5"/>
  <c r="AW509" i="5"/>
  <c r="AV509" i="5"/>
  <c r="AF509" i="5"/>
  <c r="AA509" i="5"/>
  <c r="W509" i="5"/>
  <c r="S509" i="5"/>
  <c r="O509" i="5"/>
  <c r="AV508" i="5"/>
  <c r="AF508" i="5"/>
  <c r="AA508" i="5"/>
  <c r="W508" i="5"/>
  <c r="S508" i="5"/>
  <c r="O508" i="5"/>
  <c r="AV507" i="5"/>
  <c r="AF507" i="5"/>
  <c r="AA507" i="5"/>
  <c r="W507" i="5"/>
  <c r="S507" i="5"/>
  <c r="O507" i="5"/>
  <c r="AV506" i="5"/>
  <c r="AF506" i="5"/>
  <c r="AA506" i="5"/>
  <c r="W506" i="5"/>
  <c r="S506" i="5"/>
  <c r="O506" i="5"/>
  <c r="AV505" i="5"/>
  <c r="AW505" i="5" s="1"/>
  <c r="AF505" i="5"/>
  <c r="AA505" i="5"/>
  <c r="W505" i="5"/>
  <c r="S505" i="5"/>
  <c r="O505" i="5"/>
  <c r="AV504" i="5"/>
  <c r="AF504" i="5"/>
  <c r="AA504" i="5"/>
  <c r="W504" i="5"/>
  <c r="S504" i="5"/>
  <c r="O504" i="5"/>
  <c r="AQ504" i="5" s="1"/>
  <c r="AV503" i="5"/>
  <c r="AF503" i="5"/>
  <c r="AA503" i="5"/>
  <c r="W503" i="5"/>
  <c r="S503" i="5"/>
  <c r="O503" i="5"/>
  <c r="AV502" i="5"/>
  <c r="AQ502" i="5"/>
  <c r="AF502" i="5"/>
  <c r="AA502" i="5"/>
  <c r="W502" i="5"/>
  <c r="S502" i="5"/>
  <c r="O502" i="5"/>
  <c r="AV501" i="5"/>
  <c r="AF501" i="5"/>
  <c r="AA501" i="5"/>
  <c r="W501" i="5"/>
  <c r="S501" i="5"/>
  <c r="O501" i="5"/>
  <c r="AV500" i="5"/>
  <c r="AF500" i="5"/>
  <c r="AL500" i="5" s="1"/>
  <c r="AA500" i="5"/>
  <c r="W500" i="5"/>
  <c r="S500" i="5"/>
  <c r="O500" i="5"/>
  <c r="AV499" i="5"/>
  <c r="AF499" i="5"/>
  <c r="AA499" i="5"/>
  <c r="W499" i="5"/>
  <c r="S499" i="5"/>
  <c r="O499" i="5"/>
  <c r="AP499" i="5" s="1"/>
  <c r="AV498" i="5"/>
  <c r="AF498" i="5"/>
  <c r="AA498" i="5"/>
  <c r="W498" i="5"/>
  <c r="S498" i="5"/>
  <c r="O498" i="5"/>
  <c r="AV497" i="5"/>
  <c r="AF497" i="5"/>
  <c r="AA497" i="5"/>
  <c r="W497" i="5"/>
  <c r="S497" i="5"/>
  <c r="O497" i="5"/>
  <c r="AV496" i="5"/>
  <c r="AF496" i="5"/>
  <c r="AA496" i="5"/>
  <c r="W496" i="5"/>
  <c r="S496" i="5"/>
  <c r="O496" i="5"/>
  <c r="AV495" i="5"/>
  <c r="AF495" i="5"/>
  <c r="AA495" i="5"/>
  <c r="W495" i="5"/>
  <c r="S495" i="5"/>
  <c r="O495" i="5"/>
  <c r="AV494" i="5"/>
  <c r="AF494" i="5"/>
  <c r="AA494" i="5"/>
  <c r="W494" i="5"/>
  <c r="S494" i="5"/>
  <c r="O494" i="5"/>
  <c r="AV493" i="5"/>
  <c r="AF493" i="5"/>
  <c r="AA493" i="5"/>
  <c r="W493" i="5"/>
  <c r="S493" i="5"/>
  <c r="O493" i="5"/>
  <c r="AV492" i="5"/>
  <c r="AF492" i="5"/>
  <c r="AA492" i="5"/>
  <c r="W492" i="5"/>
  <c r="S492" i="5"/>
  <c r="O492" i="5"/>
  <c r="AV491" i="5"/>
  <c r="AF491" i="5"/>
  <c r="AA491" i="5"/>
  <c r="W491" i="5"/>
  <c r="AL491" i="5" s="1"/>
  <c r="S491" i="5"/>
  <c r="AM491" i="5" s="1"/>
  <c r="O491" i="5"/>
  <c r="AV490" i="5"/>
  <c r="AF490" i="5"/>
  <c r="AA490" i="5"/>
  <c r="W490" i="5"/>
  <c r="S490" i="5"/>
  <c r="O490" i="5"/>
  <c r="AW489" i="5"/>
  <c r="AV489" i="5"/>
  <c r="AF489" i="5"/>
  <c r="AA489" i="5"/>
  <c r="W489" i="5"/>
  <c r="S489" i="5"/>
  <c r="O489" i="5"/>
  <c r="AP489" i="5" s="1"/>
  <c r="AV488" i="5"/>
  <c r="AF488" i="5"/>
  <c r="AA488" i="5"/>
  <c r="W488" i="5"/>
  <c r="S488" i="5"/>
  <c r="O488" i="5"/>
  <c r="AV487" i="5"/>
  <c r="AF487" i="5"/>
  <c r="AA487" i="5"/>
  <c r="W487" i="5"/>
  <c r="S487" i="5"/>
  <c r="O487" i="5"/>
  <c r="AV486" i="5"/>
  <c r="AW486" i="5" s="1"/>
  <c r="AF486" i="5"/>
  <c r="AA486" i="5"/>
  <c r="W486" i="5"/>
  <c r="S486" i="5"/>
  <c r="O486" i="5"/>
  <c r="AV485" i="5"/>
  <c r="AF485" i="5"/>
  <c r="AA485" i="5"/>
  <c r="W485" i="5"/>
  <c r="S485" i="5"/>
  <c r="O485" i="5"/>
  <c r="AV484" i="5"/>
  <c r="AF484" i="5"/>
  <c r="AA484" i="5"/>
  <c r="W484" i="5"/>
  <c r="S484" i="5"/>
  <c r="O484" i="5"/>
  <c r="AV483" i="5"/>
  <c r="AF483" i="5"/>
  <c r="AA483" i="5"/>
  <c r="W483" i="5"/>
  <c r="S483" i="5"/>
  <c r="O483" i="5"/>
  <c r="AV482" i="5"/>
  <c r="AF482" i="5"/>
  <c r="AA482" i="5"/>
  <c r="W482" i="5"/>
  <c r="AQ482" i="5" s="1"/>
  <c r="S482" i="5"/>
  <c r="O482" i="5"/>
  <c r="AV481" i="5"/>
  <c r="AF481" i="5"/>
  <c r="AA481" i="5"/>
  <c r="W481" i="5"/>
  <c r="S481" i="5"/>
  <c r="O481" i="5"/>
  <c r="AV480" i="5"/>
  <c r="AF480" i="5"/>
  <c r="AA480" i="5"/>
  <c r="AQ480" i="5" s="1"/>
  <c r="W480" i="5"/>
  <c r="S480" i="5"/>
  <c r="O480" i="5"/>
  <c r="AL480" i="5" s="1"/>
  <c r="AV479" i="5"/>
  <c r="AF479" i="5"/>
  <c r="AA479" i="5"/>
  <c r="W479" i="5"/>
  <c r="S479" i="5"/>
  <c r="AP479" i="5" s="1"/>
  <c r="O479" i="5"/>
  <c r="AV478" i="5"/>
  <c r="AF478" i="5"/>
  <c r="AA478" i="5"/>
  <c r="W478" i="5"/>
  <c r="S478" i="5"/>
  <c r="O478" i="5"/>
  <c r="AV477" i="5"/>
  <c r="AF477" i="5"/>
  <c r="AA477" i="5"/>
  <c r="W477" i="5"/>
  <c r="AL477" i="5" s="1"/>
  <c r="S477" i="5"/>
  <c r="O477" i="5"/>
  <c r="AV476" i="5"/>
  <c r="AF476" i="5"/>
  <c r="AA476" i="5"/>
  <c r="W476" i="5"/>
  <c r="S476" i="5"/>
  <c r="O476" i="5"/>
  <c r="AV475" i="5"/>
  <c r="AF475" i="5"/>
  <c r="AA475" i="5"/>
  <c r="W475" i="5"/>
  <c r="S475" i="5"/>
  <c r="O475" i="5"/>
  <c r="AV474" i="5"/>
  <c r="AM474" i="5"/>
  <c r="AF474" i="5"/>
  <c r="AA474" i="5"/>
  <c r="W474" i="5"/>
  <c r="S474" i="5"/>
  <c r="O474" i="5"/>
  <c r="AV473" i="5"/>
  <c r="AF473" i="5"/>
  <c r="AA473" i="5"/>
  <c r="W473" i="5"/>
  <c r="S473" i="5"/>
  <c r="O473" i="5"/>
  <c r="AV472" i="5"/>
  <c r="AF472" i="5"/>
  <c r="AA472" i="5"/>
  <c r="W472" i="5"/>
  <c r="S472" i="5"/>
  <c r="O472" i="5"/>
  <c r="AV471" i="5"/>
  <c r="AW471" i="5" s="1"/>
  <c r="AF471" i="5"/>
  <c r="AA471" i="5"/>
  <c r="W471" i="5"/>
  <c r="S471" i="5"/>
  <c r="O471" i="5"/>
  <c r="AV470" i="5"/>
  <c r="AF470" i="5"/>
  <c r="AA470" i="5"/>
  <c r="W470" i="5"/>
  <c r="S470" i="5"/>
  <c r="O470" i="5"/>
  <c r="AV469" i="5"/>
  <c r="AF469" i="5"/>
  <c r="AA469" i="5"/>
  <c r="W469" i="5"/>
  <c r="S469" i="5"/>
  <c r="O469" i="5"/>
  <c r="AV468" i="5"/>
  <c r="AF468" i="5"/>
  <c r="AA468" i="5"/>
  <c r="W468" i="5"/>
  <c r="S468" i="5"/>
  <c r="O468" i="5"/>
  <c r="AV467" i="5"/>
  <c r="AF467" i="5"/>
  <c r="AA467" i="5"/>
  <c r="W467" i="5"/>
  <c r="S467" i="5"/>
  <c r="O467" i="5"/>
  <c r="AV466" i="5"/>
  <c r="AF466" i="5"/>
  <c r="AA466" i="5"/>
  <c r="W466" i="5"/>
  <c r="S466" i="5"/>
  <c r="O466" i="5"/>
  <c r="AV465" i="5"/>
  <c r="AF465" i="5"/>
  <c r="AA465" i="5"/>
  <c r="W465" i="5"/>
  <c r="S465" i="5"/>
  <c r="O465" i="5"/>
  <c r="AV464" i="5"/>
  <c r="AW464" i="5" s="1"/>
  <c r="AF464" i="5"/>
  <c r="AA464" i="5"/>
  <c r="W464" i="5"/>
  <c r="S464" i="5"/>
  <c r="O464" i="5"/>
  <c r="AV463" i="5"/>
  <c r="AW463" i="5" s="1"/>
  <c r="AF463" i="5"/>
  <c r="AA463" i="5"/>
  <c r="W463" i="5"/>
  <c r="S463" i="5"/>
  <c r="O463" i="5"/>
  <c r="AV462" i="5"/>
  <c r="AF462" i="5"/>
  <c r="AA462" i="5"/>
  <c r="W462" i="5"/>
  <c r="S462" i="5"/>
  <c r="O462" i="5"/>
  <c r="AV461" i="5"/>
  <c r="AF461" i="5"/>
  <c r="AA461" i="5"/>
  <c r="W461" i="5"/>
  <c r="S461" i="5"/>
  <c r="AQ461" i="5" s="1"/>
  <c r="O461" i="5"/>
  <c r="AV460" i="5"/>
  <c r="AF460" i="5"/>
  <c r="AA460" i="5"/>
  <c r="W460" i="5"/>
  <c r="S460" i="5"/>
  <c r="O460" i="5"/>
  <c r="AV459" i="5"/>
  <c r="AF459" i="5"/>
  <c r="AA459" i="5"/>
  <c r="W459" i="5"/>
  <c r="S459" i="5"/>
  <c r="O459" i="5"/>
  <c r="AV458" i="5"/>
  <c r="AF458" i="5"/>
  <c r="AA458" i="5"/>
  <c r="W458" i="5"/>
  <c r="S458" i="5"/>
  <c r="O458" i="5"/>
  <c r="AV457" i="5"/>
  <c r="AF457" i="5"/>
  <c r="AA457" i="5"/>
  <c r="W457" i="5"/>
  <c r="S457" i="5"/>
  <c r="O457" i="5"/>
  <c r="AV456" i="5"/>
  <c r="AF456" i="5"/>
  <c r="AA456" i="5"/>
  <c r="W456" i="5"/>
  <c r="S456" i="5"/>
  <c r="O456" i="5"/>
  <c r="AV455" i="5"/>
  <c r="AF455" i="5"/>
  <c r="AA455" i="5"/>
  <c r="W455" i="5"/>
  <c r="S455" i="5"/>
  <c r="O455" i="5"/>
  <c r="AP455" i="5" s="1"/>
  <c r="AV454" i="5"/>
  <c r="AF454" i="5"/>
  <c r="AA454" i="5"/>
  <c r="W454" i="5"/>
  <c r="S454" i="5"/>
  <c r="O454" i="5"/>
  <c r="AV453" i="5"/>
  <c r="AF453" i="5"/>
  <c r="AA453" i="5"/>
  <c r="W453" i="5"/>
  <c r="S453" i="5"/>
  <c r="O453" i="5"/>
  <c r="AL453" i="5" s="1"/>
  <c r="AV452" i="5"/>
  <c r="AF452" i="5"/>
  <c r="AA452" i="5"/>
  <c r="W452" i="5"/>
  <c r="S452" i="5"/>
  <c r="O452" i="5"/>
  <c r="AV451" i="5"/>
  <c r="AW451" i="5" s="1"/>
  <c r="AF451" i="5"/>
  <c r="AA451" i="5"/>
  <c r="AL451" i="5" s="1"/>
  <c r="W451" i="5"/>
  <c r="S451" i="5"/>
  <c r="O451" i="5"/>
  <c r="AW450" i="5"/>
  <c r="AV450" i="5"/>
  <c r="AL450" i="5"/>
  <c r="AF450" i="5"/>
  <c r="AA450" i="5"/>
  <c r="AM450" i="5" s="1"/>
  <c r="W450" i="5"/>
  <c r="S450" i="5"/>
  <c r="O450" i="5"/>
  <c r="AV449" i="5"/>
  <c r="AW449" i="5" s="1"/>
  <c r="AF449" i="5"/>
  <c r="AA449" i="5"/>
  <c r="W449" i="5"/>
  <c r="S449" i="5"/>
  <c r="O449" i="5"/>
  <c r="AV448" i="5"/>
  <c r="AW448" i="5" s="1"/>
  <c r="AF448" i="5"/>
  <c r="AA448" i="5"/>
  <c r="W448" i="5"/>
  <c r="S448" i="5"/>
  <c r="O448" i="5"/>
  <c r="AV447" i="5"/>
  <c r="AF447" i="5"/>
  <c r="AA447" i="5"/>
  <c r="W447" i="5"/>
  <c r="S447" i="5"/>
  <c r="O447" i="5"/>
  <c r="AV446" i="5"/>
  <c r="AF446" i="5"/>
  <c r="AA446" i="5"/>
  <c r="W446" i="5"/>
  <c r="S446" i="5"/>
  <c r="O446" i="5"/>
  <c r="AV445" i="5"/>
  <c r="AF445" i="5"/>
  <c r="AA445" i="5"/>
  <c r="W445" i="5"/>
  <c r="S445" i="5"/>
  <c r="O445" i="5"/>
  <c r="AV444" i="5"/>
  <c r="AF444" i="5"/>
  <c r="AA444" i="5"/>
  <c r="W444" i="5"/>
  <c r="S444" i="5"/>
  <c r="O444" i="5"/>
  <c r="AP444" i="5" s="1"/>
  <c r="AV443" i="5"/>
  <c r="AM443" i="5"/>
  <c r="AL443" i="5"/>
  <c r="AN443" i="5" s="1"/>
  <c r="AF443" i="5"/>
  <c r="AA443" i="5"/>
  <c r="W443" i="5"/>
  <c r="S443" i="5"/>
  <c r="O443" i="5"/>
  <c r="AQ443" i="5" s="1"/>
  <c r="AV442" i="5"/>
  <c r="AQ442" i="5"/>
  <c r="AP442" i="5"/>
  <c r="AR442" i="5" s="1"/>
  <c r="AF442" i="5"/>
  <c r="AA442" i="5"/>
  <c r="W442" i="5"/>
  <c r="S442" i="5"/>
  <c r="O442" i="5"/>
  <c r="AM442" i="5" s="1"/>
  <c r="AV441" i="5"/>
  <c r="AF441" i="5"/>
  <c r="AA441" i="5"/>
  <c r="W441" i="5"/>
  <c r="S441" i="5"/>
  <c r="O441" i="5"/>
  <c r="AV440" i="5"/>
  <c r="AW440" i="5" s="1"/>
  <c r="AF440" i="5"/>
  <c r="AA440" i="5"/>
  <c r="AQ440" i="5" s="1"/>
  <c r="W440" i="5"/>
  <c r="S440" i="5"/>
  <c r="O440" i="5"/>
  <c r="AW439" i="5"/>
  <c r="AV439" i="5"/>
  <c r="AM439" i="5"/>
  <c r="AF439" i="5"/>
  <c r="AA439" i="5"/>
  <c r="AP439" i="5" s="1"/>
  <c r="W439" i="5"/>
  <c r="S439" i="5"/>
  <c r="O439" i="5"/>
  <c r="AV438" i="5"/>
  <c r="AF438" i="5"/>
  <c r="AA438" i="5"/>
  <c r="W438" i="5"/>
  <c r="S438" i="5"/>
  <c r="O438" i="5"/>
  <c r="AV437" i="5"/>
  <c r="AF437" i="5"/>
  <c r="AA437" i="5"/>
  <c r="W437" i="5"/>
  <c r="S437" i="5"/>
  <c r="O437" i="5"/>
  <c r="AV436" i="5"/>
  <c r="AF436" i="5"/>
  <c r="AA436" i="5"/>
  <c r="W436" i="5"/>
  <c r="S436" i="5"/>
  <c r="O436" i="5"/>
  <c r="AV435" i="5"/>
  <c r="AW435" i="5" s="1"/>
  <c r="AF435" i="5"/>
  <c r="AA435" i="5"/>
  <c r="W435" i="5"/>
  <c r="S435" i="5"/>
  <c r="O435" i="5"/>
  <c r="AV434" i="5"/>
  <c r="AF434" i="5"/>
  <c r="AA434" i="5"/>
  <c r="W434" i="5"/>
  <c r="S434" i="5"/>
  <c r="O434" i="5"/>
  <c r="AP434" i="5" s="1"/>
  <c r="AV433" i="5"/>
  <c r="AM433" i="5"/>
  <c r="AL433" i="5"/>
  <c r="AN433" i="5" s="1"/>
  <c r="AW433" i="5" s="1"/>
  <c r="AF433" i="5"/>
  <c r="AA433" i="5"/>
  <c r="W433" i="5"/>
  <c r="S433" i="5"/>
  <c r="O433" i="5"/>
  <c r="AQ433" i="5" s="1"/>
  <c r="AV432" i="5"/>
  <c r="AQ432" i="5"/>
  <c r="AP432" i="5"/>
  <c r="AR432" i="5" s="1"/>
  <c r="AF432" i="5"/>
  <c r="AA432" i="5"/>
  <c r="W432" i="5"/>
  <c r="S432" i="5"/>
  <c r="O432" i="5"/>
  <c r="AM432" i="5" s="1"/>
  <c r="AV431" i="5"/>
  <c r="AF431" i="5"/>
  <c r="AA431" i="5"/>
  <c r="W431" i="5"/>
  <c r="S431" i="5"/>
  <c r="O431" i="5"/>
  <c r="AV430" i="5"/>
  <c r="AF430" i="5"/>
  <c r="AA430" i="5"/>
  <c r="W430" i="5"/>
  <c r="S430" i="5"/>
  <c r="O430" i="5"/>
  <c r="AV429" i="5"/>
  <c r="AF429" i="5"/>
  <c r="AA429" i="5"/>
  <c r="W429" i="5"/>
  <c r="AM429" i="5" s="1"/>
  <c r="S429" i="5"/>
  <c r="O429" i="5"/>
  <c r="AQ429" i="5" s="1"/>
  <c r="AV428" i="5"/>
  <c r="AF428" i="5"/>
  <c r="AA428" i="5"/>
  <c r="W428" i="5"/>
  <c r="S428" i="5"/>
  <c r="O428" i="5"/>
  <c r="AP428" i="5" s="1"/>
  <c r="AV427" i="5"/>
  <c r="AF427" i="5"/>
  <c r="AA427" i="5"/>
  <c r="W427" i="5"/>
  <c r="S427" i="5"/>
  <c r="O427" i="5"/>
  <c r="AQ427" i="5" s="1"/>
  <c r="AV426" i="5"/>
  <c r="AW426" i="5" s="1"/>
  <c r="AF426" i="5"/>
  <c r="AA426" i="5"/>
  <c r="W426" i="5"/>
  <c r="S426" i="5"/>
  <c r="AP426" i="5" s="1"/>
  <c r="O426" i="5"/>
  <c r="AV425" i="5"/>
  <c r="AF425" i="5"/>
  <c r="AA425" i="5"/>
  <c r="W425" i="5"/>
  <c r="S425" i="5"/>
  <c r="O425" i="5"/>
  <c r="AV424" i="5"/>
  <c r="AF424" i="5"/>
  <c r="AA424" i="5"/>
  <c r="W424" i="5"/>
  <c r="S424" i="5"/>
  <c r="O424" i="5"/>
  <c r="AV423" i="5"/>
  <c r="AW423" i="5" s="1"/>
  <c r="AL423" i="5"/>
  <c r="AF423" i="5"/>
  <c r="AA423" i="5"/>
  <c r="W423" i="5"/>
  <c r="S423" i="5"/>
  <c r="O423" i="5"/>
  <c r="AQ423" i="5" s="1"/>
  <c r="AW422" i="5"/>
  <c r="AV422" i="5"/>
  <c r="AQ422" i="5"/>
  <c r="AF422" i="5"/>
  <c r="AA422" i="5"/>
  <c r="W422" i="5"/>
  <c r="S422" i="5"/>
  <c r="O422" i="5"/>
  <c r="AV421" i="5"/>
  <c r="AF421" i="5"/>
  <c r="AA421" i="5"/>
  <c r="W421" i="5"/>
  <c r="S421" i="5"/>
  <c r="O421" i="5"/>
  <c r="AV420" i="5"/>
  <c r="AF420" i="5"/>
  <c r="AA420" i="5"/>
  <c r="W420" i="5"/>
  <c r="S420" i="5"/>
  <c r="O420" i="5"/>
  <c r="AV419" i="5"/>
  <c r="AF419" i="5"/>
  <c r="AA419" i="5"/>
  <c r="AP419" i="5" s="1"/>
  <c r="W419" i="5"/>
  <c r="S419" i="5"/>
  <c r="AQ419" i="5" s="1"/>
  <c r="O419" i="5"/>
  <c r="AV418" i="5"/>
  <c r="AF418" i="5"/>
  <c r="AA418" i="5"/>
  <c r="W418" i="5"/>
  <c r="S418" i="5"/>
  <c r="O418" i="5"/>
  <c r="AV417" i="5"/>
  <c r="AF417" i="5"/>
  <c r="AA417" i="5"/>
  <c r="W417" i="5"/>
  <c r="S417" i="5"/>
  <c r="O417" i="5"/>
  <c r="AV416" i="5"/>
  <c r="AF416" i="5"/>
  <c r="AA416" i="5"/>
  <c r="W416" i="5"/>
  <c r="S416" i="5"/>
  <c r="O416" i="5"/>
  <c r="AV415" i="5"/>
  <c r="AF415" i="5"/>
  <c r="AA415" i="5"/>
  <c r="W415" i="5"/>
  <c r="S415" i="5"/>
  <c r="O415" i="5"/>
  <c r="AV414" i="5"/>
  <c r="AF414" i="5"/>
  <c r="AA414" i="5"/>
  <c r="W414" i="5"/>
  <c r="S414" i="5"/>
  <c r="O414" i="5"/>
  <c r="AV413" i="5"/>
  <c r="AL413" i="5"/>
  <c r="AF413" i="5"/>
  <c r="AA413" i="5"/>
  <c r="W413" i="5"/>
  <c r="S413" i="5"/>
  <c r="O413" i="5"/>
  <c r="AQ413" i="5" s="1"/>
  <c r="AV412" i="5"/>
  <c r="AP412" i="5"/>
  <c r="AF412" i="5"/>
  <c r="AA412" i="5"/>
  <c r="W412" i="5"/>
  <c r="S412" i="5"/>
  <c r="O412" i="5"/>
  <c r="AM412" i="5" s="1"/>
  <c r="AV411" i="5"/>
  <c r="AF411" i="5"/>
  <c r="AA411" i="5"/>
  <c r="W411" i="5"/>
  <c r="S411" i="5"/>
  <c r="O411" i="5"/>
  <c r="AV410" i="5"/>
  <c r="AF410" i="5"/>
  <c r="AA410" i="5"/>
  <c r="W410" i="5"/>
  <c r="S410" i="5"/>
  <c r="O410" i="5"/>
  <c r="AV409" i="5"/>
  <c r="AM409" i="5"/>
  <c r="AF409" i="5"/>
  <c r="AA409" i="5"/>
  <c r="W409" i="5"/>
  <c r="S409" i="5"/>
  <c r="O409" i="5"/>
  <c r="AV408" i="5"/>
  <c r="AW408" i="5" s="1"/>
  <c r="AF408" i="5"/>
  <c r="AA408" i="5"/>
  <c r="W408" i="5"/>
  <c r="S408" i="5"/>
  <c r="O408" i="5"/>
  <c r="AV407" i="5"/>
  <c r="AF407" i="5"/>
  <c r="AA407" i="5"/>
  <c r="W407" i="5"/>
  <c r="S407" i="5"/>
  <c r="O407" i="5"/>
  <c r="AV406" i="5"/>
  <c r="AF406" i="5"/>
  <c r="AA406" i="5"/>
  <c r="W406" i="5"/>
  <c r="S406" i="5"/>
  <c r="O406" i="5"/>
  <c r="AV405" i="5"/>
  <c r="AF405" i="5"/>
  <c r="AA405" i="5"/>
  <c r="W405" i="5"/>
  <c r="S405" i="5"/>
  <c r="O405" i="5"/>
  <c r="AV404" i="5"/>
  <c r="AF404" i="5"/>
  <c r="AA404" i="5"/>
  <c r="W404" i="5"/>
  <c r="S404" i="5"/>
  <c r="O404" i="5"/>
  <c r="AV403" i="5"/>
  <c r="AF403" i="5"/>
  <c r="AL403" i="5" s="1"/>
  <c r="AA403" i="5"/>
  <c r="W403" i="5"/>
  <c r="S403" i="5"/>
  <c r="O403" i="5"/>
  <c r="AV402" i="5"/>
  <c r="AF402" i="5"/>
  <c r="AP402" i="5" s="1"/>
  <c r="AA402" i="5"/>
  <c r="W402" i="5"/>
  <c r="S402" i="5"/>
  <c r="O402" i="5"/>
  <c r="AV401" i="5"/>
  <c r="AF401" i="5"/>
  <c r="AA401" i="5"/>
  <c r="W401" i="5"/>
  <c r="S401" i="5"/>
  <c r="O401" i="5"/>
  <c r="AV400" i="5"/>
  <c r="AF400" i="5"/>
  <c r="AA400" i="5"/>
  <c r="W400" i="5"/>
  <c r="S400" i="5"/>
  <c r="O400" i="5"/>
  <c r="AV399" i="5"/>
  <c r="AF399" i="5"/>
  <c r="AA399" i="5"/>
  <c r="W399" i="5"/>
  <c r="S399" i="5"/>
  <c r="O399" i="5"/>
  <c r="AV398" i="5"/>
  <c r="AW398" i="5" s="1"/>
  <c r="AF398" i="5"/>
  <c r="AA398" i="5"/>
  <c r="W398" i="5"/>
  <c r="S398" i="5"/>
  <c r="AQ398" i="5" s="1"/>
  <c r="O398" i="5"/>
  <c r="AV397" i="5"/>
  <c r="AF397" i="5"/>
  <c r="AA397" i="5"/>
  <c r="W397" i="5"/>
  <c r="S397" i="5"/>
  <c r="O397" i="5"/>
  <c r="AQ397" i="5" s="1"/>
  <c r="AV396" i="5"/>
  <c r="AF396" i="5"/>
  <c r="AA396" i="5"/>
  <c r="W396" i="5"/>
  <c r="S396" i="5"/>
  <c r="O396" i="5"/>
  <c r="AV395" i="5"/>
  <c r="AF395" i="5"/>
  <c r="AA395" i="5"/>
  <c r="W395" i="5"/>
  <c r="S395" i="5"/>
  <c r="O395" i="5"/>
  <c r="AV394" i="5"/>
  <c r="AF394" i="5"/>
  <c r="AA394" i="5"/>
  <c r="W394" i="5"/>
  <c r="S394" i="5"/>
  <c r="O394" i="5"/>
  <c r="AV393" i="5"/>
  <c r="AF393" i="5"/>
  <c r="AA393" i="5"/>
  <c r="W393" i="5"/>
  <c r="S393" i="5"/>
  <c r="O393" i="5"/>
  <c r="AV392" i="5"/>
  <c r="AF392" i="5"/>
  <c r="AA392" i="5"/>
  <c r="W392" i="5"/>
  <c r="S392" i="5"/>
  <c r="O392" i="5"/>
  <c r="AV391" i="5"/>
  <c r="AF391" i="5"/>
  <c r="AA391" i="5"/>
  <c r="W391" i="5"/>
  <c r="S391" i="5"/>
  <c r="O391" i="5"/>
  <c r="AV390" i="5"/>
  <c r="AF390" i="5"/>
  <c r="AA390" i="5"/>
  <c r="W390" i="5"/>
  <c r="S390" i="5"/>
  <c r="O390" i="5"/>
  <c r="AV389" i="5"/>
  <c r="AF389" i="5"/>
  <c r="AA389" i="5"/>
  <c r="W389" i="5"/>
  <c r="S389" i="5"/>
  <c r="AQ389" i="5" s="1"/>
  <c r="O389" i="5"/>
  <c r="AV388" i="5"/>
  <c r="AF388" i="5"/>
  <c r="AA388" i="5"/>
  <c r="W388" i="5"/>
  <c r="S388" i="5"/>
  <c r="O388" i="5"/>
  <c r="AV387" i="5"/>
  <c r="AF387" i="5"/>
  <c r="AA387" i="5"/>
  <c r="W387" i="5"/>
  <c r="S387" i="5"/>
  <c r="O387" i="5"/>
  <c r="AV386" i="5"/>
  <c r="AW386" i="5" s="1"/>
  <c r="AL386" i="5"/>
  <c r="AF386" i="5"/>
  <c r="AA386" i="5"/>
  <c r="W386" i="5"/>
  <c r="S386" i="5"/>
  <c r="O386" i="5"/>
  <c r="AP386" i="5" s="1"/>
  <c r="AV385" i="5"/>
  <c r="AF385" i="5"/>
  <c r="AQ385" i="5" s="1"/>
  <c r="AA385" i="5"/>
  <c r="W385" i="5"/>
  <c r="S385" i="5"/>
  <c r="O385" i="5"/>
  <c r="AV384" i="5"/>
  <c r="AF384" i="5"/>
  <c r="AA384" i="5"/>
  <c r="W384" i="5"/>
  <c r="S384" i="5"/>
  <c r="O384" i="5"/>
  <c r="AV383" i="5"/>
  <c r="AF383" i="5"/>
  <c r="AA383" i="5"/>
  <c r="W383" i="5"/>
  <c r="S383" i="5"/>
  <c r="O383" i="5"/>
  <c r="AV382" i="5"/>
  <c r="AF382" i="5"/>
  <c r="AA382" i="5"/>
  <c r="W382" i="5"/>
  <c r="S382" i="5"/>
  <c r="O382" i="5"/>
  <c r="AV381" i="5"/>
  <c r="AF381" i="5"/>
  <c r="AA381" i="5"/>
  <c r="W381" i="5"/>
  <c r="S381" i="5"/>
  <c r="O381" i="5"/>
  <c r="AV380" i="5"/>
  <c r="AF380" i="5"/>
  <c r="AA380" i="5"/>
  <c r="W380" i="5"/>
  <c r="S380" i="5"/>
  <c r="O380" i="5"/>
  <c r="AV379" i="5"/>
  <c r="AQ379" i="5"/>
  <c r="AM379" i="5"/>
  <c r="AF379" i="5"/>
  <c r="AA379" i="5"/>
  <c r="W379" i="5"/>
  <c r="S379" i="5"/>
  <c r="O379" i="5"/>
  <c r="AP379" i="5" s="1"/>
  <c r="AV378" i="5"/>
  <c r="AF378" i="5"/>
  <c r="AA378" i="5"/>
  <c r="W378" i="5"/>
  <c r="S378" i="5"/>
  <c r="O378" i="5"/>
  <c r="AV377" i="5"/>
  <c r="AF377" i="5"/>
  <c r="AA377" i="5"/>
  <c r="W377" i="5"/>
  <c r="AL377" i="5" s="1"/>
  <c r="S377" i="5"/>
  <c r="O377" i="5"/>
  <c r="AV376" i="5"/>
  <c r="AW376" i="5" s="1"/>
  <c r="AL376" i="5"/>
  <c r="AN376" i="5" s="1"/>
  <c r="AF376" i="5"/>
  <c r="AA376" i="5"/>
  <c r="AM376" i="5" s="1"/>
  <c r="W376" i="5"/>
  <c r="S376" i="5"/>
  <c r="AP376" i="5" s="1"/>
  <c r="O376" i="5"/>
  <c r="AV375" i="5"/>
  <c r="AF375" i="5"/>
  <c r="AA375" i="5"/>
  <c r="AQ375" i="5" s="1"/>
  <c r="W375" i="5"/>
  <c r="S375" i="5"/>
  <c r="O375" i="5"/>
  <c r="AV374" i="5"/>
  <c r="AF374" i="5"/>
  <c r="AA374" i="5"/>
  <c r="W374" i="5"/>
  <c r="S374" i="5"/>
  <c r="AQ374" i="5" s="1"/>
  <c r="O374" i="5"/>
  <c r="AV373" i="5"/>
  <c r="AF373" i="5"/>
  <c r="AA373" i="5"/>
  <c r="W373" i="5"/>
  <c r="S373" i="5"/>
  <c r="O373" i="5"/>
  <c r="AV372" i="5"/>
  <c r="AF372" i="5"/>
  <c r="AA372" i="5"/>
  <c r="W372" i="5"/>
  <c r="S372" i="5"/>
  <c r="O372" i="5"/>
  <c r="AV371" i="5"/>
  <c r="AF371" i="5"/>
  <c r="AA371" i="5"/>
  <c r="W371" i="5"/>
  <c r="S371" i="5"/>
  <c r="O371" i="5"/>
  <c r="AV370" i="5"/>
  <c r="AF370" i="5"/>
  <c r="AA370" i="5"/>
  <c r="W370" i="5"/>
  <c r="S370" i="5"/>
  <c r="O370" i="5"/>
  <c r="AV369" i="5"/>
  <c r="AF369" i="5"/>
  <c r="AA369" i="5"/>
  <c r="W369" i="5"/>
  <c r="S369" i="5"/>
  <c r="O369" i="5"/>
  <c r="AV368" i="5"/>
  <c r="AF368" i="5"/>
  <c r="AA368" i="5"/>
  <c r="W368" i="5"/>
  <c r="S368" i="5"/>
  <c r="O368" i="5"/>
  <c r="AV367" i="5"/>
  <c r="AF367" i="5"/>
  <c r="AA367" i="5"/>
  <c r="W367" i="5"/>
  <c r="S367" i="5"/>
  <c r="O367" i="5"/>
  <c r="AV366" i="5"/>
  <c r="AF366" i="5"/>
  <c r="AA366" i="5"/>
  <c r="W366" i="5"/>
  <c r="S366" i="5"/>
  <c r="O366" i="5"/>
  <c r="AV365" i="5"/>
  <c r="AF365" i="5"/>
  <c r="AA365" i="5"/>
  <c r="W365" i="5"/>
  <c r="S365" i="5"/>
  <c r="O365" i="5"/>
  <c r="AQ365" i="5" s="1"/>
  <c r="AV364" i="5"/>
  <c r="AF364" i="5"/>
  <c r="AA364" i="5"/>
  <c r="W364" i="5"/>
  <c r="S364" i="5"/>
  <c r="O364" i="5"/>
  <c r="AV363" i="5"/>
  <c r="AF363" i="5"/>
  <c r="AA363" i="5"/>
  <c r="W363" i="5"/>
  <c r="S363" i="5"/>
  <c r="O363" i="5"/>
  <c r="AV362" i="5"/>
  <c r="AF362" i="5"/>
  <c r="AA362" i="5"/>
  <c r="W362" i="5"/>
  <c r="S362" i="5"/>
  <c r="O362" i="5"/>
  <c r="AQ362" i="5" s="1"/>
  <c r="AV361" i="5"/>
  <c r="AF361" i="5"/>
  <c r="AA361" i="5"/>
  <c r="W361" i="5"/>
  <c r="S361" i="5"/>
  <c r="O361" i="5"/>
  <c r="AV360" i="5"/>
  <c r="AF360" i="5"/>
  <c r="AA360" i="5"/>
  <c r="W360" i="5"/>
  <c r="S360" i="5"/>
  <c r="O360" i="5"/>
  <c r="AV359" i="5"/>
  <c r="AF359" i="5"/>
  <c r="AA359" i="5"/>
  <c r="W359" i="5"/>
  <c r="S359" i="5"/>
  <c r="O359" i="5"/>
  <c r="AQ359" i="5" s="1"/>
  <c r="AV358" i="5"/>
  <c r="AF358" i="5"/>
  <c r="AA358" i="5"/>
  <c r="W358" i="5"/>
  <c r="S358" i="5"/>
  <c r="O358" i="5"/>
  <c r="AQ358" i="5" s="1"/>
  <c r="AV357" i="5"/>
  <c r="AF357" i="5"/>
  <c r="AA357" i="5"/>
  <c r="W357" i="5"/>
  <c r="S357" i="5"/>
  <c r="O357" i="5"/>
  <c r="AP357" i="5" s="1"/>
  <c r="AV356" i="5"/>
  <c r="AQ356" i="5"/>
  <c r="AF356" i="5"/>
  <c r="AA356" i="5"/>
  <c r="W356" i="5"/>
  <c r="S356" i="5"/>
  <c r="O356" i="5"/>
  <c r="AP356" i="5" s="1"/>
  <c r="AV355" i="5"/>
  <c r="AF355" i="5"/>
  <c r="AA355" i="5"/>
  <c r="W355" i="5"/>
  <c r="S355" i="5"/>
  <c r="O355" i="5"/>
  <c r="AV354" i="5"/>
  <c r="AW354" i="5" s="1"/>
  <c r="AL354" i="5"/>
  <c r="AF354" i="5"/>
  <c r="AA354" i="5"/>
  <c r="W354" i="5"/>
  <c r="S354" i="5"/>
  <c r="O354" i="5"/>
  <c r="AV353" i="5"/>
  <c r="AF353" i="5"/>
  <c r="AA353" i="5"/>
  <c r="W353" i="5"/>
  <c r="AP353" i="5" s="1"/>
  <c r="S353" i="5"/>
  <c r="O353" i="5"/>
  <c r="AV352" i="5"/>
  <c r="AF352" i="5"/>
  <c r="AA352" i="5"/>
  <c r="W352" i="5"/>
  <c r="S352" i="5"/>
  <c r="O352" i="5"/>
  <c r="AP352" i="5" s="1"/>
  <c r="AV351" i="5"/>
  <c r="AF351" i="5"/>
  <c r="AA351" i="5"/>
  <c r="W351" i="5"/>
  <c r="S351" i="5"/>
  <c r="O351" i="5"/>
  <c r="AV350" i="5"/>
  <c r="AQ350" i="5"/>
  <c r="AF350" i="5"/>
  <c r="AA350" i="5"/>
  <c r="W350" i="5"/>
  <c r="S350" i="5"/>
  <c r="O350" i="5"/>
  <c r="AM350" i="5" s="1"/>
  <c r="AV349" i="5"/>
  <c r="AF349" i="5"/>
  <c r="AA349" i="5"/>
  <c r="W349" i="5"/>
  <c r="S349" i="5"/>
  <c r="O349" i="5"/>
  <c r="AV348" i="5"/>
  <c r="AF348" i="5"/>
  <c r="AA348" i="5"/>
  <c r="W348" i="5"/>
  <c r="S348" i="5"/>
  <c r="O348" i="5"/>
  <c r="AV347" i="5"/>
  <c r="AF347" i="5"/>
  <c r="AA347" i="5"/>
  <c r="W347" i="5"/>
  <c r="S347" i="5"/>
  <c r="O347" i="5"/>
  <c r="AV346" i="5"/>
  <c r="AF346" i="5"/>
  <c r="AA346" i="5"/>
  <c r="W346" i="5"/>
  <c r="S346" i="5"/>
  <c r="O346" i="5"/>
  <c r="AV345" i="5"/>
  <c r="AF345" i="5"/>
  <c r="AA345" i="5"/>
  <c r="W345" i="5"/>
  <c r="S345" i="5"/>
  <c r="O345" i="5"/>
  <c r="AQ345" i="5" s="1"/>
  <c r="AV344" i="5"/>
  <c r="AM344" i="5"/>
  <c r="AF344" i="5"/>
  <c r="AA344" i="5"/>
  <c r="W344" i="5"/>
  <c r="S344" i="5"/>
  <c r="O344" i="5"/>
  <c r="AV343" i="5"/>
  <c r="AP343" i="5"/>
  <c r="AF343" i="5"/>
  <c r="AA343" i="5"/>
  <c r="W343" i="5"/>
  <c r="S343" i="5"/>
  <c r="O343" i="5"/>
  <c r="AM343" i="5" s="1"/>
  <c r="AV342" i="5"/>
  <c r="AF342" i="5"/>
  <c r="AA342" i="5"/>
  <c r="W342" i="5"/>
  <c r="S342" i="5"/>
  <c r="O342" i="5"/>
  <c r="AV341" i="5"/>
  <c r="AF341" i="5"/>
  <c r="AA341" i="5"/>
  <c r="W341" i="5"/>
  <c r="S341" i="5"/>
  <c r="O341" i="5"/>
  <c r="AV340" i="5"/>
  <c r="AF340" i="5"/>
  <c r="AA340" i="5"/>
  <c r="W340" i="5"/>
  <c r="S340" i="5"/>
  <c r="O340" i="5"/>
  <c r="AV339" i="5"/>
  <c r="AF339" i="5"/>
  <c r="AA339" i="5"/>
  <c r="W339" i="5"/>
  <c r="S339" i="5"/>
  <c r="O339" i="5"/>
  <c r="AV338" i="5"/>
  <c r="AF338" i="5"/>
  <c r="AA338" i="5"/>
  <c r="W338" i="5"/>
  <c r="S338" i="5"/>
  <c r="O338" i="5"/>
  <c r="AQ338" i="5" s="1"/>
  <c r="AV337" i="5"/>
  <c r="AM337" i="5"/>
  <c r="AF337" i="5"/>
  <c r="AA337" i="5"/>
  <c r="W337" i="5"/>
  <c r="S337" i="5"/>
  <c r="O337" i="5"/>
  <c r="AL337" i="5" s="1"/>
  <c r="AV336" i="5"/>
  <c r="AF336" i="5"/>
  <c r="AQ336" i="5" s="1"/>
  <c r="AA336" i="5"/>
  <c r="W336" i="5"/>
  <c r="S336" i="5"/>
  <c r="O336" i="5"/>
  <c r="AV335" i="5"/>
  <c r="AF335" i="5"/>
  <c r="AA335" i="5"/>
  <c r="W335" i="5"/>
  <c r="AM335" i="5" s="1"/>
  <c r="S335" i="5"/>
  <c r="O335" i="5"/>
  <c r="AV334" i="5"/>
  <c r="AF334" i="5"/>
  <c r="AA334" i="5"/>
  <c r="W334" i="5"/>
  <c r="AL334" i="5" s="1"/>
  <c r="S334" i="5"/>
  <c r="O334" i="5"/>
  <c r="AM334" i="5" s="1"/>
  <c r="AV333" i="5"/>
  <c r="AF333" i="5"/>
  <c r="AA333" i="5"/>
  <c r="W333" i="5"/>
  <c r="S333" i="5"/>
  <c r="AP333" i="5" s="1"/>
  <c r="O333" i="5"/>
  <c r="AV332" i="5"/>
  <c r="AF332" i="5"/>
  <c r="AA332" i="5"/>
  <c r="W332" i="5"/>
  <c r="S332" i="5"/>
  <c r="AM332" i="5" s="1"/>
  <c r="O332" i="5"/>
  <c r="AV331" i="5"/>
  <c r="AF331" i="5"/>
  <c r="AA331" i="5"/>
  <c r="W331" i="5"/>
  <c r="S331" i="5"/>
  <c r="O331" i="5"/>
  <c r="AV330" i="5"/>
  <c r="AP330" i="5"/>
  <c r="AF330" i="5"/>
  <c r="AA330" i="5"/>
  <c r="W330" i="5"/>
  <c r="S330" i="5"/>
  <c r="O330" i="5"/>
  <c r="AM330" i="5" s="1"/>
  <c r="AV329" i="5"/>
  <c r="AF329" i="5"/>
  <c r="AA329" i="5"/>
  <c r="W329" i="5"/>
  <c r="S329" i="5"/>
  <c r="O329" i="5"/>
  <c r="AV328" i="5"/>
  <c r="AF328" i="5"/>
  <c r="AA328" i="5"/>
  <c r="AP328" i="5" s="1"/>
  <c r="W328" i="5"/>
  <c r="S328" i="5"/>
  <c r="O328" i="5"/>
  <c r="AV327" i="5"/>
  <c r="AF327" i="5"/>
  <c r="AA327" i="5"/>
  <c r="W327" i="5"/>
  <c r="S327" i="5"/>
  <c r="O327" i="5"/>
  <c r="AV326" i="5"/>
  <c r="AF326" i="5"/>
  <c r="AA326" i="5"/>
  <c r="W326" i="5"/>
  <c r="S326" i="5"/>
  <c r="O326" i="5"/>
  <c r="AV325" i="5"/>
  <c r="AF325" i="5"/>
  <c r="AA325" i="5"/>
  <c r="W325" i="5"/>
  <c r="S325" i="5"/>
  <c r="O325" i="5"/>
  <c r="AV324" i="5"/>
  <c r="AF324" i="5"/>
  <c r="AA324" i="5"/>
  <c r="W324" i="5"/>
  <c r="S324" i="5"/>
  <c r="O324" i="5"/>
  <c r="AV323" i="5"/>
  <c r="AP323" i="5"/>
  <c r="AF323" i="5"/>
  <c r="AA323" i="5"/>
  <c r="W323" i="5"/>
  <c r="S323" i="5"/>
  <c r="O323" i="5"/>
  <c r="AM323" i="5" s="1"/>
  <c r="AV322" i="5"/>
  <c r="AF322" i="5"/>
  <c r="AA322" i="5"/>
  <c r="W322" i="5"/>
  <c r="S322" i="5"/>
  <c r="O322" i="5"/>
  <c r="AV321" i="5"/>
  <c r="AF321" i="5"/>
  <c r="AA321" i="5"/>
  <c r="W321" i="5"/>
  <c r="S321" i="5"/>
  <c r="O321" i="5"/>
  <c r="AV320" i="5"/>
  <c r="AF320" i="5"/>
  <c r="AA320" i="5"/>
  <c r="W320" i="5"/>
  <c r="S320" i="5"/>
  <c r="O320" i="5"/>
  <c r="AW319" i="5"/>
  <c r="AV319" i="5"/>
  <c r="AF319" i="5"/>
  <c r="AA319" i="5"/>
  <c r="W319" i="5"/>
  <c r="S319" i="5"/>
  <c r="O319" i="5"/>
  <c r="AV318" i="5"/>
  <c r="AW318" i="5" s="1"/>
  <c r="AF318" i="5"/>
  <c r="AA318" i="5"/>
  <c r="W318" i="5"/>
  <c r="S318" i="5"/>
  <c r="O318" i="5"/>
  <c r="AV317" i="5"/>
  <c r="AW317" i="5" s="1"/>
  <c r="AF317" i="5"/>
  <c r="AA317" i="5"/>
  <c r="W317" i="5"/>
  <c r="S317" i="5"/>
  <c r="O317" i="5"/>
  <c r="AV316" i="5"/>
  <c r="AF316" i="5"/>
  <c r="AA316" i="5"/>
  <c r="W316" i="5"/>
  <c r="S316" i="5"/>
  <c r="O316" i="5"/>
  <c r="AV315" i="5"/>
  <c r="AF315" i="5"/>
  <c r="AA315" i="5"/>
  <c r="W315" i="5"/>
  <c r="S315" i="5"/>
  <c r="O315" i="5"/>
  <c r="AV314" i="5"/>
  <c r="AM314" i="5"/>
  <c r="AF314" i="5"/>
  <c r="AL314" i="5" s="1"/>
  <c r="AA314" i="5"/>
  <c r="W314" i="5"/>
  <c r="S314" i="5"/>
  <c r="O314" i="5"/>
  <c r="AV313" i="5"/>
  <c r="AF313" i="5"/>
  <c r="AA313" i="5"/>
  <c r="W313" i="5"/>
  <c r="S313" i="5"/>
  <c r="O313" i="5"/>
  <c r="AV312" i="5"/>
  <c r="AF312" i="5"/>
  <c r="AA312" i="5"/>
  <c r="W312" i="5"/>
  <c r="S312" i="5"/>
  <c r="O312" i="5"/>
  <c r="AV311" i="5"/>
  <c r="AF311" i="5"/>
  <c r="AA311" i="5"/>
  <c r="W311" i="5"/>
  <c r="S311" i="5"/>
  <c r="O311" i="5"/>
  <c r="AM311" i="5" s="1"/>
  <c r="AV310" i="5"/>
  <c r="AF310" i="5"/>
  <c r="AA310" i="5"/>
  <c r="W310" i="5"/>
  <c r="S310" i="5"/>
  <c r="O310" i="5"/>
  <c r="AV309" i="5"/>
  <c r="AF309" i="5"/>
  <c r="AA309" i="5"/>
  <c r="W309" i="5"/>
  <c r="S309" i="5"/>
  <c r="O309" i="5"/>
  <c r="AV308" i="5"/>
  <c r="AF308" i="5"/>
  <c r="AA308" i="5"/>
  <c r="W308" i="5"/>
  <c r="S308" i="5"/>
  <c r="O308" i="5"/>
  <c r="AV307" i="5"/>
  <c r="AF307" i="5"/>
  <c r="AA307" i="5"/>
  <c r="AP307" i="5" s="1"/>
  <c r="W307" i="5"/>
  <c r="S307" i="5"/>
  <c r="O307" i="5"/>
  <c r="AV306" i="5"/>
  <c r="AF306" i="5"/>
  <c r="AA306" i="5"/>
  <c r="W306" i="5"/>
  <c r="S306" i="5"/>
  <c r="AQ306" i="5" s="1"/>
  <c r="O306" i="5"/>
  <c r="AV305" i="5"/>
  <c r="AF305" i="5"/>
  <c r="AA305" i="5"/>
  <c r="W305" i="5"/>
  <c r="S305" i="5"/>
  <c r="O305" i="5"/>
  <c r="AV304" i="5"/>
  <c r="AF304" i="5"/>
  <c r="AA304" i="5"/>
  <c r="W304" i="5"/>
  <c r="S304" i="5"/>
  <c r="O304" i="5"/>
  <c r="AV303" i="5"/>
  <c r="AF303" i="5"/>
  <c r="AA303" i="5"/>
  <c r="W303" i="5"/>
  <c r="S303" i="5"/>
  <c r="O303" i="5"/>
  <c r="AQ303" i="5" s="1"/>
  <c r="AW302" i="5"/>
  <c r="AV302" i="5"/>
  <c r="AF302" i="5"/>
  <c r="AA302" i="5"/>
  <c r="W302" i="5"/>
  <c r="S302" i="5"/>
  <c r="O302" i="5"/>
  <c r="AV301" i="5"/>
  <c r="AF301" i="5"/>
  <c r="AA301" i="5"/>
  <c r="W301" i="5"/>
  <c r="S301" i="5"/>
  <c r="O301" i="5"/>
  <c r="AV300" i="5"/>
  <c r="AF300" i="5"/>
  <c r="AP300" i="5" s="1"/>
  <c r="AA300" i="5"/>
  <c r="W300" i="5"/>
  <c r="S300" i="5"/>
  <c r="O300" i="5"/>
  <c r="AV299" i="5"/>
  <c r="AF299" i="5"/>
  <c r="AA299" i="5"/>
  <c r="W299" i="5"/>
  <c r="S299" i="5"/>
  <c r="O299" i="5"/>
  <c r="AV298" i="5"/>
  <c r="AF298" i="5"/>
  <c r="AA298" i="5"/>
  <c r="W298" i="5"/>
  <c r="S298" i="5"/>
  <c r="O298" i="5"/>
  <c r="AV297" i="5"/>
  <c r="AF297" i="5"/>
  <c r="AA297" i="5"/>
  <c r="W297" i="5"/>
  <c r="S297" i="5"/>
  <c r="O297" i="5"/>
  <c r="AV296" i="5"/>
  <c r="AF296" i="5"/>
  <c r="AA296" i="5"/>
  <c r="W296" i="5"/>
  <c r="S296" i="5"/>
  <c r="O296" i="5"/>
  <c r="AV295" i="5"/>
  <c r="AF295" i="5"/>
  <c r="AA295" i="5"/>
  <c r="W295" i="5"/>
  <c r="S295" i="5"/>
  <c r="O295" i="5"/>
  <c r="AV294" i="5"/>
  <c r="AL294" i="5"/>
  <c r="AF294" i="5"/>
  <c r="AA294" i="5"/>
  <c r="W294" i="5"/>
  <c r="S294" i="5"/>
  <c r="O294" i="5"/>
  <c r="AV293" i="5"/>
  <c r="AF293" i="5"/>
  <c r="AP293" i="5" s="1"/>
  <c r="AA293" i="5"/>
  <c r="W293" i="5"/>
  <c r="S293" i="5"/>
  <c r="O293" i="5"/>
  <c r="AV292" i="5"/>
  <c r="AF292" i="5"/>
  <c r="AA292" i="5"/>
  <c r="W292" i="5"/>
  <c r="AM292" i="5" s="1"/>
  <c r="S292" i="5"/>
  <c r="O292" i="5"/>
  <c r="AV291" i="5"/>
  <c r="AF291" i="5"/>
  <c r="AA291" i="5"/>
  <c r="W291" i="5"/>
  <c r="S291" i="5"/>
  <c r="O291" i="5"/>
  <c r="AV290" i="5"/>
  <c r="AF290" i="5"/>
  <c r="AA290" i="5"/>
  <c r="W290" i="5"/>
  <c r="S290" i="5"/>
  <c r="O290" i="5"/>
  <c r="AW289" i="5"/>
  <c r="AV289" i="5"/>
  <c r="AF289" i="5"/>
  <c r="AA289" i="5"/>
  <c r="W289" i="5"/>
  <c r="S289" i="5"/>
  <c r="O289" i="5"/>
  <c r="AV288" i="5"/>
  <c r="AW288" i="5" s="1"/>
  <c r="AF288" i="5"/>
  <c r="AA288" i="5"/>
  <c r="W288" i="5"/>
  <c r="S288" i="5"/>
  <c r="O288" i="5"/>
  <c r="AV287" i="5"/>
  <c r="AW287" i="5" s="1"/>
  <c r="AF287" i="5"/>
  <c r="AA287" i="5"/>
  <c r="W287" i="5"/>
  <c r="S287" i="5"/>
  <c r="O287" i="5"/>
  <c r="AV286" i="5"/>
  <c r="AF286" i="5"/>
  <c r="AA286" i="5"/>
  <c r="W286" i="5"/>
  <c r="S286" i="5"/>
  <c r="O286" i="5"/>
  <c r="AV285" i="5"/>
  <c r="AF285" i="5"/>
  <c r="AA285" i="5"/>
  <c r="W285" i="5"/>
  <c r="S285" i="5"/>
  <c r="O285" i="5"/>
  <c r="AQ285" i="5" s="1"/>
  <c r="AV284" i="5"/>
  <c r="AF284" i="5"/>
  <c r="AA284" i="5"/>
  <c r="W284" i="5"/>
  <c r="S284" i="5"/>
  <c r="O284" i="5"/>
  <c r="AV283" i="5"/>
  <c r="AF283" i="5"/>
  <c r="AA283" i="5"/>
  <c r="W283" i="5"/>
  <c r="S283" i="5"/>
  <c r="O283" i="5"/>
  <c r="AV282" i="5"/>
  <c r="AF282" i="5"/>
  <c r="AA282" i="5"/>
  <c r="W282" i="5"/>
  <c r="S282" i="5"/>
  <c r="O282" i="5"/>
  <c r="AV281" i="5"/>
  <c r="AF281" i="5"/>
  <c r="AA281" i="5"/>
  <c r="W281" i="5"/>
  <c r="AP281" i="5" s="1"/>
  <c r="S281" i="5"/>
  <c r="O281" i="5"/>
  <c r="AV280" i="5"/>
  <c r="AF280" i="5"/>
  <c r="AA280" i="5"/>
  <c r="W280" i="5"/>
  <c r="S280" i="5"/>
  <c r="O280" i="5"/>
  <c r="AV279" i="5"/>
  <c r="AF279" i="5"/>
  <c r="AA279" i="5"/>
  <c r="W279" i="5"/>
  <c r="S279" i="5"/>
  <c r="O279" i="5"/>
  <c r="AV278" i="5"/>
  <c r="AP278" i="5"/>
  <c r="AF278" i="5"/>
  <c r="AA278" i="5"/>
  <c r="W278" i="5"/>
  <c r="S278" i="5"/>
  <c r="O278" i="5"/>
  <c r="AV277" i="5"/>
  <c r="AW277" i="5" s="1"/>
  <c r="AF277" i="5"/>
  <c r="AA277" i="5"/>
  <c r="W277" i="5"/>
  <c r="S277" i="5"/>
  <c r="O277" i="5"/>
  <c r="AV276" i="5"/>
  <c r="AF276" i="5"/>
  <c r="AA276" i="5"/>
  <c r="W276" i="5"/>
  <c r="S276" i="5"/>
  <c r="O276" i="5"/>
  <c r="AV275" i="5"/>
  <c r="AF275" i="5"/>
  <c r="AA275" i="5"/>
  <c r="W275" i="5"/>
  <c r="S275" i="5"/>
  <c r="O275" i="5"/>
  <c r="AV274" i="5"/>
  <c r="AF274" i="5"/>
  <c r="AA274" i="5"/>
  <c r="W274" i="5"/>
  <c r="S274" i="5"/>
  <c r="O274" i="5"/>
  <c r="AV273" i="5"/>
  <c r="AF273" i="5"/>
  <c r="AA273" i="5"/>
  <c r="W273" i="5"/>
  <c r="S273" i="5"/>
  <c r="O273" i="5"/>
  <c r="AV272" i="5"/>
  <c r="AF272" i="5"/>
  <c r="AA272" i="5"/>
  <c r="W272" i="5"/>
  <c r="S272" i="5"/>
  <c r="O272" i="5"/>
  <c r="AV271" i="5"/>
  <c r="AF271" i="5"/>
  <c r="AA271" i="5"/>
  <c r="AP271" i="5" s="1"/>
  <c r="W271" i="5"/>
  <c r="S271" i="5"/>
  <c r="O271" i="5"/>
  <c r="AV270" i="5"/>
  <c r="AF270" i="5"/>
  <c r="AA270" i="5"/>
  <c r="W270" i="5"/>
  <c r="AP270" i="5" s="1"/>
  <c r="S270" i="5"/>
  <c r="O270" i="5"/>
  <c r="AV269" i="5"/>
  <c r="AF269" i="5"/>
  <c r="AA269" i="5"/>
  <c r="W269" i="5"/>
  <c r="S269" i="5"/>
  <c r="O269" i="5"/>
  <c r="AV268" i="5"/>
  <c r="AF268" i="5"/>
  <c r="AA268" i="5"/>
  <c r="W268" i="5"/>
  <c r="S268" i="5"/>
  <c r="O268" i="5"/>
  <c r="AV267" i="5"/>
  <c r="AF267" i="5"/>
  <c r="AA267" i="5"/>
  <c r="W267" i="5"/>
  <c r="S267" i="5"/>
  <c r="O267" i="5"/>
  <c r="AV266" i="5"/>
  <c r="AF266" i="5"/>
  <c r="AA266" i="5"/>
  <c r="W266" i="5"/>
  <c r="S266" i="5"/>
  <c r="O266" i="5"/>
  <c r="AV265" i="5"/>
  <c r="AW265" i="5" s="1"/>
  <c r="AF265" i="5"/>
  <c r="AA265" i="5"/>
  <c r="W265" i="5"/>
  <c r="S265" i="5"/>
  <c r="O265" i="5"/>
  <c r="AV264" i="5"/>
  <c r="AF264" i="5"/>
  <c r="AA264" i="5"/>
  <c r="W264" i="5"/>
  <c r="S264" i="5"/>
  <c r="O264" i="5"/>
  <c r="AV263" i="5"/>
  <c r="AF263" i="5"/>
  <c r="AA263" i="5"/>
  <c r="W263" i="5"/>
  <c r="AP263" i="5" s="1"/>
  <c r="S263" i="5"/>
  <c r="O263" i="5"/>
  <c r="AV262" i="5"/>
  <c r="AF262" i="5"/>
  <c r="AA262" i="5"/>
  <c r="W262" i="5"/>
  <c r="S262" i="5"/>
  <c r="O262" i="5"/>
  <c r="AM262" i="5" s="1"/>
  <c r="AV261" i="5"/>
  <c r="AF261" i="5"/>
  <c r="AA261" i="5"/>
  <c r="W261" i="5"/>
  <c r="S261" i="5"/>
  <c r="O261" i="5"/>
  <c r="AL261" i="5" s="1"/>
  <c r="AV260" i="5"/>
  <c r="AF260" i="5"/>
  <c r="AP260" i="5" s="1"/>
  <c r="AA260" i="5"/>
  <c r="W260" i="5"/>
  <c r="S260" i="5"/>
  <c r="O260" i="5"/>
  <c r="AV259" i="5"/>
  <c r="AF259" i="5"/>
  <c r="AA259" i="5"/>
  <c r="W259" i="5"/>
  <c r="S259" i="5"/>
  <c r="O259" i="5"/>
  <c r="AV258" i="5"/>
  <c r="AF258" i="5"/>
  <c r="AA258" i="5"/>
  <c r="W258" i="5"/>
  <c r="S258" i="5"/>
  <c r="O258" i="5"/>
  <c r="AV257" i="5"/>
  <c r="AF257" i="5"/>
  <c r="AA257" i="5"/>
  <c r="W257" i="5"/>
  <c r="S257" i="5"/>
  <c r="AQ257" i="5" s="1"/>
  <c r="O257" i="5"/>
  <c r="AV256" i="5"/>
  <c r="AF256" i="5"/>
  <c r="AA256" i="5"/>
  <c r="W256" i="5"/>
  <c r="S256" i="5"/>
  <c r="O256" i="5"/>
  <c r="AV255" i="5"/>
  <c r="AF255" i="5"/>
  <c r="AM255" i="5" s="1"/>
  <c r="AA255" i="5"/>
  <c r="W255" i="5"/>
  <c r="S255" i="5"/>
  <c r="O255" i="5"/>
  <c r="AV254" i="5"/>
  <c r="AF254" i="5"/>
  <c r="AA254" i="5"/>
  <c r="AM254" i="5" s="1"/>
  <c r="W254" i="5"/>
  <c r="S254" i="5"/>
  <c r="O254" i="5"/>
  <c r="AV253" i="5"/>
  <c r="AF253" i="5"/>
  <c r="AA253" i="5"/>
  <c r="W253" i="5"/>
  <c r="S253" i="5"/>
  <c r="AQ253" i="5" s="1"/>
  <c r="O253" i="5"/>
  <c r="AV252" i="5"/>
  <c r="AF252" i="5"/>
  <c r="AA252" i="5"/>
  <c r="W252" i="5"/>
  <c r="S252" i="5"/>
  <c r="O252" i="5"/>
  <c r="AV251" i="5"/>
  <c r="AF251" i="5"/>
  <c r="AA251" i="5"/>
  <c r="W251" i="5"/>
  <c r="S251" i="5"/>
  <c r="O251" i="5"/>
  <c r="AM251" i="5" s="1"/>
  <c r="AV250" i="5"/>
  <c r="AQ250" i="5"/>
  <c r="AF250" i="5"/>
  <c r="AA250" i="5"/>
  <c r="W250" i="5"/>
  <c r="S250" i="5"/>
  <c r="O250" i="5"/>
  <c r="AL250" i="5" s="1"/>
  <c r="AV249" i="5"/>
  <c r="AF249" i="5"/>
  <c r="AA249" i="5"/>
  <c r="W249" i="5"/>
  <c r="S249" i="5"/>
  <c r="O249" i="5"/>
  <c r="AV248" i="5"/>
  <c r="AF248" i="5"/>
  <c r="AA248" i="5"/>
  <c r="W248" i="5"/>
  <c r="S248" i="5"/>
  <c r="O248" i="5"/>
  <c r="AV247" i="5"/>
  <c r="AF247" i="5"/>
  <c r="AA247" i="5"/>
  <c r="W247" i="5"/>
  <c r="S247" i="5"/>
  <c r="O247" i="5"/>
  <c r="AV246" i="5"/>
  <c r="AF246" i="5"/>
  <c r="AA246" i="5"/>
  <c r="W246" i="5"/>
  <c r="AQ246" i="5" s="1"/>
  <c r="S246" i="5"/>
  <c r="O246" i="5"/>
  <c r="AV245" i="5"/>
  <c r="AF245" i="5"/>
  <c r="AA245" i="5"/>
  <c r="W245" i="5"/>
  <c r="S245" i="5"/>
  <c r="O245" i="5"/>
  <c r="AV244" i="5"/>
  <c r="AF244" i="5"/>
  <c r="AA244" i="5"/>
  <c r="W244" i="5"/>
  <c r="S244" i="5"/>
  <c r="O244" i="5"/>
  <c r="AV243" i="5"/>
  <c r="AL243" i="5"/>
  <c r="AF243" i="5"/>
  <c r="AA243" i="5"/>
  <c r="W243" i="5"/>
  <c r="S243" i="5"/>
  <c r="O243" i="5"/>
  <c r="AV242" i="5"/>
  <c r="AF242" i="5"/>
  <c r="AA242" i="5"/>
  <c r="W242" i="5"/>
  <c r="S242" i="5"/>
  <c r="O242" i="5"/>
  <c r="AV241" i="5"/>
  <c r="AF241" i="5"/>
  <c r="AA241" i="5"/>
  <c r="W241" i="5"/>
  <c r="S241" i="5"/>
  <c r="O241" i="5"/>
  <c r="AV240" i="5"/>
  <c r="AF240" i="5"/>
  <c r="AA240" i="5"/>
  <c r="W240" i="5"/>
  <c r="S240" i="5"/>
  <c r="O240" i="5"/>
  <c r="AP240" i="5" s="1"/>
  <c r="AV239" i="5"/>
  <c r="AF239" i="5"/>
  <c r="AA239" i="5"/>
  <c r="W239" i="5"/>
  <c r="S239" i="5"/>
  <c r="O239" i="5"/>
  <c r="AV238" i="5"/>
  <c r="AM238" i="5"/>
  <c r="AF238" i="5"/>
  <c r="AA238" i="5"/>
  <c r="W238" i="5"/>
  <c r="S238" i="5"/>
  <c r="O238" i="5"/>
  <c r="AV237" i="5"/>
  <c r="AF237" i="5"/>
  <c r="AP237" i="5" s="1"/>
  <c r="AA237" i="5"/>
  <c r="W237" i="5"/>
  <c r="S237" i="5"/>
  <c r="O237" i="5"/>
  <c r="AV236" i="5"/>
  <c r="AF236" i="5"/>
  <c r="AA236" i="5"/>
  <c r="W236" i="5"/>
  <c r="S236" i="5"/>
  <c r="O236" i="5"/>
  <c r="AV235" i="5"/>
  <c r="AF235" i="5"/>
  <c r="AA235" i="5"/>
  <c r="W235" i="5"/>
  <c r="S235" i="5"/>
  <c r="O235" i="5"/>
  <c r="AQ235" i="5" s="1"/>
  <c r="AV234" i="5"/>
  <c r="AF234" i="5"/>
  <c r="AA234" i="5"/>
  <c r="W234" i="5"/>
  <c r="S234" i="5"/>
  <c r="O234" i="5"/>
  <c r="AQ234" i="5" s="1"/>
  <c r="AV233" i="5"/>
  <c r="AF233" i="5"/>
  <c r="AP233" i="5" s="1"/>
  <c r="AA233" i="5"/>
  <c r="W233" i="5"/>
  <c r="S233" i="5"/>
  <c r="O233" i="5"/>
  <c r="AV232" i="5"/>
  <c r="AW232" i="5" s="1"/>
  <c r="AF232" i="5"/>
  <c r="AA232" i="5"/>
  <c r="W232" i="5"/>
  <c r="S232" i="5"/>
  <c r="O232" i="5"/>
  <c r="AW231" i="5"/>
  <c r="AV231" i="5"/>
  <c r="AF231" i="5"/>
  <c r="AA231" i="5"/>
  <c r="W231" i="5"/>
  <c r="S231" i="5"/>
  <c r="AQ231" i="5" s="1"/>
  <c r="O231" i="5"/>
  <c r="AV230" i="5"/>
  <c r="AF230" i="5"/>
  <c r="AA230" i="5"/>
  <c r="W230" i="5"/>
  <c r="S230" i="5"/>
  <c r="O230" i="5"/>
  <c r="AV229" i="5"/>
  <c r="AF229" i="5"/>
  <c r="AA229" i="5"/>
  <c r="W229" i="5"/>
  <c r="S229" i="5"/>
  <c r="O229" i="5"/>
  <c r="AV228" i="5"/>
  <c r="AF228" i="5"/>
  <c r="AA228" i="5"/>
  <c r="W228" i="5"/>
  <c r="S228" i="5"/>
  <c r="O228" i="5"/>
  <c r="AV227" i="5"/>
  <c r="AF227" i="5"/>
  <c r="AA227" i="5"/>
  <c r="W227" i="5"/>
  <c r="S227" i="5"/>
  <c r="O227" i="5"/>
  <c r="AV226" i="5"/>
  <c r="AF226" i="5"/>
  <c r="AA226" i="5"/>
  <c r="W226" i="5"/>
  <c r="S226" i="5"/>
  <c r="O226" i="5"/>
  <c r="AV225" i="5"/>
  <c r="AW225" i="5" s="1"/>
  <c r="AF225" i="5"/>
  <c r="AA225" i="5"/>
  <c r="W225" i="5"/>
  <c r="S225" i="5"/>
  <c r="O225" i="5"/>
  <c r="AV224" i="5"/>
  <c r="AF224" i="5"/>
  <c r="AA224" i="5"/>
  <c r="W224" i="5"/>
  <c r="S224" i="5"/>
  <c r="O224" i="5"/>
  <c r="AV223" i="5"/>
  <c r="AF223" i="5"/>
  <c r="AA223" i="5"/>
  <c r="W223" i="5"/>
  <c r="S223" i="5"/>
  <c r="O223" i="5"/>
  <c r="AV222" i="5"/>
  <c r="AF222" i="5"/>
  <c r="AA222" i="5"/>
  <c r="AQ222" i="5" s="1"/>
  <c r="W222" i="5"/>
  <c r="S222" i="5"/>
  <c r="O222" i="5"/>
  <c r="AV221" i="5"/>
  <c r="AF221" i="5"/>
  <c r="AA221" i="5"/>
  <c r="W221" i="5"/>
  <c r="S221" i="5"/>
  <c r="O221" i="5"/>
  <c r="AV220" i="5"/>
  <c r="AF220" i="5"/>
  <c r="AA220" i="5"/>
  <c r="W220" i="5"/>
  <c r="S220" i="5"/>
  <c r="O220" i="5"/>
  <c r="AV219" i="5"/>
  <c r="AF219" i="5"/>
  <c r="AA219" i="5"/>
  <c r="W219" i="5"/>
  <c r="S219" i="5"/>
  <c r="O219" i="5"/>
  <c r="AV218" i="5"/>
  <c r="AF218" i="5"/>
  <c r="AA218" i="5"/>
  <c r="W218" i="5"/>
  <c r="S218" i="5"/>
  <c r="O218" i="5"/>
  <c r="AP218" i="5" s="1"/>
  <c r="AV217" i="5"/>
  <c r="AF217" i="5"/>
  <c r="AA217" i="5"/>
  <c r="W217" i="5"/>
  <c r="S217" i="5"/>
  <c r="O217" i="5"/>
  <c r="AV216" i="5"/>
  <c r="AF216" i="5"/>
  <c r="AA216" i="5"/>
  <c r="W216" i="5"/>
  <c r="S216" i="5"/>
  <c r="O216" i="5"/>
  <c r="AV215" i="5"/>
  <c r="AF215" i="5"/>
  <c r="AA215" i="5"/>
  <c r="W215" i="5"/>
  <c r="S215" i="5"/>
  <c r="O215" i="5"/>
  <c r="AV214" i="5"/>
  <c r="AF214" i="5"/>
  <c r="AA214" i="5"/>
  <c r="W214" i="5"/>
  <c r="S214" i="5"/>
  <c r="O214" i="5"/>
  <c r="AV213" i="5"/>
  <c r="AF213" i="5"/>
  <c r="AA213" i="5"/>
  <c r="W213" i="5"/>
  <c r="S213" i="5"/>
  <c r="O213" i="5"/>
  <c r="AQ213" i="5" s="1"/>
  <c r="AV212" i="5"/>
  <c r="AM212" i="5"/>
  <c r="AF212" i="5"/>
  <c r="AA212" i="5"/>
  <c r="W212" i="5"/>
  <c r="S212" i="5"/>
  <c r="O212" i="5"/>
  <c r="AP212" i="5" s="1"/>
  <c r="AV211" i="5"/>
  <c r="AF211" i="5"/>
  <c r="AP211" i="5" s="1"/>
  <c r="AA211" i="5"/>
  <c r="W211" i="5"/>
  <c r="S211" i="5"/>
  <c r="O211" i="5"/>
  <c r="AV210" i="5"/>
  <c r="AW210" i="5" s="1"/>
  <c r="AF210" i="5"/>
  <c r="AA210" i="5"/>
  <c r="W210" i="5"/>
  <c r="S210" i="5"/>
  <c r="O210" i="5"/>
  <c r="AV209" i="5"/>
  <c r="AF209" i="5"/>
  <c r="AA209" i="5"/>
  <c r="W209" i="5"/>
  <c r="S209" i="5"/>
  <c r="O209" i="5"/>
  <c r="AP209" i="5" s="1"/>
  <c r="AV208" i="5"/>
  <c r="AF208" i="5"/>
  <c r="AA208" i="5"/>
  <c r="W208" i="5"/>
  <c r="S208" i="5"/>
  <c r="O208" i="5"/>
  <c r="AV207" i="5"/>
  <c r="AF207" i="5"/>
  <c r="AA207" i="5"/>
  <c r="W207" i="5"/>
  <c r="S207" i="5"/>
  <c r="O207" i="5"/>
  <c r="AV206" i="5"/>
  <c r="AF206" i="5"/>
  <c r="AQ206" i="5" s="1"/>
  <c r="AA206" i="5"/>
  <c r="W206" i="5"/>
  <c r="S206" i="5"/>
  <c r="O206" i="5"/>
  <c r="AV205" i="5"/>
  <c r="AF205" i="5"/>
  <c r="AA205" i="5"/>
  <c r="W205" i="5"/>
  <c r="S205" i="5"/>
  <c r="O205" i="5"/>
  <c r="AV204" i="5"/>
  <c r="AW204" i="5" s="1"/>
  <c r="AF204" i="5"/>
  <c r="AA204" i="5"/>
  <c r="W204" i="5"/>
  <c r="S204" i="5"/>
  <c r="O204" i="5"/>
  <c r="AV203" i="5"/>
  <c r="AF203" i="5"/>
  <c r="AA203" i="5"/>
  <c r="W203" i="5"/>
  <c r="S203" i="5"/>
  <c r="O203" i="5"/>
  <c r="AV202" i="5"/>
  <c r="AF202" i="5"/>
  <c r="AA202" i="5"/>
  <c r="W202" i="5"/>
  <c r="S202" i="5"/>
  <c r="O202" i="5"/>
  <c r="AP202" i="5" s="1"/>
  <c r="AV201" i="5"/>
  <c r="AF201" i="5"/>
  <c r="AA201" i="5"/>
  <c r="W201" i="5"/>
  <c r="S201" i="5"/>
  <c r="O201" i="5"/>
  <c r="AV200" i="5"/>
  <c r="AW200" i="5" s="1"/>
  <c r="AF200" i="5"/>
  <c r="AA200" i="5"/>
  <c r="W200" i="5"/>
  <c r="S200" i="5"/>
  <c r="O200" i="5"/>
  <c r="AV199" i="5"/>
  <c r="AF199" i="5"/>
  <c r="AA199" i="5"/>
  <c r="W199" i="5"/>
  <c r="S199" i="5"/>
  <c r="AQ199" i="5" s="1"/>
  <c r="O199" i="5"/>
  <c r="AV198" i="5"/>
  <c r="AF198" i="5"/>
  <c r="AA198" i="5"/>
  <c r="W198" i="5"/>
  <c r="S198" i="5"/>
  <c r="O198" i="5"/>
  <c r="AP198" i="5" s="1"/>
  <c r="AV197" i="5"/>
  <c r="AF197" i="5"/>
  <c r="AA197" i="5"/>
  <c r="W197" i="5"/>
  <c r="S197" i="5"/>
  <c r="O197" i="5"/>
  <c r="AV196" i="5"/>
  <c r="AF196" i="5"/>
  <c r="AA196" i="5"/>
  <c r="W196" i="5"/>
  <c r="S196" i="5"/>
  <c r="O196" i="5"/>
  <c r="AV195" i="5"/>
  <c r="AF195" i="5"/>
  <c r="AA195" i="5"/>
  <c r="W195" i="5"/>
  <c r="S195" i="5"/>
  <c r="O195" i="5"/>
  <c r="AV194" i="5"/>
  <c r="AF194" i="5"/>
  <c r="AA194" i="5"/>
  <c r="W194" i="5"/>
  <c r="S194" i="5"/>
  <c r="O194" i="5"/>
  <c r="AL194" i="5" s="1"/>
  <c r="AV193" i="5"/>
  <c r="AF193" i="5"/>
  <c r="AA193" i="5"/>
  <c r="W193" i="5"/>
  <c r="S193" i="5"/>
  <c r="O193" i="5"/>
  <c r="AV192" i="5"/>
  <c r="AF192" i="5"/>
  <c r="AA192" i="5"/>
  <c r="W192" i="5"/>
  <c r="S192" i="5"/>
  <c r="O192" i="5"/>
  <c r="AV191" i="5"/>
  <c r="AF191" i="5"/>
  <c r="AA191" i="5"/>
  <c r="W191" i="5"/>
  <c r="S191" i="5"/>
  <c r="AP191" i="5" s="1"/>
  <c r="O191" i="5"/>
  <c r="AV190" i="5"/>
  <c r="AF190" i="5"/>
  <c r="AA190" i="5"/>
  <c r="W190" i="5"/>
  <c r="AM190" i="5" s="1"/>
  <c r="S190" i="5"/>
  <c r="O190" i="5"/>
  <c r="AV189" i="5"/>
  <c r="AF189" i="5"/>
  <c r="AA189" i="5"/>
  <c r="W189" i="5"/>
  <c r="S189" i="5"/>
  <c r="O189" i="5"/>
  <c r="AV188" i="5"/>
  <c r="AF188" i="5"/>
  <c r="AA188" i="5"/>
  <c r="AP188" i="5" s="1"/>
  <c r="W188" i="5"/>
  <c r="S188" i="5"/>
  <c r="O188" i="5"/>
  <c r="AV187" i="5"/>
  <c r="AM187" i="5"/>
  <c r="AF187" i="5"/>
  <c r="AA187" i="5"/>
  <c r="W187" i="5"/>
  <c r="S187" i="5"/>
  <c r="O187" i="5"/>
  <c r="AV186" i="5"/>
  <c r="AF186" i="5"/>
  <c r="AA186" i="5"/>
  <c r="W186" i="5"/>
  <c r="S186" i="5"/>
  <c r="O186" i="5"/>
  <c r="AV185" i="5"/>
  <c r="AF185" i="5"/>
  <c r="AA185" i="5"/>
  <c r="W185" i="5"/>
  <c r="S185" i="5"/>
  <c r="AQ185" i="5" s="1"/>
  <c r="O185" i="5"/>
  <c r="AV184" i="5"/>
  <c r="AF184" i="5"/>
  <c r="AA184" i="5"/>
  <c r="W184" i="5"/>
  <c r="S184" i="5"/>
  <c r="O184" i="5"/>
  <c r="AV183" i="5"/>
  <c r="AF183" i="5"/>
  <c r="AA183" i="5"/>
  <c r="W183" i="5"/>
  <c r="S183" i="5"/>
  <c r="O183" i="5"/>
  <c r="AP183" i="5" s="1"/>
  <c r="AV182" i="5"/>
  <c r="AF182" i="5"/>
  <c r="AA182" i="5"/>
  <c r="W182" i="5"/>
  <c r="S182" i="5"/>
  <c r="O182" i="5"/>
  <c r="AV181" i="5"/>
  <c r="AF181" i="5"/>
  <c r="AA181" i="5"/>
  <c r="W181" i="5"/>
  <c r="S181" i="5"/>
  <c r="O181" i="5"/>
  <c r="AV180" i="5"/>
  <c r="AF180" i="5"/>
  <c r="AA180" i="5"/>
  <c r="W180" i="5"/>
  <c r="S180" i="5"/>
  <c r="O180" i="5"/>
  <c r="AV179" i="5"/>
  <c r="AF179" i="5"/>
  <c r="AA179" i="5"/>
  <c r="W179" i="5"/>
  <c r="S179" i="5"/>
  <c r="O179" i="5"/>
  <c r="AL179" i="5" s="1"/>
  <c r="AV178" i="5"/>
  <c r="AF178" i="5"/>
  <c r="AA178" i="5"/>
  <c r="W178" i="5"/>
  <c r="S178" i="5"/>
  <c r="O178" i="5"/>
  <c r="AV177" i="5"/>
  <c r="AF177" i="5"/>
  <c r="AA177" i="5"/>
  <c r="W177" i="5"/>
  <c r="S177" i="5"/>
  <c r="O177" i="5"/>
  <c r="AV176" i="5"/>
  <c r="AF176" i="5"/>
  <c r="AA176" i="5"/>
  <c r="W176" i="5"/>
  <c r="S176" i="5"/>
  <c r="O176" i="5"/>
  <c r="AQ176" i="5" s="1"/>
  <c r="AV175" i="5"/>
  <c r="AF175" i="5"/>
  <c r="AA175" i="5"/>
  <c r="W175" i="5"/>
  <c r="S175" i="5"/>
  <c r="O175" i="5"/>
  <c r="AV174" i="5"/>
  <c r="AF174" i="5"/>
  <c r="AA174" i="5"/>
  <c r="W174" i="5"/>
  <c r="S174" i="5"/>
  <c r="O174" i="5"/>
  <c r="AV173" i="5"/>
  <c r="AF173" i="5"/>
  <c r="AA173" i="5"/>
  <c r="AQ173" i="5" s="1"/>
  <c r="W173" i="5"/>
  <c r="S173" i="5"/>
  <c r="O173" i="5"/>
  <c r="AV172" i="5"/>
  <c r="AF172" i="5"/>
  <c r="AA172" i="5"/>
  <c r="W172" i="5"/>
  <c r="S172" i="5"/>
  <c r="O172" i="5"/>
  <c r="AV171" i="5"/>
  <c r="AF171" i="5"/>
  <c r="AA171" i="5"/>
  <c r="W171" i="5"/>
  <c r="S171" i="5"/>
  <c r="O171" i="5"/>
  <c r="AQ171" i="5" s="1"/>
  <c r="AV170" i="5"/>
  <c r="AF170" i="5"/>
  <c r="AA170" i="5"/>
  <c r="W170" i="5"/>
  <c r="S170" i="5"/>
  <c r="O170" i="5"/>
  <c r="AV169" i="5"/>
  <c r="AF169" i="5"/>
  <c r="AA169" i="5"/>
  <c r="W169" i="5"/>
  <c r="S169" i="5"/>
  <c r="O169" i="5"/>
  <c r="AV168" i="5"/>
  <c r="AW168" i="5" s="1"/>
  <c r="AF168" i="5"/>
  <c r="AA168" i="5"/>
  <c r="W168" i="5"/>
  <c r="S168" i="5"/>
  <c r="O168" i="5"/>
  <c r="AV167" i="5"/>
  <c r="AW167" i="5" s="1"/>
  <c r="AF167" i="5"/>
  <c r="AA167" i="5"/>
  <c r="W167" i="5"/>
  <c r="S167" i="5"/>
  <c r="O167" i="5"/>
  <c r="AV166" i="5"/>
  <c r="AF166" i="5"/>
  <c r="AA166" i="5"/>
  <c r="W166" i="5"/>
  <c r="S166" i="5"/>
  <c r="O166" i="5"/>
  <c r="AV165" i="5"/>
  <c r="AF165" i="5"/>
  <c r="AA165" i="5"/>
  <c r="W165" i="5"/>
  <c r="S165" i="5"/>
  <c r="O165" i="5"/>
  <c r="AV164" i="5"/>
  <c r="AF164" i="5"/>
  <c r="AA164" i="5"/>
  <c r="W164" i="5"/>
  <c r="S164" i="5"/>
  <c r="AM164" i="5" s="1"/>
  <c r="O164" i="5"/>
  <c r="AV163" i="5"/>
  <c r="AW163" i="5" s="1"/>
  <c r="AF163" i="5"/>
  <c r="AA163" i="5"/>
  <c r="W163" i="5"/>
  <c r="S163" i="5"/>
  <c r="O163" i="5"/>
  <c r="AV162" i="5"/>
  <c r="AF162" i="5"/>
  <c r="AA162" i="5"/>
  <c r="W162" i="5"/>
  <c r="S162" i="5"/>
  <c r="AM162" i="5" s="1"/>
  <c r="O162" i="5"/>
  <c r="AP162" i="5" s="1"/>
  <c r="AV161" i="5"/>
  <c r="AF161" i="5"/>
  <c r="AA161" i="5"/>
  <c r="W161" i="5"/>
  <c r="S161" i="5"/>
  <c r="O161" i="5"/>
  <c r="AV160" i="5"/>
  <c r="AF160" i="5"/>
  <c r="AA160" i="5"/>
  <c r="W160" i="5"/>
  <c r="S160" i="5"/>
  <c r="O160" i="5"/>
  <c r="AV159" i="5"/>
  <c r="AF159" i="5"/>
  <c r="AA159" i="5"/>
  <c r="W159" i="5"/>
  <c r="S159" i="5"/>
  <c r="O159" i="5"/>
  <c r="AV158" i="5"/>
  <c r="AF158" i="5"/>
  <c r="AA158" i="5"/>
  <c r="W158" i="5"/>
  <c r="S158" i="5"/>
  <c r="O158" i="5"/>
  <c r="AV157" i="5"/>
  <c r="AP157" i="5"/>
  <c r="AF157" i="5"/>
  <c r="AA157" i="5"/>
  <c r="W157" i="5"/>
  <c r="AM157" i="5" s="1"/>
  <c r="S157" i="5"/>
  <c r="O157" i="5"/>
  <c r="AV156" i="5"/>
  <c r="AF156" i="5"/>
  <c r="AA156" i="5"/>
  <c r="W156" i="5"/>
  <c r="S156" i="5"/>
  <c r="O156" i="5"/>
  <c r="AQ156" i="5" s="1"/>
  <c r="AV155" i="5"/>
  <c r="AF155" i="5"/>
  <c r="AA155" i="5"/>
  <c r="W155" i="5"/>
  <c r="S155" i="5"/>
  <c r="O155" i="5"/>
  <c r="AV154" i="5"/>
  <c r="AF154" i="5"/>
  <c r="AA154" i="5"/>
  <c r="W154" i="5"/>
  <c r="S154" i="5"/>
  <c r="O154" i="5"/>
  <c r="AV153" i="5"/>
  <c r="AF153" i="5"/>
  <c r="AA153" i="5"/>
  <c r="W153" i="5"/>
  <c r="S153" i="5"/>
  <c r="O153" i="5"/>
  <c r="AV152" i="5"/>
  <c r="AF152" i="5"/>
  <c r="AA152" i="5"/>
  <c r="AM152" i="5" s="1"/>
  <c r="W152" i="5"/>
  <c r="S152" i="5"/>
  <c r="O152" i="5"/>
  <c r="AV151" i="5"/>
  <c r="AF151" i="5"/>
  <c r="AA151" i="5"/>
  <c r="AQ151" i="5" s="1"/>
  <c r="W151" i="5"/>
  <c r="S151" i="5"/>
  <c r="O151" i="5"/>
  <c r="AV150" i="5"/>
  <c r="AF150" i="5"/>
  <c r="AA150" i="5"/>
  <c r="W150" i="5"/>
  <c r="S150" i="5"/>
  <c r="O150" i="5"/>
  <c r="AV149" i="5"/>
  <c r="AW149" i="5" s="1"/>
  <c r="AF149" i="5"/>
  <c r="AA149" i="5"/>
  <c r="W149" i="5"/>
  <c r="S149" i="5"/>
  <c r="O149" i="5"/>
  <c r="AP149" i="5" s="1"/>
  <c r="AV148" i="5"/>
  <c r="AL148" i="5"/>
  <c r="AF148" i="5"/>
  <c r="AA148" i="5"/>
  <c r="W148" i="5"/>
  <c r="S148" i="5"/>
  <c r="O148" i="5"/>
  <c r="AM148" i="5" s="1"/>
  <c r="AV147" i="5"/>
  <c r="AP147" i="5"/>
  <c r="AF147" i="5"/>
  <c r="AA147" i="5"/>
  <c r="W147" i="5"/>
  <c r="S147" i="5"/>
  <c r="O147" i="5"/>
  <c r="AV146" i="5"/>
  <c r="AF146" i="5"/>
  <c r="AA146" i="5"/>
  <c r="W146" i="5"/>
  <c r="S146" i="5"/>
  <c r="O146" i="5"/>
  <c r="AV145" i="5"/>
  <c r="AF145" i="5"/>
  <c r="AA145" i="5"/>
  <c r="W145" i="5"/>
  <c r="S145" i="5"/>
  <c r="O145" i="5"/>
  <c r="AV144" i="5"/>
  <c r="AF144" i="5"/>
  <c r="AA144" i="5"/>
  <c r="W144" i="5"/>
  <c r="AM144" i="5" s="1"/>
  <c r="S144" i="5"/>
  <c r="O144" i="5"/>
  <c r="AV143" i="5"/>
  <c r="AF143" i="5"/>
  <c r="AA143" i="5"/>
  <c r="AQ143" i="5" s="1"/>
  <c r="W143" i="5"/>
  <c r="S143" i="5"/>
  <c r="O143" i="5"/>
  <c r="AV142" i="5"/>
  <c r="AF142" i="5"/>
  <c r="AA142" i="5"/>
  <c r="W142" i="5"/>
  <c r="S142" i="5"/>
  <c r="AQ142" i="5" s="1"/>
  <c r="O142" i="5"/>
  <c r="AV141" i="5"/>
  <c r="AF141" i="5"/>
  <c r="AA141" i="5"/>
  <c r="W141" i="5"/>
  <c r="AQ141" i="5" s="1"/>
  <c r="S141" i="5"/>
  <c r="O141" i="5"/>
  <c r="AV140" i="5"/>
  <c r="AM140" i="5"/>
  <c r="AF140" i="5"/>
  <c r="AA140" i="5"/>
  <c r="W140" i="5"/>
  <c r="AL140" i="5" s="1"/>
  <c r="AN140" i="5" s="1"/>
  <c r="AW140" i="5" s="1"/>
  <c r="S140" i="5"/>
  <c r="AQ140" i="5" s="1"/>
  <c r="O140" i="5"/>
  <c r="AP140" i="5" s="1"/>
  <c r="AR140" i="5" s="1"/>
  <c r="AV139" i="5"/>
  <c r="AF139" i="5"/>
  <c r="AA139" i="5"/>
  <c r="W139" i="5"/>
  <c r="S139" i="5"/>
  <c r="O139" i="5"/>
  <c r="AV138" i="5"/>
  <c r="AF138" i="5"/>
  <c r="AA138" i="5"/>
  <c r="W138" i="5"/>
  <c r="S138" i="5"/>
  <c r="O138" i="5"/>
  <c r="AV137" i="5"/>
  <c r="AW137" i="5" s="1"/>
  <c r="AF137" i="5"/>
  <c r="AA137" i="5"/>
  <c r="W137" i="5"/>
  <c r="S137" i="5"/>
  <c r="AM137" i="5" s="1"/>
  <c r="O137" i="5"/>
  <c r="AV136" i="5"/>
  <c r="AF136" i="5"/>
  <c r="AA136" i="5"/>
  <c r="W136" i="5"/>
  <c r="S136" i="5"/>
  <c r="O136" i="5"/>
  <c r="AV135" i="5"/>
  <c r="AF135" i="5"/>
  <c r="AA135" i="5"/>
  <c r="W135" i="5"/>
  <c r="S135" i="5"/>
  <c r="O135" i="5"/>
  <c r="AV134" i="5"/>
  <c r="AM134" i="5"/>
  <c r="AL134" i="5"/>
  <c r="AN134" i="5" s="1"/>
  <c r="AF134" i="5"/>
  <c r="AA134" i="5"/>
  <c r="W134" i="5"/>
  <c r="S134" i="5"/>
  <c r="O134" i="5"/>
  <c r="AV133" i="5"/>
  <c r="AQ133" i="5"/>
  <c r="AP133" i="5"/>
  <c r="AR133" i="5" s="1"/>
  <c r="AF133" i="5"/>
  <c r="AA133" i="5"/>
  <c r="W133" i="5"/>
  <c r="S133" i="5"/>
  <c r="O133" i="5"/>
  <c r="AL133" i="5" s="1"/>
  <c r="AV132" i="5"/>
  <c r="AF132" i="5"/>
  <c r="AA132" i="5"/>
  <c r="W132" i="5"/>
  <c r="S132" i="5"/>
  <c r="O132" i="5"/>
  <c r="AV131" i="5"/>
  <c r="AF131" i="5"/>
  <c r="AA131" i="5"/>
  <c r="W131" i="5"/>
  <c r="AQ131" i="5" s="1"/>
  <c r="S131" i="5"/>
  <c r="O131" i="5"/>
  <c r="AV130" i="5"/>
  <c r="AF130" i="5"/>
  <c r="AL130" i="5" s="1"/>
  <c r="AA130" i="5"/>
  <c r="W130" i="5"/>
  <c r="S130" i="5"/>
  <c r="O130" i="5"/>
  <c r="AV129" i="5"/>
  <c r="AF129" i="5"/>
  <c r="AA129" i="5"/>
  <c r="W129" i="5"/>
  <c r="S129" i="5"/>
  <c r="O129" i="5"/>
  <c r="AV128" i="5"/>
  <c r="AF128" i="5"/>
  <c r="AA128" i="5"/>
  <c r="W128" i="5"/>
  <c r="S128" i="5"/>
  <c r="O128" i="5"/>
  <c r="AM128" i="5" s="1"/>
  <c r="AV127" i="5"/>
  <c r="AF127" i="5"/>
  <c r="AA127" i="5"/>
  <c r="W127" i="5"/>
  <c r="S127" i="5"/>
  <c r="O127" i="5"/>
  <c r="AQ127" i="5" s="1"/>
  <c r="AV126" i="5"/>
  <c r="AQ126" i="5"/>
  <c r="AF126" i="5"/>
  <c r="AA126" i="5"/>
  <c r="W126" i="5"/>
  <c r="S126" i="5"/>
  <c r="O126" i="5"/>
  <c r="AM126" i="5" s="1"/>
  <c r="AV125" i="5"/>
  <c r="AW125" i="5" s="1"/>
  <c r="AF125" i="5"/>
  <c r="AA125" i="5"/>
  <c r="W125" i="5"/>
  <c r="S125" i="5"/>
  <c r="O125" i="5"/>
  <c r="AV124" i="5"/>
  <c r="AW124" i="5" s="1"/>
  <c r="AF124" i="5"/>
  <c r="AL124" i="5" s="1"/>
  <c r="AA124" i="5"/>
  <c r="W124" i="5"/>
  <c r="S124" i="5"/>
  <c r="O124" i="5"/>
  <c r="AV123" i="5"/>
  <c r="AW123" i="5" s="1"/>
  <c r="AQ123" i="5"/>
  <c r="AP123" i="5"/>
  <c r="AR123" i="5" s="1"/>
  <c r="AF123" i="5"/>
  <c r="AA123" i="5"/>
  <c r="W123" i="5"/>
  <c r="S123" i="5"/>
  <c r="O123" i="5"/>
  <c r="AL123" i="5" s="1"/>
  <c r="AV122" i="5"/>
  <c r="AF122" i="5"/>
  <c r="AA122" i="5"/>
  <c r="W122" i="5"/>
  <c r="S122" i="5"/>
  <c r="O122" i="5"/>
  <c r="AV121" i="5"/>
  <c r="AW121" i="5" s="1"/>
  <c r="AF121" i="5"/>
  <c r="AA121" i="5"/>
  <c r="W121" i="5"/>
  <c r="S121" i="5"/>
  <c r="O121" i="5"/>
  <c r="AV120" i="5"/>
  <c r="AW120" i="5" s="1"/>
  <c r="AF120" i="5"/>
  <c r="AA120" i="5"/>
  <c r="W120" i="5"/>
  <c r="S120" i="5"/>
  <c r="O120" i="5"/>
  <c r="AM120" i="5" s="1"/>
  <c r="AV119" i="5"/>
  <c r="AF119" i="5"/>
  <c r="AA119" i="5"/>
  <c r="W119" i="5"/>
  <c r="S119" i="5"/>
  <c r="O119" i="5"/>
  <c r="AM119" i="5" s="1"/>
  <c r="AV118" i="5"/>
  <c r="AF118" i="5"/>
  <c r="AA118" i="5"/>
  <c r="W118" i="5"/>
  <c r="S118" i="5"/>
  <c r="O118" i="5"/>
  <c r="AV117" i="5"/>
  <c r="AF117" i="5"/>
  <c r="AA117" i="5"/>
  <c r="W117" i="5"/>
  <c r="AM117" i="5" s="1"/>
  <c r="S117" i="5"/>
  <c r="O117" i="5"/>
  <c r="AV116" i="5"/>
  <c r="AF116" i="5"/>
  <c r="AA116" i="5"/>
  <c r="W116" i="5"/>
  <c r="S116" i="5"/>
  <c r="AQ116" i="5" s="1"/>
  <c r="O116" i="5"/>
  <c r="AV115" i="5"/>
  <c r="AF115" i="5"/>
  <c r="AA115" i="5"/>
  <c r="W115" i="5"/>
  <c r="S115" i="5"/>
  <c r="O115" i="5"/>
  <c r="AQ115" i="5" s="1"/>
  <c r="AV114" i="5"/>
  <c r="AF114" i="5"/>
  <c r="AA114" i="5"/>
  <c r="W114" i="5"/>
  <c r="S114" i="5"/>
  <c r="O114" i="5"/>
  <c r="AP114" i="5" s="1"/>
  <c r="AV113" i="5"/>
  <c r="AF113" i="5"/>
  <c r="AA113" i="5"/>
  <c r="W113" i="5"/>
  <c r="S113" i="5"/>
  <c r="O113" i="5"/>
  <c r="AL113" i="5" s="1"/>
  <c r="AV112" i="5"/>
  <c r="AF112" i="5"/>
  <c r="AA112" i="5"/>
  <c r="W112" i="5"/>
  <c r="S112" i="5"/>
  <c r="O112" i="5"/>
  <c r="AP112" i="5" s="1"/>
  <c r="AV111" i="5"/>
  <c r="AF111" i="5"/>
  <c r="AL111" i="5" s="1"/>
  <c r="AA111" i="5"/>
  <c r="W111" i="5"/>
  <c r="S111" i="5"/>
  <c r="O111" i="5"/>
  <c r="AV110" i="5"/>
  <c r="AF110" i="5"/>
  <c r="AA110" i="5"/>
  <c r="W110" i="5"/>
  <c r="S110" i="5"/>
  <c r="O110" i="5"/>
  <c r="AM110" i="5" s="1"/>
  <c r="AV109" i="5"/>
  <c r="AF109" i="5"/>
  <c r="AA109" i="5"/>
  <c r="W109" i="5"/>
  <c r="S109" i="5"/>
  <c r="O109" i="5"/>
  <c r="AV108" i="5"/>
  <c r="AF108" i="5"/>
  <c r="AA108" i="5"/>
  <c r="W108" i="5"/>
  <c r="S108" i="5"/>
  <c r="O108" i="5"/>
  <c r="AV107" i="5"/>
  <c r="AF107" i="5"/>
  <c r="AA107" i="5"/>
  <c r="W107" i="5"/>
  <c r="AM107" i="5" s="1"/>
  <c r="S107" i="5"/>
  <c r="O107" i="5"/>
  <c r="AV106" i="5"/>
  <c r="AF106" i="5"/>
  <c r="AA106" i="5"/>
  <c r="W106" i="5"/>
  <c r="S106" i="5"/>
  <c r="AQ106" i="5" s="1"/>
  <c r="O106" i="5"/>
  <c r="AV105" i="5"/>
  <c r="AF105" i="5"/>
  <c r="AA105" i="5"/>
  <c r="W105" i="5"/>
  <c r="S105" i="5"/>
  <c r="O105" i="5"/>
  <c r="AQ105" i="5" s="1"/>
  <c r="AV104" i="5"/>
  <c r="AF104" i="5"/>
  <c r="AA104" i="5"/>
  <c r="W104" i="5"/>
  <c r="S104" i="5"/>
  <c r="O104" i="5"/>
  <c r="AP104" i="5" s="1"/>
  <c r="AV103" i="5"/>
  <c r="AF103" i="5"/>
  <c r="AA103" i="5"/>
  <c r="W103" i="5"/>
  <c r="S103" i="5"/>
  <c r="O103" i="5"/>
  <c r="AL103" i="5" s="1"/>
  <c r="AV102" i="5"/>
  <c r="AF102" i="5"/>
  <c r="AA102" i="5"/>
  <c r="W102" i="5"/>
  <c r="S102" i="5"/>
  <c r="O102" i="5"/>
  <c r="AP102" i="5" s="1"/>
  <c r="AV101" i="5"/>
  <c r="AF101" i="5"/>
  <c r="AL101" i="5" s="1"/>
  <c r="AA101" i="5"/>
  <c r="W101" i="5"/>
  <c r="S101" i="5"/>
  <c r="O101" i="5"/>
  <c r="AV100" i="5"/>
  <c r="AP100" i="5"/>
  <c r="AF100" i="5"/>
  <c r="AA100" i="5"/>
  <c r="W100" i="5"/>
  <c r="S100" i="5"/>
  <c r="O100" i="5"/>
  <c r="AM100" i="5" s="1"/>
  <c r="AV99" i="5"/>
  <c r="AF99" i="5"/>
  <c r="AA99" i="5"/>
  <c r="W99" i="5"/>
  <c r="S99" i="5"/>
  <c r="O99" i="5"/>
  <c r="AV98" i="5"/>
  <c r="AF98" i="5"/>
  <c r="AA98" i="5"/>
  <c r="W98" i="5"/>
  <c r="S98" i="5"/>
  <c r="O98" i="5"/>
  <c r="AV97" i="5"/>
  <c r="AF97" i="5"/>
  <c r="AA97" i="5"/>
  <c r="W97" i="5"/>
  <c r="AM97" i="5" s="1"/>
  <c r="S97" i="5"/>
  <c r="O97" i="5"/>
  <c r="AV96" i="5"/>
  <c r="AF96" i="5"/>
  <c r="AA96" i="5"/>
  <c r="W96" i="5"/>
  <c r="S96" i="5"/>
  <c r="AQ96" i="5" s="1"/>
  <c r="O96" i="5"/>
  <c r="AV95" i="5"/>
  <c r="AF95" i="5"/>
  <c r="AA95" i="5"/>
  <c r="W95" i="5"/>
  <c r="S95" i="5"/>
  <c r="O95" i="5"/>
  <c r="AV94" i="5"/>
  <c r="AF94" i="5"/>
  <c r="AA94" i="5"/>
  <c r="W94" i="5"/>
  <c r="S94" i="5"/>
  <c r="O94" i="5"/>
  <c r="AP94" i="5" s="1"/>
  <c r="AV93" i="5"/>
  <c r="AF93" i="5"/>
  <c r="AA93" i="5"/>
  <c r="W93" i="5"/>
  <c r="S93" i="5"/>
  <c r="O93" i="5"/>
  <c r="AL93" i="5" s="1"/>
  <c r="AV92" i="5"/>
  <c r="AF92" i="5"/>
  <c r="AA92" i="5"/>
  <c r="W92" i="5"/>
  <c r="S92" i="5"/>
  <c r="O92" i="5"/>
  <c r="AV91" i="5"/>
  <c r="AF91" i="5"/>
  <c r="AL91" i="5" s="1"/>
  <c r="AA91" i="5"/>
  <c r="W91" i="5"/>
  <c r="S91" i="5"/>
  <c r="O91" i="5"/>
  <c r="AV90" i="5"/>
  <c r="AF90" i="5"/>
  <c r="AA90" i="5"/>
  <c r="W90" i="5"/>
  <c r="S90" i="5"/>
  <c r="O90" i="5"/>
  <c r="AM90" i="5" s="1"/>
  <c r="AV89" i="5"/>
  <c r="AF89" i="5"/>
  <c r="AA89" i="5"/>
  <c r="W89" i="5"/>
  <c r="S89" i="5"/>
  <c r="O89" i="5"/>
  <c r="AV88" i="5"/>
  <c r="AF88" i="5"/>
  <c r="AA88" i="5"/>
  <c r="W88" i="5"/>
  <c r="S88" i="5"/>
  <c r="O88" i="5"/>
  <c r="AV87" i="5"/>
  <c r="AF87" i="5"/>
  <c r="AA87" i="5"/>
  <c r="W87" i="5"/>
  <c r="AM87" i="5" s="1"/>
  <c r="S87" i="5"/>
  <c r="O87" i="5"/>
  <c r="AV86" i="5"/>
  <c r="AF86" i="5"/>
  <c r="AA86" i="5"/>
  <c r="W86" i="5"/>
  <c r="S86" i="5"/>
  <c r="AQ86" i="5" s="1"/>
  <c r="O86" i="5"/>
  <c r="AV85" i="5"/>
  <c r="AF85" i="5"/>
  <c r="AA85" i="5"/>
  <c r="W85" i="5"/>
  <c r="S85" i="5"/>
  <c r="O85" i="5"/>
  <c r="AV84" i="5"/>
  <c r="AF84" i="5"/>
  <c r="AA84" i="5"/>
  <c r="W84" i="5"/>
  <c r="S84" i="5"/>
  <c r="O84" i="5"/>
  <c r="AP84" i="5" s="1"/>
  <c r="AV83" i="5"/>
  <c r="AQ83" i="5"/>
  <c r="AF83" i="5"/>
  <c r="AA83" i="5"/>
  <c r="W83" i="5"/>
  <c r="S83" i="5"/>
  <c r="O83" i="5"/>
  <c r="AL83" i="5" s="1"/>
  <c r="AV82" i="5"/>
  <c r="AF82" i="5"/>
  <c r="AA82" i="5"/>
  <c r="W82" i="5"/>
  <c r="S82" i="5"/>
  <c r="O82" i="5"/>
  <c r="AQ82" i="5" s="1"/>
  <c r="AV81" i="5"/>
  <c r="AW81" i="5" s="1"/>
  <c r="AF81" i="5"/>
  <c r="AA81" i="5"/>
  <c r="W81" i="5"/>
  <c r="S81" i="5"/>
  <c r="O81" i="5"/>
  <c r="AL81" i="5" s="1"/>
  <c r="AV80" i="5"/>
  <c r="AF80" i="5"/>
  <c r="AA80" i="5"/>
  <c r="W80" i="5"/>
  <c r="S80" i="5"/>
  <c r="AQ80" i="5" s="1"/>
  <c r="O80" i="5"/>
  <c r="AP80" i="5" s="1"/>
  <c r="AR80" i="5" s="1"/>
  <c r="AV79" i="5"/>
  <c r="AW79" i="5" s="1"/>
  <c r="AF79" i="5"/>
  <c r="AA79" i="5"/>
  <c r="W79" i="5"/>
  <c r="S79" i="5"/>
  <c r="O79" i="5"/>
  <c r="AP79" i="5" s="1"/>
  <c r="AV78" i="5"/>
  <c r="AF78" i="5"/>
  <c r="AA78" i="5"/>
  <c r="W78" i="5"/>
  <c r="S78" i="5"/>
  <c r="O78" i="5"/>
  <c r="AM78" i="5" s="1"/>
  <c r="AV77" i="5"/>
  <c r="AF77" i="5"/>
  <c r="AA77" i="5"/>
  <c r="W77" i="5"/>
  <c r="S77" i="5"/>
  <c r="O77" i="5"/>
  <c r="AV76" i="5"/>
  <c r="AF76" i="5"/>
  <c r="AA76" i="5"/>
  <c r="AQ76" i="5" s="1"/>
  <c r="W76" i="5"/>
  <c r="S76" i="5"/>
  <c r="O76" i="5"/>
  <c r="AV75" i="5"/>
  <c r="AF75" i="5"/>
  <c r="AA75" i="5"/>
  <c r="W75" i="5"/>
  <c r="S75" i="5"/>
  <c r="O75" i="5"/>
  <c r="AV74" i="5"/>
  <c r="AF74" i="5"/>
  <c r="AA74" i="5"/>
  <c r="W74" i="5"/>
  <c r="S74" i="5"/>
  <c r="O74" i="5"/>
  <c r="AV73" i="5"/>
  <c r="AF73" i="5"/>
  <c r="AA73" i="5"/>
  <c r="W73" i="5"/>
  <c r="S73" i="5"/>
  <c r="O73" i="5"/>
  <c r="AL73" i="5" s="1"/>
  <c r="AV72" i="5"/>
  <c r="AW72" i="5" s="1"/>
  <c r="AF72" i="5"/>
  <c r="AA72" i="5"/>
  <c r="W72" i="5"/>
  <c r="S72" i="5"/>
  <c r="O72" i="5"/>
  <c r="AV71" i="5"/>
  <c r="AF71" i="5"/>
  <c r="AA71" i="5"/>
  <c r="W71" i="5"/>
  <c r="S71" i="5"/>
  <c r="O71" i="5"/>
  <c r="AV70" i="5"/>
  <c r="AF70" i="5"/>
  <c r="AA70" i="5"/>
  <c r="W70" i="5"/>
  <c r="S70" i="5"/>
  <c r="O70" i="5"/>
  <c r="AM70" i="5" s="1"/>
  <c r="AV69" i="5"/>
  <c r="AF69" i="5"/>
  <c r="AA69" i="5"/>
  <c r="W69" i="5"/>
  <c r="S69" i="5"/>
  <c r="O69" i="5"/>
  <c r="AQ69" i="5" s="1"/>
  <c r="AV68" i="5"/>
  <c r="AF68" i="5"/>
  <c r="AA68" i="5"/>
  <c r="W68" i="5"/>
  <c r="S68" i="5"/>
  <c r="O68" i="5"/>
  <c r="AV67" i="5"/>
  <c r="AF67" i="5"/>
  <c r="AA67" i="5"/>
  <c r="W67" i="5"/>
  <c r="S67" i="5"/>
  <c r="O67" i="5"/>
  <c r="AV66" i="5"/>
  <c r="AF66" i="5"/>
  <c r="AA66" i="5"/>
  <c r="W66" i="5"/>
  <c r="S66" i="5"/>
  <c r="AP66" i="5" s="1"/>
  <c r="O66" i="5"/>
  <c r="AV65" i="5"/>
  <c r="AF65" i="5"/>
  <c r="AA65" i="5"/>
  <c r="W65" i="5"/>
  <c r="S65" i="5"/>
  <c r="O65" i="5"/>
  <c r="AV64" i="5"/>
  <c r="AF64" i="5"/>
  <c r="AA64" i="5"/>
  <c r="W64" i="5"/>
  <c r="S64" i="5"/>
  <c r="O64" i="5"/>
  <c r="AP64" i="5" s="1"/>
  <c r="AV63" i="5"/>
  <c r="AQ63" i="5"/>
  <c r="AF63" i="5"/>
  <c r="AA63" i="5"/>
  <c r="W63" i="5"/>
  <c r="S63" i="5"/>
  <c r="O63" i="5"/>
  <c r="AL63" i="5" s="1"/>
  <c r="AV62" i="5"/>
  <c r="AF62" i="5"/>
  <c r="AA62" i="5"/>
  <c r="W62" i="5"/>
  <c r="S62" i="5"/>
  <c r="O62" i="5"/>
  <c r="AV61" i="5"/>
  <c r="AF61" i="5"/>
  <c r="AL61" i="5" s="1"/>
  <c r="AA61" i="5"/>
  <c r="W61" i="5"/>
  <c r="S61" i="5"/>
  <c r="O61" i="5"/>
  <c r="AV60" i="5"/>
  <c r="AM60" i="5"/>
  <c r="AF60" i="5"/>
  <c r="AA60" i="5"/>
  <c r="W60" i="5"/>
  <c r="S60" i="5"/>
  <c r="O60" i="5"/>
  <c r="AL60" i="5" s="1"/>
  <c r="AN60" i="5" s="1"/>
  <c r="AV59" i="5"/>
  <c r="AQ59" i="5"/>
  <c r="AF59" i="5"/>
  <c r="AA59" i="5"/>
  <c r="W59" i="5"/>
  <c r="S59" i="5"/>
  <c r="O59" i="5"/>
  <c r="AP59" i="5" s="1"/>
  <c r="AV58" i="5"/>
  <c r="AF58" i="5"/>
  <c r="AA58" i="5"/>
  <c r="W58" i="5"/>
  <c r="S58" i="5"/>
  <c r="O58" i="5"/>
  <c r="AV57" i="5"/>
  <c r="AF57" i="5"/>
  <c r="AA57" i="5"/>
  <c r="W57" i="5"/>
  <c r="S57" i="5"/>
  <c r="O57" i="5"/>
  <c r="AV56" i="5"/>
  <c r="AF56" i="5"/>
  <c r="AA56" i="5"/>
  <c r="W56" i="5"/>
  <c r="S56" i="5"/>
  <c r="O56" i="5"/>
  <c r="AV55" i="5"/>
  <c r="AF55" i="5"/>
  <c r="AA55" i="5"/>
  <c r="W55" i="5"/>
  <c r="S55" i="5"/>
  <c r="O55" i="5"/>
  <c r="AV54" i="5"/>
  <c r="AM54" i="5"/>
  <c r="AF54" i="5"/>
  <c r="AA54" i="5"/>
  <c r="W54" i="5"/>
  <c r="S54" i="5"/>
  <c r="O54" i="5"/>
  <c r="AV53" i="5"/>
  <c r="AP53" i="5"/>
  <c r="AF53" i="5"/>
  <c r="AA53" i="5"/>
  <c r="W53" i="5"/>
  <c r="S53" i="5"/>
  <c r="O53" i="5"/>
  <c r="AL53" i="5" s="1"/>
  <c r="AV52" i="5"/>
  <c r="AF52" i="5"/>
  <c r="AA52" i="5"/>
  <c r="W52" i="5"/>
  <c r="S52" i="5"/>
  <c r="O52" i="5"/>
  <c r="AQ52" i="5" s="1"/>
  <c r="AV51" i="5"/>
  <c r="AL51" i="5"/>
  <c r="AF51" i="5"/>
  <c r="AA51" i="5"/>
  <c r="W51" i="5"/>
  <c r="S51" i="5"/>
  <c r="O51" i="5"/>
  <c r="AV50" i="5"/>
  <c r="AP50" i="5"/>
  <c r="AM50" i="5"/>
  <c r="AF50" i="5"/>
  <c r="AA50" i="5"/>
  <c r="W50" i="5"/>
  <c r="S50" i="5"/>
  <c r="O50" i="5"/>
  <c r="AL50" i="5" s="1"/>
  <c r="AN50" i="5" s="1"/>
  <c r="AV49" i="5"/>
  <c r="AP49" i="5"/>
  <c r="AF49" i="5"/>
  <c r="AA49" i="5"/>
  <c r="W49" i="5"/>
  <c r="S49" i="5"/>
  <c r="O49" i="5"/>
  <c r="AQ49" i="5" s="1"/>
  <c r="AV48" i="5"/>
  <c r="AF48" i="5"/>
  <c r="AA48" i="5"/>
  <c r="W48" i="5"/>
  <c r="S48" i="5"/>
  <c r="O48" i="5"/>
  <c r="AV47" i="5"/>
  <c r="AF47" i="5"/>
  <c r="AA47" i="5"/>
  <c r="W47" i="5"/>
  <c r="AM47" i="5" s="1"/>
  <c r="S47" i="5"/>
  <c r="O47" i="5"/>
  <c r="AV46" i="5"/>
  <c r="AF46" i="5"/>
  <c r="AA46" i="5"/>
  <c r="W46" i="5"/>
  <c r="S46" i="5"/>
  <c r="O46" i="5"/>
  <c r="AV45" i="5"/>
  <c r="AF45" i="5"/>
  <c r="AA45" i="5"/>
  <c r="W45" i="5"/>
  <c r="S45" i="5"/>
  <c r="O45" i="5"/>
  <c r="AV44" i="5"/>
  <c r="AM44" i="5"/>
  <c r="AF44" i="5"/>
  <c r="AA44" i="5"/>
  <c r="W44" i="5"/>
  <c r="S44" i="5"/>
  <c r="O44" i="5"/>
  <c r="AV43" i="5"/>
  <c r="AQ43" i="5"/>
  <c r="AP43" i="5"/>
  <c r="AR43" i="5" s="1"/>
  <c r="AF43" i="5"/>
  <c r="AA43" i="5"/>
  <c r="W43" i="5"/>
  <c r="S43" i="5"/>
  <c r="O43" i="5"/>
  <c r="AL43" i="5" s="1"/>
  <c r="AV42" i="5"/>
  <c r="AF42" i="5"/>
  <c r="AA42" i="5"/>
  <c r="W42" i="5"/>
  <c r="S42" i="5"/>
  <c r="O42" i="5"/>
  <c r="AV41" i="5"/>
  <c r="AF41" i="5"/>
  <c r="AA41" i="5"/>
  <c r="AP41" i="5" s="1"/>
  <c r="W41" i="5"/>
  <c r="S41" i="5"/>
  <c r="O41" i="5"/>
  <c r="AV40" i="5"/>
  <c r="AF40" i="5"/>
  <c r="AP40" i="5" s="1"/>
  <c r="AA40" i="5"/>
  <c r="W40" i="5"/>
  <c r="S40" i="5"/>
  <c r="O40" i="5"/>
  <c r="AV39" i="5"/>
  <c r="AF39" i="5"/>
  <c r="AA39" i="5"/>
  <c r="AP39" i="5" s="1"/>
  <c r="W39" i="5"/>
  <c r="S39" i="5"/>
  <c r="O39" i="5"/>
  <c r="AV38" i="5"/>
  <c r="AF38" i="5"/>
  <c r="AA38" i="5"/>
  <c r="W38" i="5"/>
  <c r="S38" i="5"/>
  <c r="O38" i="5"/>
  <c r="AV37" i="5"/>
  <c r="AF37" i="5"/>
  <c r="AA37" i="5"/>
  <c r="W37" i="5"/>
  <c r="S37" i="5"/>
  <c r="O37" i="5"/>
  <c r="AM37" i="5" s="1"/>
  <c r="AV36" i="5"/>
  <c r="AF36" i="5"/>
  <c r="AA36" i="5"/>
  <c r="W36" i="5"/>
  <c r="S36" i="5"/>
  <c r="O36" i="5"/>
  <c r="AM36" i="5" s="1"/>
  <c r="AV35" i="5"/>
  <c r="AF35" i="5"/>
  <c r="AA35" i="5"/>
  <c r="W35" i="5"/>
  <c r="S35" i="5"/>
  <c r="O35" i="5"/>
  <c r="AV34" i="5"/>
  <c r="AF34" i="5"/>
  <c r="AL34" i="5" s="1"/>
  <c r="AA34" i="5"/>
  <c r="W34" i="5"/>
  <c r="S34" i="5"/>
  <c r="O34" i="5"/>
  <c r="AV33" i="5"/>
  <c r="AF33" i="5"/>
  <c r="AM33" i="5" s="1"/>
  <c r="AA33" i="5"/>
  <c r="W33" i="5"/>
  <c r="S33" i="5"/>
  <c r="O33" i="5"/>
  <c r="AV32" i="5"/>
  <c r="AF32" i="5"/>
  <c r="AA32" i="5"/>
  <c r="W32" i="5"/>
  <c r="S32" i="5"/>
  <c r="O32" i="5"/>
  <c r="AV31" i="5"/>
  <c r="AF31" i="5"/>
  <c r="AA31" i="5"/>
  <c r="W31" i="5"/>
  <c r="S31" i="5"/>
  <c r="O31" i="5"/>
  <c r="AP31" i="5" s="1"/>
  <c r="AV30" i="5"/>
  <c r="AF30" i="5"/>
  <c r="AA30" i="5"/>
  <c r="W30" i="5"/>
  <c r="S30" i="5"/>
  <c r="O30" i="5"/>
  <c r="AV29" i="5"/>
  <c r="AF29" i="5"/>
  <c r="AM29" i="5" s="1"/>
  <c r="AA29" i="5"/>
  <c r="W29" i="5"/>
  <c r="S29" i="5"/>
  <c r="O29" i="5"/>
  <c r="AV28" i="5"/>
  <c r="AF28" i="5"/>
  <c r="AA28" i="5"/>
  <c r="AP28" i="5" s="1"/>
  <c r="W28" i="5"/>
  <c r="S28" i="5"/>
  <c r="O28" i="5"/>
  <c r="AV27" i="5"/>
  <c r="AF27" i="5"/>
  <c r="AA27" i="5"/>
  <c r="W27" i="5"/>
  <c r="AM27" i="5" s="1"/>
  <c r="S27" i="5"/>
  <c r="O27" i="5"/>
  <c r="AV26" i="5"/>
  <c r="AF26" i="5"/>
  <c r="AA26" i="5"/>
  <c r="W26" i="5"/>
  <c r="S26" i="5"/>
  <c r="AP26" i="5" s="1"/>
  <c r="O26" i="5"/>
  <c r="AV25" i="5"/>
  <c r="AF25" i="5"/>
  <c r="AA25" i="5"/>
  <c r="W25" i="5"/>
  <c r="S25" i="5"/>
  <c r="O25" i="5"/>
  <c r="AL25" i="5" s="1"/>
  <c r="AV24" i="5"/>
  <c r="AF24" i="5"/>
  <c r="AA24" i="5"/>
  <c r="W24" i="5"/>
  <c r="S24" i="5"/>
  <c r="O24" i="5"/>
  <c r="AQ24" i="5" s="1"/>
  <c r="AV23" i="5"/>
  <c r="AF23" i="5"/>
  <c r="AA23" i="5"/>
  <c r="AM23" i="5" s="1"/>
  <c r="W23" i="5"/>
  <c r="S23" i="5"/>
  <c r="O23" i="5"/>
  <c r="AV22" i="5"/>
  <c r="AW22" i="5" s="1"/>
  <c r="AQ22" i="5"/>
  <c r="AP22" i="5"/>
  <c r="AR22" i="5" s="1"/>
  <c r="AM22" i="5"/>
  <c r="AF22" i="5"/>
  <c r="AA22" i="5"/>
  <c r="W22" i="5"/>
  <c r="S22" i="5"/>
  <c r="O22" i="5"/>
  <c r="AL22" i="5" s="1"/>
  <c r="AV21" i="5"/>
  <c r="AQ21" i="5"/>
  <c r="AL21" i="5"/>
  <c r="AN21" i="5" s="1"/>
  <c r="AF21" i="5"/>
  <c r="AA21" i="5"/>
  <c r="W21" i="5"/>
  <c r="S21" i="5"/>
  <c r="O21" i="5"/>
  <c r="AM21" i="5" s="1"/>
  <c r="AV20" i="5"/>
  <c r="AF20" i="5"/>
  <c r="AQ20" i="5" s="1"/>
  <c r="AA20" i="5"/>
  <c r="W20" i="5"/>
  <c r="S20" i="5"/>
  <c r="O20" i="5"/>
  <c r="AV19" i="5"/>
  <c r="AF19" i="5"/>
  <c r="AA19" i="5"/>
  <c r="W19" i="5"/>
  <c r="S19" i="5"/>
  <c r="O19" i="5"/>
  <c r="AV18" i="5"/>
  <c r="AF18" i="5"/>
  <c r="AA18" i="5"/>
  <c r="W18" i="5"/>
  <c r="S18" i="5"/>
  <c r="O18" i="5"/>
  <c r="AV17" i="5"/>
  <c r="AF17" i="5"/>
  <c r="AA17" i="5"/>
  <c r="W17" i="5"/>
  <c r="S17" i="5"/>
  <c r="O17" i="5"/>
  <c r="AP17" i="5" s="1"/>
  <c r="AV16" i="5"/>
  <c r="AF16" i="5"/>
  <c r="AA16" i="5"/>
  <c r="W16" i="5"/>
  <c r="S16" i="5"/>
  <c r="O16" i="5"/>
  <c r="AM16" i="5" s="1"/>
  <c r="AV15" i="5"/>
  <c r="AF15" i="5"/>
  <c r="AA15" i="5"/>
  <c r="W15" i="5"/>
  <c r="S15" i="5"/>
  <c r="O15" i="5"/>
  <c r="AL15" i="5" s="1"/>
  <c r="AV14" i="5"/>
  <c r="AF14" i="5"/>
  <c r="AA14" i="5"/>
  <c r="W14" i="5"/>
  <c r="S14" i="5"/>
  <c r="O14" i="5"/>
  <c r="AV13" i="5"/>
  <c r="AF13" i="5"/>
  <c r="AA13" i="5"/>
  <c r="W13" i="5"/>
  <c r="AL13" i="5" s="1"/>
  <c r="S13" i="5"/>
  <c r="O13" i="5"/>
  <c r="AV12" i="5"/>
  <c r="AF12" i="5"/>
  <c r="AA12" i="5"/>
  <c r="W12" i="5"/>
  <c r="S12" i="5"/>
  <c r="AP12" i="5" s="1"/>
  <c r="O12" i="5"/>
  <c r="AV11" i="5"/>
  <c r="AF11" i="5"/>
  <c r="AA11" i="5"/>
  <c r="W11" i="5"/>
  <c r="S11" i="5"/>
  <c r="O11" i="5"/>
  <c r="AQ11" i="5" s="1"/>
  <c r="AV10" i="5"/>
  <c r="AF10" i="5"/>
  <c r="AA10" i="5"/>
  <c r="W10" i="5"/>
  <c r="S10" i="5"/>
  <c r="O10" i="5"/>
  <c r="AV9" i="5"/>
  <c r="AP9" i="5"/>
  <c r="AM9" i="5"/>
  <c r="AF9" i="5"/>
  <c r="AA9" i="5"/>
  <c r="W9" i="5"/>
  <c r="S9" i="5"/>
  <c r="O9" i="5"/>
  <c r="AL9" i="5" s="1"/>
  <c r="AN9" i="5" s="1"/>
  <c r="AV8" i="5"/>
  <c r="AQ8" i="5"/>
  <c r="AF8" i="5"/>
  <c r="AA8" i="5"/>
  <c r="W8" i="5"/>
  <c r="S8" i="5"/>
  <c r="O8" i="5"/>
  <c r="AM8" i="5" s="1"/>
  <c r="B1" i="5"/>
  <c r="C1" i="5" s="1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AP316" i="5" l="1"/>
  <c r="AQ316" i="5"/>
  <c r="AQ13" i="5"/>
  <c r="AL40" i="5"/>
  <c r="AM136" i="5"/>
  <c r="AQ136" i="5"/>
  <c r="AP258" i="5"/>
  <c r="AL258" i="5"/>
  <c r="AQ373" i="5"/>
  <c r="AL373" i="5"/>
  <c r="AM460" i="5"/>
  <c r="AQ460" i="5"/>
  <c r="AP33" i="5"/>
  <c r="AL47" i="5"/>
  <c r="AN47" i="5" s="1"/>
  <c r="AW47" i="5" s="1"/>
  <c r="AQ167" i="5"/>
  <c r="AM167" i="5"/>
  <c r="AL167" i="5"/>
  <c r="AN167" i="5" s="1"/>
  <c r="AM180" i="5"/>
  <c r="AQ181" i="5"/>
  <c r="AQ208" i="5"/>
  <c r="AL208" i="5"/>
  <c r="AM235" i="5"/>
  <c r="AQ240" i="5"/>
  <c r="AR240" i="5" s="1"/>
  <c r="AQ288" i="5"/>
  <c r="AL288" i="5"/>
  <c r="AQ320" i="5"/>
  <c r="AP320" i="5"/>
  <c r="AQ324" i="5"/>
  <c r="AL324" i="5"/>
  <c r="AN334" i="5"/>
  <c r="AW334" i="5" s="1"/>
  <c r="AP347" i="5"/>
  <c r="AM347" i="5"/>
  <c r="AP348" i="5"/>
  <c r="AP375" i="5"/>
  <c r="AR375" i="5" s="1"/>
  <c r="AM425" i="5"/>
  <c r="AQ425" i="5"/>
  <c r="AQ456" i="5"/>
  <c r="AP456" i="5"/>
  <c r="AR456" i="5" s="1"/>
  <c r="AL456" i="5"/>
  <c r="AM481" i="5"/>
  <c r="AL481" i="5"/>
  <c r="AN481" i="5" s="1"/>
  <c r="AW481" i="5" s="1"/>
  <c r="AN93" i="5"/>
  <c r="AW93" i="5" s="1"/>
  <c r="AQ416" i="5"/>
  <c r="AP416" i="5"/>
  <c r="AM416" i="5"/>
  <c r="AL416" i="5"/>
  <c r="AQ529" i="5"/>
  <c r="AP529" i="5"/>
  <c r="AQ31" i="5"/>
  <c r="AR31" i="5" s="1"/>
  <c r="AM34" i="5"/>
  <c r="AN34" i="5" s="1"/>
  <c r="AW34" i="5" s="1"/>
  <c r="AP186" i="5"/>
  <c r="AP291" i="5"/>
  <c r="AQ300" i="5"/>
  <c r="AM796" i="5"/>
  <c r="AL796" i="5"/>
  <c r="AN796" i="5" s="1"/>
  <c r="AQ796" i="5"/>
  <c r="AP796" i="5"/>
  <c r="AW21" i="5"/>
  <c r="AQ38" i="5"/>
  <c r="AM57" i="5"/>
  <c r="AP97" i="5"/>
  <c r="AQ100" i="5"/>
  <c r="AR100" i="5" s="1"/>
  <c r="AQ50" i="5"/>
  <c r="AR50" i="5" s="1"/>
  <c r="AQ60" i="5"/>
  <c r="AQ112" i="5"/>
  <c r="AM130" i="5"/>
  <c r="AN130" i="5" s="1"/>
  <c r="AW130" i="5" s="1"/>
  <c r="AN148" i="5"/>
  <c r="AW148" i="5" s="1"/>
  <c r="AP151" i="5"/>
  <c r="AL152" i="5"/>
  <c r="AN152" i="5" s="1"/>
  <c r="AW152" i="5" s="1"/>
  <c r="AP167" i="5"/>
  <c r="AR167" i="5" s="1"/>
  <c r="AQ209" i="5"/>
  <c r="AP213" i="5"/>
  <c r="AR213" i="5" s="1"/>
  <c r="AP225" i="5"/>
  <c r="AL225" i="5"/>
  <c r="AQ280" i="5"/>
  <c r="AR280" i="5" s="1"/>
  <c r="AQ281" i="5"/>
  <c r="AR281" i="5" s="1"/>
  <c r="AP297" i="5"/>
  <c r="AM297" i="5"/>
  <c r="AP346" i="5"/>
  <c r="AQ346" i="5"/>
  <c r="AQ364" i="5"/>
  <c r="AM364" i="5"/>
  <c r="AL364" i="5"/>
  <c r="AN364" i="5" s="1"/>
  <c r="AW364" i="5" s="1"/>
  <c r="AQ369" i="5"/>
  <c r="AQ382" i="5"/>
  <c r="AP382" i="5"/>
  <c r="AQ392" i="5"/>
  <c r="AP392" i="5"/>
  <c r="AM403" i="5"/>
  <c r="AR412" i="5"/>
  <c r="AP446" i="5"/>
  <c r="AM446" i="5"/>
  <c r="AN446" i="5" s="1"/>
  <c r="AW446" i="5" s="1"/>
  <c r="AL446" i="5"/>
  <c r="AQ509" i="5"/>
  <c r="AP509" i="5"/>
  <c r="AR509" i="5" s="1"/>
  <c r="AP566" i="5"/>
  <c r="AM566" i="5"/>
  <c r="AL625" i="5"/>
  <c r="AN625" i="5" s="1"/>
  <c r="AW625" i="5" s="1"/>
  <c r="AM625" i="5"/>
  <c r="AQ685" i="5"/>
  <c r="AP685" i="5"/>
  <c r="AM685" i="5"/>
  <c r="AQ705" i="5"/>
  <c r="AP705" i="5"/>
  <c r="AM892" i="5"/>
  <c r="AP892" i="5"/>
  <c r="AR892" i="5" s="1"/>
  <c r="AQ163" i="5"/>
  <c r="AP163" i="5"/>
  <c r="AR163" i="5" s="1"/>
  <c r="AL163" i="5"/>
  <c r="AP520" i="5"/>
  <c r="AL520" i="5"/>
  <c r="AQ53" i="5"/>
  <c r="AR53" i="5" s="1"/>
  <c r="AP70" i="5"/>
  <c r="AP90" i="5"/>
  <c r="AQ290" i="5"/>
  <c r="AQ436" i="5"/>
  <c r="AP436" i="5"/>
  <c r="AM436" i="5"/>
  <c r="AN436" i="5" s="1"/>
  <c r="AL436" i="5"/>
  <c r="AQ28" i="5"/>
  <c r="AR28" i="5" s="1"/>
  <c r="AM40" i="5"/>
  <c r="AN40" i="5" s="1"/>
  <c r="AP60" i="5"/>
  <c r="AR60" i="5" s="1"/>
  <c r="AP67" i="5"/>
  <c r="AP107" i="5"/>
  <c r="AQ110" i="5"/>
  <c r="AQ128" i="5"/>
  <c r="AN22" i="5"/>
  <c r="AP30" i="5"/>
  <c r="AQ92" i="5"/>
  <c r="AQ102" i="5"/>
  <c r="AR102" i="5" s="1"/>
  <c r="AQ10" i="5"/>
  <c r="AL24" i="5"/>
  <c r="AQ29" i="5"/>
  <c r="AM30" i="5"/>
  <c r="AQ74" i="5"/>
  <c r="AQ77" i="5"/>
  <c r="AL80" i="5"/>
  <c r="AP89" i="5"/>
  <c r="AQ94" i="5"/>
  <c r="AR94" i="5" s="1"/>
  <c r="AQ104" i="5"/>
  <c r="AQ114" i="5"/>
  <c r="AR114" i="5" s="1"/>
  <c r="AP122" i="5"/>
  <c r="AQ124" i="5"/>
  <c r="AQ125" i="5"/>
  <c r="AM139" i="5"/>
  <c r="AM143" i="5"/>
  <c r="AL147" i="5"/>
  <c r="AN147" i="5" s="1"/>
  <c r="AQ147" i="5"/>
  <c r="AR147" i="5" s="1"/>
  <c r="AM147" i="5"/>
  <c r="AQ149" i="5"/>
  <c r="AR149" i="5" s="1"/>
  <c r="AQ161" i="5"/>
  <c r="AR161" i="5" s="1"/>
  <c r="AQ166" i="5"/>
  <c r="AP166" i="5"/>
  <c r="AL170" i="5"/>
  <c r="AM170" i="5"/>
  <c r="AP176" i="5"/>
  <c r="AR176" i="5" s="1"/>
  <c r="AP192" i="5"/>
  <c r="AP196" i="5"/>
  <c r="AP199" i="5"/>
  <c r="AR199" i="5" s="1"/>
  <c r="AL203" i="5"/>
  <c r="AL207" i="5"/>
  <c r="AN207" i="5" s="1"/>
  <c r="AM207" i="5"/>
  <c r="AP220" i="5"/>
  <c r="AQ221" i="5"/>
  <c r="AQ226" i="5"/>
  <c r="AQ247" i="5"/>
  <c r="AL247" i="5"/>
  <c r="AQ252" i="5"/>
  <c r="AQ254" i="5"/>
  <c r="AL275" i="5"/>
  <c r="AQ278" i="5"/>
  <c r="AR278" i="5" s="1"/>
  <c r="AL278" i="5"/>
  <c r="AR330" i="5"/>
  <c r="AQ402" i="5"/>
  <c r="AR402" i="5" s="1"/>
  <c r="AP409" i="5"/>
  <c r="AQ430" i="5"/>
  <c r="AQ439" i="5"/>
  <c r="AW443" i="5"/>
  <c r="AP450" i="5"/>
  <c r="AM539" i="5"/>
  <c r="AP539" i="5"/>
  <c r="AN73" i="5"/>
  <c r="AW73" i="5" s="1"/>
  <c r="AN113" i="5"/>
  <c r="AW113" i="5" s="1"/>
  <c r="AP110" i="5"/>
  <c r="AR110" i="5" s="1"/>
  <c r="AL121" i="5"/>
  <c r="AQ184" i="5"/>
  <c r="AL184" i="5"/>
  <c r="AQ70" i="5"/>
  <c r="AM124" i="5"/>
  <c r="AN124" i="5" s="1"/>
  <c r="AW134" i="5"/>
  <c r="AM17" i="5"/>
  <c r="AQ40" i="5"/>
  <c r="AR40" i="5" s="1"/>
  <c r="AM73" i="5"/>
  <c r="AM80" i="5"/>
  <c r="AQ84" i="5"/>
  <c r="AR84" i="5" s="1"/>
  <c r="AM93" i="5"/>
  <c r="AM98" i="5"/>
  <c r="AM103" i="5"/>
  <c r="AN103" i="5" s="1"/>
  <c r="AW103" i="5" s="1"/>
  <c r="AM108" i="5"/>
  <c r="AM113" i="5"/>
  <c r="AM118" i="5"/>
  <c r="AQ122" i="5"/>
  <c r="AP130" i="5"/>
  <c r="AR130" i="5" s="1"/>
  <c r="AQ132" i="5"/>
  <c r="AP143" i="5"/>
  <c r="AR143" i="5" s="1"/>
  <c r="AL144" i="5"/>
  <c r="AN144" i="5" s="1"/>
  <c r="AW144" i="5" s="1"/>
  <c r="AM156" i="5"/>
  <c r="AM161" i="5"/>
  <c r="AP161" i="5"/>
  <c r="AR191" i="5"/>
  <c r="AQ216" i="5"/>
  <c r="AR216" i="5" s="1"/>
  <c r="AP242" i="5"/>
  <c r="AP248" i="5"/>
  <c r="AM271" i="5"/>
  <c r="AM307" i="5"/>
  <c r="AP360" i="5"/>
  <c r="AR360" i="5" s="1"/>
  <c r="AQ360" i="5"/>
  <c r="AQ410" i="5"/>
  <c r="AR419" i="5"/>
  <c r="AM420" i="5"/>
  <c r="AM422" i="5"/>
  <c r="AP422" i="5"/>
  <c r="AR422" i="5" s="1"/>
  <c r="AL467" i="5"/>
  <c r="AQ467" i="5"/>
  <c r="AP651" i="5"/>
  <c r="AQ651" i="5"/>
  <c r="AL669" i="5"/>
  <c r="AN669" i="5" s="1"/>
  <c r="AM669" i="5"/>
  <c r="AR59" i="5"/>
  <c r="AL10" i="5"/>
  <c r="AQ39" i="5"/>
  <c r="AR39" i="5" s="1"/>
  <c r="AL8" i="5"/>
  <c r="AQ19" i="5"/>
  <c r="AM32" i="5"/>
  <c r="AQ47" i="5"/>
  <c r="AQ57" i="5"/>
  <c r="AP73" i="5"/>
  <c r="AM83" i="5"/>
  <c r="AN83" i="5" s="1"/>
  <c r="AW83" i="5" s="1"/>
  <c r="AL90" i="5"/>
  <c r="AN90" i="5" s="1"/>
  <c r="AQ91" i="5"/>
  <c r="AP93" i="5"/>
  <c r="AL94" i="5"/>
  <c r="AQ97" i="5"/>
  <c r="AQ98" i="5"/>
  <c r="AL100" i="5"/>
  <c r="AN100" i="5" s="1"/>
  <c r="AP103" i="5"/>
  <c r="AR103" i="5" s="1"/>
  <c r="AL104" i="5"/>
  <c r="AN104" i="5" s="1"/>
  <c r="AW104" i="5" s="1"/>
  <c r="AQ107" i="5"/>
  <c r="AL110" i="5"/>
  <c r="AN110" i="5" s="1"/>
  <c r="AQ111" i="5"/>
  <c r="AP113" i="5"/>
  <c r="AR113" i="5" s="1"/>
  <c r="AL114" i="5"/>
  <c r="AQ117" i="5"/>
  <c r="AQ118" i="5"/>
  <c r="AL120" i="5"/>
  <c r="AN120" i="5" s="1"/>
  <c r="AP127" i="5"/>
  <c r="AR127" i="5" s="1"/>
  <c r="AQ130" i="5"/>
  <c r="AM138" i="5"/>
  <c r="AL146" i="5"/>
  <c r="AQ152" i="5"/>
  <c r="AL153" i="5"/>
  <c r="AP156" i="5"/>
  <c r="AR156" i="5" s="1"/>
  <c r="AL157" i="5"/>
  <c r="AN157" i="5" s="1"/>
  <c r="AW157" i="5" s="1"/>
  <c r="AL158" i="5"/>
  <c r="AQ169" i="5"/>
  <c r="AL169" i="5"/>
  <c r="AQ186" i="5"/>
  <c r="AL190" i="5"/>
  <c r="AN190" i="5" s="1"/>
  <c r="AW190" i="5" s="1"/>
  <c r="AQ203" i="5"/>
  <c r="AQ204" i="5"/>
  <c r="AQ215" i="5"/>
  <c r="AP246" i="5"/>
  <c r="AR246" i="5" s="1"/>
  <c r="AQ251" i="5"/>
  <c r="AP268" i="5"/>
  <c r="AM268" i="5"/>
  <c r="AL268" i="5"/>
  <c r="AN268" i="5" s="1"/>
  <c r="AW268" i="5" s="1"/>
  <c r="AQ270" i="5"/>
  <c r="AR270" i="5" s="1"/>
  <c r="AQ291" i="5"/>
  <c r="AP327" i="5"/>
  <c r="AM327" i="5"/>
  <c r="AQ340" i="5"/>
  <c r="AP340" i="5"/>
  <c r="AQ344" i="5"/>
  <c r="AL344" i="5"/>
  <c r="AN344" i="5" s="1"/>
  <c r="AW344" i="5" s="1"/>
  <c r="AP390" i="5"/>
  <c r="AR390" i="5" s="1"/>
  <c r="AL390" i="5"/>
  <c r="AQ399" i="5"/>
  <c r="AP399" i="5"/>
  <c r="AM399" i="5"/>
  <c r="AR439" i="5"/>
  <c r="AN450" i="5"/>
  <c r="AL543" i="5"/>
  <c r="AM543" i="5"/>
  <c r="AQ547" i="5"/>
  <c r="AP547" i="5"/>
  <c r="AL547" i="5"/>
  <c r="AR209" i="5"/>
  <c r="AQ214" i="5"/>
  <c r="AM214" i="5"/>
  <c r="AL357" i="5"/>
  <c r="AM357" i="5"/>
  <c r="AP120" i="5"/>
  <c r="AM181" i="5"/>
  <c r="AQ230" i="5"/>
  <c r="AL230" i="5"/>
  <c r="AQ406" i="5"/>
  <c r="AP406" i="5"/>
  <c r="AR406" i="5" s="1"/>
  <c r="AM406" i="5"/>
  <c r="AN406" i="5" s="1"/>
  <c r="AL406" i="5"/>
  <c r="AP18" i="5"/>
  <c r="AQ90" i="5"/>
  <c r="AR112" i="5"/>
  <c r="AP117" i="5"/>
  <c r="AQ120" i="5"/>
  <c r="AL131" i="5"/>
  <c r="AQ14" i="5"/>
  <c r="AP20" i="5"/>
  <c r="AR20" i="5" s="1"/>
  <c r="AQ9" i="5"/>
  <c r="AP16" i="5"/>
  <c r="AL33" i="5"/>
  <c r="AN33" i="5" s="1"/>
  <c r="AW33" i="5" s="1"/>
  <c r="AP36" i="5"/>
  <c r="AM53" i="5"/>
  <c r="AN53" i="5" s="1"/>
  <c r="AW53" i="5" s="1"/>
  <c r="AM63" i="5"/>
  <c r="AN63" i="5" s="1"/>
  <c r="AW63" i="5" s="1"/>
  <c r="AL70" i="5"/>
  <c r="AN70" i="5" s="1"/>
  <c r="AW70" i="5" s="1"/>
  <c r="AP8" i="5"/>
  <c r="AM12" i="5"/>
  <c r="AQ23" i="5"/>
  <c r="AM26" i="5"/>
  <c r="AL41" i="5"/>
  <c r="AM43" i="5"/>
  <c r="AN43" i="5" s="1"/>
  <c r="AW43" i="5" s="1"/>
  <c r="AL44" i="5"/>
  <c r="AN44" i="5" s="1"/>
  <c r="AW44" i="5" s="1"/>
  <c r="AL54" i="5"/>
  <c r="AN54" i="5" s="1"/>
  <c r="AP63" i="5"/>
  <c r="AM64" i="5"/>
  <c r="AQ66" i="5"/>
  <c r="AR66" i="5" s="1"/>
  <c r="AQ73" i="5"/>
  <c r="AP83" i="5"/>
  <c r="AM84" i="5"/>
  <c r="AQ93" i="5"/>
  <c r="AM94" i="5"/>
  <c r="AQ103" i="5"/>
  <c r="AM104" i="5"/>
  <c r="AM106" i="5"/>
  <c r="AQ113" i="5"/>
  <c r="AM114" i="5"/>
  <c r="AM116" i="5"/>
  <c r="AQ121" i="5"/>
  <c r="AM123" i="5"/>
  <c r="AN123" i="5" s="1"/>
  <c r="AM127" i="5"/>
  <c r="AM129" i="5"/>
  <c r="AM133" i="5"/>
  <c r="AN133" i="5" s="1"/>
  <c r="AW133" i="5" s="1"/>
  <c r="AQ137" i="5"/>
  <c r="AQ138" i="5"/>
  <c r="AL141" i="5"/>
  <c r="AL143" i="5"/>
  <c r="AN143" i="5" s="1"/>
  <c r="AW143" i="5" s="1"/>
  <c r="AM151" i="5"/>
  <c r="AM153" i="5"/>
  <c r="AP164" i="5"/>
  <c r="AL164" i="5"/>
  <c r="AN164" i="5" s="1"/>
  <c r="AW164" i="5" s="1"/>
  <c r="AP181" i="5"/>
  <c r="AL221" i="5"/>
  <c r="AL234" i="5"/>
  <c r="AL236" i="5"/>
  <c r="AQ241" i="5"/>
  <c r="AQ263" i="5"/>
  <c r="AR263" i="5" s="1"/>
  <c r="AM267" i="5"/>
  <c r="AP267" i="5"/>
  <c r="AQ294" i="5"/>
  <c r="AM294" i="5"/>
  <c r="AN294" i="5" s="1"/>
  <c r="AW294" i="5" s="1"/>
  <c r="AN314" i="5"/>
  <c r="AW314" i="5" s="1"/>
  <c r="AM324" i="5"/>
  <c r="AP326" i="5"/>
  <c r="AR326" i="5" s="1"/>
  <c r="AQ326" i="5"/>
  <c r="AP389" i="5"/>
  <c r="AM419" i="5"/>
  <c r="AQ449" i="5"/>
  <c r="AM461" i="5"/>
  <c r="AM490" i="5"/>
  <c r="AP490" i="5"/>
  <c r="AR490" i="5" s="1"/>
  <c r="AL490" i="5"/>
  <c r="AQ490" i="5"/>
  <c r="AL530" i="5"/>
  <c r="AP530" i="5"/>
  <c r="AR530" i="5" s="1"/>
  <c r="AQ217" i="5"/>
  <c r="AM224" i="5"/>
  <c r="AM226" i="5"/>
  <c r="AQ229" i="5"/>
  <c r="AM241" i="5"/>
  <c r="AQ242" i="5"/>
  <c r="AL248" i="5"/>
  <c r="AN248" i="5" s="1"/>
  <c r="AP254" i="5"/>
  <c r="AR254" i="5" s="1"/>
  <c r="AP257" i="5"/>
  <c r="AM263" i="5"/>
  <c r="AL269" i="5"/>
  <c r="AL271" i="5"/>
  <c r="AN271" i="5" s="1"/>
  <c r="AW271" i="5" s="1"/>
  <c r="AP274" i="5"/>
  <c r="AP280" i="5"/>
  <c r="AM284" i="5"/>
  <c r="AN284" i="5" s="1"/>
  <c r="AW284" i="5" s="1"/>
  <c r="AQ304" i="5"/>
  <c r="AQ305" i="5"/>
  <c r="AM310" i="5"/>
  <c r="AL317" i="5"/>
  <c r="AN317" i="5" s="1"/>
  <c r="AQ330" i="5"/>
  <c r="AQ332" i="5"/>
  <c r="AP337" i="5"/>
  <c r="AQ339" i="5"/>
  <c r="AQ352" i="5"/>
  <c r="AQ361" i="5"/>
  <c r="AM363" i="5"/>
  <c r="AL369" i="5"/>
  <c r="AM386" i="5"/>
  <c r="AN386" i="5" s="1"/>
  <c r="AQ396" i="5"/>
  <c r="AP396" i="5"/>
  <c r="AL399" i="5"/>
  <c r="AQ407" i="5"/>
  <c r="AQ412" i="5"/>
  <c r="AM413" i="5"/>
  <c r="AN413" i="5" s="1"/>
  <c r="AW413" i="5" s="1"/>
  <c r="AM415" i="5"/>
  <c r="AQ417" i="5"/>
  <c r="AQ420" i="5"/>
  <c r="AM423" i="5"/>
  <c r="AN423" i="5" s="1"/>
  <c r="AQ426" i="5"/>
  <c r="AR426" i="5" s="1"/>
  <c r="AM435" i="5"/>
  <c r="AQ437" i="5"/>
  <c r="AM445" i="5"/>
  <c r="AQ446" i="5"/>
  <c r="AQ447" i="5"/>
  <c r="AQ451" i="5"/>
  <c r="AQ454" i="5"/>
  <c r="AQ462" i="5"/>
  <c r="AQ463" i="5"/>
  <c r="AL466" i="5"/>
  <c r="AM470" i="5"/>
  <c r="AP470" i="5"/>
  <c r="AR470" i="5" s="1"/>
  <c r="AL470" i="5"/>
  <c r="AL471" i="5"/>
  <c r="AQ531" i="5"/>
  <c r="AM582" i="5"/>
  <c r="AN582" i="5" s="1"/>
  <c r="AW582" i="5" s="1"/>
  <c r="AL582" i="5"/>
  <c r="AQ598" i="5"/>
  <c r="AM602" i="5"/>
  <c r="AL602" i="5"/>
  <c r="AN602" i="5" s="1"/>
  <c r="AW602" i="5" s="1"/>
  <c r="AQ643" i="5"/>
  <c r="AQ669" i="5"/>
  <c r="AM676" i="5"/>
  <c r="AN676" i="5" s="1"/>
  <c r="AM906" i="5"/>
  <c r="AL923" i="5"/>
  <c r="AM923" i="5"/>
  <c r="AR948" i="5"/>
  <c r="AN337" i="5"/>
  <c r="AQ341" i="5"/>
  <c r="AR356" i="5"/>
  <c r="AQ357" i="5"/>
  <c r="AR357" i="5" s="1"/>
  <c r="AM365" i="5"/>
  <c r="AL389" i="5"/>
  <c r="AQ390" i="5"/>
  <c r="AM393" i="5"/>
  <c r="AQ400" i="5"/>
  <c r="AL410" i="5"/>
  <c r="AL417" i="5"/>
  <c r="AM430" i="5"/>
  <c r="AP437" i="5"/>
  <c r="AR437" i="5" s="1"/>
  <c r="AM440" i="5"/>
  <c r="AP447" i="5"/>
  <c r="AR447" i="5" s="1"/>
  <c r="AN533" i="5"/>
  <c r="AP542" i="5"/>
  <c r="AR542" i="5" s="1"/>
  <c r="AQ542" i="5"/>
  <c r="AM551" i="5"/>
  <c r="AP573" i="5"/>
  <c r="AQ573" i="5"/>
  <c r="AM585" i="5"/>
  <c r="AM594" i="5"/>
  <c r="AN594" i="5" s="1"/>
  <c r="AW594" i="5" s="1"/>
  <c r="AQ594" i="5"/>
  <c r="AQ620" i="5"/>
  <c r="AQ641" i="5"/>
  <c r="AP641" i="5"/>
  <c r="AL741" i="5"/>
  <c r="AM741" i="5"/>
  <c r="AN766" i="5"/>
  <c r="AM977" i="5"/>
  <c r="AQ977" i="5"/>
  <c r="AP977" i="5"/>
  <c r="AQ134" i="5"/>
  <c r="AQ135" i="5"/>
  <c r="AQ144" i="5"/>
  <c r="AP152" i="5"/>
  <c r="AR152" i="5" s="1"/>
  <c r="AQ157" i="5"/>
  <c r="AR157" i="5" s="1"/>
  <c r="AQ191" i="5"/>
  <c r="AQ194" i="5"/>
  <c r="AQ212" i="5"/>
  <c r="AR212" i="5" s="1"/>
  <c r="AM223" i="5"/>
  <c r="AM233" i="5"/>
  <c r="AP241" i="5"/>
  <c r="AR241" i="5" s="1"/>
  <c r="AM250" i="5"/>
  <c r="AN250" i="5" s="1"/>
  <c r="AW250" i="5" s="1"/>
  <c r="AM252" i="5"/>
  <c r="AP256" i="5"/>
  <c r="AR256" i="5" s="1"/>
  <c r="AM260" i="5"/>
  <c r="AQ262" i="5"/>
  <c r="AQ293" i="5"/>
  <c r="AR293" i="5" s="1"/>
  <c r="AM300" i="5"/>
  <c r="AQ314" i="5"/>
  <c r="AQ315" i="5"/>
  <c r="AP336" i="5"/>
  <c r="AR336" i="5" s="1"/>
  <c r="AM345" i="5"/>
  <c r="AM362" i="5"/>
  <c r="AM373" i="5"/>
  <c r="AL379" i="5"/>
  <c r="AN379" i="5" s="1"/>
  <c r="AW379" i="5" s="1"/>
  <c r="AM383" i="5"/>
  <c r="AQ386" i="5"/>
  <c r="AR386" i="5" s="1"/>
  <c r="AL400" i="5"/>
  <c r="AM402" i="5"/>
  <c r="AQ403" i="5"/>
  <c r="AQ421" i="5"/>
  <c r="AP424" i="5"/>
  <c r="AR424" i="5" s="1"/>
  <c r="AP427" i="5"/>
  <c r="AR427" i="5" s="1"/>
  <c r="AP429" i="5"/>
  <c r="AR429" i="5" s="1"/>
  <c r="AQ434" i="5"/>
  <c r="AR434" i="5" s="1"/>
  <c r="AL437" i="5"/>
  <c r="AN437" i="5" s="1"/>
  <c r="AW437" i="5" s="1"/>
  <c r="AQ444" i="5"/>
  <c r="AR444" i="5" s="1"/>
  <c r="AL447" i="5"/>
  <c r="AQ457" i="5"/>
  <c r="AM462" i="5"/>
  <c r="AL465" i="5"/>
  <c r="AN465" i="5" s="1"/>
  <c r="AW465" i="5" s="1"/>
  <c r="AM503" i="5"/>
  <c r="AM569" i="5"/>
  <c r="AQ569" i="5"/>
  <c r="AR581" i="5"/>
  <c r="AL615" i="5"/>
  <c r="AN615" i="5" s="1"/>
  <c r="AM615" i="5"/>
  <c r="AL641" i="5"/>
  <c r="AQ663" i="5"/>
  <c r="AM663" i="5"/>
  <c r="AQ675" i="5"/>
  <c r="AL706" i="5"/>
  <c r="AN706" i="5" s="1"/>
  <c r="AM884" i="5"/>
  <c r="AL884" i="5"/>
  <c r="AP884" i="5"/>
  <c r="AQ884" i="5"/>
  <c r="AP132" i="5"/>
  <c r="AR132" i="5" s="1"/>
  <c r="AP137" i="5"/>
  <c r="AP142" i="5"/>
  <c r="AR142" i="5" s="1"/>
  <c r="AP148" i="5"/>
  <c r="AL149" i="5"/>
  <c r="AP155" i="5"/>
  <c r="AM168" i="5"/>
  <c r="AQ188" i="5"/>
  <c r="AR188" i="5" s="1"/>
  <c r="AM211" i="5"/>
  <c r="AM213" i="5"/>
  <c r="AQ227" i="5"/>
  <c r="AQ239" i="5"/>
  <c r="AP244" i="5"/>
  <c r="AL254" i="5"/>
  <c r="AQ255" i="5"/>
  <c r="AQ261" i="5"/>
  <c r="AP287" i="5"/>
  <c r="AL307" i="5"/>
  <c r="AQ322" i="5"/>
  <c r="AQ329" i="5"/>
  <c r="AQ342" i="5"/>
  <c r="AQ349" i="5"/>
  <c r="AP350" i="5"/>
  <c r="AR350" i="5" s="1"/>
  <c r="AQ354" i="5"/>
  <c r="AQ355" i="5"/>
  <c r="AP358" i="5"/>
  <c r="AR358" i="5" s="1"/>
  <c r="AQ376" i="5"/>
  <c r="AR376" i="5" s="1"/>
  <c r="AM390" i="5"/>
  <c r="AP394" i="5"/>
  <c r="AL397" i="5"/>
  <c r="AL409" i="5"/>
  <c r="AN409" i="5" s="1"/>
  <c r="AW409" i="5" s="1"/>
  <c r="AQ409" i="5"/>
  <c r="AL419" i="5"/>
  <c r="AQ424" i="5"/>
  <c r="AL427" i="5"/>
  <c r="AQ431" i="5"/>
  <c r="AL439" i="5"/>
  <c r="AN439" i="5" s="1"/>
  <c r="AQ441" i="5"/>
  <c r="AL461" i="5"/>
  <c r="AM471" i="5"/>
  <c r="AP480" i="5"/>
  <c r="AR480" i="5" s="1"/>
  <c r="AL493" i="5"/>
  <c r="AM493" i="5"/>
  <c r="AP514" i="5"/>
  <c r="AP519" i="5"/>
  <c r="AR519" i="5" s="1"/>
  <c r="AQ532" i="5"/>
  <c r="AP555" i="5"/>
  <c r="AM555" i="5"/>
  <c r="AQ588" i="5"/>
  <c r="AM592" i="5"/>
  <c r="AL592" i="5"/>
  <c r="AN592" i="5" s="1"/>
  <c r="AW592" i="5" s="1"/>
  <c r="AP606" i="5"/>
  <c r="AM609" i="5"/>
  <c r="AP614" i="5"/>
  <c r="AQ614" i="5"/>
  <c r="AQ686" i="5"/>
  <c r="AM686" i="5"/>
  <c r="AL686" i="5"/>
  <c r="AN686" i="5" s="1"/>
  <c r="AQ695" i="5"/>
  <c r="AN696" i="5"/>
  <c r="AR715" i="5"/>
  <c r="AL786" i="5"/>
  <c r="AN786" i="5" s="1"/>
  <c r="AQ786" i="5"/>
  <c r="AP786" i="5"/>
  <c r="AR786" i="5" s="1"/>
  <c r="AM786" i="5"/>
  <c r="AR843" i="5"/>
  <c r="AL165" i="5"/>
  <c r="AM178" i="5"/>
  <c r="AM182" i="5"/>
  <c r="AQ196" i="5"/>
  <c r="AQ207" i="5"/>
  <c r="AP224" i="5"/>
  <c r="AM227" i="5"/>
  <c r="AP229" i="5"/>
  <c r="AQ232" i="5"/>
  <c r="AM237" i="5"/>
  <c r="AP238" i="5"/>
  <c r="AQ243" i="5"/>
  <c r="AQ256" i="5"/>
  <c r="AP264" i="5"/>
  <c r="AL272" i="5"/>
  <c r="AQ274" i="5"/>
  <c r="AQ283" i="5"/>
  <c r="AL284" i="5"/>
  <c r="AP303" i="5"/>
  <c r="AR303" i="5" s="1"/>
  <c r="AL304" i="5"/>
  <c r="AN304" i="5" s="1"/>
  <c r="AW304" i="5" s="1"/>
  <c r="AP310" i="5"/>
  <c r="AM317" i="5"/>
  <c r="AQ334" i="5"/>
  <c r="AQ335" i="5"/>
  <c r="AP338" i="5"/>
  <c r="AM342" i="5"/>
  <c r="AQ351" i="5"/>
  <c r="AM353" i="5"/>
  <c r="AM360" i="5"/>
  <c r="AP363" i="5"/>
  <c r="AQ366" i="5"/>
  <c r="AP370" i="5"/>
  <c r="AQ377" i="5"/>
  <c r="AM389" i="5"/>
  <c r="AL396" i="5"/>
  <c r="AN396" i="5" s="1"/>
  <c r="AW396" i="5" s="1"/>
  <c r="AQ415" i="5"/>
  <c r="AP420" i="5"/>
  <c r="AL426" i="5"/>
  <c r="AL429" i="5"/>
  <c r="AN429" i="5" s="1"/>
  <c r="AW429" i="5" s="1"/>
  <c r="AQ435" i="5"/>
  <c r="AQ445" i="5"/>
  <c r="AM449" i="5"/>
  <c r="AP454" i="5"/>
  <c r="AR454" i="5" s="1"/>
  <c r="AP463" i="5"/>
  <c r="AR463" i="5" s="1"/>
  <c r="AP469" i="5"/>
  <c r="AQ470" i="5"/>
  <c r="AM516" i="5"/>
  <c r="AP524" i="5"/>
  <c r="AM540" i="5"/>
  <c r="AQ540" i="5"/>
  <c r="AP540" i="5"/>
  <c r="AR540" i="5" s="1"/>
  <c r="AL540" i="5"/>
  <c r="AQ559" i="5"/>
  <c r="AL622" i="5"/>
  <c r="AP672" i="5"/>
  <c r="AR692" i="5"/>
  <c r="AP695" i="5"/>
  <c r="AM695" i="5"/>
  <c r="AM705" i="5"/>
  <c r="AN783" i="5"/>
  <c r="AM810" i="5"/>
  <c r="AL810" i="5"/>
  <c r="AQ150" i="5"/>
  <c r="AQ153" i="5"/>
  <c r="AQ154" i="5"/>
  <c r="AP158" i="5"/>
  <c r="AQ162" i="5"/>
  <c r="AR162" i="5" s="1"/>
  <c r="AL174" i="5"/>
  <c r="AM176" i="5"/>
  <c r="AP178" i="5"/>
  <c r="AM186" i="5"/>
  <c r="AQ187" i="5"/>
  <c r="AM188" i="5"/>
  <c r="AQ202" i="5"/>
  <c r="AR202" i="5" s="1"/>
  <c r="AM205" i="5"/>
  <c r="AM210" i="5"/>
  <c r="AL211" i="5"/>
  <c r="AP216" i="5"/>
  <c r="AM220" i="5"/>
  <c r="AL222" i="5"/>
  <c r="AP226" i="5"/>
  <c r="AP228" i="5"/>
  <c r="AL242" i="5"/>
  <c r="AN242" i="5" s="1"/>
  <c r="AW242" i="5" s="1"/>
  <c r="AQ244" i="5"/>
  <c r="AQ245" i="5"/>
  <c r="AM248" i="5"/>
  <c r="AP250" i="5"/>
  <c r="AR250" i="5" s="1"/>
  <c r="AP253" i="5"/>
  <c r="AR253" i="5" s="1"/>
  <c r="AQ258" i="5"/>
  <c r="AP259" i="5"/>
  <c r="AM272" i="5"/>
  <c r="AN272" i="5" s="1"/>
  <c r="AW272" i="5" s="1"/>
  <c r="AL297" i="5"/>
  <c r="AN297" i="5" s="1"/>
  <c r="AM304" i="5"/>
  <c r="AQ310" i="5"/>
  <c r="AP317" i="5"/>
  <c r="AM320" i="5"/>
  <c r="AL327" i="5"/>
  <c r="AN327" i="5" s="1"/>
  <c r="AQ328" i="5"/>
  <c r="AR328" i="5" s="1"/>
  <c r="AQ331" i="5"/>
  <c r="AM333" i="5"/>
  <c r="AM340" i="5"/>
  <c r="AL347" i="5"/>
  <c r="AQ348" i="5"/>
  <c r="AM355" i="5"/>
  <c r="AQ370" i="5"/>
  <c r="AM380" i="5"/>
  <c r="AL387" i="5"/>
  <c r="AM396" i="5"/>
  <c r="AP410" i="5"/>
  <c r="AP418" i="5"/>
  <c r="AM426" i="5"/>
  <c r="AP430" i="5"/>
  <c r="AR430" i="5" s="1"/>
  <c r="AP438" i="5"/>
  <c r="AP440" i="5"/>
  <c r="AR440" i="5" s="1"/>
  <c r="AQ448" i="5"/>
  <c r="AQ450" i="5"/>
  <c r="AM451" i="5"/>
  <c r="AP477" i="5"/>
  <c r="AP492" i="5"/>
  <c r="AR492" i="5" s="1"/>
  <c r="AQ492" i="5"/>
  <c r="AM500" i="5"/>
  <c r="AN500" i="5" s="1"/>
  <c r="AW500" i="5" s="1"/>
  <c r="AQ500" i="5"/>
  <c r="AP500" i="5"/>
  <c r="AR500" i="5" s="1"/>
  <c r="AQ510" i="5"/>
  <c r="AQ511" i="5"/>
  <c r="AQ520" i="5"/>
  <c r="AP550" i="5"/>
  <c r="AQ558" i="5"/>
  <c r="AQ584" i="5"/>
  <c r="AM595" i="5"/>
  <c r="AP603" i="5"/>
  <c r="AR603" i="5" s="1"/>
  <c r="AL604" i="5"/>
  <c r="AQ604" i="5"/>
  <c r="AQ630" i="5"/>
  <c r="AM654" i="5"/>
  <c r="AM658" i="5"/>
  <c r="AL658" i="5"/>
  <c r="AL672" i="5"/>
  <c r="AQ718" i="5"/>
  <c r="AL783" i="5"/>
  <c r="AQ459" i="5"/>
  <c r="AP465" i="5"/>
  <c r="AQ466" i="5"/>
  <c r="AP467" i="5"/>
  <c r="AR467" i="5" s="1"/>
  <c r="AQ491" i="5"/>
  <c r="AL503" i="5"/>
  <c r="AL523" i="5"/>
  <c r="AN523" i="5" s="1"/>
  <c r="AW523" i="5" s="1"/>
  <c r="AQ528" i="5"/>
  <c r="AL539" i="5"/>
  <c r="AN539" i="5" s="1"/>
  <c r="AW539" i="5" s="1"/>
  <c r="AP544" i="5"/>
  <c r="AL548" i="5"/>
  <c r="AL557" i="5"/>
  <c r="AQ561" i="5"/>
  <c r="AL573" i="5"/>
  <c r="AQ579" i="5"/>
  <c r="AQ581" i="5"/>
  <c r="AM584" i="5"/>
  <c r="AQ589" i="5"/>
  <c r="AQ591" i="5"/>
  <c r="AQ599" i="5"/>
  <c r="AQ601" i="5"/>
  <c r="AQ603" i="5"/>
  <c r="AM612" i="5"/>
  <c r="AN612" i="5" s="1"/>
  <c r="AP613" i="5"/>
  <c r="AL614" i="5"/>
  <c r="AP615" i="5"/>
  <c r="AL619" i="5"/>
  <c r="AP624" i="5"/>
  <c r="AP625" i="5"/>
  <c r="AL629" i="5"/>
  <c r="AN629" i="5" s="1"/>
  <c r="AW629" i="5" s="1"/>
  <c r="AL635" i="5"/>
  <c r="AQ657" i="5"/>
  <c r="AM661" i="5"/>
  <c r="AQ679" i="5"/>
  <c r="AQ692" i="5"/>
  <c r="AQ725" i="5"/>
  <c r="AL740" i="5"/>
  <c r="AN740" i="5" s="1"/>
  <c r="AQ740" i="5"/>
  <c r="AP740" i="5"/>
  <c r="AM740" i="5"/>
  <c r="AQ745" i="5"/>
  <c r="AL749" i="5"/>
  <c r="AM767" i="5"/>
  <c r="AQ809" i="5"/>
  <c r="AN820" i="5"/>
  <c r="AP836" i="5"/>
  <c r="AQ855" i="5"/>
  <c r="AP855" i="5"/>
  <c r="AL860" i="5"/>
  <c r="AQ865" i="5"/>
  <c r="AR865" i="5" s="1"/>
  <c r="AL866" i="5"/>
  <c r="AP900" i="5"/>
  <c r="AQ900" i="5"/>
  <c r="AR900" i="5" s="1"/>
  <c r="AQ905" i="5"/>
  <c r="AP917" i="5"/>
  <c r="AQ958" i="5"/>
  <c r="AL958" i="5"/>
  <c r="AP958" i="5"/>
  <c r="AR958" i="5" s="1"/>
  <c r="AQ981" i="5"/>
  <c r="AQ998" i="5"/>
  <c r="AL998" i="5"/>
  <c r="AQ484" i="5"/>
  <c r="AM496" i="5"/>
  <c r="AP502" i="5"/>
  <c r="AR502" i="5" s="1"/>
  <c r="AM511" i="5"/>
  <c r="AQ515" i="5"/>
  <c r="AQ517" i="5"/>
  <c r="AM519" i="5"/>
  <c r="AM520" i="5"/>
  <c r="AN520" i="5" s="1"/>
  <c r="AP522" i="5"/>
  <c r="AR522" i="5" s="1"/>
  <c r="AQ534" i="5"/>
  <c r="AQ541" i="5"/>
  <c r="AM546" i="5"/>
  <c r="AL561" i="5"/>
  <c r="AQ574" i="5"/>
  <c r="AL601" i="5"/>
  <c r="AQ607" i="5"/>
  <c r="AQ609" i="5"/>
  <c r="AQ611" i="5"/>
  <c r="AM614" i="5"/>
  <c r="AP616" i="5"/>
  <c r="AM619" i="5"/>
  <c r="AL624" i="5"/>
  <c r="AN624" i="5" s="1"/>
  <c r="AW624" i="5" s="1"/>
  <c r="AP626" i="5"/>
  <c r="AM629" i="5"/>
  <c r="AP634" i="5"/>
  <c r="AR634" i="5" s="1"/>
  <c r="AP635" i="5"/>
  <c r="AQ640" i="5"/>
  <c r="AL646" i="5"/>
  <c r="AP650" i="5"/>
  <c r="AR650" i="5" s="1"/>
  <c r="AM651" i="5"/>
  <c r="AQ652" i="5"/>
  <c r="AQ653" i="5"/>
  <c r="AP655" i="5"/>
  <c r="AQ702" i="5"/>
  <c r="AP702" i="5"/>
  <c r="AL702" i="5"/>
  <c r="AQ703" i="5"/>
  <c r="AQ793" i="5"/>
  <c r="AM793" i="5"/>
  <c r="AL793" i="5"/>
  <c r="AN793" i="5" s="1"/>
  <c r="AQ803" i="5"/>
  <c r="AM803" i="5"/>
  <c r="AL803" i="5"/>
  <c r="AM957" i="5"/>
  <c r="AP957" i="5"/>
  <c r="AR957" i="5" s="1"/>
  <c r="AM997" i="5"/>
  <c r="AP997" i="5"/>
  <c r="AM552" i="5"/>
  <c r="AN552" i="5" s="1"/>
  <c r="AW552" i="5" s="1"/>
  <c r="AQ555" i="5"/>
  <c r="AP556" i="5"/>
  <c r="AQ571" i="5"/>
  <c r="AL586" i="5"/>
  <c r="AQ618" i="5"/>
  <c r="AP623" i="5"/>
  <c r="AR623" i="5" s="1"/>
  <c r="AQ628" i="5"/>
  <c r="AP636" i="5"/>
  <c r="AL639" i="5"/>
  <c r="AP644" i="5"/>
  <c r="AR644" i="5" s="1"/>
  <c r="AL645" i="5"/>
  <c r="AN645" i="5" s="1"/>
  <c r="AW645" i="5" s="1"/>
  <c r="AL656" i="5"/>
  <c r="AQ660" i="5"/>
  <c r="AL662" i="5"/>
  <c r="AR724" i="5"/>
  <c r="AL736" i="5"/>
  <c r="AM744" i="5"/>
  <c r="AP750" i="5"/>
  <c r="AM757" i="5"/>
  <c r="AL760" i="5"/>
  <c r="AN760" i="5" s="1"/>
  <c r="AL766" i="5"/>
  <c r="AQ780" i="5"/>
  <c r="AQ892" i="5"/>
  <c r="AQ458" i="5"/>
  <c r="AP464" i="5"/>
  <c r="AQ472" i="5"/>
  <c r="AM480" i="5"/>
  <c r="AN480" i="5" s="1"/>
  <c r="AW480" i="5" s="1"/>
  <c r="AM499" i="5"/>
  <c r="AM506" i="5"/>
  <c r="AP510" i="5"/>
  <c r="AR510" i="5" s="1"/>
  <c r="AQ514" i="5"/>
  <c r="AQ521" i="5"/>
  <c r="AM526" i="5"/>
  <c r="AP532" i="5"/>
  <c r="AR532" i="5" s="1"/>
  <c r="AQ545" i="5"/>
  <c r="AQ548" i="5"/>
  <c r="AQ551" i="5"/>
  <c r="AQ554" i="5"/>
  <c r="AL575" i="5"/>
  <c r="AL581" i="5"/>
  <c r="AL585" i="5"/>
  <c r="AN585" i="5" s="1"/>
  <c r="AW585" i="5" s="1"/>
  <c r="AL591" i="5"/>
  <c r="AL595" i="5"/>
  <c r="AL606" i="5"/>
  <c r="AM622" i="5"/>
  <c r="AM632" i="5"/>
  <c r="AP633" i="5"/>
  <c r="AM634" i="5"/>
  <c r="AQ638" i="5"/>
  <c r="AM639" i="5"/>
  <c r="AL644" i="5"/>
  <c r="AP645" i="5"/>
  <c r="AL649" i="5"/>
  <c r="AQ650" i="5"/>
  <c r="AM660" i="5"/>
  <c r="AL661" i="5"/>
  <c r="AL667" i="5"/>
  <c r="AP669" i="5"/>
  <c r="AL675" i="5"/>
  <c r="AN675" i="5" s="1"/>
  <c r="AP675" i="5"/>
  <c r="AR675" i="5" s="1"/>
  <c r="AQ682" i="5"/>
  <c r="AR682" i="5" s="1"/>
  <c r="AL703" i="5"/>
  <c r="AQ707" i="5"/>
  <c r="AP712" i="5"/>
  <c r="AQ713" i="5"/>
  <c r="AM715" i="5"/>
  <c r="AQ724" i="5"/>
  <c r="AQ743" i="5"/>
  <c r="AM743" i="5"/>
  <c r="AL743" i="5"/>
  <c r="AQ773" i="5"/>
  <c r="AP773" i="5"/>
  <c r="AR773" i="5" s="1"/>
  <c r="AM773" i="5"/>
  <c r="AN773" i="5" s="1"/>
  <c r="AL773" i="5"/>
  <c r="AP783" i="5"/>
  <c r="AL787" i="5"/>
  <c r="AN797" i="5"/>
  <c r="AL807" i="5"/>
  <c r="AM829" i="5"/>
  <c r="AN829" i="5" s="1"/>
  <c r="AQ858" i="5"/>
  <c r="AP858" i="5"/>
  <c r="AR858" i="5" s="1"/>
  <c r="AP863" i="5"/>
  <c r="AP894" i="5"/>
  <c r="AM927" i="5"/>
  <c r="AP927" i="5"/>
  <c r="AP968" i="5"/>
  <c r="AL991" i="5"/>
  <c r="AM991" i="5"/>
  <c r="AQ481" i="5"/>
  <c r="AL513" i="5"/>
  <c r="AN513" i="5" s="1"/>
  <c r="AQ518" i="5"/>
  <c r="AM530" i="5"/>
  <c r="AP534" i="5"/>
  <c r="AR534" i="5" s="1"/>
  <c r="AM537" i="5"/>
  <c r="AL564" i="5"/>
  <c r="AL579" i="5"/>
  <c r="AN579" i="5" s="1"/>
  <c r="AP584" i="5"/>
  <c r="AP585" i="5"/>
  <c r="AL589" i="5"/>
  <c r="AP594" i="5"/>
  <c r="AR594" i="5" s="1"/>
  <c r="AP595" i="5"/>
  <c r="AL605" i="5"/>
  <c r="AN605" i="5" s="1"/>
  <c r="AW605" i="5" s="1"/>
  <c r="AQ610" i="5"/>
  <c r="AQ617" i="5"/>
  <c r="AQ619" i="5"/>
  <c r="AQ621" i="5"/>
  <c r="AQ623" i="5"/>
  <c r="AQ627" i="5"/>
  <c r="AQ629" i="5"/>
  <c r="AQ631" i="5"/>
  <c r="AR631" i="5" s="1"/>
  <c r="AP643" i="5"/>
  <c r="AR643" i="5" s="1"/>
  <c r="AM644" i="5"/>
  <c r="AP646" i="5"/>
  <c r="AM649" i="5"/>
  <c r="AP654" i="5"/>
  <c r="AL655" i="5"/>
  <c r="AP665" i="5"/>
  <c r="AP666" i="5"/>
  <c r="AP684" i="5"/>
  <c r="AL685" i="5"/>
  <c r="AN685" i="5" s="1"/>
  <c r="AL693" i="5"/>
  <c r="AN693" i="5" s="1"/>
  <c r="AQ706" i="5"/>
  <c r="AM706" i="5"/>
  <c r="AP732" i="5"/>
  <c r="AQ733" i="5"/>
  <c r="AQ742" i="5"/>
  <c r="AP742" i="5"/>
  <c r="AQ756" i="5"/>
  <c r="AQ757" i="5"/>
  <c r="AQ770" i="5"/>
  <c r="AP823" i="5"/>
  <c r="AP829" i="5"/>
  <c r="AQ830" i="5"/>
  <c r="AQ866" i="5"/>
  <c r="AQ875" i="5"/>
  <c r="AL880" i="5"/>
  <c r="AL897" i="5"/>
  <c r="AN897" i="5" s="1"/>
  <c r="AP897" i="5"/>
  <c r="AR897" i="5" s="1"/>
  <c r="AP937" i="5"/>
  <c r="AL951" i="5"/>
  <c r="AN951" i="5" s="1"/>
  <c r="AQ951" i="5"/>
  <c r="AM951" i="5"/>
  <c r="AQ967" i="5"/>
  <c r="AR967" i="5" s="1"/>
  <c r="AP969" i="5"/>
  <c r="AP457" i="5"/>
  <c r="AR457" i="5" s="1"/>
  <c r="AQ474" i="5"/>
  <c r="AL487" i="5"/>
  <c r="AM509" i="5"/>
  <c r="AM510" i="5"/>
  <c r="AN510" i="5" s="1"/>
  <c r="AP512" i="5"/>
  <c r="AR512" i="5" s="1"/>
  <c r="AM521" i="5"/>
  <c r="AQ525" i="5"/>
  <c r="AQ527" i="5"/>
  <c r="AM529" i="5"/>
  <c r="AP531" i="5"/>
  <c r="AM536" i="5"/>
  <c r="AQ544" i="5"/>
  <c r="AM550" i="5"/>
  <c r="AP561" i="5"/>
  <c r="AR561" i="5" s="1"/>
  <c r="AQ564" i="5"/>
  <c r="AL569" i="5"/>
  <c r="AN569" i="5" s="1"/>
  <c r="AW569" i="5" s="1"/>
  <c r="AP571" i="5"/>
  <c r="AM579" i="5"/>
  <c r="AL584" i="5"/>
  <c r="AP586" i="5"/>
  <c r="AM589" i="5"/>
  <c r="AL594" i="5"/>
  <c r="AP601" i="5"/>
  <c r="AR601" i="5" s="1"/>
  <c r="AP604" i="5"/>
  <c r="AR604" i="5" s="1"/>
  <c r="AP605" i="5"/>
  <c r="AL609" i="5"/>
  <c r="AN609" i="5" s="1"/>
  <c r="AW615" i="5"/>
  <c r="AL621" i="5"/>
  <c r="AQ624" i="5"/>
  <c r="AL631" i="5"/>
  <c r="AQ633" i="5"/>
  <c r="AM635" i="5"/>
  <c r="AQ637" i="5"/>
  <c r="AM642" i="5"/>
  <c r="AQ648" i="5"/>
  <c r="AQ658" i="5"/>
  <c r="AQ659" i="5"/>
  <c r="AQ672" i="5"/>
  <c r="AP681" i="5"/>
  <c r="AQ689" i="5"/>
  <c r="AQ690" i="5"/>
  <c r="AL695" i="5"/>
  <c r="AN695" i="5" s="1"/>
  <c r="AP704" i="5"/>
  <c r="AP711" i="5"/>
  <c r="AM722" i="5"/>
  <c r="AP722" i="5"/>
  <c r="AR722" i="5" s="1"/>
  <c r="AL722" i="5"/>
  <c r="AM756" i="5"/>
  <c r="AQ766" i="5"/>
  <c r="AR766" i="5" s="1"/>
  <c r="AQ772" i="5"/>
  <c r="AP772" i="5"/>
  <c r="AM799" i="5"/>
  <c r="AP799" i="5"/>
  <c r="AR799" i="5" s="1"/>
  <c r="AQ806" i="5"/>
  <c r="AQ811" i="5"/>
  <c r="AQ828" i="5"/>
  <c r="AR828" i="5" s="1"/>
  <c r="AM852" i="5"/>
  <c r="AQ852" i="5"/>
  <c r="AM857" i="5"/>
  <c r="AQ862" i="5"/>
  <c r="AQ879" i="5"/>
  <c r="AR896" i="5"/>
  <c r="AQ907" i="5"/>
  <c r="AR907" i="5" s="1"/>
  <c r="AR909" i="5"/>
  <c r="AR924" i="5"/>
  <c r="AM936" i="5"/>
  <c r="AM958" i="5"/>
  <c r="AR961" i="5"/>
  <c r="AQ978" i="5"/>
  <c r="AP978" i="5"/>
  <c r="AR978" i="5" s="1"/>
  <c r="AM978" i="5"/>
  <c r="AL978" i="5"/>
  <c r="AM998" i="5"/>
  <c r="AP805" i="5"/>
  <c r="AR816" i="5"/>
  <c r="AM819" i="5"/>
  <c r="AM822" i="5"/>
  <c r="AM831" i="5"/>
  <c r="AP834" i="5"/>
  <c r="AP840" i="5"/>
  <c r="AQ845" i="5"/>
  <c r="AP846" i="5"/>
  <c r="AQ859" i="5"/>
  <c r="AN869" i="5"/>
  <c r="AP887" i="5"/>
  <c r="AL901" i="5"/>
  <c r="AN901" i="5" s="1"/>
  <c r="AQ901" i="5"/>
  <c r="AR901" i="5" s="1"/>
  <c r="AM914" i="5"/>
  <c r="AL941" i="5"/>
  <c r="AM947" i="5"/>
  <c r="AQ948" i="5"/>
  <c r="AP951" i="5"/>
  <c r="AL961" i="5"/>
  <c r="AM974" i="5"/>
  <c r="AP975" i="5"/>
  <c r="AR975" i="5" s="1"/>
  <c r="AM987" i="5"/>
  <c r="AQ988" i="5"/>
  <c r="AM698" i="5"/>
  <c r="AQ699" i="5"/>
  <c r="AQ700" i="5"/>
  <c r="AL705" i="5"/>
  <c r="AN705" i="5" s="1"/>
  <c r="AQ709" i="5"/>
  <c r="AQ710" i="5"/>
  <c r="AL712" i="5"/>
  <c r="AL713" i="5"/>
  <c r="AL716" i="5"/>
  <c r="AN716" i="5" s="1"/>
  <c r="AP725" i="5"/>
  <c r="AR725" i="5" s="1"/>
  <c r="AL726" i="5"/>
  <c r="AN726" i="5" s="1"/>
  <c r="AL729" i="5"/>
  <c r="AN729" i="5" s="1"/>
  <c r="AQ730" i="5"/>
  <c r="AL732" i="5"/>
  <c r="AL733" i="5"/>
  <c r="AM736" i="5"/>
  <c r="AN736" i="5" s="1"/>
  <c r="AM750" i="5"/>
  <c r="AQ753" i="5"/>
  <c r="AL774" i="5"/>
  <c r="AL776" i="5"/>
  <c r="AQ777" i="5"/>
  <c r="AP779" i="5"/>
  <c r="AR779" i="5" s="1"/>
  <c r="AM789" i="5"/>
  <c r="AQ798" i="5"/>
  <c r="AQ801" i="5"/>
  <c r="AQ804" i="5"/>
  <c r="AM807" i="5"/>
  <c r="AQ810" i="5"/>
  <c r="AM813" i="5"/>
  <c r="AN813" i="5" s="1"/>
  <c r="AQ818" i="5"/>
  <c r="AL829" i="5"/>
  <c r="AP833" i="5"/>
  <c r="AQ840" i="5"/>
  <c r="AQ849" i="5"/>
  <c r="AR849" i="5" s="1"/>
  <c r="AL852" i="5"/>
  <c r="AQ869" i="5"/>
  <c r="AP875" i="5"/>
  <c r="AR875" i="5" s="1"/>
  <c r="AQ876" i="5"/>
  <c r="AP879" i="5"/>
  <c r="AQ886" i="5"/>
  <c r="AP889" i="5"/>
  <c r="AM896" i="5"/>
  <c r="AQ899" i="5"/>
  <c r="AQ902" i="5"/>
  <c r="AP905" i="5"/>
  <c r="AQ906" i="5"/>
  <c r="AR906" i="5" s="1"/>
  <c r="AL921" i="5"/>
  <c r="AQ939" i="5"/>
  <c r="AQ959" i="5"/>
  <c r="AM968" i="5"/>
  <c r="AN968" i="5" s="1"/>
  <c r="AQ979" i="5"/>
  <c r="AM984" i="5"/>
  <c r="AQ986" i="5"/>
  <c r="AP694" i="5"/>
  <c r="AQ696" i="5"/>
  <c r="AQ697" i="5"/>
  <c r="AM708" i="5"/>
  <c r="AL715" i="5"/>
  <c r="AN715" i="5" s="1"/>
  <c r="AQ719" i="5"/>
  <c r="AQ720" i="5"/>
  <c r="AL723" i="5"/>
  <c r="AQ729" i="5"/>
  <c r="AM738" i="5"/>
  <c r="AQ747" i="5"/>
  <c r="AM776" i="5"/>
  <c r="AM777" i="5"/>
  <c r="AL780" i="5"/>
  <c r="AN780" i="5" s="1"/>
  <c r="AQ783" i="5"/>
  <c r="AM801" i="5"/>
  <c r="AL804" i="5"/>
  <c r="AM806" i="5"/>
  <c r="AN806" i="5" s="1"/>
  <c r="AP809" i="5"/>
  <c r="AR809" i="5" s="1"/>
  <c r="AL816" i="5"/>
  <c r="AN816" i="5" s="1"/>
  <c r="AL823" i="5"/>
  <c r="AN823" i="5" s="1"/>
  <c r="AQ825" i="5"/>
  <c r="AL830" i="5"/>
  <c r="AM838" i="5"/>
  <c r="AQ846" i="5"/>
  <c r="AP862" i="5"/>
  <c r="AP873" i="5"/>
  <c r="AL876" i="5"/>
  <c r="AN876" i="5" s="1"/>
  <c r="AQ885" i="5"/>
  <c r="AM888" i="5"/>
  <c r="AL889" i="5"/>
  <c r="AL892" i="5"/>
  <c r="AQ895" i="5"/>
  <c r="AL896" i="5"/>
  <c r="AQ898" i="5"/>
  <c r="AL906" i="5"/>
  <c r="AN906" i="5" s="1"/>
  <c r="AM909" i="5"/>
  <c r="AM915" i="5"/>
  <c r="AQ916" i="5"/>
  <c r="AL922" i="5"/>
  <c r="AN922" i="5" s="1"/>
  <c r="AQ940" i="5"/>
  <c r="AP945" i="5"/>
  <c r="AM954" i="5"/>
  <c r="AL971" i="5"/>
  <c r="AN971" i="5" s="1"/>
  <c r="AM981" i="5"/>
  <c r="AM994" i="5"/>
  <c r="AM996" i="5"/>
  <c r="AM999" i="5"/>
  <c r="AM718" i="5"/>
  <c r="AL725" i="5"/>
  <c r="AN725" i="5" s="1"/>
  <c r="AM728" i="5"/>
  <c r="AP735" i="5"/>
  <c r="AQ736" i="5"/>
  <c r="AR736" i="5" s="1"/>
  <c r="AQ746" i="5"/>
  <c r="AL759" i="5"/>
  <c r="AM763" i="5"/>
  <c r="AL794" i="5"/>
  <c r="AQ797" i="5"/>
  <c r="AP806" i="5"/>
  <c r="AR806" i="5" s="1"/>
  <c r="AQ813" i="5"/>
  <c r="AP815" i="5"/>
  <c r="AQ820" i="5"/>
  <c r="AM823" i="5"/>
  <c r="AQ824" i="5"/>
  <c r="AL837" i="5"/>
  <c r="AQ843" i="5"/>
  <c r="AQ856" i="5"/>
  <c r="AM865" i="5"/>
  <c r="AL873" i="5"/>
  <c r="AP888" i="5"/>
  <c r="AR888" i="5" s="1"/>
  <c r="AP893" i="5"/>
  <c r="AQ910" i="5"/>
  <c r="AQ912" i="5"/>
  <c r="AP915" i="5"/>
  <c r="AR915" i="5" s="1"/>
  <c r="AL916" i="5"/>
  <c r="AQ919" i="5"/>
  <c r="AL933" i="5"/>
  <c r="AQ938" i="5"/>
  <c r="AM942" i="5"/>
  <c r="AP959" i="5"/>
  <c r="AM967" i="5"/>
  <c r="AQ968" i="5"/>
  <c r="AQ975" i="5"/>
  <c r="AQ983" i="5"/>
  <c r="AQ704" i="5"/>
  <c r="AQ712" i="5"/>
  <c r="AP714" i="5"/>
  <c r="AQ716" i="5"/>
  <c r="AQ717" i="5"/>
  <c r="AQ726" i="5"/>
  <c r="AQ727" i="5"/>
  <c r="AQ732" i="5"/>
  <c r="AQ737" i="5"/>
  <c r="AM779" i="5"/>
  <c r="AQ782" i="5"/>
  <c r="AM797" i="5"/>
  <c r="AP800" i="5"/>
  <c r="AR800" i="5" s="1"/>
  <c r="AQ817" i="5"/>
  <c r="AP819" i="5"/>
  <c r="AR819" i="5" s="1"/>
  <c r="AM828" i="5"/>
  <c r="AQ829" i="5"/>
  <c r="AQ837" i="5"/>
  <c r="AQ848" i="5"/>
  <c r="AQ851" i="5"/>
  <c r="AP853" i="5"/>
  <c r="AR853" i="5" s="1"/>
  <c r="AL856" i="5"/>
  <c r="AN856" i="5" s="1"/>
  <c r="AP859" i="5"/>
  <c r="AP866" i="5"/>
  <c r="AR866" i="5" s="1"/>
  <c r="AM872" i="5"/>
  <c r="AN872" i="5" s="1"/>
  <c r="AM875" i="5"/>
  <c r="AP881" i="5"/>
  <c r="AL891" i="5"/>
  <c r="AQ894" i="5"/>
  <c r="AM901" i="5"/>
  <c r="AP902" i="5"/>
  <c r="AM905" i="5"/>
  <c r="AQ908" i="5"/>
  <c r="AQ911" i="5"/>
  <c r="AM922" i="5"/>
  <c r="AL931" i="5"/>
  <c r="AM941" i="5"/>
  <c r="AN941" i="5" s="1"/>
  <c r="AP947" i="5"/>
  <c r="AL948" i="5"/>
  <c r="AM961" i="5"/>
  <c r="AM964" i="5"/>
  <c r="AP965" i="5"/>
  <c r="AP974" i="5"/>
  <c r="AL975" i="5"/>
  <c r="AP987" i="5"/>
  <c r="AR987" i="5" s="1"/>
  <c r="AL988" i="5"/>
  <c r="AQ765" i="5"/>
  <c r="AQ781" i="5"/>
  <c r="AQ790" i="5"/>
  <c r="AM809" i="5"/>
  <c r="AM812" i="5"/>
  <c r="AQ814" i="5"/>
  <c r="AM817" i="5"/>
  <c r="AN817" i="5" s="1"/>
  <c r="AQ819" i="5"/>
  <c r="AL850" i="5"/>
  <c r="AQ863" i="5"/>
  <c r="AP876" i="5"/>
  <c r="AL879" i="5"/>
  <c r="AN879" i="5" s="1"/>
  <c r="AQ881" i="5"/>
  <c r="AL888" i="5"/>
  <c r="AN888" i="5" s="1"/>
  <c r="AP898" i="5"/>
  <c r="AR898" i="5" s="1"/>
  <c r="AL915" i="5"/>
  <c r="AP919" i="5"/>
  <c r="AQ931" i="5"/>
  <c r="AQ941" i="5"/>
  <c r="AQ947" i="5"/>
  <c r="AM948" i="5"/>
  <c r="AL981" i="5"/>
  <c r="AQ987" i="5"/>
  <c r="AM988" i="5"/>
  <c r="AR9" i="5"/>
  <c r="AR49" i="5"/>
  <c r="AW9" i="5"/>
  <c r="AM56" i="5"/>
  <c r="AL56" i="5"/>
  <c r="AQ58" i="5"/>
  <c r="AP58" i="5"/>
  <c r="AR58" i="5" s="1"/>
  <c r="AL58" i="5"/>
  <c r="AQ65" i="5"/>
  <c r="AP65" i="5"/>
  <c r="AM65" i="5"/>
  <c r="AL65" i="5"/>
  <c r="AQ85" i="5"/>
  <c r="AP85" i="5"/>
  <c r="AR85" i="5" s="1"/>
  <c r="AM85" i="5"/>
  <c r="AL85" i="5"/>
  <c r="AQ12" i="5"/>
  <c r="AM13" i="5"/>
  <c r="AN13" i="5" s="1"/>
  <c r="AW13" i="5" s="1"/>
  <c r="AQ16" i="5"/>
  <c r="AR16" i="5" s="1"/>
  <c r="AL18" i="5"/>
  <c r="AQ26" i="5"/>
  <c r="AR26" i="5" s="1"/>
  <c r="AL29" i="5"/>
  <c r="AN29" i="5" s="1"/>
  <c r="AQ33" i="5"/>
  <c r="AR33" i="5" s="1"/>
  <c r="AQ34" i="5"/>
  <c r="AQ36" i="5"/>
  <c r="AR36" i="5" s="1"/>
  <c r="AQ44" i="5"/>
  <c r="AM48" i="5"/>
  <c r="AW54" i="5"/>
  <c r="AP87" i="5"/>
  <c r="AL87" i="5"/>
  <c r="AN87" i="5" s="1"/>
  <c r="AW87" i="5" s="1"/>
  <c r="AM89" i="5"/>
  <c r="AL89" i="5"/>
  <c r="AN89" i="5" s="1"/>
  <c r="AQ89" i="5"/>
  <c r="AR89" i="5" s="1"/>
  <c r="AQ95" i="5"/>
  <c r="AL23" i="5"/>
  <c r="AN23" i="5" s="1"/>
  <c r="AW23" i="5" s="1"/>
  <c r="AQ55" i="5"/>
  <c r="AP55" i="5"/>
  <c r="AR55" i="5" s="1"/>
  <c r="AM55" i="5"/>
  <c r="AL55" i="5"/>
  <c r="AP72" i="5"/>
  <c r="AM72" i="5"/>
  <c r="AL72" i="5"/>
  <c r="AM109" i="5"/>
  <c r="AL109" i="5"/>
  <c r="AQ109" i="5"/>
  <c r="AP109" i="5"/>
  <c r="AL19" i="5"/>
  <c r="AQ45" i="5"/>
  <c r="AP45" i="5"/>
  <c r="AL45" i="5"/>
  <c r="AP62" i="5"/>
  <c r="AM62" i="5"/>
  <c r="AL62" i="5"/>
  <c r="AL67" i="5"/>
  <c r="AQ78" i="5"/>
  <c r="AP78" i="5"/>
  <c r="AR78" i="5" s="1"/>
  <c r="AL78" i="5"/>
  <c r="AN78" i="5" s="1"/>
  <c r="AW78" i="5" s="1"/>
  <c r="AQ48" i="5"/>
  <c r="AP48" i="5"/>
  <c r="AL48" i="5"/>
  <c r="AL14" i="5"/>
  <c r="AL30" i="5"/>
  <c r="AM10" i="5"/>
  <c r="AQ17" i="5"/>
  <c r="AR17" i="5" s="1"/>
  <c r="AP29" i="5"/>
  <c r="AR29" i="5" s="1"/>
  <c r="AL31" i="5"/>
  <c r="AQ37" i="5"/>
  <c r="AP37" i="5"/>
  <c r="AQ41" i="5"/>
  <c r="AR41" i="5" s="1"/>
  <c r="AM69" i="5"/>
  <c r="AL69" i="5"/>
  <c r="AN69" i="5" s="1"/>
  <c r="AW69" i="5" s="1"/>
  <c r="AL74" i="5"/>
  <c r="AR137" i="5"/>
  <c r="AP13" i="5"/>
  <c r="AR13" i="5" s="1"/>
  <c r="AQ35" i="5"/>
  <c r="AL35" i="5"/>
  <c r="AW40" i="5"/>
  <c r="AM14" i="5"/>
  <c r="AQ18" i="5"/>
  <c r="AR18" i="5" s="1"/>
  <c r="AQ27" i="5"/>
  <c r="AP27" i="5"/>
  <c r="AR27" i="5" s="1"/>
  <c r="AP34" i="5"/>
  <c r="AR34" i="5" s="1"/>
  <c r="AL39" i="5"/>
  <c r="AP44" i="5"/>
  <c r="AP54" i="5"/>
  <c r="AW60" i="5"/>
  <c r="AM67" i="5"/>
  <c r="AL11" i="5"/>
  <c r="AM15" i="5"/>
  <c r="AN15" i="5" s="1"/>
  <c r="AW15" i="5" s="1"/>
  <c r="AP23" i="5"/>
  <c r="AR23" i="5" s="1"/>
  <c r="AM24" i="5"/>
  <c r="AN24" i="5" s="1"/>
  <c r="AW24" i="5" s="1"/>
  <c r="AM25" i="5"/>
  <c r="AN25" i="5" s="1"/>
  <c r="AW25" i="5" s="1"/>
  <c r="AM28" i="5"/>
  <c r="AL28" i="5"/>
  <c r="AL32" i="5"/>
  <c r="AN32" i="5" s="1"/>
  <c r="AW32" i="5" s="1"/>
  <c r="AP38" i="5"/>
  <c r="AR38" i="5" s="1"/>
  <c r="AP52" i="5"/>
  <c r="AR52" i="5" s="1"/>
  <c r="AM52" i="5"/>
  <c r="AL52" i="5"/>
  <c r="AN52" i="5" s="1"/>
  <c r="AW52" i="5" s="1"/>
  <c r="AL57" i="5"/>
  <c r="AN57" i="5" s="1"/>
  <c r="AQ64" i="5"/>
  <c r="AR64" i="5" s="1"/>
  <c r="AM74" i="5"/>
  <c r="AM76" i="5"/>
  <c r="AL76" i="5"/>
  <c r="AP76" i="5"/>
  <c r="AR76" i="5" s="1"/>
  <c r="AP82" i="5"/>
  <c r="AR82" i="5" s="1"/>
  <c r="AM88" i="5"/>
  <c r="AW100" i="5"/>
  <c r="AP42" i="5"/>
  <c r="AM42" i="5"/>
  <c r="AM19" i="5"/>
  <c r="AM11" i="5"/>
  <c r="AW50" i="5"/>
  <c r="AQ88" i="5"/>
  <c r="AP88" i="5"/>
  <c r="AL88" i="5"/>
  <c r="AR117" i="5"/>
  <c r="AM46" i="5"/>
  <c r="AL46" i="5"/>
  <c r="AP10" i="5"/>
  <c r="AR10" i="5" s="1"/>
  <c r="AM18" i="5"/>
  <c r="AP19" i="5"/>
  <c r="AR19" i="5" s="1"/>
  <c r="AL20" i="5"/>
  <c r="AP56" i="5"/>
  <c r="AM59" i="5"/>
  <c r="AL59" i="5"/>
  <c r="AQ71" i="5"/>
  <c r="AP71" i="5"/>
  <c r="AR71" i="5" s="1"/>
  <c r="AM71" i="5"/>
  <c r="AP11" i="5"/>
  <c r="AR11" i="5" s="1"/>
  <c r="AL12" i="5"/>
  <c r="AN12" i="5" s="1"/>
  <c r="AW12" i="5" s="1"/>
  <c r="AP15" i="5"/>
  <c r="AL16" i="5"/>
  <c r="AN16" i="5" s="1"/>
  <c r="AW16" i="5" s="1"/>
  <c r="AM20" i="5"/>
  <c r="AP25" i="5"/>
  <c r="AL26" i="5"/>
  <c r="AN26" i="5" s="1"/>
  <c r="AW26" i="5" s="1"/>
  <c r="AW29" i="5"/>
  <c r="AP32" i="5"/>
  <c r="AQ51" i="5"/>
  <c r="AQ54" i="5"/>
  <c r="AQ56" i="5"/>
  <c r="AQ61" i="5"/>
  <c r="AP61" i="5"/>
  <c r="AM61" i="5"/>
  <c r="AN61" i="5" s="1"/>
  <c r="AW61" i="5" s="1"/>
  <c r="AL64" i="5"/>
  <c r="AN64" i="5" s="1"/>
  <c r="AW64" i="5" s="1"/>
  <c r="AM68" i="5"/>
  <c r="AQ72" i="5"/>
  <c r="AQ75" i="5"/>
  <c r="AP75" i="5"/>
  <c r="AR75" i="5" s="1"/>
  <c r="AM75" i="5"/>
  <c r="AL75" i="5"/>
  <c r="AL84" i="5"/>
  <c r="AQ87" i="5"/>
  <c r="AP92" i="5"/>
  <c r="AR92" i="5" s="1"/>
  <c r="AR104" i="5"/>
  <c r="AQ108" i="5"/>
  <c r="AQ25" i="5"/>
  <c r="AM35" i="5"/>
  <c r="AL36" i="5"/>
  <c r="AN36" i="5" s="1"/>
  <c r="AW36" i="5" s="1"/>
  <c r="AL42" i="5"/>
  <c r="AN42" i="5" s="1"/>
  <c r="AW42" i="5" s="1"/>
  <c r="AM45" i="5"/>
  <c r="AP46" i="5"/>
  <c r="AM49" i="5"/>
  <c r="AL49" i="5"/>
  <c r="AW57" i="5"/>
  <c r="AQ62" i="5"/>
  <c r="AM66" i="5"/>
  <c r="AL66" i="5"/>
  <c r="AQ67" i="5"/>
  <c r="AR67" i="5" s="1"/>
  <c r="AQ68" i="5"/>
  <c r="AP68" i="5"/>
  <c r="AL68" i="5"/>
  <c r="AP77" i="5"/>
  <c r="AR77" i="5" s="1"/>
  <c r="AL77" i="5"/>
  <c r="AM79" i="5"/>
  <c r="AL79" i="5"/>
  <c r="AN79" i="5" s="1"/>
  <c r="AQ79" i="5"/>
  <c r="AR79" i="5" s="1"/>
  <c r="AM86" i="5"/>
  <c r="AL86" i="5"/>
  <c r="AP86" i="5"/>
  <c r="AR86" i="5" s="1"/>
  <c r="AW89" i="5"/>
  <c r="AM96" i="5"/>
  <c r="AL96" i="5"/>
  <c r="AN96" i="5" s="1"/>
  <c r="AW96" i="5" s="1"/>
  <c r="AP96" i="5"/>
  <c r="AR96" i="5" s="1"/>
  <c r="AM99" i="5"/>
  <c r="AL99" i="5"/>
  <c r="AQ99" i="5"/>
  <c r="AP99" i="5"/>
  <c r="AQ101" i="5"/>
  <c r="AR8" i="5"/>
  <c r="AP14" i="5"/>
  <c r="AR14" i="5" s="1"/>
  <c r="AQ15" i="5"/>
  <c r="AQ32" i="5"/>
  <c r="AN8" i="5"/>
  <c r="AW8" i="5" s="1"/>
  <c r="AL17" i="5"/>
  <c r="AN17" i="5" s="1"/>
  <c r="AW17" i="5" s="1"/>
  <c r="AP21" i="5"/>
  <c r="AR21" i="5" s="1"/>
  <c r="AP24" i="5"/>
  <c r="AR24" i="5" s="1"/>
  <c r="AL27" i="5"/>
  <c r="AN27" i="5" s="1"/>
  <c r="AW27" i="5" s="1"/>
  <c r="AQ30" i="5"/>
  <c r="AR30" i="5" s="1"/>
  <c r="AM31" i="5"/>
  <c r="AP35" i="5"/>
  <c r="AR35" i="5" s="1"/>
  <c r="AL37" i="5"/>
  <c r="AN37" i="5" s="1"/>
  <c r="AW37" i="5" s="1"/>
  <c r="AM39" i="5"/>
  <c r="AQ42" i="5"/>
  <c r="AQ46" i="5"/>
  <c r="AP51" i="5"/>
  <c r="AR51" i="5" s="1"/>
  <c r="AM58" i="5"/>
  <c r="AR63" i="5"/>
  <c r="AP69" i="5"/>
  <c r="AR69" i="5" s="1"/>
  <c r="AL71" i="5"/>
  <c r="AP74" i="5"/>
  <c r="AM77" i="5"/>
  <c r="AQ81" i="5"/>
  <c r="AP81" i="5"/>
  <c r="AM81" i="5"/>
  <c r="AN81" i="5" s="1"/>
  <c r="AR83" i="5"/>
  <c r="AW90" i="5"/>
  <c r="AW110" i="5"/>
  <c r="AP119" i="5"/>
  <c r="AP129" i="5"/>
  <c r="AR129" i="5" s="1"/>
  <c r="AP139" i="5"/>
  <c r="AP145" i="5"/>
  <c r="AQ146" i="5"/>
  <c r="AP159" i="5"/>
  <c r="AM159" i="5"/>
  <c r="AL168" i="5"/>
  <c r="AN168" i="5" s="1"/>
  <c r="AM173" i="5"/>
  <c r="AQ178" i="5"/>
  <c r="AR178" i="5" s="1"/>
  <c r="AQ182" i="5"/>
  <c r="AP197" i="5"/>
  <c r="AR197" i="5" s="1"/>
  <c r="AM197" i="5"/>
  <c r="AL197" i="5"/>
  <c r="AQ197" i="5"/>
  <c r="AQ210" i="5"/>
  <c r="AM219" i="5"/>
  <c r="AQ219" i="5"/>
  <c r="AP219" i="5"/>
  <c r="AL219" i="5"/>
  <c r="AP222" i="5"/>
  <c r="AR222" i="5" s="1"/>
  <c r="AL97" i="5"/>
  <c r="AN97" i="5" s="1"/>
  <c r="AW97" i="5" s="1"/>
  <c r="AP106" i="5"/>
  <c r="AR106" i="5" s="1"/>
  <c r="AL107" i="5"/>
  <c r="AN107" i="5" s="1"/>
  <c r="AW107" i="5" s="1"/>
  <c r="AP116" i="5"/>
  <c r="AR116" i="5" s="1"/>
  <c r="AL117" i="5"/>
  <c r="AN117" i="5" s="1"/>
  <c r="AW117" i="5" s="1"/>
  <c r="AQ119" i="5"/>
  <c r="AP126" i="5"/>
  <c r="AR126" i="5" s="1"/>
  <c r="AL127" i="5"/>
  <c r="AN127" i="5" s="1"/>
  <c r="AW127" i="5" s="1"/>
  <c r="AQ129" i="5"/>
  <c r="AP136" i="5"/>
  <c r="AR136" i="5" s="1"/>
  <c r="AL137" i="5"/>
  <c r="AN137" i="5" s="1"/>
  <c r="AQ139" i="5"/>
  <c r="AR151" i="5"/>
  <c r="AQ155" i="5"/>
  <c r="AR155" i="5" s="1"/>
  <c r="AL160" i="5"/>
  <c r="AP185" i="5"/>
  <c r="AR185" i="5" s="1"/>
  <c r="AQ195" i="5"/>
  <c r="AP204" i="5"/>
  <c r="AR204" i="5" s="1"/>
  <c r="AM217" i="5"/>
  <c r="AQ172" i="5"/>
  <c r="AP172" i="5"/>
  <c r="AL172" i="5"/>
  <c r="AQ177" i="5"/>
  <c r="AP177" i="5"/>
  <c r="AL38" i="5"/>
  <c r="AP57" i="5"/>
  <c r="AR57" i="5" s="1"/>
  <c r="AL98" i="5"/>
  <c r="AN98" i="5" s="1"/>
  <c r="AW98" i="5" s="1"/>
  <c r="AM101" i="5"/>
  <c r="AN101" i="5" s="1"/>
  <c r="AW101" i="5" s="1"/>
  <c r="AL108" i="5"/>
  <c r="AM111" i="5"/>
  <c r="AN111" i="5" s="1"/>
  <c r="AW111" i="5" s="1"/>
  <c r="AL118" i="5"/>
  <c r="AN118" i="5" s="1"/>
  <c r="AW118" i="5" s="1"/>
  <c r="AM121" i="5"/>
  <c r="AL128" i="5"/>
  <c r="AN128" i="5" s="1"/>
  <c r="AW128" i="5" s="1"/>
  <c r="AM131" i="5"/>
  <c r="AL138" i="5"/>
  <c r="AN138" i="5" s="1"/>
  <c r="AW138" i="5" s="1"/>
  <c r="AM141" i="5"/>
  <c r="AM158" i="5"/>
  <c r="AN158" i="5" s="1"/>
  <c r="AW158" i="5" s="1"/>
  <c r="AP168" i="5"/>
  <c r="AR181" i="5"/>
  <c r="AP193" i="5"/>
  <c r="AM193" i="5"/>
  <c r="AL193" i="5"/>
  <c r="AQ193" i="5"/>
  <c r="AM41" i="5"/>
  <c r="AN41" i="5" s="1"/>
  <c r="AW41" i="5" s="1"/>
  <c r="AP47" i="5"/>
  <c r="AM51" i="5"/>
  <c r="AN51" i="5" s="1"/>
  <c r="AW51" i="5" s="1"/>
  <c r="AM91" i="5"/>
  <c r="AN91" i="5" s="1"/>
  <c r="AW91" i="5" s="1"/>
  <c r="AM38" i="5"/>
  <c r="AL95" i="5"/>
  <c r="AL105" i="5"/>
  <c r="AL115" i="5"/>
  <c r="AP124" i="5"/>
  <c r="AL125" i="5"/>
  <c r="AP134" i="5"/>
  <c r="AR134" i="5" s="1"/>
  <c r="AL135" i="5"/>
  <c r="AP144" i="5"/>
  <c r="AR144" i="5" s="1"/>
  <c r="AL145" i="5"/>
  <c r="AW147" i="5"/>
  <c r="AL150" i="5"/>
  <c r="AP153" i="5"/>
  <c r="AR153" i="5" s="1"/>
  <c r="AL154" i="5"/>
  <c r="AL156" i="5"/>
  <c r="AN156" i="5" s="1"/>
  <c r="AW156" i="5" s="1"/>
  <c r="AL159" i="5"/>
  <c r="AN159" i="5" s="1"/>
  <c r="AW159" i="5" s="1"/>
  <c r="AM163" i="5"/>
  <c r="AN163" i="5" s="1"/>
  <c r="AL180" i="5"/>
  <c r="AN180" i="5" s="1"/>
  <c r="AW180" i="5" s="1"/>
  <c r="AM191" i="5"/>
  <c r="AM196" i="5"/>
  <c r="AQ200" i="5"/>
  <c r="AP200" i="5"/>
  <c r="AR200" i="5" s="1"/>
  <c r="AM200" i="5"/>
  <c r="AL200" i="5"/>
  <c r="AM218" i="5"/>
  <c r="AR242" i="5"/>
  <c r="AW248" i="5"/>
  <c r="AL82" i="5"/>
  <c r="AP91" i="5"/>
  <c r="AR91" i="5" s="1"/>
  <c r="AL92" i="5"/>
  <c r="AM95" i="5"/>
  <c r="AP101" i="5"/>
  <c r="AL102" i="5"/>
  <c r="AM105" i="5"/>
  <c r="AP111" i="5"/>
  <c r="AR111" i="5" s="1"/>
  <c r="AL112" i="5"/>
  <c r="AM115" i="5"/>
  <c r="AP121" i="5"/>
  <c r="AL122" i="5"/>
  <c r="AN122" i="5" s="1"/>
  <c r="AW122" i="5" s="1"/>
  <c r="AM125" i="5"/>
  <c r="AP131" i="5"/>
  <c r="AR131" i="5" s="1"/>
  <c r="AL132" i="5"/>
  <c r="AM135" i="5"/>
  <c r="AP141" i="5"/>
  <c r="AR141" i="5" s="1"/>
  <c r="AL142" i="5"/>
  <c r="AM145" i="5"/>
  <c r="AQ148" i="5"/>
  <c r="AR148" i="5" s="1"/>
  <c r="AM150" i="5"/>
  <c r="AM154" i="5"/>
  <c r="AM160" i="5"/>
  <c r="AP173" i="5"/>
  <c r="AR173" i="5" s="1"/>
  <c r="AP175" i="5"/>
  <c r="AL209" i="5"/>
  <c r="AQ223" i="5"/>
  <c r="AR226" i="5"/>
  <c r="AM82" i="5"/>
  <c r="AM92" i="5"/>
  <c r="AP98" i="5"/>
  <c r="AR98" i="5" s="1"/>
  <c r="AM102" i="5"/>
  <c r="AP108" i="5"/>
  <c r="AR108" i="5" s="1"/>
  <c r="AM112" i="5"/>
  <c r="AP118" i="5"/>
  <c r="AL119" i="5"/>
  <c r="AN119" i="5" s="1"/>
  <c r="AW119" i="5" s="1"/>
  <c r="AM122" i="5"/>
  <c r="AP128" i="5"/>
  <c r="AR128" i="5" s="1"/>
  <c r="AL129" i="5"/>
  <c r="AN129" i="5" s="1"/>
  <c r="AW129" i="5" s="1"/>
  <c r="AM132" i="5"/>
  <c r="AP138" i="5"/>
  <c r="AR138" i="5" s="1"/>
  <c r="AL139" i="5"/>
  <c r="AN139" i="5" s="1"/>
  <c r="AW139" i="5" s="1"/>
  <c r="AM142" i="5"/>
  <c r="AM146" i="5"/>
  <c r="AQ159" i="5"/>
  <c r="AQ164" i="5"/>
  <c r="AR164" i="5" s="1"/>
  <c r="AM166" i="5"/>
  <c r="AL166" i="5"/>
  <c r="AP169" i="5"/>
  <c r="AR169" i="5" s="1"/>
  <c r="AM169" i="5"/>
  <c r="AN169" i="5" s="1"/>
  <c r="AW169" i="5" s="1"/>
  <c r="AM172" i="5"/>
  <c r="AQ175" i="5"/>
  <c r="AM175" i="5"/>
  <c r="AL175" i="5"/>
  <c r="AL177" i="5"/>
  <c r="AP179" i="5"/>
  <c r="AM179" i="5"/>
  <c r="AN179" i="5" s="1"/>
  <c r="AW179" i="5" s="1"/>
  <c r="AQ179" i="5"/>
  <c r="AM183" i="5"/>
  <c r="AR224" i="5"/>
  <c r="AP95" i="5"/>
  <c r="AR95" i="5" s="1"/>
  <c r="AP105" i="5"/>
  <c r="AR105" i="5" s="1"/>
  <c r="AL106" i="5"/>
  <c r="AP115" i="5"/>
  <c r="AR115" i="5" s="1"/>
  <c r="AL116" i="5"/>
  <c r="AN116" i="5" s="1"/>
  <c r="AW116" i="5" s="1"/>
  <c r="AP125" i="5"/>
  <c r="AR125" i="5" s="1"/>
  <c r="AL126" i="5"/>
  <c r="AN126" i="5" s="1"/>
  <c r="AW126" i="5" s="1"/>
  <c r="AP135" i="5"/>
  <c r="AR135" i="5" s="1"/>
  <c r="AL136" i="5"/>
  <c r="AN136" i="5" s="1"/>
  <c r="AW136" i="5" s="1"/>
  <c r="AQ145" i="5"/>
  <c r="AM149" i="5"/>
  <c r="AN149" i="5" s="1"/>
  <c r="AP150" i="5"/>
  <c r="AR150" i="5" s="1"/>
  <c r="AL151" i="5"/>
  <c r="AN151" i="5" s="1"/>
  <c r="AW151" i="5" s="1"/>
  <c r="AP154" i="5"/>
  <c r="AR154" i="5" s="1"/>
  <c r="AL155" i="5"/>
  <c r="AQ158" i="5"/>
  <c r="AP160" i="5"/>
  <c r="AR160" i="5" s="1"/>
  <c r="AL161" i="5"/>
  <c r="AN161" i="5" s="1"/>
  <c r="AW161" i="5" s="1"/>
  <c r="AP165" i="5"/>
  <c r="AQ168" i="5"/>
  <c r="AP171" i="5"/>
  <c r="AR171" i="5" s="1"/>
  <c r="AM171" i="5"/>
  <c r="AL171" i="5"/>
  <c r="AQ174" i="5"/>
  <c r="AP174" i="5"/>
  <c r="AR174" i="5" s="1"/>
  <c r="AM174" i="5"/>
  <c r="AN174" i="5" s="1"/>
  <c r="AW174" i="5" s="1"/>
  <c r="AM177" i="5"/>
  <c r="AP189" i="5"/>
  <c r="AR189" i="5" s="1"/>
  <c r="AM189" i="5"/>
  <c r="AL189" i="5"/>
  <c r="AQ189" i="5"/>
  <c r="AQ192" i="5"/>
  <c r="AR192" i="5" s="1"/>
  <c r="AQ201" i="5"/>
  <c r="AP201" i="5"/>
  <c r="AM201" i="5"/>
  <c r="AL201" i="5"/>
  <c r="AN254" i="5"/>
  <c r="AW254" i="5" s="1"/>
  <c r="AR257" i="5"/>
  <c r="AP146" i="5"/>
  <c r="AM155" i="5"/>
  <c r="AQ160" i="5"/>
  <c r="AL162" i="5"/>
  <c r="AN162" i="5" s="1"/>
  <c r="AW162" i="5" s="1"/>
  <c r="AQ165" i="5"/>
  <c r="AM165" i="5"/>
  <c r="AN165" i="5" s="1"/>
  <c r="AW165" i="5" s="1"/>
  <c r="AM192" i="5"/>
  <c r="AN211" i="5"/>
  <c r="AW211" i="5" s="1"/>
  <c r="AP217" i="5"/>
  <c r="AR217" i="5" s="1"/>
  <c r="AR229" i="5"/>
  <c r="AL187" i="5"/>
  <c r="AN187" i="5" s="1"/>
  <c r="AW187" i="5" s="1"/>
  <c r="AM194" i="5"/>
  <c r="AN194" i="5" s="1"/>
  <c r="AW194" i="5" s="1"/>
  <c r="AL199" i="5"/>
  <c r="AN199" i="5" s="1"/>
  <c r="AW199" i="5" s="1"/>
  <c r="AM203" i="5"/>
  <c r="AN203" i="5" s="1"/>
  <c r="AW203" i="5" s="1"/>
  <c r="AP205" i="5"/>
  <c r="AL212" i="5"/>
  <c r="AN212" i="5" s="1"/>
  <c r="AW212" i="5" s="1"/>
  <c r="AM216" i="5"/>
  <c r="AL238" i="5"/>
  <c r="AN238" i="5" s="1"/>
  <c r="AW238" i="5" s="1"/>
  <c r="AM242" i="5"/>
  <c r="AM249" i="5"/>
  <c r="AL251" i="5"/>
  <c r="AN251" i="5" s="1"/>
  <c r="AW251" i="5" s="1"/>
  <c r="AL255" i="5"/>
  <c r="AN255" i="5" s="1"/>
  <c r="AW255" i="5" s="1"/>
  <c r="AQ264" i="5"/>
  <c r="AR264" i="5" s="1"/>
  <c r="AQ279" i="5"/>
  <c r="AP279" i="5"/>
  <c r="AM279" i="5"/>
  <c r="AL282" i="5"/>
  <c r="AQ289" i="5"/>
  <c r="AP289" i="5"/>
  <c r="AM289" i="5"/>
  <c r="AQ302" i="5"/>
  <c r="AP308" i="5"/>
  <c r="AM308" i="5"/>
  <c r="AQ319" i="5"/>
  <c r="AP319" i="5"/>
  <c r="AM319" i="5"/>
  <c r="AL319" i="5"/>
  <c r="AL277" i="5"/>
  <c r="AQ277" i="5"/>
  <c r="AP296" i="5"/>
  <c r="AM296" i="5"/>
  <c r="AL296" i="5"/>
  <c r="AP298" i="5"/>
  <c r="AM298" i="5"/>
  <c r="AM302" i="5"/>
  <c r="AL302" i="5"/>
  <c r="AQ321" i="5"/>
  <c r="AP321" i="5"/>
  <c r="AM321" i="5"/>
  <c r="AL321" i="5"/>
  <c r="AP170" i="5"/>
  <c r="AP180" i="5"/>
  <c r="AR180" i="5" s="1"/>
  <c r="AL181" i="5"/>
  <c r="AN181" i="5" s="1"/>
  <c r="AW181" i="5" s="1"/>
  <c r="AQ183" i="5"/>
  <c r="AR183" i="5" s="1"/>
  <c r="AM184" i="5"/>
  <c r="AN184" i="5" s="1"/>
  <c r="AW184" i="5" s="1"/>
  <c r="AP190" i="5"/>
  <c r="AR190" i="5" s="1"/>
  <c r="AL191" i="5"/>
  <c r="AP194" i="5"/>
  <c r="AR194" i="5" s="1"/>
  <c r="AL195" i="5"/>
  <c r="AP203" i="5"/>
  <c r="AL204" i="5"/>
  <c r="AN204" i="5" s="1"/>
  <c r="AL206" i="5"/>
  <c r="AP207" i="5"/>
  <c r="AR207" i="5" s="1"/>
  <c r="AM208" i="5"/>
  <c r="AN208" i="5" s="1"/>
  <c r="AW208" i="5" s="1"/>
  <c r="AQ211" i="5"/>
  <c r="AR211" i="5" s="1"/>
  <c r="AL213" i="5"/>
  <c r="AN213" i="5" s="1"/>
  <c r="AW213" i="5" s="1"/>
  <c r="AL217" i="5"/>
  <c r="AN217" i="5" s="1"/>
  <c r="AQ220" i="5"/>
  <c r="AR220" i="5" s="1"/>
  <c r="AM221" i="5"/>
  <c r="AN221" i="5" s="1"/>
  <c r="AW221" i="5" s="1"/>
  <c r="AQ224" i="5"/>
  <c r="AM225" i="5"/>
  <c r="AN225" i="5" s="1"/>
  <c r="AQ228" i="5"/>
  <c r="AM230" i="5"/>
  <c r="AN230" i="5" s="1"/>
  <c r="AW230" i="5" s="1"/>
  <c r="AQ233" i="5"/>
  <c r="AR233" i="5" s="1"/>
  <c r="AM234" i="5"/>
  <c r="AQ237" i="5"/>
  <c r="AR237" i="5" s="1"/>
  <c r="AL239" i="5"/>
  <c r="AM243" i="5"/>
  <c r="AN243" i="5" s="1"/>
  <c r="AW243" i="5" s="1"/>
  <c r="AP245" i="5"/>
  <c r="AR245" i="5" s="1"/>
  <c r="AM247" i="5"/>
  <c r="AL252" i="5"/>
  <c r="AN252" i="5" s="1"/>
  <c r="AW252" i="5" s="1"/>
  <c r="AM256" i="5"/>
  <c r="AM259" i="5"/>
  <c r="AQ260" i="5"/>
  <c r="AR260" i="5" s="1"/>
  <c r="AM261" i="5"/>
  <c r="AN261" i="5" s="1"/>
  <c r="AW261" i="5" s="1"/>
  <c r="AQ267" i="5"/>
  <c r="AQ271" i="5"/>
  <c r="AR271" i="5" s="1"/>
  <c r="AP283" i="5"/>
  <c r="AR283" i="5" s="1"/>
  <c r="AL287" i="5"/>
  <c r="AP306" i="5"/>
  <c r="AR306" i="5" s="1"/>
  <c r="AL308" i="5"/>
  <c r="AQ170" i="5"/>
  <c r="AL178" i="5"/>
  <c r="AN178" i="5" s="1"/>
  <c r="AW178" i="5" s="1"/>
  <c r="AQ180" i="5"/>
  <c r="AP187" i="5"/>
  <c r="AR187" i="5" s="1"/>
  <c r="AL188" i="5"/>
  <c r="AN188" i="5" s="1"/>
  <c r="AW188" i="5" s="1"/>
  <c r="AQ190" i="5"/>
  <c r="AM195" i="5"/>
  <c r="AQ198" i="5"/>
  <c r="AR198" i="5" s="1"/>
  <c r="AM204" i="5"/>
  <c r="AP215" i="5"/>
  <c r="AR215" i="5" s="1"/>
  <c r="AP251" i="5"/>
  <c r="AL262" i="5"/>
  <c r="AN262" i="5" s="1"/>
  <c r="AW262" i="5" s="1"/>
  <c r="AQ265" i="5"/>
  <c r="AP265" i="5"/>
  <c r="AM266" i="5"/>
  <c r="AL266" i="5"/>
  <c r="AM273" i="5"/>
  <c r="AL273" i="5"/>
  <c r="AP276" i="5"/>
  <c r="AM276" i="5"/>
  <c r="AL276" i="5"/>
  <c r="AR291" i="5"/>
  <c r="AL298" i="5"/>
  <c r="AN298" i="5" s="1"/>
  <c r="AW298" i="5" s="1"/>
  <c r="AM315" i="5"/>
  <c r="AL315" i="5"/>
  <c r="AQ318" i="5"/>
  <c r="AW337" i="5"/>
  <c r="AP184" i="5"/>
  <c r="AR184" i="5" s="1"/>
  <c r="AL185" i="5"/>
  <c r="AL192" i="5"/>
  <c r="AN192" i="5" s="1"/>
  <c r="AW192" i="5" s="1"/>
  <c r="AP208" i="5"/>
  <c r="AR208" i="5" s="1"/>
  <c r="AL218" i="5"/>
  <c r="AN218" i="5" s="1"/>
  <c r="AW218" i="5" s="1"/>
  <c r="AP221" i="5"/>
  <c r="AR221" i="5" s="1"/>
  <c r="AM222" i="5"/>
  <c r="AN222" i="5" s="1"/>
  <c r="AW222" i="5" s="1"/>
  <c r="AQ225" i="5"/>
  <c r="AR225" i="5" s="1"/>
  <c r="AM229" i="5"/>
  <c r="AP230" i="5"/>
  <c r="AR230" i="5" s="1"/>
  <c r="AL231" i="5"/>
  <c r="AN231" i="5" s="1"/>
  <c r="AP234" i="5"/>
  <c r="AR234" i="5" s="1"/>
  <c r="AL235" i="5"/>
  <c r="AN235" i="5" s="1"/>
  <c r="AW235" i="5" s="1"/>
  <c r="AP239" i="5"/>
  <c r="AL240" i="5"/>
  <c r="AN240" i="5" s="1"/>
  <c r="AW240" i="5" s="1"/>
  <c r="AP243" i="5"/>
  <c r="AL244" i="5"/>
  <c r="AL246" i="5"/>
  <c r="AP247" i="5"/>
  <c r="AR247" i="5" s="1"/>
  <c r="AP252" i="5"/>
  <c r="AR252" i="5" s="1"/>
  <c r="AL253" i="5"/>
  <c r="AL257" i="5"/>
  <c r="AP261" i="5"/>
  <c r="AR261" i="5" s="1"/>
  <c r="AM270" i="5"/>
  <c r="AL270" i="5"/>
  <c r="AN270" i="5" s="1"/>
  <c r="AW270" i="5" s="1"/>
  <c r="AQ272" i="5"/>
  <c r="AQ275" i="5"/>
  <c r="AM278" i="5"/>
  <c r="AN278" i="5" s="1"/>
  <c r="AW278" i="5" s="1"/>
  <c r="AL281" i="5"/>
  <c r="AM282" i="5"/>
  <c r="AP286" i="5"/>
  <c r="AM286" i="5"/>
  <c r="AL286" i="5"/>
  <c r="AN286" i="5" s="1"/>
  <c r="AW286" i="5" s="1"/>
  <c r="AM288" i="5"/>
  <c r="AL291" i="5"/>
  <c r="AQ295" i="5"/>
  <c r="AQ309" i="5"/>
  <c r="AP309" i="5"/>
  <c r="AR309" i="5" s="1"/>
  <c r="AM309" i="5"/>
  <c r="AL309" i="5"/>
  <c r="AM313" i="5"/>
  <c r="AL313" i="5"/>
  <c r="AQ313" i="5"/>
  <c r="AM322" i="5"/>
  <c r="AL322" i="5"/>
  <c r="AQ325" i="5"/>
  <c r="AL182" i="5"/>
  <c r="AN182" i="5" s="1"/>
  <c r="AW182" i="5" s="1"/>
  <c r="AM185" i="5"/>
  <c r="AM199" i="5"/>
  <c r="AL205" i="5"/>
  <c r="AW207" i="5"/>
  <c r="AL210" i="5"/>
  <c r="AN210" i="5" s="1"/>
  <c r="AL214" i="5"/>
  <c r="AN214" i="5" s="1"/>
  <c r="AW214" i="5" s="1"/>
  <c r="AL216" i="5"/>
  <c r="AN216" i="5" s="1"/>
  <c r="AW216" i="5" s="1"/>
  <c r="AL223" i="5"/>
  <c r="AL227" i="5"/>
  <c r="AM231" i="5"/>
  <c r="AQ238" i="5"/>
  <c r="AR238" i="5" s="1"/>
  <c r="AM240" i="5"/>
  <c r="AM244" i="5"/>
  <c r="AL249" i="5"/>
  <c r="AM253" i="5"/>
  <c r="AP255" i="5"/>
  <c r="AR255" i="5" s="1"/>
  <c r="AM257" i="5"/>
  <c r="AQ268" i="5"/>
  <c r="AR268" i="5" s="1"/>
  <c r="AQ269" i="5"/>
  <c r="AP269" i="5"/>
  <c r="AM269" i="5"/>
  <c r="AL279" i="5"/>
  <c r="AM281" i="5"/>
  <c r="AL289" i="5"/>
  <c r="AP290" i="5"/>
  <c r="AR290" i="5" s="1"/>
  <c r="AM291" i="5"/>
  <c r="AQ299" i="5"/>
  <c r="AP299" i="5"/>
  <c r="AM299" i="5"/>
  <c r="AL299" i="5"/>
  <c r="AQ311" i="5"/>
  <c r="AP311" i="5"/>
  <c r="AL311" i="5"/>
  <c r="AN311" i="5" s="1"/>
  <c r="AW311" i="5" s="1"/>
  <c r="AW327" i="5"/>
  <c r="AL232" i="5"/>
  <c r="AM236" i="5"/>
  <c r="AL264" i="5"/>
  <c r="AM277" i="5"/>
  <c r="AQ284" i="5"/>
  <c r="AP284" i="5"/>
  <c r="AM293" i="5"/>
  <c r="AL293" i="5"/>
  <c r="AN293" i="5" s="1"/>
  <c r="AW293" i="5" s="1"/>
  <c r="AM295" i="5"/>
  <c r="AL295" i="5"/>
  <c r="AQ296" i="5"/>
  <c r="AQ301" i="5"/>
  <c r="AP301" i="5"/>
  <c r="AR301" i="5" s="1"/>
  <c r="AP318" i="5"/>
  <c r="AM318" i="5"/>
  <c r="AL318" i="5"/>
  <c r="AN318" i="5" s="1"/>
  <c r="AM325" i="5"/>
  <c r="AL325" i="5"/>
  <c r="AL176" i="5"/>
  <c r="AN176" i="5" s="1"/>
  <c r="AW176" i="5" s="1"/>
  <c r="AL186" i="5"/>
  <c r="AN186" i="5" s="1"/>
  <c r="AW186" i="5" s="1"/>
  <c r="AP195" i="5"/>
  <c r="AR195" i="5" s="1"/>
  <c r="AL202" i="5"/>
  <c r="AM206" i="5"/>
  <c r="AL228" i="5"/>
  <c r="AP231" i="5"/>
  <c r="AR231" i="5" s="1"/>
  <c r="AM232" i="5"/>
  <c r="AM239" i="5"/>
  <c r="AL241" i="5"/>
  <c r="AN241" i="5" s="1"/>
  <c r="AW241" i="5" s="1"/>
  <c r="AL245" i="5"/>
  <c r="AP249" i="5"/>
  <c r="AL256" i="5"/>
  <c r="AM258" i="5"/>
  <c r="AL259" i="5"/>
  <c r="AN259" i="5" s="1"/>
  <c r="AW259" i="5" s="1"/>
  <c r="AM264" i="5"/>
  <c r="AM283" i="5"/>
  <c r="AL283" i="5"/>
  <c r="AN283" i="5" s="1"/>
  <c r="AW283" i="5" s="1"/>
  <c r="AM287" i="5"/>
  <c r="AP288" i="5"/>
  <c r="AW297" i="5"/>
  <c r="AL301" i="5"/>
  <c r="AM303" i="5"/>
  <c r="AL303" i="5"/>
  <c r="AM305" i="5"/>
  <c r="AL305" i="5"/>
  <c r="AQ308" i="5"/>
  <c r="AR338" i="5"/>
  <c r="AR352" i="5"/>
  <c r="AL173" i="5"/>
  <c r="AP182" i="5"/>
  <c r="AR182" i="5" s="1"/>
  <c r="AL183" i="5"/>
  <c r="AN183" i="5" s="1"/>
  <c r="AW183" i="5" s="1"/>
  <c r="AL198" i="5"/>
  <c r="AM202" i="5"/>
  <c r="AQ205" i="5"/>
  <c r="AM209" i="5"/>
  <c r="AP210" i="5"/>
  <c r="AR210" i="5" s="1"/>
  <c r="AP214" i="5"/>
  <c r="AR214" i="5" s="1"/>
  <c r="AL215" i="5"/>
  <c r="AW217" i="5"/>
  <c r="AL220" i="5"/>
  <c r="AN220" i="5" s="1"/>
  <c r="AW220" i="5" s="1"/>
  <c r="AP223" i="5"/>
  <c r="AR223" i="5" s="1"/>
  <c r="AL224" i="5"/>
  <c r="AL226" i="5"/>
  <c r="AP227" i="5"/>
  <c r="AM228" i="5"/>
  <c r="AP232" i="5"/>
  <c r="AR232" i="5" s="1"/>
  <c r="AL233" i="5"/>
  <c r="AN233" i="5" s="1"/>
  <c r="AW233" i="5" s="1"/>
  <c r="AP236" i="5"/>
  <c r="AR236" i="5" s="1"/>
  <c r="AL237" i="5"/>
  <c r="AN237" i="5" s="1"/>
  <c r="AW237" i="5" s="1"/>
  <c r="AM245" i="5"/>
  <c r="AQ248" i="5"/>
  <c r="AR248" i="5" s="1"/>
  <c r="AQ249" i="5"/>
  <c r="AL260" i="5"/>
  <c r="AN260" i="5" s="1"/>
  <c r="AW260" i="5" s="1"/>
  <c r="AP262" i="5"/>
  <c r="AR262" i="5" s="1"/>
  <c r="AL265" i="5"/>
  <c r="AP266" i="5"/>
  <c r="AL267" i="5"/>
  <c r="AN267" i="5" s="1"/>
  <c r="AW267" i="5" s="1"/>
  <c r="AP273" i="5"/>
  <c r="AR273" i="5" s="1"/>
  <c r="AL274" i="5"/>
  <c r="AQ276" i="5"/>
  <c r="AP277" i="5"/>
  <c r="AR277" i="5" s="1"/>
  <c r="AM285" i="5"/>
  <c r="AL285" i="5"/>
  <c r="AN285" i="5" s="1"/>
  <c r="AW285" i="5" s="1"/>
  <c r="AQ292" i="5"/>
  <c r="AQ298" i="5"/>
  <c r="AM301" i="5"/>
  <c r="AQ312" i="5"/>
  <c r="AL196" i="5"/>
  <c r="AN196" i="5" s="1"/>
  <c r="AW196" i="5" s="1"/>
  <c r="AM198" i="5"/>
  <c r="AP206" i="5"/>
  <c r="AR206" i="5" s="1"/>
  <c r="AM215" i="5"/>
  <c r="AQ218" i="5"/>
  <c r="AR218" i="5" s="1"/>
  <c r="AL229" i="5"/>
  <c r="AN229" i="5" s="1"/>
  <c r="AW229" i="5" s="1"/>
  <c r="AP235" i="5"/>
  <c r="AR235" i="5" s="1"/>
  <c r="AQ236" i="5"/>
  <c r="AM246" i="5"/>
  <c r="AQ259" i="5"/>
  <c r="AL263" i="5"/>
  <c r="AN263" i="5" s="1"/>
  <c r="AW263" i="5" s="1"/>
  <c r="AM265" i="5"/>
  <c r="AQ266" i="5"/>
  <c r="AQ273" i="5"/>
  <c r="AM274" i="5"/>
  <c r="AM275" i="5"/>
  <c r="AN275" i="5" s="1"/>
  <c r="AW275" i="5" s="1"/>
  <c r="AM280" i="5"/>
  <c r="AQ282" i="5"/>
  <c r="AQ286" i="5"/>
  <c r="AM290" i="5"/>
  <c r="AL292" i="5"/>
  <c r="AN292" i="5" s="1"/>
  <c r="AW292" i="5" s="1"/>
  <c r="AR300" i="5"/>
  <c r="AN307" i="5"/>
  <c r="AW307" i="5" s="1"/>
  <c r="AM312" i="5"/>
  <c r="AL312" i="5"/>
  <c r="AN312" i="5" s="1"/>
  <c r="AW312" i="5" s="1"/>
  <c r="AP313" i="5"/>
  <c r="AR313" i="5" s="1"/>
  <c r="AW362" i="5"/>
  <c r="AQ367" i="5"/>
  <c r="AM367" i="5"/>
  <c r="AP368" i="5"/>
  <c r="AM368" i="5"/>
  <c r="AM372" i="5"/>
  <c r="AL372" i="5"/>
  <c r="AN377" i="5"/>
  <c r="AW377" i="5" s="1"/>
  <c r="AQ381" i="5"/>
  <c r="AP381" i="5"/>
  <c r="AM381" i="5"/>
  <c r="AL381" i="5"/>
  <c r="AN381" i="5" s="1"/>
  <c r="AW381" i="5" s="1"/>
  <c r="AQ323" i="5"/>
  <c r="AR323" i="5" s="1"/>
  <c r="AL331" i="5"/>
  <c r="AQ333" i="5"/>
  <c r="AR333" i="5" s="1"/>
  <c r="AL341" i="5"/>
  <c r="AQ343" i="5"/>
  <c r="AR343" i="5" s="1"/>
  <c r="AL351" i="5"/>
  <c r="AQ353" i="5"/>
  <c r="AR353" i="5" s="1"/>
  <c r="AM354" i="5"/>
  <c r="AN354" i="5" s="1"/>
  <c r="AL361" i="5"/>
  <c r="AQ363" i="5"/>
  <c r="AR363" i="5" s="1"/>
  <c r="AQ371" i="5"/>
  <c r="AP371" i="5"/>
  <c r="AL371" i="5"/>
  <c r="AP388" i="5"/>
  <c r="AM388" i="5"/>
  <c r="AL388" i="5"/>
  <c r="AL393" i="5"/>
  <c r="AW406" i="5"/>
  <c r="AQ411" i="5"/>
  <c r="AL328" i="5"/>
  <c r="AM331" i="5"/>
  <c r="AL338" i="5"/>
  <c r="AM341" i="5"/>
  <c r="AL348" i="5"/>
  <c r="AM351" i="5"/>
  <c r="AL358" i="5"/>
  <c r="AM361" i="5"/>
  <c r="AR370" i="5"/>
  <c r="AM395" i="5"/>
  <c r="AL395" i="5"/>
  <c r="AN395" i="5" s="1"/>
  <c r="AW395" i="5" s="1"/>
  <c r="AQ287" i="5"/>
  <c r="AR287" i="5" s="1"/>
  <c r="AP294" i="5"/>
  <c r="AR294" i="5" s="1"/>
  <c r="AQ297" i="5"/>
  <c r="AR297" i="5" s="1"/>
  <c r="AP304" i="5"/>
  <c r="AR304" i="5" s="1"/>
  <c r="AQ307" i="5"/>
  <c r="AR307" i="5" s="1"/>
  <c r="AP314" i="5"/>
  <c r="AR314" i="5" s="1"/>
  <c r="AQ317" i="5"/>
  <c r="AR317" i="5" s="1"/>
  <c r="AP324" i="5"/>
  <c r="AR324" i="5" s="1"/>
  <c r="AQ327" i="5"/>
  <c r="AR327" i="5" s="1"/>
  <c r="AM328" i="5"/>
  <c r="AP334" i="5"/>
  <c r="AR334" i="5" s="1"/>
  <c r="AL335" i="5"/>
  <c r="AN335" i="5" s="1"/>
  <c r="AW335" i="5" s="1"/>
  <c r="AQ337" i="5"/>
  <c r="AR337" i="5" s="1"/>
  <c r="AM338" i="5"/>
  <c r="AP344" i="5"/>
  <c r="AR344" i="5" s="1"/>
  <c r="AL345" i="5"/>
  <c r="AN345" i="5" s="1"/>
  <c r="AW345" i="5" s="1"/>
  <c r="AQ347" i="5"/>
  <c r="AR347" i="5" s="1"/>
  <c r="AM348" i="5"/>
  <c r="AP354" i="5"/>
  <c r="AR354" i="5" s="1"/>
  <c r="AL355" i="5"/>
  <c r="AN355" i="5" s="1"/>
  <c r="AW355" i="5" s="1"/>
  <c r="AM358" i="5"/>
  <c r="AP364" i="5"/>
  <c r="AR364" i="5" s="1"/>
  <c r="AL365" i="5"/>
  <c r="AN365" i="5" s="1"/>
  <c r="AP378" i="5"/>
  <c r="AM378" i="5"/>
  <c r="AL378" i="5"/>
  <c r="AQ380" i="5"/>
  <c r="AL383" i="5"/>
  <c r="AN383" i="5" s="1"/>
  <c r="AW383" i="5" s="1"/>
  <c r="AQ387" i="5"/>
  <c r="AP414" i="5"/>
  <c r="AP331" i="5"/>
  <c r="AL332" i="5"/>
  <c r="AN332" i="5" s="1"/>
  <c r="AW332" i="5" s="1"/>
  <c r="AP341" i="5"/>
  <c r="AR341" i="5" s="1"/>
  <c r="AL342" i="5"/>
  <c r="AN342" i="5" s="1"/>
  <c r="AW342" i="5" s="1"/>
  <c r="AP351" i="5"/>
  <c r="AL352" i="5"/>
  <c r="AP361" i="5"/>
  <c r="AR361" i="5" s="1"/>
  <c r="AL362" i="5"/>
  <c r="AN362" i="5" s="1"/>
  <c r="AM385" i="5"/>
  <c r="AL385" i="5"/>
  <c r="AQ401" i="5"/>
  <c r="AN403" i="5"/>
  <c r="AW403" i="5" s="1"/>
  <c r="AM405" i="5"/>
  <c r="AL405" i="5"/>
  <c r="AP405" i="5"/>
  <c r="AP407" i="5"/>
  <c r="AR407" i="5" s="1"/>
  <c r="AQ414" i="5"/>
  <c r="AL329" i="5"/>
  <c r="AN329" i="5" s="1"/>
  <c r="AW329" i="5" s="1"/>
  <c r="AL339" i="5"/>
  <c r="AL349" i="5"/>
  <c r="AM352" i="5"/>
  <c r="AL359" i="5"/>
  <c r="AL366" i="5"/>
  <c r="AL367" i="5"/>
  <c r="AL368" i="5"/>
  <c r="AN390" i="5"/>
  <c r="AW390" i="5" s="1"/>
  <c r="AN451" i="5"/>
  <c r="AP275" i="5"/>
  <c r="AP285" i="5"/>
  <c r="AR285" i="5" s="1"/>
  <c r="AP295" i="5"/>
  <c r="AR295" i="5" s="1"/>
  <c r="AP305" i="5"/>
  <c r="AR305" i="5" s="1"/>
  <c r="AL306" i="5"/>
  <c r="AP315" i="5"/>
  <c r="AR315" i="5" s="1"/>
  <c r="AL316" i="5"/>
  <c r="AP325" i="5"/>
  <c r="AL326" i="5"/>
  <c r="AM329" i="5"/>
  <c r="AP335" i="5"/>
  <c r="AR335" i="5" s="1"/>
  <c r="AL336" i="5"/>
  <c r="AM339" i="5"/>
  <c r="AP345" i="5"/>
  <c r="AR345" i="5" s="1"/>
  <c r="AL346" i="5"/>
  <c r="AM349" i="5"/>
  <c r="AP355" i="5"/>
  <c r="AR355" i="5" s="1"/>
  <c r="AL356" i="5"/>
  <c r="AM359" i="5"/>
  <c r="AP365" i="5"/>
  <c r="AR365" i="5" s="1"/>
  <c r="AM366" i="5"/>
  <c r="AP367" i="5"/>
  <c r="AR367" i="5" s="1"/>
  <c r="AM369" i="5"/>
  <c r="AN369" i="5" s="1"/>
  <c r="AW369" i="5" s="1"/>
  <c r="AM371" i="5"/>
  <c r="AP372" i="5"/>
  <c r="AM375" i="5"/>
  <c r="AL375" i="5"/>
  <c r="AQ388" i="5"/>
  <c r="AM392" i="5"/>
  <c r="AL392" i="5"/>
  <c r="AN392" i="5" s="1"/>
  <c r="AW392" i="5" s="1"/>
  <c r="AQ393" i="5"/>
  <c r="AQ394" i="5"/>
  <c r="AR394" i="5" s="1"/>
  <c r="AP272" i="5"/>
  <c r="AP282" i="5"/>
  <c r="AP292" i="5"/>
  <c r="AP302" i="5"/>
  <c r="AR302" i="5" s="1"/>
  <c r="AM306" i="5"/>
  <c r="AP312" i="5"/>
  <c r="AR312" i="5" s="1"/>
  <c r="AM316" i="5"/>
  <c r="AP322" i="5"/>
  <c r="AL323" i="5"/>
  <c r="AN323" i="5" s="1"/>
  <c r="AW323" i="5" s="1"/>
  <c r="AM326" i="5"/>
  <c r="AP332" i="5"/>
  <c r="AR332" i="5" s="1"/>
  <c r="AL333" i="5"/>
  <c r="AN333" i="5" s="1"/>
  <c r="AW333" i="5" s="1"/>
  <c r="AM336" i="5"/>
  <c r="AP342" i="5"/>
  <c r="AR342" i="5" s="1"/>
  <c r="AL343" i="5"/>
  <c r="AN343" i="5" s="1"/>
  <c r="AW343" i="5" s="1"/>
  <c r="AM346" i="5"/>
  <c r="AL353" i="5"/>
  <c r="AN353" i="5" s="1"/>
  <c r="AW353" i="5" s="1"/>
  <c r="AM356" i="5"/>
  <c r="AP362" i="5"/>
  <c r="AR362" i="5" s="1"/>
  <c r="AL363" i="5"/>
  <c r="AQ368" i="5"/>
  <c r="AL370" i="5"/>
  <c r="AQ372" i="5"/>
  <c r="AL380" i="5"/>
  <c r="AP384" i="5"/>
  <c r="AR389" i="5"/>
  <c r="AP395" i="5"/>
  <c r="AP400" i="5"/>
  <c r="AR400" i="5" s="1"/>
  <c r="AP404" i="5"/>
  <c r="AR420" i="5"/>
  <c r="AL280" i="5"/>
  <c r="AN280" i="5" s="1"/>
  <c r="AW280" i="5" s="1"/>
  <c r="AL290" i="5"/>
  <c r="AL300" i="5"/>
  <c r="AN300" i="5" s="1"/>
  <c r="AW300" i="5" s="1"/>
  <c r="AL310" i="5"/>
  <c r="AN310" i="5" s="1"/>
  <c r="AW310" i="5" s="1"/>
  <c r="AL320" i="5"/>
  <c r="AN320" i="5" s="1"/>
  <c r="AW320" i="5" s="1"/>
  <c r="AP329" i="5"/>
  <c r="AL330" i="5"/>
  <c r="AN330" i="5" s="1"/>
  <c r="AW330" i="5" s="1"/>
  <c r="AP339" i="5"/>
  <c r="AL340" i="5"/>
  <c r="AN340" i="5" s="1"/>
  <c r="AW340" i="5" s="1"/>
  <c r="AP349" i="5"/>
  <c r="AR349" i="5" s="1"/>
  <c r="AL350" i="5"/>
  <c r="AN350" i="5" s="1"/>
  <c r="AW350" i="5" s="1"/>
  <c r="AP359" i="5"/>
  <c r="AR359" i="5" s="1"/>
  <c r="AL360" i="5"/>
  <c r="AN360" i="5" s="1"/>
  <c r="AW360" i="5" s="1"/>
  <c r="AP366" i="5"/>
  <c r="AP369" i="5"/>
  <c r="AM370" i="5"/>
  <c r="AQ378" i="5"/>
  <c r="AM382" i="5"/>
  <c r="AL382" i="5"/>
  <c r="AN382" i="5" s="1"/>
  <c r="AW382" i="5" s="1"/>
  <c r="AQ383" i="5"/>
  <c r="AQ384" i="5"/>
  <c r="AQ391" i="5"/>
  <c r="AP391" i="5"/>
  <c r="AM391" i="5"/>
  <c r="AL391" i="5"/>
  <c r="AN391" i="5" s="1"/>
  <c r="AW391" i="5" s="1"/>
  <c r="AQ395" i="5"/>
  <c r="AQ404" i="5"/>
  <c r="AP408" i="5"/>
  <c r="AM408" i="5"/>
  <c r="AL408" i="5"/>
  <c r="AQ408" i="5"/>
  <c r="AR436" i="5"/>
  <c r="AW365" i="5"/>
  <c r="AP374" i="5"/>
  <c r="AR374" i="5" s="1"/>
  <c r="AR379" i="5"/>
  <c r="AP385" i="5"/>
  <c r="AR385" i="5" s="1"/>
  <c r="AR396" i="5"/>
  <c r="AP398" i="5"/>
  <c r="AR398" i="5" s="1"/>
  <c r="AM398" i="5"/>
  <c r="AL398" i="5"/>
  <c r="AQ405" i="5"/>
  <c r="AW436" i="5"/>
  <c r="AR450" i="5"/>
  <c r="AP415" i="5"/>
  <c r="AR415" i="5" s="1"/>
  <c r="AQ418" i="5"/>
  <c r="AR418" i="5" s="1"/>
  <c r="AP425" i="5"/>
  <c r="AR425" i="5" s="1"/>
  <c r="AQ428" i="5"/>
  <c r="AR428" i="5" s="1"/>
  <c r="AP435" i="5"/>
  <c r="AR435" i="5" s="1"/>
  <c r="AQ438" i="5"/>
  <c r="AR438" i="5" s="1"/>
  <c r="AP445" i="5"/>
  <c r="AR445" i="5" s="1"/>
  <c r="AP449" i="5"/>
  <c r="AR449" i="5" s="1"/>
  <c r="AL452" i="5"/>
  <c r="AQ453" i="5"/>
  <c r="AP460" i="5"/>
  <c r="AR460" i="5" s="1"/>
  <c r="AN471" i="5"/>
  <c r="AQ485" i="5"/>
  <c r="AP485" i="5"/>
  <c r="AR485" i="5" s="1"/>
  <c r="AM485" i="5"/>
  <c r="AL485" i="5"/>
  <c r="AN485" i="5" s="1"/>
  <c r="AW485" i="5" s="1"/>
  <c r="AP494" i="5"/>
  <c r="AR494" i="5" s="1"/>
  <c r="AM494" i="5"/>
  <c r="AL494" i="5"/>
  <c r="AQ507" i="5"/>
  <c r="AP507" i="5"/>
  <c r="AM507" i="5"/>
  <c r="AL507" i="5"/>
  <c r="AR531" i="5"/>
  <c r="AQ468" i="5"/>
  <c r="AP468" i="5"/>
  <c r="AQ497" i="5"/>
  <c r="AP497" i="5"/>
  <c r="AM497" i="5"/>
  <c r="AL497" i="5"/>
  <c r="AL420" i="5"/>
  <c r="AN420" i="5" s="1"/>
  <c r="AW420" i="5" s="1"/>
  <c r="AL430" i="5"/>
  <c r="AN430" i="5" s="1"/>
  <c r="AW430" i="5" s="1"/>
  <c r="AL440" i="5"/>
  <c r="AL457" i="5"/>
  <c r="AL473" i="5"/>
  <c r="AP473" i="5"/>
  <c r="AQ488" i="5"/>
  <c r="AP488" i="5"/>
  <c r="AM488" i="5"/>
  <c r="AQ505" i="5"/>
  <c r="AP505" i="5"/>
  <c r="AM505" i="5"/>
  <c r="AL505" i="5"/>
  <c r="AN505" i="5" s="1"/>
  <c r="AM400" i="5"/>
  <c r="AL407" i="5"/>
  <c r="AM410" i="5"/>
  <c r="AN410" i="5" s="1"/>
  <c r="AW410" i="5" s="1"/>
  <c r="AM457" i="5"/>
  <c r="AM463" i="5"/>
  <c r="AQ478" i="5"/>
  <c r="AP478" i="5"/>
  <c r="AM478" i="5"/>
  <c r="AL483" i="5"/>
  <c r="AP483" i="5"/>
  <c r="AQ495" i="5"/>
  <c r="AP495" i="5"/>
  <c r="AM495" i="5"/>
  <c r="AL495" i="5"/>
  <c r="AQ508" i="5"/>
  <c r="AP508" i="5"/>
  <c r="AM508" i="5"/>
  <c r="AL508" i="5"/>
  <c r="AP373" i="5"/>
  <c r="AR373" i="5" s="1"/>
  <c r="AL374" i="5"/>
  <c r="AM377" i="5"/>
  <c r="AP383" i="5"/>
  <c r="AL384" i="5"/>
  <c r="AM387" i="5"/>
  <c r="AP393" i="5"/>
  <c r="AL394" i="5"/>
  <c r="AM397" i="5"/>
  <c r="AN397" i="5" s="1"/>
  <c r="AW397" i="5" s="1"/>
  <c r="AP403" i="5"/>
  <c r="AR403" i="5" s="1"/>
  <c r="AL404" i="5"/>
  <c r="AM407" i="5"/>
  <c r="AP413" i="5"/>
  <c r="AR413" i="5" s="1"/>
  <c r="AL414" i="5"/>
  <c r="AN414" i="5" s="1"/>
  <c r="AW414" i="5" s="1"/>
  <c r="AM417" i="5"/>
  <c r="AN417" i="5" s="1"/>
  <c r="AW417" i="5" s="1"/>
  <c r="AP423" i="5"/>
  <c r="AR423" i="5" s="1"/>
  <c r="AL424" i="5"/>
  <c r="AM427" i="5"/>
  <c r="AN427" i="5" s="1"/>
  <c r="AW427" i="5" s="1"/>
  <c r="AP433" i="5"/>
  <c r="AR433" i="5" s="1"/>
  <c r="AL434" i="5"/>
  <c r="AM437" i="5"/>
  <c r="AP443" i="5"/>
  <c r="AR443" i="5" s="1"/>
  <c r="AL444" i="5"/>
  <c r="AM447" i="5"/>
  <c r="AN447" i="5" s="1"/>
  <c r="AW447" i="5" s="1"/>
  <c r="AQ455" i="5"/>
  <c r="AR455" i="5" s="1"/>
  <c r="AM455" i="5"/>
  <c r="AL458" i="5"/>
  <c r="AL464" i="5"/>
  <c r="AP472" i="5"/>
  <c r="AP474" i="5"/>
  <c r="AR474" i="5" s="1"/>
  <c r="AL474" i="5"/>
  <c r="AN474" i="5" s="1"/>
  <c r="AQ498" i="5"/>
  <c r="AP498" i="5"/>
  <c r="AM498" i="5"/>
  <c r="AL498" i="5"/>
  <c r="AM374" i="5"/>
  <c r="AP380" i="5"/>
  <c r="AM384" i="5"/>
  <c r="AM394" i="5"/>
  <c r="AL401" i="5"/>
  <c r="AM404" i="5"/>
  <c r="AL411" i="5"/>
  <c r="AN411" i="5" s="1"/>
  <c r="AW411" i="5" s="1"/>
  <c r="AM414" i="5"/>
  <c r="AL421" i="5"/>
  <c r="AM424" i="5"/>
  <c r="AL431" i="5"/>
  <c r="AM434" i="5"/>
  <c r="AL441" i="5"/>
  <c r="AM444" i="5"/>
  <c r="AL448" i="5"/>
  <c r="AM452" i="5"/>
  <c r="AM456" i="5"/>
  <c r="AM458" i="5"/>
  <c r="AL459" i="5"/>
  <c r="AP461" i="5"/>
  <c r="AR461" i="5" s="1"/>
  <c r="AM464" i="5"/>
  <c r="AM467" i="5"/>
  <c r="AN467" i="5" s="1"/>
  <c r="AW467" i="5" s="1"/>
  <c r="AL468" i="5"/>
  <c r="AQ471" i="5"/>
  <c r="AP482" i="5"/>
  <c r="AR482" i="5" s="1"/>
  <c r="AP484" i="5"/>
  <c r="AL484" i="5"/>
  <c r="AQ501" i="5"/>
  <c r="AP377" i="5"/>
  <c r="AR377" i="5" s="1"/>
  <c r="AP387" i="5"/>
  <c r="AR387" i="5" s="1"/>
  <c r="AP397" i="5"/>
  <c r="AR397" i="5" s="1"/>
  <c r="AM401" i="5"/>
  <c r="AM411" i="5"/>
  <c r="AP417" i="5"/>
  <c r="AR417" i="5" s="1"/>
  <c r="AL418" i="5"/>
  <c r="AM421" i="5"/>
  <c r="AL428" i="5"/>
  <c r="AM431" i="5"/>
  <c r="AL438" i="5"/>
  <c r="AM441" i="5"/>
  <c r="AM448" i="5"/>
  <c r="AP458" i="5"/>
  <c r="AR458" i="5" s="1"/>
  <c r="AM459" i="5"/>
  <c r="AM468" i="5"/>
  <c r="AM476" i="5"/>
  <c r="AL476" i="5"/>
  <c r="AN476" i="5" s="1"/>
  <c r="AW476" i="5" s="1"/>
  <c r="AQ476" i="5"/>
  <c r="AP476" i="5"/>
  <c r="AR476" i="5" s="1"/>
  <c r="AL488" i="5"/>
  <c r="AN530" i="5"/>
  <c r="AW530" i="5" s="1"/>
  <c r="AR541" i="5"/>
  <c r="AL415" i="5"/>
  <c r="AM418" i="5"/>
  <c r="AL425" i="5"/>
  <c r="AN425" i="5" s="1"/>
  <c r="AW425" i="5" s="1"/>
  <c r="AM428" i="5"/>
  <c r="AL435" i="5"/>
  <c r="AN435" i="5" s="1"/>
  <c r="AM438" i="5"/>
  <c r="AL445" i="5"/>
  <c r="AN445" i="5" s="1"/>
  <c r="AW445" i="5" s="1"/>
  <c r="AP448" i="5"/>
  <c r="AL449" i="5"/>
  <c r="AN449" i="5" s="1"/>
  <c r="AP452" i="5"/>
  <c r="AM453" i="5"/>
  <c r="AN453" i="5" s="1"/>
  <c r="AW453" i="5" s="1"/>
  <c r="AP459" i="5"/>
  <c r="AR459" i="5" s="1"/>
  <c r="AL460" i="5"/>
  <c r="AN460" i="5" s="1"/>
  <c r="AW460" i="5" s="1"/>
  <c r="AP462" i="5"/>
  <c r="AL462" i="5"/>
  <c r="AN462" i="5" s="1"/>
  <c r="AW462" i="5" s="1"/>
  <c r="AM473" i="5"/>
  <c r="AL478" i="5"/>
  <c r="AM484" i="5"/>
  <c r="AM486" i="5"/>
  <c r="AN491" i="5"/>
  <c r="AW491" i="5" s="1"/>
  <c r="AQ494" i="5"/>
  <c r="AM501" i="5"/>
  <c r="AL501" i="5"/>
  <c r="AR524" i="5"/>
  <c r="AP401" i="5"/>
  <c r="AL402" i="5"/>
  <c r="AN402" i="5" s="1"/>
  <c r="AW402" i="5" s="1"/>
  <c r="AP411" i="5"/>
  <c r="AL412" i="5"/>
  <c r="AN412" i="5" s="1"/>
  <c r="AW412" i="5" s="1"/>
  <c r="AP421" i="5"/>
  <c r="AR421" i="5" s="1"/>
  <c r="AL422" i="5"/>
  <c r="AN422" i="5" s="1"/>
  <c r="AP431" i="5"/>
  <c r="AL432" i="5"/>
  <c r="AN432" i="5" s="1"/>
  <c r="AW432" i="5" s="1"/>
  <c r="AP441" i="5"/>
  <c r="AR441" i="5" s="1"/>
  <c r="AL442" i="5"/>
  <c r="AN442" i="5" s="1"/>
  <c r="AW442" i="5" s="1"/>
  <c r="AP451" i="5"/>
  <c r="AR451" i="5" s="1"/>
  <c r="AQ452" i="5"/>
  <c r="AL454" i="5"/>
  <c r="AL463" i="5"/>
  <c r="AN463" i="5" s="1"/>
  <c r="AM469" i="5"/>
  <c r="AL469" i="5"/>
  <c r="AQ469" i="5"/>
  <c r="AR469" i="5" s="1"/>
  <c r="AQ473" i="5"/>
  <c r="AW474" i="5"/>
  <c r="AQ477" i="5"/>
  <c r="AR477" i="5" s="1"/>
  <c r="AM477" i="5"/>
  <c r="AN477" i="5" s="1"/>
  <c r="AW477" i="5" s="1"/>
  <c r="AM483" i="5"/>
  <c r="AQ487" i="5"/>
  <c r="AM487" i="5"/>
  <c r="AN487" i="5" s="1"/>
  <c r="AW487" i="5" s="1"/>
  <c r="AM489" i="5"/>
  <c r="AP453" i="5"/>
  <c r="AR453" i="5" s="1"/>
  <c r="AM454" i="5"/>
  <c r="AL455" i="5"/>
  <c r="AQ464" i="5"/>
  <c r="AR464" i="5" s="1"/>
  <c r="AQ465" i="5"/>
  <c r="AR465" i="5" s="1"/>
  <c r="AM465" i="5"/>
  <c r="AM466" i="5"/>
  <c r="AN466" i="5" s="1"/>
  <c r="AW466" i="5" s="1"/>
  <c r="AP466" i="5"/>
  <c r="AR466" i="5" s="1"/>
  <c r="AQ475" i="5"/>
  <c r="AP475" i="5"/>
  <c r="AM475" i="5"/>
  <c r="AL475" i="5"/>
  <c r="AM479" i="5"/>
  <c r="AQ483" i="5"/>
  <c r="AP487" i="5"/>
  <c r="AN503" i="5"/>
  <c r="AW503" i="5" s="1"/>
  <c r="AP504" i="5"/>
  <c r="AR504" i="5" s="1"/>
  <c r="AM504" i="5"/>
  <c r="AL504" i="5"/>
  <c r="AR514" i="5"/>
  <c r="AR529" i="5"/>
  <c r="AW533" i="5"/>
  <c r="AW538" i="5"/>
  <c r="AR550" i="5"/>
  <c r="AQ580" i="5"/>
  <c r="AP580" i="5"/>
  <c r="AM580" i="5"/>
  <c r="AL580" i="5"/>
  <c r="AP596" i="5"/>
  <c r="AM596" i="5"/>
  <c r="AR633" i="5"/>
  <c r="AR645" i="5"/>
  <c r="AQ479" i="5"/>
  <c r="AR479" i="5" s="1"/>
  <c r="AP486" i="5"/>
  <c r="AQ489" i="5"/>
  <c r="AR489" i="5" s="1"/>
  <c r="AP496" i="5"/>
  <c r="AQ499" i="5"/>
  <c r="AR499" i="5" s="1"/>
  <c r="AP506" i="5"/>
  <c r="AP516" i="5"/>
  <c r="AL517" i="5"/>
  <c r="AP526" i="5"/>
  <c r="AR526" i="5" s="1"/>
  <c r="AL527" i="5"/>
  <c r="AN527" i="5" s="1"/>
  <c r="AW527" i="5" s="1"/>
  <c r="AP536" i="5"/>
  <c r="AL537" i="5"/>
  <c r="AN537" i="5" s="1"/>
  <c r="AQ539" i="5"/>
  <c r="AR539" i="5" s="1"/>
  <c r="AP546" i="5"/>
  <c r="AM547" i="5"/>
  <c r="AN547" i="5" s="1"/>
  <c r="AW547" i="5" s="1"/>
  <c r="AQ550" i="5"/>
  <c r="AP551" i="5"/>
  <c r="AR551" i="5" s="1"/>
  <c r="AM560" i="5"/>
  <c r="AL565" i="5"/>
  <c r="AM574" i="5"/>
  <c r="AL576" i="5"/>
  <c r="AQ576" i="5"/>
  <c r="AM576" i="5"/>
  <c r="AQ583" i="5"/>
  <c r="AL583" i="5"/>
  <c r="AN604" i="5"/>
  <c r="AW604" i="5" s="1"/>
  <c r="AQ486" i="5"/>
  <c r="AP493" i="5"/>
  <c r="AQ496" i="5"/>
  <c r="AP503" i="5"/>
  <c r="AQ506" i="5"/>
  <c r="AP513" i="5"/>
  <c r="AL514" i="5"/>
  <c r="AN514" i="5" s="1"/>
  <c r="AW514" i="5" s="1"/>
  <c r="AQ516" i="5"/>
  <c r="AM517" i="5"/>
  <c r="AP523" i="5"/>
  <c r="AL524" i="5"/>
  <c r="AQ526" i="5"/>
  <c r="AP533" i="5"/>
  <c r="AL534" i="5"/>
  <c r="AQ536" i="5"/>
  <c r="AP543" i="5"/>
  <c r="AL544" i="5"/>
  <c r="AQ546" i="5"/>
  <c r="AP552" i="5"/>
  <c r="AR552" i="5" s="1"/>
  <c r="AL556" i="5"/>
  <c r="AM562" i="5"/>
  <c r="AQ562" i="5"/>
  <c r="AP563" i="5"/>
  <c r="AR563" i="5" s="1"/>
  <c r="AP564" i="5"/>
  <c r="AR564" i="5" s="1"/>
  <c r="AP565" i="5"/>
  <c r="AQ493" i="5"/>
  <c r="AQ503" i="5"/>
  <c r="AL511" i="5"/>
  <c r="AN511" i="5" s="1"/>
  <c r="AW511" i="5" s="1"/>
  <c r="AQ513" i="5"/>
  <c r="AM514" i="5"/>
  <c r="AL521" i="5"/>
  <c r="AN521" i="5" s="1"/>
  <c r="AW521" i="5" s="1"/>
  <c r="AQ523" i="5"/>
  <c r="AM524" i="5"/>
  <c r="AL531" i="5"/>
  <c r="AN531" i="5" s="1"/>
  <c r="AW531" i="5" s="1"/>
  <c r="AQ533" i="5"/>
  <c r="AM534" i="5"/>
  <c r="AL541" i="5"/>
  <c r="AQ543" i="5"/>
  <c r="AM544" i="5"/>
  <c r="AM554" i="5"/>
  <c r="AM556" i="5"/>
  <c r="AN564" i="5"/>
  <c r="AW564" i="5" s="1"/>
  <c r="AQ570" i="5"/>
  <c r="AL570" i="5"/>
  <c r="AQ597" i="5"/>
  <c r="AP597" i="5"/>
  <c r="AM597" i="5"/>
  <c r="AL597" i="5"/>
  <c r="AN622" i="5"/>
  <c r="AW622" i="5" s="1"/>
  <c r="AN642" i="5"/>
  <c r="AW642" i="5" s="1"/>
  <c r="AP517" i="5"/>
  <c r="AR517" i="5" s="1"/>
  <c r="AL518" i="5"/>
  <c r="AN518" i="5" s="1"/>
  <c r="AP527" i="5"/>
  <c r="AL528" i="5"/>
  <c r="AM531" i="5"/>
  <c r="AP537" i="5"/>
  <c r="AR537" i="5" s="1"/>
  <c r="AL538" i="5"/>
  <c r="AN538" i="5" s="1"/>
  <c r="AM541" i="5"/>
  <c r="AP548" i="5"/>
  <c r="AR548" i="5" s="1"/>
  <c r="AL549" i="5"/>
  <c r="AR555" i="5"/>
  <c r="AQ600" i="5"/>
  <c r="AP600" i="5"/>
  <c r="AM600" i="5"/>
  <c r="AL600" i="5"/>
  <c r="AN600" i="5" s="1"/>
  <c r="AW600" i="5" s="1"/>
  <c r="AN649" i="5"/>
  <c r="AW649" i="5" s="1"/>
  <c r="AL515" i="5"/>
  <c r="AM518" i="5"/>
  <c r="AL525" i="5"/>
  <c r="AM528" i="5"/>
  <c r="AL535" i="5"/>
  <c r="AM538" i="5"/>
  <c r="AL545" i="5"/>
  <c r="AM549" i="5"/>
  <c r="AL571" i="5"/>
  <c r="AP575" i="5"/>
  <c r="AQ575" i="5"/>
  <c r="AN661" i="5"/>
  <c r="AW661" i="5" s="1"/>
  <c r="AP471" i="5"/>
  <c r="AL472" i="5"/>
  <c r="AP481" i="5"/>
  <c r="AL482" i="5"/>
  <c r="AP491" i="5"/>
  <c r="AR491" i="5" s="1"/>
  <c r="AL492" i="5"/>
  <c r="AN492" i="5" s="1"/>
  <c r="AW492" i="5" s="1"/>
  <c r="AP501" i="5"/>
  <c r="AR501" i="5" s="1"/>
  <c r="AL502" i="5"/>
  <c r="AP511" i="5"/>
  <c r="AR511" i="5" s="1"/>
  <c r="AL512" i="5"/>
  <c r="AM515" i="5"/>
  <c r="AP521" i="5"/>
  <c r="AR521" i="5" s="1"/>
  <c r="AL522" i="5"/>
  <c r="AM525" i="5"/>
  <c r="AL532" i="5"/>
  <c r="AM535" i="5"/>
  <c r="AL542" i="5"/>
  <c r="AM545" i="5"/>
  <c r="AM565" i="5"/>
  <c r="AP574" i="5"/>
  <c r="AR574" i="5" s="1"/>
  <c r="AP576" i="5"/>
  <c r="AQ578" i="5"/>
  <c r="AR584" i="5"/>
  <c r="AQ587" i="5"/>
  <c r="AP587" i="5"/>
  <c r="AM587" i="5"/>
  <c r="AL587" i="5"/>
  <c r="AP593" i="5"/>
  <c r="AR621" i="5"/>
  <c r="AR641" i="5"/>
  <c r="AN658" i="5"/>
  <c r="AM472" i="5"/>
  <c r="AL479" i="5"/>
  <c r="AN479" i="5" s="1"/>
  <c r="AW479" i="5" s="1"/>
  <c r="AM482" i="5"/>
  <c r="AL489" i="5"/>
  <c r="AM492" i="5"/>
  <c r="AL499" i="5"/>
  <c r="AN499" i="5" s="1"/>
  <c r="AW499" i="5" s="1"/>
  <c r="AM502" i="5"/>
  <c r="AL509" i="5"/>
  <c r="AM512" i="5"/>
  <c r="AP518" i="5"/>
  <c r="AR518" i="5" s="1"/>
  <c r="AL519" i="5"/>
  <c r="AN519" i="5" s="1"/>
  <c r="AM522" i="5"/>
  <c r="AP528" i="5"/>
  <c r="AR528" i="5" s="1"/>
  <c r="AL529" i="5"/>
  <c r="AN529" i="5" s="1"/>
  <c r="AW529" i="5" s="1"/>
  <c r="AM532" i="5"/>
  <c r="AP538" i="5"/>
  <c r="AR538" i="5" s="1"/>
  <c r="AM542" i="5"/>
  <c r="AM548" i="5"/>
  <c r="AN548" i="5" s="1"/>
  <c r="AW548" i="5" s="1"/>
  <c r="AP549" i="5"/>
  <c r="AR549" i="5" s="1"/>
  <c r="AL550" i="5"/>
  <c r="AN550" i="5" s="1"/>
  <c r="AW550" i="5" s="1"/>
  <c r="AP553" i="5"/>
  <c r="AR553" i="5" s="1"/>
  <c r="AM553" i="5"/>
  <c r="AN553" i="5" s="1"/>
  <c r="AW553" i="5" s="1"/>
  <c r="AQ556" i="5"/>
  <c r="AR556" i="5" s="1"/>
  <c r="AQ557" i="5"/>
  <c r="AP557" i="5"/>
  <c r="AM557" i="5"/>
  <c r="AN557" i="5" s="1"/>
  <c r="AW557" i="5" s="1"/>
  <c r="AP558" i="5"/>
  <c r="AR558" i="5" s="1"/>
  <c r="AM558" i="5"/>
  <c r="AL558" i="5"/>
  <c r="AL559" i="5"/>
  <c r="AN559" i="5" s="1"/>
  <c r="AQ560" i="5"/>
  <c r="AR560" i="5" s="1"/>
  <c r="AL560" i="5"/>
  <c r="AN560" i="5" s="1"/>
  <c r="AW560" i="5" s="1"/>
  <c r="AL562" i="5"/>
  <c r="AN562" i="5" s="1"/>
  <c r="AW562" i="5" s="1"/>
  <c r="AL563" i="5"/>
  <c r="AN563" i="5" s="1"/>
  <c r="AW563" i="5" s="1"/>
  <c r="AM564" i="5"/>
  <c r="AQ565" i="5"/>
  <c r="AQ568" i="5"/>
  <c r="AM570" i="5"/>
  <c r="AR573" i="5"/>
  <c r="AL574" i="5"/>
  <c r="AN584" i="5"/>
  <c r="AW584" i="5" s="1"/>
  <c r="AQ590" i="5"/>
  <c r="AP590" i="5"/>
  <c r="AM590" i="5"/>
  <c r="AL590" i="5"/>
  <c r="AR591" i="5"/>
  <c r="AL596" i="5"/>
  <c r="AL599" i="5"/>
  <c r="AN614" i="5"/>
  <c r="AN632" i="5"/>
  <c r="AN634" i="5"/>
  <c r="AW634" i="5" s="1"/>
  <c r="AL486" i="5"/>
  <c r="AN486" i="5" s="1"/>
  <c r="AL496" i="5"/>
  <c r="AN496" i="5" s="1"/>
  <c r="AW496" i="5" s="1"/>
  <c r="AL506" i="5"/>
  <c r="AP515" i="5"/>
  <c r="AL516" i="5"/>
  <c r="AN516" i="5" s="1"/>
  <c r="AW516" i="5" s="1"/>
  <c r="AP525" i="5"/>
  <c r="AR525" i="5" s="1"/>
  <c r="AL526" i="5"/>
  <c r="AN526" i="5" s="1"/>
  <c r="AW526" i="5" s="1"/>
  <c r="AP535" i="5"/>
  <c r="AR535" i="5" s="1"/>
  <c r="AL536" i="5"/>
  <c r="AN536" i="5" s="1"/>
  <c r="AW536" i="5" s="1"/>
  <c r="AP545" i="5"/>
  <c r="AR545" i="5" s="1"/>
  <c r="AL546" i="5"/>
  <c r="AN546" i="5" s="1"/>
  <c r="AW546" i="5" s="1"/>
  <c r="AP554" i="5"/>
  <c r="AL555" i="5"/>
  <c r="AN555" i="5" s="1"/>
  <c r="AW555" i="5" s="1"/>
  <c r="AP562" i="5"/>
  <c r="AR562" i="5" s="1"/>
  <c r="AQ567" i="5"/>
  <c r="AP567" i="5"/>
  <c r="AR567" i="5" s="1"/>
  <c r="AM567" i="5"/>
  <c r="AN567" i="5" s="1"/>
  <c r="AW567" i="5" s="1"/>
  <c r="AP570" i="5"/>
  <c r="AR570" i="5" s="1"/>
  <c r="AM572" i="5"/>
  <c r="AN572" i="5" s="1"/>
  <c r="AW572" i="5" s="1"/>
  <c r="AQ572" i="5"/>
  <c r="AP572" i="5"/>
  <c r="AQ577" i="5"/>
  <c r="AP577" i="5"/>
  <c r="AM577" i="5"/>
  <c r="AN577" i="5" s="1"/>
  <c r="AW577" i="5" s="1"/>
  <c r="AW579" i="5"/>
  <c r="AQ593" i="5"/>
  <c r="AL593" i="5"/>
  <c r="AM599" i="5"/>
  <c r="AL551" i="5"/>
  <c r="AL566" i="5"/>
  <c r="AN566" i="5" s="1"/>
  <c r="AW566" i="5" s="1"/>
  <c r="AQ566" i="5"/>
  <c r="AR566" i="5" s="1"/>
  <c r="AM575" i="5"/>
  <c r="AN575" i="5" s="1"/>
  <c r="AW575" i="5" s="1"/>
  <c r="AP583" i="5"/>
  <c r="AR583" i="5" s="1"/>
  <c r="AR611" i="5"/>
  <c r="AR613" i="5"/>
  <c r="AN639" i="5"/>
  <c r="AP582" i="5"/>
  <c r="AQ585" i="5"/>
  <c r="AR585" i="5" s="1"/>
  <c r="AM586" i="5"/>
  <c r="AN586" i="5" s="1"/>
  <c r="AW586" i="5" s="1"/>
  <c r="AP592" i="5"/>
  <c r="AQ595" i="5"/>
  <c r="AP602" i="5"/>
  <c r="AL603" i="5"/>
  <c r="AN603" i="5" s="1"/>
  <c r="AQ605" i="5"/>
  <c r="AR605" i="5" s="1"/>
  <c r="AM606" i="5"/>
  <c r="AP612" i="5"/>
  <c r="AL613" i="5"/>
  <c r="AQ615" i="5"/>
  <c r="AR615" i="5" s="1"/>
  <c r="AM616" i="5"/>
  <c r="AN616" i="5" s="1"/>
  <c r="AW616" i="5" s="1"/>
  <c r="AP622" i="5"/>
  <c r="AL623" i="5"/>
  <c r="AQ625" i="5"/>
  <c r="AR625" i="5" s="1"/>
  <c r="AM626" i="5"/>
  <c r="AN626" i="5" s="1"/>
  <c r="AW626" i="5" s="1"/>
  <c r="AP632" i="5"/>
  <c r="AR632" i="5" s="1"/>
  <c r="AL633" i="5"/>
  <c r="AQ635" i="5"/>
  <c r="AR635" i="5" s="1"/>
  <c r="AM636" i="5"/>
  <c r="AN636" i="5" s="1"/>
  <c r="AW636" i="5" s="1"/>
  <c r="AP642" i="5"/>
  <c r="AL643" i="5"/>
  <c r="AQ645" i="5"/>
  <c r="AM646" i="5"/>
  <c r="AN646" i="5" s="1"/>
  <c r="AL650" i="5"/>
  <c r="AM655" i="5"/>
  <c r="AN655" i="5" s="1"/>
  <c r="AL657" i="5"/>
  <c r="AP559" i="5"/>
  <c r="AM563" i="5"/>
  <c r="AP569" i="5"/>
  <c r="AR569" i="5" s="1"/>
  <c r="AM573" i="5"/>
  <c r="AP579" i="5"/>
  <c r="AQ582" i="5"/>
  <c r="AM583" i="5"/>
  <c r="AP589" i="5"/>
  <c r="AR589" i="5" s="1"/>
  <c r="AQ592" i="5"/>
  <c r="AM593" i="5"/>
  <c r="AP599" i="5"/>
  <c r="AR599" i="5" s="1"/>
  <c r="AQ602" i="5"/>
  <c r="AM603" i="5"/>
  <c r="AP609" i="5"/>
  <c r="AL610" i="5"/>
  <c r="AN610" i="5" s="1"/>
  <c r="AQ612" i="5"/>
  <c r="AM613" i="5"/>
  <c r="AP619" i="5"/>
  <c r="AL620" i="5"/>
  <c r="AQ622" i="5"/>
  <c r="AM623" i="5"/>
  <c r="AP629" i="5"/>
  <c r="AL630" i="5"/>
  <c r="AQ632" i="5"/>
  <c r="AM633" i="5"/>
  <c r="AP639" i="5"/>
  <c r="AR639" i="5" s="1"/>
  <c r="AL640" i="5"/>
  <c r="AQ642" i="5"/>
  <c r="AM643" i="5"/>
  <c r="AQ649" i="5"/>
  <c r="AR649" i="5" s="1"/>
  <c r="AM650" i="5"/>
  <c r="AP652" i="5"/>
  <c r="AR652" i="5" s="1"/>
  <c r="AM662" i="5"/>
  <c r="AP662" i="5"/>
  <c r="AL664" i="5"/>
  <c r="AQ680" i="5"/>
  <c r="AP680" i="5"/>
  <c r="AM680" i="5"/>
  <c r="AL680" i="5"/>
  <c r="AL607" i="5"/>
  <c r="AM610" i="5"/>
  <c r="AL617" i="5"/>
  <c r="AM620" i="5"/>
  <c r="AL627" i="5"/>
  <c r="AM630" i="5"/>
  <c r="AL637" i="5"/>
  <c r="AN637" i="5" s="1"/>
  <c r="AW637" i="5" s="1"/>
  <c r="AM640" i="5"/>
  <c r="AL647" i="5"/>
  <c r="AQ654" i="5"/>
  <c r="AR654" i="5" s="1"/>
  <c r="AP657" i="5"/>
  <c r="AR657" i="5" s="1"/>
  <c r="AP664" i="5"/>
  <c r="AR664" i="5" s="1"/>
  <c r="AM664" i="5"/>
  <c r="AL666" i="5"/>
  <c r="AM671" i="5"/>
  <c r="AL671" i="5"/>
  <c r="AQ671" i="5"/>
  <c r="AQ673" i="5"/>
  <c r="AP673" i="5"/>
  <c r="AR673" i="5" s="1"/>
  <c r="AM673" i="5"/>
  <c r="AM678" i="5"/>
  <c r="AL678" i="5"/>
  <c r="AP678" i="5"/>
  <c r="AR684" i="5"/>
  <c r="AL554" i="5"/>
  <c r="AN554" i="5" s="1"/>
  <c r="AW554" i="5" s="1"/>
  <c r="AQ586" i="5"/>
  <c r="AR586" i="5" s="1"/>
  <c r="AQ596" i="5"/>
  <c r="AQ606" i="5"/>
  <c r="AR606" i="5" s="1"/>
  <c r="AM607" i="5"/>
  <c r="AQ616" i="5"/>
  <c r="AR616" i="5" s="1"/>
  <c r="AM617" i="5"/>
  <c r="AQ626" i="5"/>
  <c r="AR626" i="5" s="1"/>
  <c r="AM627" i="5"/>
  <c r="AQ636" i="5"/>
  <c r="AR636" i="5" s="1"/>
  <c r="AM637" i="5"/>
  <c r="AQ646" i="5"/>
  <c r="AM647" i="5"/>
  <c r="AL651" i="5"/>
  <c r="AN651" i="5" s="1"/>
  <c r="AW651" i="5" s="1"/>
  <c r="AP653" i="5"/>
  <c r="AR653" i="5" s="1"/>
  <c r="AL653" i="5"/>
  <c r="AM659" i="5"/>
  <c r="AL660" i="5"/>
  <c r="AN660" i="5" s="1"/>
  <c r="AM665" i="5"/>
  <c r="AM684" i="5"/>
  <c r="AL684" i="5"/>
  <c r="AQ694" i="5"/>
  <c r="AM694" i="5"/>
  <c r="AL694" i="5"/>
  <c r="AN694" i="5" s="1"/>
  <c r="AR732" i="5"/>
  <c r="AP610" i="5"/>
  <c r="AR610" i="5" s="1"/>
  <c r="AP620" i="5"/>
  <c r="AR620" i="5" s="1"/>
  <c r="AP630" i="5"/>
  <c r="AR630" i="5" s="1"/>
  <c r="AP640" i="5"/>
  <c r="AR640" i="5" s="1"/>
  <c r="AL654" i="5"/>
  <c r="AN654" i="5" s="1"/>
  <c r="AW654" i="5" s="1"/>
  <c r="AQ655" i="5"/>
  <c r="AQ656" i="5"/>
  <c r="AR656" i="5" s="1"/>
  <c r="AM656" i="5"/>
  <c r="AN656" i="5" s="1"/>
  <c r="AP659" i="5"/>
  <c r="AR659" i="5" s="1"/>
  <c r="AQ677" i="5"/>
  <c r="AP677" i="5"/>
  <c r="AM677" i="5"/>
  <c r="AL677" i="5"/>
  <c r="AM561" i="5"/>
  <c r="AL568" i="5"/>
  <c r="AM571" i="5"/>
  <c r="AL578" i="5"/>
  <c r="AM581" i="5"/>
  <c r="AN581" i="5" s="1"/>
  <c r="AW581" i="5" s="1"/>
  <c r="AL588" i="5"/>
  <c r="AM591" i="5"/>
  <c r="AN591" i="5" s="1"/>
  <c r="AL598" i="5"/>
  <c r="AN598" i="5" s="1"/>
  <c r="AW598" i="5" s="1"/>
  <c r="AM601" i="5"/>
  <c r="AN601" i="5" s="1"/>
  <c r="AW601" i="5" s="1"/>
  <c r="AP607" i="5"/>
  <c r="AL608" i="5"/>
  <c r="AM611" i="5"/>
  <c r="AN611" i="5" s="1"/>
  <c r="AP617" i="5"/>
  <c r="AR617" i="5" s="1"/>
  <c r="AL618" i="5"/>
  <c r="AM621" i="5"/>
  <c r="AN621" i="5" s="1"/>
  <c r="AW621" i="5" s="1"/>
  <c r="AP627" i="5"/>
  <c r="AR627" i="5" s="1"/>
  <c r="AL628" i="5"/>
  <c r="AM631" i="5"/>
  <c r="AN631" i="5" s="1"/>
  <c r="AW631" i="5" s="1"/>
  <c r="AP637" i="5"/>
  <c r="AR637" i="5" s="1"/>
  <c r="AL638" i="5"/>
  <c r="AM641" i="5"/>
  <c r="AN641" i="5" s="1"/>
  <c r="AP647" i="5"/>
  <c r="AR647" i="5" s="1"/>
  <c r="AL648" i="5"/>
  <c r="AN648" i="5" s="1"/>
  <c r="AW648" i="5" s="1"/>
  <c r="AM657" i="5"/>
  <c r="AP660" i="5"/>
  <c r="AR660" i="5" s="1"/>
  <c r="AP668" i="5"/>
  <c r="AR668" i="5" s="1"/>
  <c r="AM668" i="5"/>
  <c r="AL668" i="5"/>
  <c r="AN668" i="5" s="1"/>
  <c r="AL673" i="5"/>
  <c r="AN673" i="5" s="1"/>
  <c r="AM688" i="5"/>
  <c r="AL688" i="5"/>
  <c r="AP688" i="5"/>
  <c r="AR688" i="5" s="1"/>
  <c r="AM568" i="5"/>
  <c r="AM578" i="5"/>
  <c r="AM588" i="5"/>
  <c r="AM598" i="5"/>
  <c r="AM608" i="5"/>
  <c r="AM618" i="5"/>
  <c r="AM628" i="5"/>
  <c r="AM638" i="5"/>
  <c r="AM648" i="5"/>
  <c r="AL652" i="5"/>
  <c r="AN652" i="5" s="1"/>
  <c r="AW652" i="5" s="1"/>
  <c r="AQ664" i="5"/>
  <c r="AQ667" i="5"/>
  <c r="AQ676" i="5"/>
  <c r="AM681" i="5"/>
  <c r="AL681" i="5"/>
  <c r="AQ681" i="5"/>
  <c r="AR681" i="5" s="1"/>
  <c r="AQ683" i="5"/>
  <c r="AP683" i="5"/>
  <c r="AR683" i="5" s="1"/>
  <c r="AM683" i="5"/>
  <c r="AR685" i="5"/>
  <c r="AQ693" i="5"/>
  <c r="AR704" i="5"/>
  <c r="AQ666" i="5"/>
  <c r="AR666" i="5" s="1"/>
  <c r="AP671" i="5"/>
  <c r="AR671" i="5" s="1"/>
  <c r="AR672" i="5"/>
  <c r="AP568" i="5"/>
  <c r="AR568" i="5" s="1"/>
  <c r="AP578" i="5"/>
  <c r="AP588" i="5"/>
  <c r="AR588" i="5" s="1"/>
  <c r="AP598" i="5"/>
  <c r="AR598" i="5" s="1"/>
  <c r="AP608" i="5"/>
  <c r="AR608" i="5" s="1"/>
  <c r="AP618" i="5"/>
  <c r="AR618" i="5" s="1"/>
  <c r="AP628" i="5"/>
  <c r="AP638" i="5"/>
  <c r="AP648" i="5"/>
  <c r="AR648" i="5" s="1"/>
  <c r="AM653" i="5"/>
  <c r="AP658" i="5"/>
  <c r="AR658" i="5" s="1"/>
  <c r="AQ662" i="5"/>
  <c r="AL665" i="5"/>
  <c r="AQ665" i="5"/>
  <c r="AR665" i="5" s="1"/>
  <c r="AR669" i="5"/>
  <c r="AP674" i="5"/>
  <c r="AR674" i="5" s="1"/>
  <c r="AQ678" i="5"/>
  <c r="AQ687" i="5"/>
  <c r="AP691" i="5"/>
  <c r="AM691" i="5"/>
  <c r="AL691" i="5"/>
  <c r="AQ691" i="5"/>
  <c r="AL659" i="5"/>
  <c r="AN659" i="5" s="1"/>
  <c r="AQ661" i="5"/>
  <c r="AR661" i="5" s="1"/>
  <c r="AM674" i="5"/>
  <c r="AL674" i="5"/>
  <c r="AN683" i="5"/>
  <c r="AR712" i="5"/>
  <c r="AR714" i="5"/>
  <c r="AL663" i="5"/>
  <c r="AN663" i="5" s="1"/>
  <c r="AW663" i="5" s="1"/>
  <c r="AM666" i="5"/>
  <c r="AM672" i="5"/>
  <c r="AN672" i="5" s="1"/>
  <c r="AL679" i="5"/>
  <c r="AN679" i="5" s="1"/>
  <c r="AM682" i="5"/>
  <c r="AN682" i="5" s="1"/>
  <c r="AL689" i="5"/>
  <c r="AN689" i="5" s="1"/>
  <c r="AM692" i="5"/>
  <c r="AN692" i="5" s="1"/>
  <c r="AP698" i="5"/>
  <c r="AR698" i="5" s="1"/>
  <c r="AL699" i="5"/>
  <c r="AN699" i="5" s="1"/>
  <c r="AQ701" i="5"/>
  <c r="AR701" i="5" s="1"/>
  <c r="AM702" i="5"/>
  <c r="AN702" i="5" s="1"/>
  <c r="AP708" i="5"/>
  <c r="AR708" i="5" s="1"/>
  <c r="AL709" i="5"/>
  <c r="AN709" i="5" s="1"/>
  <c r="AQ711" i="5"/>
  <c r="AR711" i="5" s="1"/>
  <c r="AM712" i="5"/>
  <c r="AN712" i="5" s="1"/>
  <c r="AP718" i="5"/>
  <c r="AL719" i="5"/>
  <c r="AN719" i="5" s="1"/>
  <c r="AQ721" i="5"/>
  <c r="AR721" i="5" s="1"/>
  <c r="AP728" i="5"/>
  <c r="AQ731" i="5"/>
  <c r="AR731" i="5" s="1"/>
  <c r="AM732" i="5"/>
  <c r="AQ735" i="5"/>
  <c r="AR735" i="5" s="1"/>
  <c r="AP738" i="5"/>
  <c r="AP753" i="5"/>
  <c r="AR753" i="5" s="1"/>
  <c r="AP756" i="5"/>
  <c r="AR756" i="5" s="1"/>
  <c r="AP757" i="5"/>
  <c r="AP759" i="5"/>
  <c r="AR759" i="5" s="1"/>
  <c r="AP763" i="5"/>
  <c r="AR763" i="5" s="1"/>
  <c r="AP765" i="5"/>
  <c r="AR765" i="5" s="1"/>
  <c r="AM765" i="5"/>
  <c r="AL765" i="5"/>
  <c r="AQ788" i="5"/>
  <c r="AQ794" i="5"/>
  <c r="AQ728" i="5"/>
  <c r="AP748" i="5"/>
  <c r="AM748" i="5"/>
  <c r="AP775" i="5"/>
  <c r="AM775" i="5"/>
  <c r="AL775" i="5"/>
  <c r="AM792" i="5"/>
  <c r="AL792" i="5"/>
  <c r="AN792" i="5" s="1"/>
  <c r="AP792" i="5"/>
  <c r="AM752" i="5"/>
  <c r="AL752" i="5"/>
  <c r="AM755" i="5"/>
  <c r="AL755" i="5"/>
  <c r="AN755" i="5" s="1"/>
  <c r="AM762" i="5"/>
  <c r="AL762" i="5"/>
  <c r="AP663" i="5"/>
  <c r="AR663" i="5" s="1"/>
  <c r="AM667" i="5"/>
  <c r="AN667" i="5" s="1"/>
  <c r="AP679" i="5"/>
  <c r="AR679" i="5" s="1"/>
  <c r="AP689" i="5"/>
  <c r="AL690" i="5"/>
  <c r="AN690" i="5" s="1"/>
  <c r="AM693" i="5"/>
  <c r="AP699" i="5"/>
  <c r="AR699" i="5" s="1"/>
  <c r="AL700" i="5"/>
  <c r="AN700" i="5" s="1"/>
  <c r="AM703" i="5"/>
  <c r="AN703" i="5" s="1"/>
  <c r="AP709" i="5"/>
  <c r="AR709" i="5" s="1"/>
  <c r="AL710" i="5"/>
  <c r="AM713" i="5"/>
  <c r="AN713" i="5" s="1"/>
  <c r="AP719" i="5"/>
  <c r="AR719" i="5" s="1"/>
  <c r="AL720" i="5"/>
  <c r="AM723" i="5"/>
  <c r="AN723" i="5" s="1"/>
  <c r="AP729" i="5"/>
  <c r="AL730" i="5"/>
  <c r="AM733" i="5"/>
  <c r="AN733" i="5" s="1"/>
  <c r="AM737" i="5"/>
  <c r="AN737" i="5" s="1"/>
  <c r="AL744" i="5"/>
  <c r="AN744" i="5" s="1"/>
  <c r="AP745" i="5"/>
  <c r="AR745" i="5" s="1"/>
  <c r="AL746" i="5"/>
  <c r="AQ751" i="5"/>
  <c r="AP751" i="5"/>
  <c r="AL751" i="5"/>
  <c r="AP758" i="5"/>
  <c r="AR758" i="5" s="1"/>
  <c r="AM758" i="5"/>
  <c r="AQ764" i="5"/>
  <c r="AP764" i="5"/>
  <c r="AM764" i="5"/>
  <c r="AL770" i="5"/>
  <c r="AN770" i="5" s="1"/>
  <c r="AR813" i="5"/>
  <c r="AP676" i="5"/>
  <c r="AR676" i="5" s="1"/>
  <c r="AP686" i="5"/>
  <c r="AR686" i="5" s="1"/>
  <c r="AL687" i="5"/>
  <c r="AM690" i="5"/>
  <c r="AP696" i="5"/>
  <c r="AR696" i="5" s="1"/>
  <c r="AL697" i="5"/>
  <c r="AM700" i="5"/>
  <c r="AP706" i="5"/>
  <c r="AR706" i="5" s="1"/>
  <c r="AL707" i="5"/>
  <c r="AM710" i="5"/>
  <c r="AP716" i="5"/>
  <c r="AR716" i="5" s="1"/>
  <c r="AL717" i="5"/>
  <c r="AM720" i="5"/>
  <c r="AP726" i="5"/>
  <c r="AR726" i="5" s="1"/>
  <c r="AL727" i="5"/>
  <c r="AM730" i="5"/>
  <c r="AP743" i="5"/>
  <c r="AR743" i="5" s="1"/>
  <c r="AM746" i="5"/>
  <c r="AQ754" i="5"/>
  <c r="AP754" i="5"/>
  <c r="AR754" i="5" s="1"/>
  <c r="AM754" i="5"/>
  <c r="AQ761" i="5"/>
  <c r="AP761" i="5"/>
  <c r="AM761" i="5"/>
  <c r="AL761" i="5"/>
  <c r="AN761" i="5" s="1"/>
  <c r="AM772" i="5"/>
  <c r="AL772" i="5"/>
  <c r="AQ774" i="5"/>
  <c r="AP785" i="5"/>
  <c r="AR785" i="5" s="1"/>
  <c r="AM785" i="5"/>
  <c r="AL785" i="5"/>
  <c r="AQ785" i="5"/>
  <c r="AQ787" i="5"/>
  <c r="AQ791" i="5"/>
  <c r="AP667" i="5"/>
  <c r="AM687" i="5"/>
  <c r="AP693" i="5"/>
  <c r="AR693" i="5" s="1"/>
  <c r="AM697" i="5"/>
  <c r="AP703" i="5"/>
  <c r="AR703" i="5" s="1"/>
  <c r="AL704" i="5"/>
  <c r="AM707" i="5"/>
  <c r="AP713" i="5"/>
  <c r="AR713" i="5" s="1"/>
  <c r="AL714" i="5"/>
  <c r="AM717" i="5"/>
  <c r="AP723" i="5"/>
  <c r="AR723" i="5" s="1"/>
  <c r="AL724" i="5"/>
  <c r="AM727" i="5"/>
  <c r="AP733" i="5"/>
  <c r="AR733" i="5" s="1"/>
  <c r="AL734" i="5"/>
  <c r="AP737" i="5"/>
  <c r="AR737" i="5" s="1"/>
  <c r="AL738" i="5"/>
  <c r="AN738" i="5" s="1"/>
  <c r="AQ741" i="5"/>
  <c r="AP741" i="5"/>
  <c r="AR741" i="5" s="1"/>
  <c r="AM742" i="5"/>
  <c r="AL742" i="5"/>
  <c r="AL747" i="5"/>
  <c r="AN747" i="5" s="1"/>
  <c r="AL767" i="5"/>
  <c r="AN767" i="5" s="1"/>
  <c r="AL777" i="5"/>
  <c r="AN777" i="5" s="1"/>
  <c r="AM787" i="5"/>
  <c r="AN787" i="5" s="1"/>
  <c r="AP690" i="5"/>
  <c r="AR690" i="5" s="1"/>
  <c r="AP700" i="5"/>
  <c r="AR700" i="5" s="1"/>
  <c r="AL701" i="5"/>
  <c r="AM704" i="5"/>
  <c r="AP710" i="5"/>
  <c r="AR710" i="5" s="1"/>
  <c r="AL711" i="5"/>
  <c r="AN711" i="5" s="1"/>
  <c r="AM714" i="5"/>
  <c r="AP720" i="5"/>
  <c r="AR720" i="5" s="1"/>
  <c r="AL721" i="5"/>
  <c r="AM724" i="5"/>
  <c r="AP730" i="5"/>
  <c r="AR730" i="5" s="1"/>
  <c r="AL731" i="5"/>
  <c r="AM734" i="5"/>
  <c r="AM739" i="5"/>
  <c r="AN739" i="5" s="1"/>
  <c r="AP746" i="5"/>
  <c r="AR746" i="5" s="1"/>
  <c r="AM747" i="5"/>
  <c r="AL748" i="5"/>
  <c r="AN748" i="5" s="1"/>
  <c r="AM749" i="5"/>
  <c r="AN749" i="5" s="1"/>
  <c r="AR750" i="5"/>
  <c r="AQ775" i="5"/>
  <c r="AQ792" i="5"/>
  <c r="AP795" i="5"/>
  <c r="AM795" i="5"/>
  <c r="AL795" i="5"/>
  <c r="AQ795" i="5"/>
  <c r="AN853" i="5"/>
  <c r="AP687" i="5"/>
  <c r="AP697" i="5"/>
  <c r="AR697" i="5" s="1"/>
  <c r="AL698" i="5"/>
  <c r="AN698" i="5" s="1"/>
  <c r="AM701" i="5"/>
  <c r="AP707" i="5"/>
  <c r="AR707" i="5" s="1"/>
  <c r="AL708" i="5"/>
  <c r="AN708" i="5" s="1"/>
  <c r="AM711" i="5"/>
  <c r="AP717" i="5"/>
  <c r="AL718" i="5"/>
  <c r="AN718" i="5" s="1"/>
  <c r="AM721" i="5"/>
  <c r="AP727" i="5"/>
  <c r="AR727" i="5" s="1"/>
  <c r="AL728" i="5"/>
  <c r="AN728" i="5" s="1"/>
  <c r="AM731" i="5"/>
  <c r="AL735" i="5"/>
  <c r="AN735" i="5" s="1"/>
  <c r="AQ738" i="5"/>
  <c r="AQ748" i="5"/>
  <c r="AL753" i="5"/>
  <c r="AN753" i="5" s="1"/>
  <c r="AP755" i="5"/>
  <c r="AL756" i="5"/>
  <c r="AL763" i="5"/>
  <c r="AN763" i="5" s="1"/>
  <c r="AL764" i="5"/>
  <c r="AM769" i="5"/>
  <c r="AL769" i="5"/>
  <c r="AQ771" i="5"/>
  <c r="AR793" i="5"/>
  <c r="AR803" i="5"/>
  <c r="AR824" i="5"/>
  <c r="AR848" i="5"/>
  <c r="AP734" i="5"/>
  <c r="AR734" i="5" s="1"/>
  <c r="AM735" i="5"/>
  <c r="AP739" i="5"/>
  <c r="AM745" i="5"/>
  <c r="AL745" i="5"/>
  <c r="AN745" i="5" s="1"/>
  <c r="AP747" i="5"/>
  <c r="AR747" i="5" s="1"/>
  <c r="AP749" i="5"/>
  <c r="AL750" i="5"/>
  <c r="AN750" i="5" s="1"/>
  <c r="AM751" i="5"/>
  <c r="AP752" i="5"/>
  <c r="AM753" i="5"/>
  <c r="AL754" i="5"/>
  <c r="AQ755" i="5"/>
  <c r="AL757" i="5"/>
  <c r="AN757" i="5" s="1"/>
  <c r="AL758" i="5"/>
  <c r="AN758" i="5" s="1"/>
  <c r="AM759" i="5"/>
  <c r="AN759" i="5" s="1"/>
  <c r="AQ760" i="5"/>
  <c r="AP760" i="5"/>
  <c r="AP762" i="5"/>
  <c r="AR762" i="5" s="1"/>
  <c r="AQ778" i="5"/>
  <c r="AP778" i="5"/>
  <c r="AM778" i="5"/>
  <c r="AL778" i="5"/>
  <c r="AQ784" i="5"/>
  <c r="AQ739" i="5"/>
  <c r="AQ744" i="5"/>
  <c r="AP744" i="5"/>
  <c r="AR744" i="5" s="1"/>
  <c r="AQ749" i="5"/>
  <c r="AQ752" i="5"/>
  <c r="AQ762" i="5"/>
  <c r="AQ768" i="5"/>
  <c r="AP768" i="5"/>
  <c r="AM768" i="5"/>
  <c r="AL768" i="5"/>
  <c r="AN768" i="5" s="1"/>
  <c r="AM782" i="5"/>
  <c r="AL782" i="5"/>
  <c r="AP782" i="5"/>
  <c r="AR782" i="5" s="1"/>
  <c r="AL784" i="5"/>
  <c r="AP802" i="5"/>
  <c r="AR802" i="5" s="1"/>
  <c r="AQ805" i="5"/>
  <c r="AR805" i="5" s="1"/>
  <c r="AP812" i="5"/>
  <c r="AQ815" i="5"/>
  <c r="AR815" i="5" s="1"/>
  <c r="AP822" i="5"/>
  <c r="AL832" i="5"/>
  <c r="AN832" i="5" s="1"/>
  <c r="AM835" i="5"/>
  <c r="AQ836" i="5"/>
  <c r="AQ844" i="5"/>
  <c r="AP844" i="5"/>
  <c r="AM844" i="5"/>
  <c r="AL847" i="5"/>
  <c r="AR862" i="5"/>
  <c r="AQ867" i="5"/>
  <c r="AP867" i="5"/>
  <c r="AM867" i="5"/>
  <c r="AQ877" i="5"/>
  <c r="AQ802" i="5"/>
  <c r="AQ812" i="5"/>
  <c r="AQ822" i="5"/>
  <c r="AR846" i="5"/>
  <c r="AQ847" i="5"/>
  <c r="AP847" i="5"/>
  <c r="AN931" i="5"/>
  <c r="AP841" i="5"/>
  <c r="AM841" i="5"/>
  <c r="AL841" i="5"/>
  <c r="AN841" i="5" s="1"/>
  <c r="AQ864" i="5"/>
  <c r="AP864" i="5"/>
  <c r="AM864" i="5"/>
  <c r="AP871" i="5"/>
  <c r="AM871" i="5"/>
  <c r="AL871" i="5"/>
  <c r="AQ871" i="5"/>
  <c r="AL825" i="5"/>
  <c r="AM853" i="5"/>
  <c r="AN896" i="5"/>
  <c r="AP770" i="5"/>
  <c r="AR770" i="5" s="1"/>
  <c r="AL771" i="5"/>
  <c r="AM774" i="5"/>
  <c r="AN774" i="5" s="1"/>
  <c r="AP780" i="5"/>
  <c r="AR780" i="5" s="1"/>
  <c r="AL781" i="5"/>
  <c r="AM784" i="5"/>
  <c r="AP790" i="5"/>
  <c r="AR790" i="5" s="1"/>
  <c r="AL791" i="5"/>
  <c r="AM794" i="5"/>
  <c r="AL801" i="5"/>
  <c r="AN801" i="5" s="1"/>
  <c r="AM804" i="5"/>
  <c r="AP810" i="5"/>
  <c r="AR810" i="5" s="1"/>
  <c r="AL811" i="5"/>
  <c r="AM814" i="5"/>
  <c r="AN814" i="5" s="1"/>
  <c r="AP820" i="5"/>
  <c r="AR820" i="5" s="1"/>
  <c r="AL821" i="5"/>
  <c r="AQ823" i="5"/>
  <c r="AR823" i="5" s="1"/>
  <c r="AM825" i="5"/>
  <c r="AM832" i="5"/>
  <c r="AL833" i="5"/>
  <c r="AL834" i="5"/>
  <c r="AR852" i="5"/>
  <c r="AM858" i="5"/>
  <c r="AL858" i="5"/>
  <c r="AN858" i="5" s="1"/>
  <c r="AP861" i="5"/>
  <c r="AM861" i="5"/>
  <c r="AL861" i="5"/>
  <c r="AR889" i="5"/>
  <c r="AN898" i="5"/>
  <c r="AN902" i="5"/>
  <c r="AP767" i="5"/>
  <c r="AR767" i="5" s="1"/>
  <c r="AM771" i="5"/>
  <c r="AP777" i="5"/>
  <c r="AR777" i="5" s="1"/>
  <c r="AM781" i="5"/>
  <c r="AP787" i="5"/>
  <c r="AL788" i="5"/>
  <c r="AM791" i="5"/>
  <c r="AP797" i="5"/>
  <c r="AR797" i="5" s="1"/>
  <c r="AL798" i="5"/>
  <c r="AP807" i="5"/>
  <c r="AR807" i="5" s="1"/>
  <c r="AL808" i="5"/>
  <c r="AN808" i="5" s="1"/>
  <c r="AM811" i="5"/>
  <c r="AP817" i="5"/>
  <c r="AR817" i="5" s="1"/>
  <c r="AL818" i="5"/>
  <c r="AM821" i="5"/>
  <c r="AM833" i="5"/>
  <c r="AL835" i="5"/>
  <c r="AL844" i="5"/>
  <c r="AP845" i="5"/>
  <c r="AR845" i="5" s="1"/>
  <c r="AM847" i="5"/>
  <c r="AM855" i="5"/>
  <c r="AL855" i="5"/>
  <c r="AN855" i="5" s="1"/>
  <c r="AQ860" i="5"/>
  <c r="AQ870" i="5"/>
  <c r="AQ874" i="5"/>
  <c r="AP774" i="5"/>
  <c r="AR774" i="5" s="1"/>
  <c r="AP784" i="5"/>
  <c r="AR784" i="5" s="1"/>
  <c r="AM788" i="5"/>
  <c r="AP794" i="5"/>
  <c r="AM798" i="5"/>
  <c r="AP804" i="5"/>
  <c r="AR804" i="5" s="1"/>
  <c r="AL805" i="5"/>
  <c r="AM808" i="5"/>
  <c r="AP814" i="5"/>
  <c r="AR814" i="5" s="1"/>
  <c r="AL815" i="5"/>
  <c r="AM818" i="5"/>
  <c r="AM824" i="5"/>
  <c r="AN824" i="5" s="1"/>
  <c r="AP825" i="5"/>
  <c r="AR825" i="5" s="1"/>
  <c r="AL826" i="5"/>
  <c r="AN826" i="5" s="1"/>
  <c r="AP832" i="5"/>
  <c r="AR832" i="5" s="1"/>
  <c r="AL838" i="5"/>
  <c r="AN838" i="5" s="1"/>
  <c r="AL839" i="5"/>
  <c r="AM842" i="5"/>
  <c r="AN842" i="5" s="1"/>
  <c r="AL843" i="5"/>
  <c r="AM846" i="5"/>
  <c r="AN846" i="5" s="1"/>
  <c r="AQ854" i="5"/>
  <c r="AP854" i="5"/>
  <c r="AR854" i="5" s="1"/>
  <c r="AM854" i="5"/>
  <c r="AN854" i="5" s="1"/>
  <c r="AL857" i="5"/>
  <c r="AN857" i="5" s="1"/>
  <c r="AM868" i="5"/>
  <c r="AL868" i="5"/>
  <c r="AN868" i="5" s="1"/>
  <c r="AP878" i="5"/>
  <c r="AM878" i="5"/>
  <c r="AL878" i="5"/>
  <c r="AN878" i="5" s="1"/>
  <c r="AQ878" i="5"/>
  <c r="AR887" i="5"/>
  <c r="AP771" i="5"/>
  <c r="AR771" i="5" s="1"/>
  <c r="AP781" i="5"/>
  <c r="AR781" i="5" s="1"/>
  <c r="AP791" i="5"/>
  <c r="AP801" i="5"/>
  <c r="AR801" i="5" s="1"/>
  <c r="AL802" i="5"/>
  <c r="AN802" i="5" s="1"/>
  <c r="AM805" i="5"/>
  <c r="AP811" i="5"/>
  <c r="AR811" i="5" s="1"/>
  <c r="AL812" i="5"/>
  <c r="AN812" i="5" s="1"/>
  <c r="AM815" i="5"/>
  <c r="AP821" i="5"/>
  <c r="AR821" i="5" s="1"/>
  <c r="AL822" i="5"/>
  <c r="AN822" i="5" s="1"/>
  <c r="AM826" i="5"/>
  <c r="AM827" i="5"/>
  <c r="AN827" i="5" s="1"/>
  <c r="AP830" i="5"/>
  <c r="AR830" i="5" s="1"/>
  <c r="AM830" i="5"/>
  <c r="AN830" i="5" s="1"/>
  <c r="AQ832" i="5"/>
  <c r="AP835" i="5"/>
  <c r="AR835" i="5" s="1"/>
  <c r="AL836" i="5"/>
  <c r="AM837" i="5"/>
  <c r="AP838" i="5"/>
  <c r="AM839" i="5"/>
  <c r="AQ841" i="5"/>
  <c r="AM843" i="5"/>
  <c r="AQ853" i="5"/>
  <c r="AP856" i="5"/>
  <c r="AR856" i="5" s="1"/>
  <c r="AQ857" i="5"/>
  <c r="AP857" i="5"/>
  <c r="AL864" i="5"/>
  <c r="AN864" i="5" s="1"/>
  <c r="AM866" i="5"/>
  <c r="AN866" i="5" s="1"/>
  <c r="AL870" i="5"/>
  <c r="AN870" i="5" s="1"/>
  <c r="AP885" i="5"/>
  <c r="AR885" i="5" s="1"/>
  <c r="AM885" i="5"/>
  <c r="AL885" i="5"/>
  <c r="AN885" i="5" s="1"/>
  <c r="AL779" i="5"/>
  <c r="AN779" i="5" s="1"/>
  <c r="AP788" i="5"/>
  <c r="AR788" i="5" s="1"/>
  <c r="AL789" i="5"/>
  <c r="AN789" i="5" s="1"/>
  <c r="AP798" i="5"/>
  <c r="AR798" i="5" s="1"/>
  <c r="AL799" i="5"/>
  <c r="AN799" i="5" s="1"/>
  <c r="AP808" i="5"/>
  <c r="AR808" i="5" s="1"/>
  <c r="AL809" i="5"/>
  <c r="AN809" i="5" s="1"/>
  <c r="AP818" i="5"/>
  <c r="AL819" i="5"/>
  <c r="AN819" i="5" s="1"/>
  <c r="AP827" i="5"/>
  <c r="AL828" i="5"/>
  <c r="AN828" i="5" s="1"/>
  <c r="AP831" i="5"/>
  <c r="AR831" i="5" s="1"/>
  <c r="AL831" i="5"/>
  <c r="AN831" i="5" s="1"/>
  <c r="AQ835" i="5"/>
  <c r="AM836" i="5"/>
  <c r="AP837" i="5"/>
  <c r="AR837" i="5" s="1"/>
  <c r="AQ838" i="5"/>
  <c r="AL840" i="5"/>
  <c r="AP842" i="5"/>
  <c r="AM848" i="5"/>
  <c r="AL848" i="5"/>
  <c r="AN848" i="5" s="1"/>
  <c r="AP851" i="5"/>
  <c r="AR851" i="5" s="1"/>
  <c r="AM851" i="5"/>
  <c r="AL851" i="5"/>
  <c r="AL859" i="5"/>
  <c r="AM862" i="5"/>
  <c r="AN862" i="5" s="1"/>
  <c r="AL863" i="5"/>
  <c r="AN863" i="5" s="1"/>
  <c r="AQ873" i="5"/>
  <c r="AR873" i="5" s="1"/>
  <c r="AP882" i="5"/>
  <c r="AM882" i="5"/>
  <c r="AL882" i="5"/>
  <c r="AN882" i="5" s="1"/>
  <c r="AQ882" i="5"/>
  <c r="AQ826" i="5"/>
  <c r="AR826" i="5" s="1"/>
  <c r="AQ827" i="5"/>
  <c r="AQ833" i="5"/>
  <c r="AR833" i="5" s="1"/>
  <c r="AQ834" i="5"/>
  <c r="AR834" i="5" s="1"/>
  <c r="AM834" i="5"/>
  <c r="AP839" i="5"/>
  <c r="AR839" i="5" s="1"/>
  <c r="AQ842" i="5"/>
  <c r="AM845" i="5"/>
  <c r="AL845" i="5"/>
  <c r="AQ850" i="5"/>
  <c r="AM859" i="5"/>
  <c r="AQ861" i="5"/>
  <c r="AL867" i="5"/>
  <c r="AN867" i="5" s="1"/>
  <c r="AP877" i="5"/>
  <c r="AR911" i="5"/>
  <c r="AR917" i="5"/>
  <c r="AQ887" i="5"/>
  <c r="AP890" i="5"/>
  <c r="AR890" i="5" s="1"/>
  <c r="AQ891" i="5"/>
  <c r="AQ914" i="5"/>
  <c r="AQ921" i="5"/>
  <c r="AN923" i="5"/>
  <c r="AR927" i="5"/>
  <c r="AP928" i="5"/>
  <c r="AR928" i="5" s="1"/>
  <c r="AP935" i="5"/>
  <c r="AM935" i="5"/>
  <c r="AN935" i="5" s="1"/>
  <c r="AQ937" i="5"/>
  <c r="AR937" i="5" s="1"/>
  <c r="AQ942" i="5"/>
  <c r="AP942" i="5"/>
  <c r="AR942" i="5" s="1"/>
  <c r="AL942" i="5"/>
  <c r="AN942" i="5" s="1"/>
  <c r="AN948" i="5"/>
  <c r="AQ956" i="5"/>
  <c r="AP956" i="5"/>
  <c r="AR956" i="5" s="1"/>
  <c r="AM956" i="5"/>
  <c r="AL956" i="5"/>
  <c r="AQ960" i="5"/>
  <c r="AP960" i="5"/>
  <c r="AR960" i="5" s="1"/>
  <c r="AM960" i="5"/>
  <c r="AL960" i="5"/>
  <c r="AQ962" i="5"/>
  <c r="AR974" i="5"/>
  <c r="AQ996" i="5"/>
  <c r="AN998" i="5"/>
  <c r="AM944" i="5"/>
  <c r="AL944" i="5"/>
  <c r="AN944" i="5" s="1"/>
  <c r="AQ944" i="5"/>
  <c r="AQ946" i="5"/>
  <c r="AP946" i="5"/>
  <c r="AR946" i="5" s="1"/>
  <c r="AM946" i="5"/>
  <c r="AL946" i="5"/>
  <c r="AP950" i="5"/>
  <c r="AM950" i="5"/>
  <c r="AL950" i="5"/>
  <c r="AN950" i="5" s="1"/>
  <c r="AP920" i="5"/>
  <c r="AM920" i="5"/>
  <c r="AP930" i="5"/>
  <c r="AR930" i="5" s="1"/>
  <c r="AM930" i="5"/>
  <c r="AL930" i="5"/>
  <c r="AQ952" i="5"/>
  <c r="AP952" i="5"/>
  <c r="AR952" i="5" s="1"/>
  <c r="AM952" i="5"/>
  <c r="AL952" i="5"/>
  <c r="AQ976" i="5"/>
  <c r="AQ980" i="5"/>
  <c r="AP980" i="5"/>
  <c r="AM980" i="5"/>
  <c r="AL980" i="5"/>
  <c r="AN980" i="5" s="1"/>
  <c r="AQ982" i="5"/>
  <c r="AQ989" i="5"/>
  <c r="AR997" i="5"/>
  <c r="AP869" i="5"/>
  <c r="AR869" i="5" s="1"/>
  <c r="AQ872" i="5"/>
  <c r="AR872" i="5" s="1"/>
  <c r="AM873" i="5"/>
  <c r="AN873" i="5" s="1"/>
  <c r="AM880" i="5"/>
  <c r="AN880" i="5" s="1"/>
  <c r="AQ883" i="5"/>
  <c r="AR883" i="5" s="1"/>
  <c r="AM889" i="5"/>
  <c r="AN889" i="5" s="1"/>
  <c r="AL894" i="5"/>
  <c r="AM898" i="5"/>
  <c r="AM902" i="5"/>
  <c r="AL907" i="5"/>
  <c r="AM911" i="5"/>
  <c r="AM916" i="5"/>
  <c r="AN916" i="5" s="1"/>
  <c r="AM917" i="5"/>
  <c r="AQ929" i="5"/>
  <c r="AQ932" i="5"/>
  <c r="AL932" i="5"/>
  <c r="AQ935" i="5"/>
  <c r="AP939" i="5"/>
  <c r="AR939" i="5" s="1"/>
  <c r="AM939" i="5"/>
  <c r="AM840" i="5"/>
  <c r="AM850" i="5"/>
  <c r="AN850" i="5" s="1"/>
  <c r="AM860" i="5"/>
  <c r="AN860" i="5" s="1"/>
  <c r="AM870" i="5"/>
  <c r="AL877" i="5"/>
  <c r="AM881" i="5"/>
  <c r="AL903" i="5"/>
  <c r="AN903" i="5" s="1"/>
  <c r="AM907" i="5"/>
  <c r="AL918" i="5"/>
  <c r="AQ925" i="5"/>
  <c r="AR925" i="5" s="1"/>
  <c r="AM937" i="5"/>
  <c r="AQ943" i="5"/>
  <c r="AP943" i="5"/>
  <c r="AR943" i="5" s="1"/>
  <c r="AM943" i="5"/>
  <c r="AL943" i="5"/>
  <c r="AN943" i="5" s="1"/>
  <c r="AQ949" i="5"/>
  <c r="AR964" i="5"/>
  <c r="AL874" i="5"/>
  <c r="AM877" i="5"/>
  <c r="AL886" i="5"/>
  <c r="AL890" i="5"/>
  <c r="AL895" i="5"/>
  <c r="AL899" i="5"/>
  <c r="AN899" i="5" s="1"/>
  <c r="AM903" i="5"/>
  <c r="AL908" i="5"/>
  <c r="AL912" i="5"/>
  <c r="AM918" i="5"/>
  <c r="AQ923" i="5"/>
  <c r="AP923" i="5"/>
  <c r="AR923" i="5" s="1"/>
  <c r="AM924" i="5"/>
  <c r="AL924" i="5"/>
  <c r="AN924" i="5" s="1"/>
  <c r="AP929" i="5"/>
  <c r="AM929" i="5"/>
  <c r="AM932" i="5"/>
  <c r="AQ945" i="5"/>
  <c r="AR945" i="5" s="1"/>
  <c r="AM945" i="5"/>
  <c r="AQ953" i="5"/>
  <c r="AP953" i="5"/>
  <c r="AM953" i="5"/>
  <c r="AL953" i="5"/>
  <c r="AQ955" i="5"/>
  <c r="AP955" i="5"/>
  <c r="AR955" i="5" s="1"/>
  <c r="AM955" i="5"/>
  <c r="AR959" i="5"/>
  <c r="AP850" i="5"/>
  <c r="AR850" i="5" s="1"/>
  <c r="AP860" i="5"/>
  <c r="AR860" i="5" s="1"/>
  <c r="AP870" i="5"/>
  <c r="AR870" i="5" s="1"/>
  <c r="AM874" i="5"/>
  <c r="AM886" i="5"/>
  <c r="AM890" i="5"/>
  <c r="AQ893" i="5"/>
  <c r="AR893" i="5" s="1"/>
  <c r="AM895" i="5"/>
  <c r="AM899" i="5"/>
  <c r="AL904" i="5"/>
  <c r="AN904" i="5" s="1"/>
  <c r="AM908" i="5"/>
  <c r="AP910" i="5"/>
  <c r="AR910" i="5" s="1"/>
  <c r="AM912" i="5"/>
  <c r="AL913" i="5"/>
  <c r="AL919" i="5"/>
  <c r="AM931" i="5"/>
  <c r="AP932" i="5"/>
  <c r="AM934" i="5"/>
  <c r="AL934" i="5"/>
  <c r="AN934" i="5" s="1"/>
  <c r="AQ934" i="5"/>
  <c r="AR934" i="5" s="1"/>
  <c r="AL939" i="5"/>
  <c r="AN939" i="5" s="1"/>
  <c r="AL945" i="5"/>
  <c r="AN945" i="5" s="1"/>
  <c r="AP949" i="5"/>
  <c r="AR949" i="5" s="1"/>
  <c r="AM949" i="5"/>
  <c r="AL949" i="5"/>
  <c r="AN949" i="5" s="1"/>
  <c r="AQ950" i="5"/>
  <c r="AL955" i="5"/>
  <c r="AQ966" i="5"/>
  <c r="AQ970" i="5"/>
  <c r="AP970" i="5"/>
  <c r="AR970" i="5" s="1"/>
  <c r="AM970" i="5"/>
  <c r="AL970" i="5"/>
  <c r="AQ972" i="5"/>
  <c r="AN988" i="5"/>
  <c r="AQ992" i="5"/>
  <c r="AP880" i="5"/>
  <c r="AR880" i="5" s="1"/>
  <c r="AL887" i="5"/>
  <c r="AM891" i="5"/>
  <c r="AN891" i="5" s="1"/>
  <c r="AM913" i="5"/>
  <c r="AL914" i="5"/>
  <c r="AN914" i="5" s="1"/>
  <c r="AP918" i="5"/>
  <c r="AR918" i="5" s="1"/>
  <c r="AM919" i="5"/>
  <c r="AL920" i="5"/>
  <c r="AM921" i="5"/>
  <c r="AN921" i="5" s="1"/>
  <c r="AQ930" i="5"/>
  <c r="AQ936" i="5"/>
  <c r="AP936" i="5"/>
  <c r="AL936" i="5"/>
  <c r="AN936" i="5" s="1"/>
  <c r="AL938" i="5"/>
  <c r="AP944" i="5"/>
  <c r="AR944" i="5" s="1"/>
  <c r="AR965" i="5"/>
  <c r="AR968" i="5"/>
  <c r="AQ990" i="5"/>
  <c r="AP990" i="5"/>
  <c r="AR990" i="5" s="1"/>
  <c r="AM990" i="5"/>
  <c r="AL990" i="5"/>
  <c r="AL865" i="5"/>
  <c r="AN865" i="5" s="1"/>
  <c r="AP874" i="5"/>
  <c r="AR874" i="5" s="1"/>
  <c r="AL875" i="5"/>
  <c r="AN875" i="5" s="1"/>
  <c r="AL883" i="5"/>
  <c r="AN883" i="5" s="1"/>
  <c r="AP886" i="5"/>
  <c r="AR886" i="5" s="1"/>
  <c r="AM887" i="5"/>
  <c r="AQ890" i="5"/>
  <c r="AM894" i="5"/>
  <c r="AP895" i="5"/>
  <c r="AR895" i="5" s="1"/>
  <c r="AP899" i="5"/>
  <c r="AR899" i="5" s="1"/>
  <c r="AL900" i="5"/>
  <c r="AP904" i="5"/>
  <c r="AR904" i="5" s="1"/>
  <c r="AL905" i="5"/>
  <c r="AN905" i="5" s="1"/>
  <c r="AP908" i="5"/>
  <c r="AR908" i="5" s="1"/>
  <c r="AL909" i="5"/>
  <c r="AN909" i="5" s="1"/>
  <c r="AL911" i="5"/>
  <c r="AP912" i="5"/>
  <c r="AR912" i="5" s="1"/>
  <c r="AP913" i="5"/>
  <c r="AR913" i="5" s="1"/>
  <c r="AP916" i="5"/>
  <c r="AR916" i="5" s="1"/>
  <c r="AL917" i="5"/>
  <c r="AQ920" i="5"/>
  <c r="AQ926" i="5"/>
  <c r="AP926" i="5"/>
  <c r="AL926" i="5"/>
  <c r="AN926" i="5" s="1"/>
  <c r="AL928" i="5"/>
  <c r="AL929" i="5"/>
  <c r="AQ933" i="5"/>
  <c r="AP933" i="5"/>
  <c r="AM933" i="5"/>
  <c r="AN933" i="5" s="1"/>
  <c r="AM938" i="5"/>
  <c r="AR988" i="5"/>
  <c r="AL881" i="5"/>
  <c r="AN881" i="5" s="1"/>
  <c r="AM883" i="5"/>
  <c r="AP891" i="5"/>
  <c r="AM900" i="5"/>
  <c r="AQ903" i="5"/>
  <c r="AR903" i="5" s="1"/>
  <c r="AQ904" i="5"/>
  <c r="AP914" i="5"/>
  <c r="AP921" i="5"/>
  <c r="AM928" i="5"/>
  <c r="AP938" i="5"/>
  <c r="AR938" i="5" s="1"/>
  <c r="AP940" i="5"/>
  <c r="AM940" i="5"/>
  <c r="AL940" i="5"/>
  <c r="AN958" i="5"/>
  <c r="AQ969" i="5"/>
  <c r="AR969" i="5" s="1"/>
  <c r="AQ973" i="5"/>
  <c r="AQ993" i="5"/>
  <c r="AP931" i="5"/>
  <c r="AR931" i="5" s="1"/>
  <c r="AP941" i="5"/>
  <c r="AR941" i="5" s="1"/>
  <c r="AQ954" i="5"/>
  <c r="AR954" i="5" s="1"/>
  <c r="AL962" i="5"/>
  <c r="AQ964" i="5"/>
  <c r="AM965" i="5"/>
  <c r="AN965" i="5" s="1"/>
  <c r="AP971" i="5"/>
  <c r="AR971" i="5" s="1"/>
  <c r="AL972" i="5"/>
  <c r="AQ974" i="5"/>
  <c r="AM975" i="5"/>
  <c r="AN975" i="5" s="1"/>
  <c r="AP981" i="5"/>
  <c r="AR981" i="5" s="1"/>
  <c r="AL982" i="5"/>
  <c r="AQ984" i="5"/>
  <c r="AR984" i="5" s="1"/>
  <c r="AM985" i="5"/>
  <c r="AN985" i="5" s="1"/>
  <c r="AP991" i="5"/>
  <c r="AL992" i="5"/>
  <c r="AN992" i="5" s="1"/>
  <c r="AQ994" i="5"/>
  <c r="AR994" i="5" s="1"/>
  <c r="AM995" i="5"/>
  <c r="AN995" i="5" s="1"/>
  <c r="AL959" i="5"/>
  <c r="AM962" i="5"/>
  <c r="AL969" i="5"/>
  <c r="AM972" i="5"/>
  <c r="AL979" i="5"/>
  <c r="AM982" i="5"/>
  <c r="AL989" i="5"/>
  <c r="AQ991" i="5"/>
  <c r="AM992" i="5"/>
  <c r="AP998" i="5"/>
  <c r="AR998" i="5" s="1"/>
  <c r="AL999" i="5"/>
  <c r="AN999" i="5" s="1"/>
  <c r="AM959" i="5"/>
  <c r="AL966" i="5"/>
  <c r="AM969" i="5"/>
  <c r="AL976" i="5"/>
  <c r="AM979" i="5"/>
  <c r="AP985" i="5"/>
  <c r="AR985" i="5" s="1"/>
  <c r="AL986" i="5"/>
  <c r="AM989" i="5"/>
  <c r="AP995" i="5"/>
  <c r="AR995" i="5" s="1"/>
  <c r="AL996" i="5"/>
  <c r="AN996" i="5" s="1"/>
  <c r="AP962" i="5"/>
  <c r="AL963" i="5"/>
  <c r="AM966" i="5"/>
  <c r="AP972" i="5"/>
  <c r="AL973" i="5"/>
  <c r="AM976" i="5"/>
  <c r="AP982" i="5"/>
  <c r="AR982" i="5" s="1"/>
  <c r="AL983" i="5"/>
  <c r="AM986" i="5"/>
  <c r="AP992" i="5"/>
  <c r="AL993" i="5"/>
  <c r="AM963" i="5"/>
  <c r="AM973" i="5"/>
  <c r="AP979" i="5"/>
  <c r="AR979" i="5" s="1"/>
  <c r="AM983" i="5"/>
  <c r="AP989" i="5"/>
  <c r="AM993" i="5"/>
  <c r="AP999" i="5"/>
  <c r="AR999" i="5" s="1"/>
  <c r="AL927" i="5"/>
  <c r="AN927" i="5" s="1"/>
  <c r="AL937" i="5"/>
  <c r="AN937" i="5" s="1"/>
  <c r="AL947" i="5"/>
  <c r="AN947" i="5" s="1"/>
  <c r="AL957" i="5"/>
  <c r="AN957" i="5" s="1"/>
  <c r="AP966" i="5"/>
  <c r="AR966" i="5" s="1"/>
  <c r="AL967" i="5"/>
  <c r="AN967" i="5" s="1"/>
  <c r="AP976" i="5"/>
  <c r="AR976" i="5" s="1"/>
  <c r="AL977" i="5"/>
  <c r="AN977" i="5" s="1"/>
  <c r="AP986" i="5"/>
  <c r="AR986" i="5" s="1"/>
  <c r="AL987" i="5"/>
  <c r="AN987" i="5" s="1"/>
  <c r="AP996" i="5"/>
  <c r="AL997" i="5"/>
  <c r="AN997" i="5" s="1"/>
  <c r="AL954" i="5"/>
  <c r="AN954" i="5" s="1"/>
  <c r="AP963" i="5"/>
  <c r="AR963" i="5" s="1"/>
  <c r="AL964" i="5"/>
  <c r="AN964" i="5" s="1"/>
  <c r="AP973" i="5"/>
  <c r="AL974" i="5"/>
  <c r="AN974" i="5" s="1"/>
  <c r="AP983" i="5"/>
  <c r="AR983" i="5" s="1"/>
  <c r="AL984" i="5"/>
  <c r="AN984" i="5" s="1"/>
  <c r="AP993" i="5"/>
  <c r="AL994" i="5"/>
  <c r="AN994" i="5" s="1"/>
  <c r="AN938" i="5" l="1"/>
  <c r="AN932" i="5"/>
  <c r="AN818" i="5"/>
  <c r="AN833" i="5"/>
  <c r="AR717" i="5"/>
  <c r="AN704" i="5"/>
  <c r="AR729" i="5"/>
  <c r="AR694" i="5"/>
  <c r="AN484" i="5"/>
  <c r="AW484" i="5" s="1"/>
  <c r="AN387" i="5"/>
  <c r="AW387" i="5" s="1"/>
  <c r="AN198" i="5"/>
  <c r="AW198" i="5" s="1"/>
  <c r="AN71" i="5"/>
  <c r="AW71" i="5" s="1"/>
  <c r="AR695" i="5"/>
  <c r="AR446" i="5"/>
  <c r="AN928" i="5"/>
  <c r="AN890" i="5"/>
  <c r="AN877" i="5"/>
  <c r="AR926" i="5"/>
  <c r="AN990" i="5"/>
  <c r="AN970" i="5"/>
  <c r="AN894" i="5"/>
  <c r="AN952" i="5"/>
  <c r="AN960" i="5"/>
  <c r="AR857" i="5"/>
  <c r="AN837" i="5"/>
  <c r="AR791" i="5"/>
  <c r="AR794" i="5"/>
  <c r="AN861" i="5"/>
  <c r="AN804" i="5"/>
  <c r="AN871" i="5"/>
  <c r="AR841" i="5"/>
  <c r="AR760" i="5"/>
  <c r="AN742" i="5"/>
  <c r="AN785" i="5"/>
  <c r="AR761" i="5"/>
  <c r="AN762" i="5"/>
  <c r="AN681" i="5"/>
  <c r="AN688" i="5"/>
  <c r="AN14" i="5"/>
  <c r="AW14" i="5" s="1"/>
  <c r="AN635" i="5"/>
  <c r="AW635" i="5" s="1"/>
  <c r="AN734" i="5"/>
  <c r="AR996" i="5"/>
  <c r="AN973" i="5"/>
  <c r="AN962" i="5"/>
  <c r="AN940" i="5"/>
  <c r="AR936" i="5"/>
  <c r="AN845" i="5"/>
  <c r="AN859" i="5"/>
  <c r="AR844" i="5"/>
  <c r="AN724" i="5"/>
  <c r="AN697" i="5"/>
  <c r="AN746" i="5"/>
  <c r="AN775" i="5"/>
  <c r="AR718" i="5"/>
  <c r="AN691" i="5"/>
  <c r="AR677" i="5"/>
  <c r="AN573" i="5"/>
  <c r="AW573" i="5" s="1"/>
  <c r="AR481" i="5"/>
  <c r="AR265" i="5"/>
  <c r="AN191" i="5"/>
  <c r="AW191" i="5" s="1"/>
  <c r="AN619" i="5"/>
  <c r="AW619" i="5" s="1"/>
  <c r="AN426" i="5"/>
  <c r="AR70" i="5"/>
  <c r="AN805" i="5"/>
  <c r="AR861" i="5"/>
  <c r="AR646" i="5"/>
  <c r="AR259" i="5"/>
  <c r="AN173" i="5"/>
  <c r="AW173" i="5" s="1"/>
  <c r="AN205" i="5"/>
  <c r="AW205" i="5" s="1"/>
  <c r="AR228" i="5"/>
  <c r="AN84" i="5"/>
  <c r="AW84" i="5" s="1"/>
  <c r="AR876" i="5"/>
  <c r="AR829" i="5"/>
  <c r="AN247" i="5"/>
  <c r="AW247" i="5" s="1"/>
  <c r="AR348" i="5"/>
  <c r="AN288" i="5"/>
  <c r="AR755" i="5"/>
  <c r="AN532" i="5"/>
  <c r="AW532" i="5" s="1"/>
  <c r="AR818" i="5"/>
  <c r="AR940" i="5"/>
  <c r="AN887" i="5"/>
  <c r="AR836" i="5"/>
  <c r="AN784" i="5"/>
  <c r="AR689" i="5"/>
  <c r="AN617" i="5"/>
  <c r="AW617" i="5" s="1"/>
  <c r="AR619" i="5"/>
  <c r="AR642" i="5"/>
  <c r="AR602" i="5"/>
  <c r="AR121" i="5"/>
  <c r="AR196" i="5"/>
  <c r="AR122" i="5"/>
  <c r="AN794" i="5"/>
  <c r="AN993" i="5"/>
  <c r="AR973" i="5"/>
  <c r="AR992" i="5"/>
  <c r="AN976" i="5"/>
  <c r="AN900" i="5"/>
  <c r="AR980" i="5"/>
  <c r="AN930" i="5"/>
  <c r="AR950" i="5"/>
  <c r="AN956" i="5"/>
  <c r="AR877" i="5"/>
  <c r="AR864" i="5"/>
  <c r="AR867" i="5"/>
  <c r="AN756" i="5"/>
  <c r="AR667" i="5"/>
  <c r="AN752" i="5"/>
  <c r="AN732" i="5"/>
  <c r="AR578" i="5"/>
  <c r="AN502" i="5"/>
  <c r="AW502" i="5" s="1"/>
  <c r="AN393" i="5"/>
  <c r="AW393" i="5" s="1"/>
  <c r="AN357" i="5"/>
  <c r="AW357" i="5" s="1"/>
  <c r="AN543" i="5"/>
  <c r="AR638" i="5"/>
  <c r="AR607" i="5"/>
  <c r="AN568" i="5"/>
  <c r="AN647" i="5"/>
  <c r="AW647" i="5" s="1"/>
  <c r="AN607" i="5"/>
  <c r="AW607" i="5" s="1"/>
  <c r="AN662" i="5"/>
  <c r="AR559" i="5"/>
  <c r="AR595" i="5"/>
  <c r="AN551" i="5"/>
  <c r="AW551" i="5" s="1"/>
  <c r="AN489" i="5"/>
  <c r="AR575" i="5"/>
  <c r="AN544" i="5"/>
  <c r="AW544" i="5" s="1"/>
  <c r="AR536" i="5"/>
  <c r="AN415" i="5"/>
  <c r="AW415" i="5" s="1"/>
  <c r="AR483" i="5"/>
  <c r="AN407" i="5"/>
  <c r="AW407" i="5" s="1"/>
  <c r="AN363" i="5"/>
  <c r="AW363" i="5" s="1"/>
  <c r="AR331" i="5"/>
  <c r="AR378" i="5"/>
  <c r="AN348" i="5"/>
  <c r="AW348" i="5" s="1"/>
  <c r="AN227" i="5"/>
  <c r="AW227" i="5" s="1"/>
  <c r="AN244" i="5"/>
  <c r="AW244" i="5" s="1"/>
  <c r="AN106" i="5"/>
  <c r="AW106" i="5" s="1"/>
  <c r="AR47" i="5"/>
  <c r="AN108" i="5"/>
  <c r="AW108" i="5" s="1"/>
  <c r="AR44" i="5"/>
  <c r="AM670" i="5"/>
  <c r="AQ670" i="5"/>
  <c r="AR919" i="5"/>
  <c r="AR902" i="5"/>
  <c r="AR859" i="5"/>
  <c r="AR772" i="5"/>
  <c r="AN589" i="5"/>
  <c r="AW589" i="5" s="1"/>
  <c r="AR894" i="5"/>
  <c r="AR783" i="5"/>
  <c r="AN644" i="5"/>
  <c r="AN595" i="5"/>
  <c r="AW595" i="5" s="1"/>
  <c r="AN493" i="5"/>
  <c r="AW493" i="5" s="1"/>
  <c r="AN389" i="5"/>
  <c r="AW389" i="5" s="1"/>
  <c r="AN461" i="5"/>
  <c r="AW461" i="5" s="1"/>
  <c r="AN153" i="5"/>
  <c r="AW153" i="5" s="1"/>
  <c r="AR73" i="5"/>
  <c r="AR651" i="5"/>
  <c r="AR97" i="5"/>
  <c r="AR258" i="5"/>
  <c r="AR757" i="5"/>
  <c r="AR628" i="5"/>
  <c r="AN628" i="5"/>
  <c r="AW628" i="5" s="1"/>
  <c r="AN561" i="5"/>
  <c r="AW561" i="5" s="1"/>
  <c r="AR655" i="5"/>
  <c r="AN657" i="5"/>
  <c r="AW657" i="5" s="1"/>
  <c r="AR593" i="5"/>
  <c r="AN597" i="5"/>
  <c r="AW597" i="5" s="1"/>
  <c r="AR543" i="5"/>
  <c r="AN580" i="5"/>
  <c r="AW580" i="5" s="1"/>
  <c r="AR431" i="5"/>
  <c r="AR448" i="5"/>
  <c r="AR393" i="5"/>
  <c r="AN483" i="5"/>
  <c r="AW483" i="5" s="1"/>
  <c r="AN400" i="5"/>
  <c r="AW400" i="5" s="1"/>
  <c r="AN290" i="5"/>
  <c r="AW290" i="5" s="1"/>
  <c r="AR395" i="5"/>
  <c r="AR292" i="5"/>
  <c r="AN336" i="5"/>
  <c r="AW336" i="5" s="1"/>
  <c r="AN367" i="5"/>
  <c r="AW367" i="5" s="1"/>
  <c r="AN215" i="5"/>
  <c r="AW215" i="5" s="1"/>
  <c r="AN303" i="5"/>
  <c r="AW303" i="5" s="1"/>
  <c r="AN325" i="5"/>
  <c r="AW325" i="5" s="1"/>
  <c r="AN295" i="5"/>
  <c r="AW295" i="5" s="1"/>
  <c r="AR311" i="5"/>
  <c r="AN223" i="5"/>
  <c r="AW223" i="5" s="1"/>
  <c r="AR243" i="5"/>
  <c r="AR251" i="5"/>
  <c r="AR267" i="5"/>
  <c r="AN302" i="5"/>
  <c r="AN175" i="5"/>
  <c r="AW175" i="5" s="1"/>
  <c r="AN112" i="5"/>
  <c r="AW112" i="5" s="1"/>
  <c r="AN82" i="5"/>
  <c r="AW82" i="5" s="1"/>
  <c r="AR124" i="5"/>
  <c r="AN141" i="5"/>
  <c r="AW141" i="5" s="1"/>
  <c r="AR74" i="5"/>
  <c r="AN77" i="5"/>
  <c r="AW77" i="5" s="1"/>
  <c r="AN75" i="5"/>
  <c r="AW75" i="5" s="1"/>
  <c r="AR61" i="5"/>
  <c r="AR25" i="5"/>
  <c r="AN30" i="5"/>
  <c r="AW30" i="5" s="1"/>
  <c r="AN67" i="5"/>
  <c r="AW67" i="5" s="1"/>
  <c r="AR109" i="5"/>
  <c r="AN85" i="5"/>
  <c r="AW85" i="5" s="1"/>
  <c r="AN915" i="5"/>
  <c r="AR947" i="5"/>
  <c r="AR879" i="5"/>
  <c r="AR840" i="5"/>
  <c r="AN978" i="5"/>
  <c r="AN852" i="5"/>
  <c r="AR571" i="5"/>
  <c r="AR863" i="5"/>
  <c r="AR624" i="5"/>
  <c r="AN540" i="5"/>
  <c r="AW540" i="5" s="1"/>
  <c r="AR310" i="5"/>
  <c r="AN419" i="5"/>
  <c r="AW419" i="5" s="1"/>
  <c r="AN741" i="5"/>
  <c r="AR340" i="5"/>
  <c r="AN114" i="5"/>
  <c r="AW114" i="5" s="1"/>
  <c r="AR520" i="5"/>
  <c r="AR705" i="5"/>
  <c r="AR392" i="5"/>
  <c r="AN399" i="5"/>
  <c r="AW399" i="5" s="1"/>
  <c r="AR107" i="5"/>
  <c r="AN324" i="5"/>
  <c r="AW324" i="5" s="1"/>
  <c r="AR629" i="5"/>
  <c r="AR609" i="5"/>
  <c r="AR554" i="5"/>
  <c r="AR515" i="5"/>
  <c r="AN472" i="5"/>
  <c r="AW472" i="5" s="1"/>
  <c r="AR527" i="5"/>
  <c r="AR597" i="5"/>
  <c r="AR580" i="5"/>
  <c r="AN475" i="5"/>
  <c r="AW475" i="5" s="1"/>
  <c r="AR462" i="5"/>
  <c r="AR484" i="5"/>
  <c r="AR380" i="5"/>
  <c r="AR472" i="5"/>
  <c r="AN384" i="5"/>
  <c r="AW384" i="5" s="1"/>
  <c r="AR339" i="5"/>
  <c r="AR384" i="5"/>
  <c r="AR272" i="5"/>
  <c r="AN356" i="5"/>
  <c r="AW356" i="5" s="1"/>
  <c r="AN359" i="5"/>
  <c r="AW359" i="5" s="1"/>
  <c r="AN405" i="5"/>
  <c r="AW405" i="5" s="1"/>
  <c r="AR227" i="5"/>
  <c r="AN258" i="5"/>
  <c r="AW258" i="5" s="1"/>
  <c r="AN228" i="5"/>
  <c r="AW228" i="5" s="1"/>
  <c r="AN236" i="5"/>
  <c r="AW236" i="5" s="1"/>
  <c r="AN281" i="5"/>
  <c r="AW281" i="5" s="1"/>
  <c r="AR239" i="5"/>
  <c r="AR203" i="5"/>
  <c r="AR158" i="5"/>
  <c r="AN105" i="5"/>
  <c r="AW105" i="5" s="1"/>
  <c r="AN131" i="5"/>
  <c r="AW131" i="5" s="1"/>
  <c r="AN981" i="5"/>
  <c r="AN892" i="5"/>
  <c r="AR905" i="5"/>
  <c r="AR544" i="5"/>
  <c r="AN347" i="5"/>
  <c r="AW347" i="5" s="1"/>
  <c r="AR977" i="5"/>
  <c r="AR120" i="5"/>
  <c r="AR399" i="5"/>
  <c r="AN94" i="5"/>
  <c r="AW94" i="5" s="1"/>
  <c r="AN170" i="5"/>
  <c r="AW170" i="5" s="1"/>
  <c r="AR346" i="5"/>
  <c r="AR186" i="5"/>
  <c r="AN416" i="5"/>
  <c r="AW416" i="5" s="1"/>
  <c r="AR316" i="5"/>
  <c r="AR579" i="5"/>
  <c r="AN606" i="5"/>
  <c r="AW606" i="5" s="1"/>
  <c r="AN593" i="5"/>
  <c r="AW593" i="5" s="1"/>
  <c r="AN506" i="5"/>
  <c r="AW506" i="5" s="1"/>
  <c r="AN596" i="5"/>
  <c r="AW596" i="5" s="1"/>
  <c r="AN574" i="5"/>
  <c r="AW574" i="5" s="1"/>
  <c r="AN509" i="5"/>
  <c r="AN542" i="5"/>
  <c r="AR471" i="5"/>
  <c r="AN549" i="5"/>
  <c r="AN541" i="5"/>
  <c r="AR533" i="5"/>
  <c r="AN455" i="5"/>
  <c r="AW455" i="5" s="1"/>
  <c r="AN488" i="5"/>
  <c r="AW488" i="5" s="1"/>
  <c r="AN456" i="5"/>
  <c r="AW456" i="5" s="1"/>
  <c r="AR383" i="5"/>
  <c r="AR505" i="5"/>
  <c r="AR468" i="5"/>
  <c r="AR391" i="5"/>
  <c r="AR369" i="5"/>
  <c r="AN380" i="5"/>
  <c r="AW380" i="5" s="1"/>
  <c r="AR322" i="5"/>
  <c r="AR351" i="5"/>
  <c r="AR381" i="5"/>
  <c r="AN226" i="5"/>
  <c r="AW226" i="5" s="1"/>
  <c r="AN269" i="5"/>
  <c r="AW269" i="5" s="1"/>
  <c r="AN266" i="5"/>
  <c r="AW266" i="5" s="1"/>
  <c r="AN308" i="5"/>
  <c r="AW308" i="5" s="1"/>
  <c r="AN234" i="5"/>
  <c r="AW234" i="5" s="1"/>
  <c r="AN171" i="5"/>
  <c r="AW171" i="5" s="1"/>
  <c r="AN146" i="5"/>
  <c r="AW146" i="5" s="1"/>
  <c r="AN95" i="5"/>
  <c r="AW95" i="5" s="1"/>
  <c r="AN219" i="5"/>
  <c r="AW219" i="5" s="1"/>
  <c r="AN86" i="5"/>
  <c r="AW86" i="5" s="1"/>
  <c r="AR68" i="5"/>
  <c r="AR15" i="5"/>
  <c r="AR56" i="5"/>
  <c r="AN11" i="5"/>
  <c r="AW11" i="5" s="1"/>
  <c r="AN56" i="5"/>
  <c r="AW56" i="5" s="1"/>
  <c r="AR881" i="5"/>
  <c r="AN776" i="5"/>
  <c r="AN961" i="5"/>
  <c r="AR742" i="5"/>
  <c r="AN991" i="5"/>
  <c r="AN803" i="5"/>
  <c r="AR702" i="5"/>
  <c r="AR855" i="5"/>
  <c r="AR410" i="5"/>
  <c r="AR614" i="5"/>
  <c r="AR884" i="5"/>
  <c r="AR274" i="5"/>
  <c r="AR547" i="5"/>
  <c r="AR93" i="5"/>
  <c r="AR166" i="5"/>
  <c r="AN80" i="5"/>
  <c r="AW80" i="5" s="1"/>
  <c r="AR382" i="5"/>
  <c r="AR796" i="5"/>
  <c r="AR416" i="5"/>
  <c r="AR320" i="5"/>
  <c r="AN440" i="5"/>
  <c r="AR366" i="5"/>
  <c r="AR329" i="5"/>
  <c r="AR325" i="5"/>
  <c r="AN224" i="5"/>
  <c r="AW224" i="5" s="1"/>
  <c r="AR288" i="5"/>
  <c r="AR318" i="5"/>
  <c r="AR299" i="5"/>
  <c r="AN291" i="5"/>
  <c r="AW291" i="5" s="1"/>
  <c r="AN296" i="5"/>
  <c r="AW296" i="5" s="1"/>
  <c r="AN189" i="5"/>
  <c r="AW189" i="5" s="1"/>
  <c r="AR118" i="5"/>
  <c r="AR101" i="5"/>
  <c r="AN121" i="5"/>
  <c r="AR219" i="5"/>
  <c r="AN99" i="5"/>
  <c r="AW99" i="5" s="1"/>
  <c r="AR88" i="5"/>
  <c r="AN72" i="5"/>
  <c r="AR951" i="5"/>
  <c r="AN722" i="5"/>
  <c r="AN807" i="5"/>
  <c r="AN743" i="5"/>
  <c r="AR740" i="5"/>
  <c r="AN810" i="5"/>
  <c r="AR244" i="5"/>
  <c r="AN884" i="5"/>
  <c r="AN470" i="5"/>
  <c r="AW470" i="5" s="1"/>
  <c r="AN490" i="5"/>
  <c r="AW490" i="5" s="1"/>
  <c r="AR409" i="5"/>
  <c r="AR90" i="5"/>
  <c r="AN373" i="5"/>
  <c r="AW373" i="5" s="1"/>
  <c r="AN912" i="5"/>
  <c r="AN811" i="5"/>
  <c r="AN721" i="5"/>
  <c r="AN707" i="5"/>
  <c r="AN710" i="5"/>
  <c r="AR748" i="5"/>
  <c r="AN608" i="5"/>
  <c r="AW608" i="5" s="1"/>
  <c r="AN620" i="5"/>
  <c r="AW620" i="5" s="1"/>
  <c r="AN613" i="5"/>
  <c r="AR582" i="5"/>
  <c r="AN599" i="5"/>
  <c r="AW599" i="5" s="1"/>
  <c r="AN512" i="5"/>
  <c r="AW512" i="5" s="1"/>
  <c r="AN525" i="5"/>
  <c r="AW525" i="5" s="1"/>
  <c r="AN570" i="5"/>
  <c r="AW570" i="5" s="1"/>
  <c r="AN524" i="5"/>
  <c r="AW524" i="5" s="1"/>
  <c r="AR452" i="5"/>
  <c r="AN464" i="5"/>
  <c r="AN394" i="5"/>
  <c r="AW394" i="5" s="1"/>
  <c r="AN349" i="5"/>
  <c r="AW349" i="5" s="1"/>
  <c r="AN276" i="5"/>
  <c r="AW276" i="5" s="1"/>
  <c r="AN92" i="5"/>
  <c r="AW92" i="5" s="1"/>
  <c r="AR177" i="5"/>
  <c r="AN197" i="5"/>
  <c r="AW197" i="5" s="1"/>
  <c r="AN59" i="5"/>
  <c r="AW59" i="5" s="1"/>
  <c r="AN46" i="5"/>
  <c r="AW46" i="5" s="1"/>
  <c r="AN28" i="5"/>
  <c r="AW28" i="5" s="1"/>
  <c r="AR54" i="5"/>
  <c r="AN109" i="5"/>
  <c r="AW109" i="5" s="1"/>
  <c r="AN58" i="5"/>
  <c r="AW58" i="5" s="1"/>
  <c r="AN982" i="5"/>
  <c r="AN851" i="5"/>
  <c r="AN836" i="5"/>
  <c r="AN771" i="5"/>
  <c r="AN782" i="5"/>
  <c r="AR749" i="5"/>
  <c r="AN674" i="5"/>
  <c r="AR691" i="5"/>
  <c r="AN638" i="5"/>
  <c r="AN677" i="5"/>
  <c r="AN671" i="5"/>
  <c r="AR680" i="5"/>
  <c r="AR612" i="5"/>
  <c r="AR572" i="5"/>
  <c r="AN587" i="5"/>
  <c r="AW587" i="5" s="1"/>
  <c r="AN556" i="5"/>
  <c r="AW556" i="5" s="1"/>
  <c r="AR523" i="5"/>
  <c r="AN576" i="5"/>
  <c r="AW576" i="5" s="1"/>
  <c r="AR486" i="5"/>
  <c r="AN504" i="5"/>
  <c r="AW504" i="5" s="1"/>
  <c r="AR475" i="5"/>
  <c r="AN459" i="5"/>
  <c r="AW459" i="5" s="1"/>
  <c r="AN421" i="5"/>
  <c r="AW421" i="5" s="1"/>
  <c r="AN458" i="5"/>
  <c r="AW458" i="5" s="1"/>
  <c r="AN424" i="5"/>
  <c r="AW424" i="5" s="1"/>
  <c r="AR488" i="5"/>
  <c r="AN494" i="5"/>
  <c r="AW494" i="5" s="1"/>
  <c r="AR372" i="5"/>
  <c r="AN346" i="5"/>
  <c r="AW346" i="5" s="1"/>
  <c r="AN306" i="5"/>
  <c r="AW306" i="5" s="1"/>
  <c r="AN339" i="5"/>
  <c r="AW339" i="5" s="1"/>
  <c r="AN358" i="5"/>
  <c r="AW358" i="5" s="1"/>
  <c r="AN372" i="5"/>
  <c r="AW372" i="5" s="1"/>
  <c r="AN277" i="5"/>
  <c r="AR205" i="5"/>
  <c r="AN154" i="5"/>
  <c r="AW154" i="5" s="1"/>
  <c r="AN115" i="5"/>
  <c r="AW115" i="5" s="1"/>
  <c r="AN160" i="5"/>
  <c r="AW160" i="5" s="1"/>
  <c r="AL670" i="5"/>
  <c r="AN670" i="5" s="1"/>
  <c r="AW670" i="5" s="1"/>
  <c r="AR12" i="5"/>
  <c r="AN834" i="5"/>
  <c r="AR871" i="5"/>
  <c r="AN772" i="5"/>
  <c r="AR764" i="5"/>
  <c r="AN627" i="5"/>
  <c r="AW627" i="5" s="1"/>
  <c r="AN640" i="5"/>
  <c r="AW640" i="5" s="1"/>
  <c r="AN633" i="5"/>
  <c r="AW633" i="5" s="1"/>
  <c r="AN515" i="5"/>
  <c r="AW515" i="5" s="1"/>
  <c r="AR600" i="5"/>
  <c r="AN469" i="5"/>
  <c r="AW469" i="5" s="1"/>
  <c r="AN478" i="5"/>
  <c r="AW478" i="5" s="1"/>
  <c r="AN385" i="5"/>
  <c r="AW385" i="5" s="1"/>
  <c r="AN378" i="5"/>
  <c r="AW378" i="5" s="1"/>
  <c r="AN361" i="5"/>
  <c r="AW361" i="5" s="1"/>
  <c r="AN305" i="5"/>
  <c r="AW305" i="5" s="1"/>
  <c r="AN246" i="5"/>
  <c r="AW246" i="5" s="1"/>
  <c r="AR276" i="5"/>
  <c r="AR308" i="5"/>
  <c r="AR165" i="5"/>
  <c r="AN38" i="5"/>
  <c r="AW38" i="5" s="1"/>
  <c r="AR145" i="5"/>
  <c r="AP670" i="5"/>
  <c r="AR670" i="5" s="1"/>
  <c r="AN39" i="5"/>
  <c r="AW39" i="5" s="1"/>
  <c r="AR792" i="5"/>
  <c r="AR738" i="5"/>
  <c r="AN666" i="5"/>
  <c r="AN590" i="5"/>
  <c r="AN558" i="5"/>
  <c r="AR587" i="5"/>
  <c r="AN565" i="5"/>
  <c r="AW565" i="5" s="1"/>
  <c r="AN498" i="5"/>
  <c r="AW498" i="5" s="1"/>
  <c r="AN508" i="5"/>
  <c r="AW508" i="5" s="1"/>
  <c r="AR473" i="5"/>
  <c r="AN452" i="5"/>
  <c r="AW452" i="5" s="1"/>
  <c r="AN408" i="5"/>
  <c r="AN274" i="5"/>
  <c r="AW274" i="5" s="1"/>
  <c r="AN264" i="5"/>
  <c r="AW264" i="5" s="1"/>
  <c r="AN322" i="5"/>
  <c r="AW322" i="5" s="1"/>
  <c r="AN273" i="5"/>
  <c r="AW273" i="5" s="1"/>
  <c r="AN206" i="5"/>
  <c r="AW206" i="5" s="1"/>
  <c r="AN150" i="5"/>
  <c r="AW150" i="5" s="1"/>
  <c r="AN193" i="5"/>
  <c r="AW193" i="5" s="1"/>
  <c r="AR139" i="5"/>
  <c r="AR81" i="5"/>
  <c r="AN49" i="5"/>
  <c r="AW49" i="5" s="1"/>
  <c r="AN74" i="5"/>
  <c r="AW74" i="5" s="1"/>
  <c r="AN19" i="5"/>
  <c r="AW19" i="5" s="1"/>
  <c r="AN10" i="5"/>
  <c r="AW10" i="5" s="1"/>
  <c r="AN969" i="5"/>
  <c r="AN895" i="5"/>
  <c r="AN972" i="5"/>
  <c r="AN844" i="5"/>
  <c r="AR596" i="5"/>
  <c r="AN473" i="5"/>
  <c r="AW473" i="5" s="1"/>
  <c r="AN172" i="5"/>
  <c r="AW172" i="5" s="1"/>
  <c r="AN20" i="5"/>
  <c r="AW20" i="5" s="1"/>
  <c r="AN963" i="5"/>
  <c r="AR962" i="5"/>
  <c r="AR914" i="5"/>
  <c r="AR929" i="5"/>
  <c r="AR932" i="5"/>
  <c r="AR935" i="5"/>
  <c r="AR822" i="5"/>
  <c r="AN727" i="5"/>
  <c r="AN730" i="5"/>
  <c r="AR678" i="5"/>
  <c r="AN664" i="5"/>
  <c r="AW664" i="5" s="1"/>
  <c r="AN571" i="5"/>
  <c r="AW571" i="5" s="1"/>
  <c r="AR993" i="5"/>
  <c r="AN983" i="5"/>
  <c r="AR933" i="5"/>
  <c r="AN953" i="5"/>
  <c r="AN886" i="5"/>
  <c r="AN907" i="5"/>
  <c r="AR827" i="5"/>
  <c r="AN815" i="5"/>
  <c r="AN835" i="5"/>
  <c r="AN791" i="5"/>
  <c r="AR847" i="5"/>
  <c r="AR768" i="5"/>
  <c r="AN778" i="5"/>
  <c r="AR739" i="5"/>
  <c r="AN769" i="5"/>
  <c r="AN795" i="5"/>
  <c r="AN765" i="5"/>
  <c r="AN588" i="5"/>
  <c r="AW588" i="5" s="1"/>
  <c r="AN678" i="5"/>
  <c r="AR662" i="5"/>
  <c r="AN650" i="5"/>
  <c r="AW650" i="5" s="1"/>
  <c r="AR590" i="5"/>
  <c r="AR513" i="5"/>
  <c r="AN517" i="5"/>
  <c r="AW517" i="5" s="1"/>
  <c r="AR487" i="5"/>
  <c r="AN454" i="5"/>
  <c r="AW454" i="5" s="1"/>
  <c r="AR411" i="5"/>
  <c r="AN501" i="5"/>
  <c r="AW501" i="5" s="1"/>
  <c r="AN438" i="5"/>
  <c r="AW438" i="5" s="1"/>
  <c r="AN448" i="5"/>
  <c r="AN401" i="5"/>
  <c r="AW401" i="5" s="1"/>
  <c r="AR498" i="5"/>
  <c r="AN444" i="5"/>
  <c r="AW444" i="5" s="1"/>
  <c r="AR508" i="5"/>
  <c r="AR478" i="5"/>
  <c r="AN457" i="5"/>
  <c r="AW457" i="5" s="1"/>
  <c r="AR408" i="5"/>
  <c r="AR275" i="5"/>
  <c r="AN368" i="5"/>
  <c r="AW368" i="5" s="1"/>
  <c r="AN338" i="5"/>
  <c r="AW338" i="5" s="1"/>
  <c r="AN388" i="5"/>
  <c r="AW388" i="5" s="1"/>
  <c r="AN351" i="5"/>
  <c r="AW351" i="5" s="1"/>
  <c r="AR368" i="5"/>
  <c r="AN256" i="5"/>
  <c r="AW256" i="5" s="1"/>
  <c r="AN202" i="5"/>
  <c r="AW202" i="5" s="1"/>
  <c r="AN232" i="5"/>
  <c r="AN289" i="5"/>
  <c r="AN249" i="5"/>
  <c r="AW249" i="5" s="1"/>
  <c r="AN315" i="5"/>
  <c r="AW315" i="5" s="1"/>
  <c r="AR170" i="5"/>
  <c r="AR298" i="5"/>
  <c r="AR289" i="5"/>
  <c r="AN201" i="5"/>
  <c r="AW201" i="5" s="1"/>
  <c r="AN166" i="5"/>
  <c r="AW166" i="5" s="1"/>
  <c r="AN209" i="5"/>
  <c r="AW209" i="5" s="1"/>
  <c r="AN142" i="5"/>
  <c r="AW142" i="5" s="1"/>
  <c r="AN145" i="5"/>
  <c r="AW145" i="5" s="1"/>
  <c r="AR193" i="5"/>
  <c r="AR172" i="5"/>
  <c r="AR119" i="5"/>
  <c r="AN68" i="5"/>
  <c r="AW68" i="5" s="1"/>
  <c r="AR46" i="5"/>
  <c r="AN62" i="5"/>
  <c r="AW62" i="5" s="1"/>
  <c r="AR72" i="5"/>
  <c r="AN65" i="5"/>
  <c r="AW65" i="5" s="1"/>
  <c r="AN714" i="5"/>
  <c r="AN653" i="5"/>
  <c r="AN482" i="5"/>
  <c r="AW482" i="5" s="1"/>
  <c r="AN545" i="5"/>
  <c r="AW545" i="5" s="1"/>
  <c r="AN528" i="5"/>
  <c r="AW528" i="5" s="1"/>
  <c r="AR565" i="5"/>
  <c r="AN583" i="5"/>
  <c r="AW583" i="5" s="1"/>
  <c r="AR516" i="5"/>
  <c r="AN374" i="5"/>
  <c r="AW374" i="5" s="1"/>
  <c r="AR266" i="5"/>
  <c r="AN301" i="5"/>
  <c r="AW301" i="5" s="1"/>
  <c r="AR249" i="5"/>
  <c r="AN287" i="5"/>
  <c r="AN155" i="5"/>
  <c r="AW155" i="5" s="1"/>
  <c r="AR179" i="5"/>
  <c r="AN48" i="5"/>
  <c r="AW48" i="5" s="1"/>
  <c r="AR972" i="5"/>
  <c r="AN908" i="5"/>
  <c r="AN966" i="5"/>
  <c r="AR921" i="5"/>
  <c r="AR920" i="5"/>
  <c r="AN959" i="5"/>
  <c r="AN917" i="5"/>
  <c r="AN798" i="5"/>
  <c r="AN955" i="5"/>
  <c r="AN986" i="5"/>
  <c r="AR891" i="5"/>
  <c r="AN919" i="5"/>
  <c r="AR882" i="5"/>
  <c r="AR842" i="5"/>
  <c r="AR878" i="5"/>
  <c r="AN843" i="5"/>
  <c r="AN788" i="5"/>
  <c r="AR812" i="5"/>
  <c r="AN754" i="5"/>
  <c r="AN701" i="5"/>
  <c r="AN687" i="5"/>
  <c r="AN751" i="5"/>
  <c r="AN630" i="5"/>
  <c r="AW630" i="5" s="1"/>
  <c r="AN623" i="5"/>
  <c r="AW623" i="5" s="1"/>
  <c r="AR989" i="5"/>
  <c r="AN989" i="5"/>
  <c r="AR991" i="5"/>
  <c r="AN929" i="5"/>
  <c r="AN911" i="5"/>
  <c r="AN920" i="5"/>
  <c r="AN913" i="5"/>
  <c r="AR953" i="5"/>
  <c r="AN874" i="5"/>
  <c r="AN918" i="5"/>
  <c r="AN946" i="5"/>
  <c r="AN840" i="5"/>
  <c r="AR787" i="5"/>
  <c r="AN821" i="5"/>
  <c r="AN825" i="5"/>
  <c r="AN847" i="5"/>
  <c r="AR778" i="5"/>
  <c r="AN764" i="5"/>
  <c r="AR687" i="5"/>
  <c r="AR795" i="5"/>
  <c r="AN731" i="5"/>
  <c r="AN717" i="5"/>
  <c r="AR751" i="5"/>
  <c r="AN720" i="5"/>
  <c r="AR728" i="5"/>
  <c r="AN665" i="5"/>
  <c r="AN618" i="5"/>
  <c r="AW618" i="5" s="1"/>
  <c r="AN578" i="5"/>
  <c r="AW578" i="5" s="1"/>
  <c r="AR622" i="5"/>
  <c r="AR592" i="5"/>
  <c r="AR557" i="5"/>
  <c r="AR576" i="5"/>
  <c r="AN522" i="5"/>
  <c r="AW522" i="5" s="1"/>
  <c r="AN534" i="5"/>
  <c r="AW534" i="5" s="1"/>
  <c r="AR503" i="5"/>
  <c r="AR506" i="5"/>
  <c r="AR401" i="5"/>
  <c r="AN428" i="5"/>
  <c r="AW428" i="5" s="1"/>
  <c r="AN468" i="5"/>
  <c r="AW468" i="5" s="1"/>
  <c r="AN441" i="5"/>
  <c r="AW441" i="5" s="1"/>
  <c r="AN404" i="5"/>
  <c r="AW404" i="5" s="1"/>
  <c r="AN495" i="5"/>
  <c r="AW495" i="5" s="1"/>
  <c r="AN497" i="5"/>
  <c r="AW497" i="5" s="1"/>
  <c r="AN507" i="5"/>
  <c r="AW507" i="5" s="1"/>
  <c r="AN370" i="5"/>
  <c r="AW370" i="5" s="1"/>
  <c r="AR282" i="5"/>
  <c r="AN326" i="5"/>
  <c r="AW326" i="5" s="1"/>
  <c r="AN366" i="5"/>
  <c r="AW366" i="5" s="1"/>
  <c r="AR405" i="5"/>
  <c r="AN352" i="5"/>
  <c r="AW352" i="5" s="1"/>
  <c r="AR414" i="5"/>
  <c r="AN328" i="5"/>
  <c r="AW328" i="5" s="1"/>
  <c r="AR388" i="5"/>
  <c r="AN341" i="5"/>
  <c r="AW341" i="5" s="1"/>
  <c r="AN265" i="5"/>
  <c r="AN279" i="5"/>
  <c r="AW279" i="5" s="1"/>
  <c r="AN313" i="5"/>
  <c r="AW313" i="5" s="1"/>
  <c r="AN195" i="5"/>
  <c r="AW195" i="5" s="1"/>
  <c r="AN321" i="5"/>
  <c r="AW321" i="5" s="1"/>
  <c r="AN319" i="5"/>
  <c r="AN282" i="5"/>
  <c r="AW282" i="5" s="1"/>
  <c r="AR146" i="5"/>
  <c r="AR201" i="5"/>
  <c r="AN177" i="5"/>
  <c r="AW177" i="5" s="1"/>
  <c r="AN102" i="5"/>
  <c r="AW102" i="5" s="1"/>
  <c r="AN135" i="5"/>
  <c r="AW135" i="5" s="1"/>
  <c r="AN88" i="5"/>
  <c r="AW88" i="5" s="1"/>
  <c r="AR37" i="5"/>
  <c r="AR48" i="5"/>
  <c r="AR62" i="5"/>
  <c r="AR87" i="5"/>
  <c r="AR65" i="5"/>
  <c r="AN839" i="5"/>
  <c r="AN781" i="5"/>
  <c r="AR752" i="5"/>
  <c r="AR775" i="5"/>
  <c r="AN643" i="5"/>
  <c r="AW643" i="5" s="1"/>
  <c r="AN535" i="5"/>
  <c r="AW535" i="5" s="1"/>
  <c r="AN434" i="5"/>
  <c r="AW434" i="5" s="1"/>
  <c r="AN371" i="5"/>
  <c r="AW371" i="5" s="1"/>
  <c r="AN245" i="5"/>
  <c r="AW245" i="5" s="1"/>
  <c r="AR286" i="5"/>
  <c r="AN257" i="5"/>
  <c r="AW257" i="5" s="1"/>
  <c r="AN239" i="5"/>
  <c r="AW239" i="5" s="1"/>
  <c r="AR296" i="5"/>
  <c r="AR175" i="5"/>
  <c r="AN132" i="5"/>
  <c r="AW132" i="5" s="1"/>
  <c r="AR32" i="5"/>
  <c r="AR42" i="5"/>
  <c r="AN45" i="5"/>
  <c r="AW45" i="5" s="1"/>
  <c r="AN979" i="5"/>
  <c r="AR838" i="5"/>
  <c r="AN684" i="5"/>
  <c r="AN680" i="5"/>
  <c r="AR577" i="5"/>
  <c r="AR493" i="5"/>
  <c r="AR546" i="5"/>
  <c r="AR496" i="5"/>
  <c r="AN418" i="5"/>
  <c r="AW418" i="5" s="1"/>
  <c r="AN431" i="5"/>
  <c r="AW431" i="5" s="1"/>
  <c r="AR495" i="5"/>
  <c r="AR497" i="5"/>
  <c r="AR507" i="5"/>
  <c r="AN398" i="5"/>
  <c r="AR404" i="5"/>
  <c r="AN375" i="5"/>
  <c r="AW375" i="5" s="1"/>
  <c r="AN316" i="5"/>
  <c r="AW316" i="5" s="1"/>
  <c r="AR371" i="5"/>
  <c r="AN331" i="5"/>
  <c r="AW331" i="5" s="1"/>
  <c r="AR284" i="5"/>
  <c r="AN299" i="5"/>
  <c r="AW299" i="5" s="1"/>
  <c r="AR269" i="5"/>
  <c r="AN309" i="5"/>
  <c r="AW309" i="5" s="1"/>
  <c r="AN253" i="5"/>
  <c r="AW253" i="5" s="1"/>
  <c r="AN185" i="5"/>
  <c r="AW185" i="5" s="1"/>
  <c r="AR321" i="5"/>
  <c r="AR319" i="5"/>
  <c r="AR279" i="5"/>
  <c r="AN200" i="5"/>
  <c r="AN125" i="5"/>
  <c r="AR168" i="5"/>
  <c r="AR159" i="5"/>
  <c r="AR99" i="5"/>
  <c r="AN66" i="5"/>
  <c r="AW66" i="5" s="1"/>
  <c r="AN76" i="5"/>
  <c r="AW76" i="5" s="1"/>
  <c r="AN35" i="5"/>
  <c r="AW35" i="5" s="1"/>
  <c r="AN31" i="5"/>
  <c r="AW31" i="5" s="1"/>
  <c r="AR45" i="5"/>
  <c r="AN55" i="5"/>
  <c r="AW55" i="5" s="1"/>
  <c r="AN18" i="5"/>
  <c r="AW18" i="5" s="1"/>
  <c r="AU670" i="4" l="1"/>
  <c r="AT670" i="4"/>
  <c r="O107" i="4" l="1"/>
  <c r="S107" i="4"/>
  <c r="W107" i="4"/>
  <c r="AA107" i="4"/>
  <c r="AF107" i="4"/>
  <c r="AV107" i="4"/>
  <c r="O564" i="4"/>
  <c r="S564" i="4"/>
  <c r="W564" i="4"/>
  <c r="AA564" i="4"/>
  <c r="AF564" i="4"/>
  <c r="AV564" i="4"/>
  <c r="O604" i="4"/>
  <c r="S604" i="4"/>
  <c r="W604" i="4"/>
  <c r="AA604" i="4"/>
  <c r="AF604" i="4"/>
  <c r="AV604" i="4"/>
  <c r="O605" i="4"/>
  <c r="S605" i="4"/>
  <c r="W605" i="4"/>
  <c r="AA605" i="4"/>
  <c r="AF605" i="4"/>
  <c r="AV605" i="4"/>
  <c r="O584" i="4"/>
  <c r="S584" i="4"/>
  <c r="W584" i="4"/>
  <c r="AA584" i="4"/>
  <c r="AF584" i="4"/>
  <c r="AV584" i="4"/>
  <c r="O606" i="4"/>
  <c r="S606" i="4"/>
  <c r="W606" i="4"/>
  <c r="AA606" i="4"/>
  <c r="AF606" i="4"/>
  <c r="AV606" i="4"/>
  <c r="O608" i="4"/>
  <c r="S608" i="4"/>
  <c r="W608" i="4"/>
  <c r="AA608" i="4"/>
  <c r="AF608" i="4"/>
  <c r="AV608" i="4"/>
  <c r="O310" i="4"/>
  <c r="S310" i="4"/>
  <c r="W310" i="4"/>
  <c r="AA310" i="4"/>
  <c r="AF310" i="4"/>
  <c r="AV310" i="4"/>
  <c r="O614" i="4"/>
  <c r="S614" i="4"/>
  <c r="W614" i="4"/>
  <c r="AA614" i="4"/>
  <c r="AF614" i="4"/>
  <c r="AV614" i="4"/>
  <c r="AW614" i="4" s="1"/>
  <c r="O616" i="4"/>
  <c r="S616" i="4"/>
  <c r="W616" i="4"/>
  <c r="AA616" i="4"/>
  <c r="AF616" i="4"/>
  <c r="AV616" i="4"/>
  <c r="O619" i="4"/>
  <c r="S619" i="4"/>
  <c r="W619" i="4"/>
  <c r="AA619" i="4"/>
  <c r="AF619" i="4"/>
  <c r="AV619" i="4"/>
  <c r="O396" i="4"/>
  <c r="S396" i="4"/>
  <c r="W396" i="4"/>
  <c r="AA396" i="4"/>
  <c r="AF396" i="4"/>
  <c r="AV396" i="4"/>
  <c r="O620" i="4"/>
  <c r="S620" i="4"/>
  <c r="W620" i="4"/>
  <c r="AA620" i="4"/>
  <c r="AF620" i="4"/>
  <c r="AV620" i="4"/>
  <c r="O621" i="4"/>
  <c r="S621" i="4"/>
  <c r="W621" i="4"/>
  <c r="AA621" i="4"/>
  <c r="AF621" i="4"/>
  <c r="AV621" i="4"/>
  <c r="O204" i="4"/>
  <c r="S204" i="4"/>
  <c r="W204" i="4"/>
  <c r="AA204" i="4"/>
  <c r="AF204" i="4"/>
  <c r="AV204" i="4"/>
  <c r="AW204" i="4" s="1"/>
  <c r="O484" i="4"/>
  <c r="S484" i="4"/>
  <c r="W484" i="4"/>
  <c r="AA484" i="4"/>
  <c r="AF484" i="4"/>
  <c r="AV484" i="4"/>
  <c r="O430" i="4"/>
  <c r="S430" i="4"/>
  <c r="W430" i="4"/>
  <c r="AA430" i="4"/>
  <c r="AF430" i="4"/>
  <c r="AV430" i="4"/>
  <c r="O168" i="4"/>
  <c r="S168" i="4"/>
  <c r="W168" i="4"/>
  <c r="AA168" i="4"/>
  <c r="AF168" i="4"/>
  <c r="AV168" i="4"/>
  <c r="AW168" i="4" s="1"/>
  <c r="O622" i="4"/>
  <c r="S622" i="4"/>
  <c r="W622" i="4"/>
  <c r="AA622" i="4"/>
  <c r="AF622" i="4"/>
  <c r="AV622" i="4"/>
  <c r="O623" i="4"/>
  <c r="S623" i="4"/>
  <c r="W623" i="4"/>
  <c r="AA623" i="4"/>
  <c r="AF623" i="4"/>
  <c r="AV623" i="4"/>
  <c r="O591" i="4"/>
  <c r="S591" i="4"/>
  <c r="W591" i="4"/>
  <c r="AA591" i="4"/>
  <c r="AF591" i="4"/>
  <c r="AV591" i="4"/>
  <c r="AW591" i="4" s="1"/>
  <c r="O624" i="4"/>
  <c r="S624" i="4"/>
  <c r="W624" i="4"/>
  <c r="AA624" i="4"/>
  <c r="AF624" i="4"/>
  <c r="AV624" i="4"/>
  <c r="O470" i="4"/>
  <c r="S470" i="4"/>
  <c r="W470" i="4"/>
  <c r="AA470" i="4"/>
  <c r="AF470" i="4"/>
  <c r="AV470" i="4"/>
  <c r="O625" i="4"/>
  <c r="S625" i="4"/>
  <c r="W625" i="4"/>
  <c r="AA625" i="4"/>
  <c r="AF625" i="4"/>
  <c r="AV625" i="4"/>
  <c r="O626" i="4"/>
  <c r="S626" i="4"/>
  <c r="W626" i="4"/>
  <c r="AA626" i="4"/>
  <c r="AF626" i="4"/>
  <c r="AV626" i="4"/>
  <c r="O627" i="4"/>
  <c r="S627" i="4"/>
  <c r="W627" i="4"/>
  <c r="AA627" i="4"/>
  <c r="AF627" i="4"/>
  <c r="AV627" i="4"/>
  <c r="O629" i="4"/>
  <c r="S629" i="4"/>
  <c r="W629" i="4"/>
  <c r="AA629" i="4"/>
  <c r="AF629" i="4"/>
  <c r="AV629" i="4"/>
  <c r="O397" i="4"/>
  <c r="S397" i="4"/>
  <c r="W397" i="4"/>
  <c r="AA397" i="4"/>
  <c r="AF397" i="4"/>
  <c r="AV397" i="4"/>
  <c r="O630" i="4"/>
  <c r="S630" i="4"/>
  <c r="W630" i="4"/>
  <c r="AA630" i="4"/>
  <c r="AF630" i="4"/>
  <c r="AV630" i="4"/>
  <c r="O632" i="4"/>
  <c r="S632" i="4"/>
  <c r="W632" i="4"/>
  <c r="AA632" i="4"/>
  <c r="AF632" i="4"/>
  <c r="AV632" i="4"/>
  <c r="AW632" i="4" s="1"/>
  <c r="O183" i="4"/>
  <c r="S183" i="4"/>
  <c r="W183" i="4"/>
  <c r="AA183" i="4"/>
  <c r="AF183" i="4"/>
  <c r="AV183" i="4"/>
  <c r="O633" i="4"/>
  <c r="S633" i="4"/>
  <c r="W633" i="4"/>
  <c r="AA633" i="4"/>
  <c r="AF633" i="4"/>
  <c r="AV633" i="4"/>
  <c r="O213" i="4"/>
  <c r="S213" i="4"/>
  <c r="W213" i="4"/>
  <c r="AA213" i="4"/>
  <c r="AF213" i="4"/>
  <c r="AV213" i="4"/>
  <c r="O631" i="4"/>
  <c r="S631" i="4"/>
  <c r="W631" i="4"/>
  <c r="AA631" i="4"/>
  <c r="AF631" i="4"/>
  <c r="AV631" i="4"/>
  <c r="O83" i="4"/>
  <c r="S83" i="4"/>
  <c r="W83" i="4"/>
  <c r="AA83" i="4"/>
  <c r="AF83" i="4"/>
  <c r="AV83" i="4"/>
  <c r="O628" i="4"/>
  <c r="S628" i="4"/>
  <c r="W628" i="4"/>
  <c r="AA628" i="4"/>
  <c r="AF628" i="4"/>
  <c r="AV628" i="4"/>
  <c r="O125" i="4"/>
  <c r="S125" i="4"/>
  <c r="W125" i="4"/>
  <c r="AA125" i="4"/>
  <c r="AF125" i="4"/>
  <c r="AV125" i="4"/>
  <c r="AW125" i="4" s="1"/>
  <c r="O635" i="4"/>
  <c r="S635" i="4"/>
  <c r="W635" i="4"/>
  <c r="AA635" i="4"/>
  <c r="AF635" i="4"/>
  <c r="AV635" i="4"/>
  <c r="O636" i="4"/>
  <c r="S636" i="4"/>
  <c r="W636" i="4"/>
  <c r="AA636" i="4"/>
  <c r="AF636" i="4"/>
  <c r="AV636" i="4"/>
  <c r="O27" i="4"/>
  <c r="S27" i="4"/>
  <c r="W27" i="4"/>
  <c r="AA27" i="4"/>
  <c r="AF27" i="4"/>
  <c r="AV27" i="4"/>
  <c r="O533" i="4"/>
  <c r="S533" i="4"/>
  <c r="W533" i="4"/>
  <c r="AA533" i="4"/>
  <c r="AF533" i="4"/>
  <c r="AV533" i="4"/>
  <c r="O637" i="4"/>
  <c r="S637" i="4"/>
  <c r="W637" i="4"/>
  <c r="AA637" i="4"/>
  <c r="AF637" i="4"/>
  <c r="AV637" i="4"/>
  <c r="O638" i="4"/>
  <c r="S638" i="4"/>
  <c r="W638" i="4"/>
  <c r="AA638" i="4"/>
  <c r="AF638" i="4"/>
  <c r="AV638" i="4"/>
  <c r="AW638" i="4"/>
  <c r="O640" i="4"/>
  <c r="S640" i="4"/>
  <c r="W640" i="4"/>
  <c r="AA640" i="4"/>
  <c r="AF640" i="4"/>
  <c r="AV640" i="4"/>
  <c r="O641" i="4"/>
  <c r="S641" i="4"/>
  <c r="W641" i="4"/>
  <c r="AA641" i="4"/>
  <c r="AF641" i="4"/>
  <c r="AV641" i="4"/>
  <c r="AW641" i="4" s="1"/>
  <c r="O642" i="4"/>
  <c r="S642" i="4"/>
  <c r="W642" i="4"/>
  <c r="AA642" i="4"/>
  <c r="AF642" i="4"/>
  <c r="AV642" i="4"/>
  <c r="O576" i="4"/>
  <c r="S576" i="4"/>
  <c r="W576" i="4"/>
  <c r="AA576" i="4"/>
  <c r="AF576" i="4"/>
  <c r="AV576" i="4"/>
  <c r="O538" i="4"/>
  <c r="S538" i="4"/>
  <c r="W538" i="4"/>
  <c r="AA538" i="4"/>
  <c r="AF538" i="4"/>
  <c r="AV538" i="4"/>
  <c r="O643" i="4"/>
  <c r="S643" i="4"/>
  <c r="W643" i="4"/>
  <c r="AA643" i="4"/>
  <c r="AF643" i="4"/>
  <c r="AV643" i="4"/>
  <c r="O209" i="4"/>
  <c r="S209" i="4"/>
  <c r="W209" i="4"/>
  <c r="AA209" i="4"/>
  <c r="AF209" i="4"/>
  <c r="AV209" i="4"/>
  <c r="O485" i="4"/>
  <c r="S485" i="4"/>
  <c r="W485" i="4"/>
  <c r="AA485" i="4"/>
  <c r="AF485" i="4"/>
  <c r="AV485" i="4"/>
  <c r="O639" i="4"/>
  <c r="S639" i="4"/>
  <c r="W639" i="4"/>
  <c r="AA639" i="4"/>
  <c r="AF639" i="4"/>
  <c r="AV639" i="4"/>
  <c r="AW639" i="4" s="1"/>
  <c r="O275" i="4"/>
  <c r="S275" i="4"/>
  <c r="W275" i="4"/>
  <c r="AA275" i="4"/>
  <c r="AF275" i="4"/>
  <c r="AV275" i="4"/>
  <c r="O645" i="4"/>
  <c r="S645" i="4"/>
  <c r="W645" i="4"/>
  <c r="AA645" i="4"/>
  <c r="AF645" i="4"/>
  <c r="AV645" i="4"/>
  <c r="O247" i="4"/>
  <c r="S247" i="4"/>
  <c r="W247" i="4"/>
  <c r="AA247" i="4"/>
  <c r="AF247" i="4"/>
  <c r="AV247" i="4"/>
  <c r="O647" i="4"/>
  <c r="S647" i="4"/>
  <c r="W647" i="4"/>
  <c r="AA647" i="4"/>
  <c r="AF647" i="4"/>
  <c r="AV647" i="4"/>
  <c r="O648" i="4"/>
  <c r="S648" i="4"/>
  <c r="W648" i="4"/>
  <c r="AA648" i="4"/>
  <c r="AF648" i="4"/>
  <c r="AV648" i="4"/>
  <c r="O486" i="4"/>
  <c r="S486" i="4"/>
  <c r="W486" i="4"/>
  <c r="AA486" i="4"/>
  <c r="AF486" i="4"/>
  <c r="AV486" i="4"/>
  <c r="AW486" i="4" s="1"/>
  <c r="O85" i="4"/>
  <c r="S85" i="4"/>
  <c r="W85" i="4"/>
  <c r="AA85" i="4"/>
  <c r="AF85" i="4"/>
  <c r="AV85" i="4"/>
  <c r="O649" i="4"/>
  <c r="S649" i="4"/>
  <c r="W649" i="4"/>
  <c r="AA649" i="4"/>
  <c r="AF649" i="4"/>
  <c r="AV649" i="4"/>
  <c r="O650" i="4"/>
  <c r="S650" i="4"/>
  <c r="W650" i="4"/>
  <c r="AA650" i="4"/>
  <c r="AF650" i="4"/>
  <c r="AV650" i="4"/>
  <c r="O651" i="4"/>
  <c r="S651" i="4"/>
  <c r="W651" i="4"/>
  <c r="AA651" i="4"/>
  <c r="AF651" i="4"/>
  <c r="AV651" i="4"/>
  <c r="O300" i="4"/>
  <c r="S300" i="4"/>
  <c r="W300" i="4"/>
  <c r="AA300" i="4"/>
  <c r="AF300" i="4"/>
  <c r="AV300" i="4"/>
  <c r="O607" i="4"/>
  <c r="S607" i="4"/>
  <c r="W607" i="4"/>
  <c r="AA607" i="4"/>
  <c r="AF607" i="4"/>
  <c r="AV607" i="4"/>
  <c r="O652" i="4"/>
  <c r="S652" i="4"/>
  <c r="W652" i="4"/>
  <c r="AA652" i="4"/>
  <c r="AF652" i="4"/>
  <c r="AV652" i="4"/>
  <c r="O89" i="4"/>
  <c r="S89" i="4"/>
  <c r="W89" i="4"/>
  <c r="AA89" i="4"/>
  <c r="AF89" i="4"/>
  <c r="AV89" i="4"/>
  <c r="O634" i="4"/>
  <c r="S634" i="4"/>
  <c r="W634" i="4"/>
  <c r="AA634" i="4"/>
  <c r="AF634" i="4"/>
  <c r="AV634" i="4"/>
  <c r="O654" i="4"/>
  <c r="S654" i="4"/>
  <c r="W654" i="4"/>
  <c r="AA654" i="4"/>
  <c r="AF654" i="4"/>
  <c r="AV654" i="4"/>
  <c r="O595" i="4"/>
  <c r="S595" i="4"/>
  <c r="W595" i="4"/>
  <c r="AA595" i="4"/>
  <c r="AF595" i="4"/>
  <c r="AV595" i="4"/>
  <c r="O301" i="4"/>
  <c r="S301" i="4"/>
  <c r="W301" i="4"/>
  <c r="AA301" i="4"/>
  <c r="AF301" i="4"/>
  <c r="AV301" i="4"/>
  <c r="O403" i="4"/>
  <c r="S403" i="4"/>
  <c r="W403" i="4"/>
  <c r="AA403" i="4"/>
  <c r="AF403" i="4"/>
  <c r="AV403" i="4"/>
  <c r="O398" i="4"/>
  <c r="S398" i="4"/>
  <c r="W398" i="4"/>
  <c r="AA398" i="4"/>
  <c r="AF398" i="4"/>
  <c r="AV398" i="4"/>
  <c r="AW398" i="4" s="1"/>
  <c r="O656" i="4"/>
  <c r="S656" i="4"/>
  <c r="W656" i="4"/>
  <c r="AA656" i="4"/>
  <c r="AF656" i="4"/>
  <c r="AV656" i="4"/>
  <c r="AW656" i="4" s="1"/>
  <c r="O657" i="4"/>
  <c r="S657" i="4"/>
  <c r="W657" i="4"/>
  <c r="AA657" i="4"/>
  <c r="AF657" i="4"/>
  <c r="AV657" i="4"/>
  <c r="O658" i="4"/>
  <c r="S658" i="4"/>
  <c r="W658" i="4"/>
  <c r="AA658" i="4"/>
  <c r="AF658" i="4"/>
  <c r="AV658" i="4"/>
  <c r="AW658" i="4" s="1"/>
  <c r="O487" i="4"/>
  <c r="S487" i="4"/>
  <c r="W487" i="4"/>
  <c r="AA487" i="4"/>
  <c r="AF487" i="4"/>
  <c r="AV487" i="4"/>
  <c r="O659" i="4"/>
  <c r="S659" i="4"/>
  <c r="W659" i="4"/>
  <c r="AA659" i="4"/>
  <c r="AF659" i="4"/>
  <c r="AV659" i="4"/>
  <c r="AW659" i="4" s="1"/>
  <c r="O660" i="4"/>
  <c r="S660" i="4"/>
  <c r="W660" i="4"/>
  <c r="AA660" i="4"/>
  <c r="AF660" i="4"/>
  <c r="AV660" i="4"/>
  <c r="AW660" i="4" s="1"/>
  <c r="O102" i="4"/>
  <c r="S102" i="4"/>
  <c r="W102" i="4"/>
  <c r="AA102" i="4"/>
  <c r="AF102" i="4"/>
  <c r="AV102" i="4"/>
  <c r="O174" i="4"/>
  <c r="S174" i="4"/>
  <c r="W174" i="4"/>
  <c r="AA174" i="4"/>
  <c r="AF174" i="4"/>
  <c r="AV174" i="4"/>
  <c r="O302" i="4"/>
  <c r="S302" i="4"/>
  <c r="W302" i="4"/>
  <c r="AA302" i="4"/>
  <c r="AF302" i="4"/>
  <c r="AV302" i="4"/>
  <c r="AW302" i="4" s="1"/>
  <c r="O303" i="4"/>
  <c r="S303" i="4"/>
  <c r="W303" i="4"/>
  <c r="AA303" i="4"/>
  <c r="AF303" i="4"/>
  <c r="AV303" i="4"/>
  <c r="O33" i="4"/>
  <c r="S33" i="4"/>
  <c r="W33" i="4"/>
  <c r="AA33" i="4"/>
  <c r="AF33" i="4"/>
  <c r="AV33" i="4"/>
  <c r="O399" i="4"/>
  <c r="S399" i="4"/>
  <c r="W399" i="4"/>
  <c r="AA399" i="4"/>
  <c r="AF399" i="4"/>
  <c r="AV399" i="4"/>
  <c r="O488" i="4"/>
  <c r="S488" i="4"/>
  <c r="W488" i="4"/>
  <c r="AA488" i="4"/>
  <c r="AF488" i="4"/>
  <c r="AV488" i="4"/>
  <c r="O455" i="4"/>
  <c r="S455" i="4"/>
  <c r="W455" i="4"/>
  <c r="AA455" i="4"/>
  <c r="AF455" i="4"/>
  <c r="AV455" i="4"/>
  <c r="O661" i="4"/>
  <c r="S661" i="4"/>
  <c r="W661" i="4"/>
  <c r="AA661" i="4"/>
  <c r="AF661" i="4"/>
  <c r="AV661" i="4"/>
  <c r="O662" i="4"/>
  <c r="S662" i="4"/>
  <c r="W662" i="4"/>
  <c r="AA662" i="4"/>
  <c r="AF662" i="4"/>
  <c r="AV662" i="4"/>
  <c r="AW662" i="4" s="1"/>
  <c r="O663" i="4"/>
  <c r="S663" i="4"/>
  <c r="W663" i="4"/>
  <c r="AA663" i="4"/>
  <c r="AF663" i="4"/>
  <c r="AV663" i="4"/>
  <c r="O664" i="4"/>
  <c r="S664" i="4"/>
  <c r="W664" i="4"/>
  <c r="AA664" i="4"/>
  <c r="AF664" i="4"/>
  <c r="AV664" i="4"/>
  <c r="O644" i="4"/>
  <c r="S644" i="4"/>
  <c r="W644" i="4"/>
  <c r="AA644" i="4"/>
  <c r="AF644" i="4"/>
  <c r="AV644" i="4"/>
  <c r="AW644" i="4" s="1"/>
  <c r="O210" i="4"/>
  <c r="S210" i="4"/>
  <c r="W210" i="4"/>
  <c r="AA210" i="4"/>
  <c r="AF210" i="4"/>
  <c r="AV210" i="4"/>
  <c r="AW210" i="4" s="1"/>
  <c r="O665" i="4"/>
  <c r="S665" i="4"/>
  <c r="W665" i="4"/>
  <c r="AA665" i="4"/>
  <c r="AF665" i="4"/>
  <c r="AV665" i="4"/>
  <c r="AW665" i="4" s="1"/>
  <c r="O666" i="4"/>
  <c r="S666" i="4"/>
  <c r="W666" i="4"/>
  <c r="AA666" i="4"/>
  <c r="AF666" i="4"/>
  <c r="AV666" i="4"/>
  <c r="AW666" i="4"/>
  <c r="O667" i="4"/>
  <c r="S667" i="4"/>
  <c r="W667" i="4"/>
  <c r="AA667" i="4"/>
  <c r="AF667" i="4"/>
  <c r="AV667" i="4"/>
  <c r="AW667" i="4" s="1"/>
  <c r="O646" i="4"/>
  <c r="S646" i="4"/>
  <c r="W646" i="4"/>
  <c r="AA646" i="4"/>
  <c r="AF646" i="4"/>
  <c r="AV646" i="4"/>
  <c r="AW646" i="4" s="1"/>
  <c r="O653" i="4"/>
  <c r="S653" i="4"/>
  <c r="W653" i="4"/>
  <c r="AA653" i="4"/>
  <c r="AF653" i="4"/>
  <c r="AV653" i="4"/>
  <c r="AW653" i="4" s="1"/>
  <c r="O655" i="4"/>
  <c r="S655" i="4"/>
  <c r="W655" i="4"/>
  <c r="AA655" i="4"/>
  <c r="AF655" i="4"/>
  <c r="AV655" i="4"/>
  <c r="AW655" i="4" s="1"/>
  <c r="O668" i="4"/>
  <c r="S668" i="4"/>
  <c r="W668" i="4"/>
  <c r="AA668" i="4"/>
  <c r="AF668" i="4"/>
  <c r="AV668" i="4"/>
  <c r="AW668" i="4" s="1"/>
  <c r="O669" i="4"/>
  <c r="S669" i="4"/>
  <c r="W669" i="4"/>
  <c r="AA669" i="4"/>
  <c r="AF669" i="4"/>
  <c r="AV669" i="4"/>
  <c r="AW669" i="4" s="1"/>
  <c r="O670" i="4"/>
  <c r="S670" i="4"/>
  <c r="W670" i="4"/>
  <c r="AA670" i="4"/>
  <c r="AF670" i="4"/>
  <c r="AV670" i="4"/>
  <c r="O671" i="4"/>
  <c r="S671" i="4"/>
  <c r="W671" i="4"/>
  <c r="AA671" i="4"/>
  <c r="AF671" i="4"/>
  <c r="AL671" i="4"/>
  <c r="AV671" i="4"/>
  <c r="AW671" i="4" s="1"/>
  <c r="O672" i="4"/>
  <c r="S672" i="4"/>
  <c r="W672" i="4"/>
  <c r="AA672" i="4"/>
  <c r="AF672" i="4"/>
  <c r="AV672" i="4"/>
  <c r="AW672" i="4"/>
  <c r="O673" i="4"/>
  <c r="S673" i="4"/>
  <c r="W673" i="4"/>
  <c r="AA673" i="4"/>
  <c r="AF673" i="4"/>
  <c r="AV673" i="4"/>
  <c r="AW673" i="4" s="1"/>
  <c r="O674" i="4"/>
  <c r="S674" i="4"/>
  <c r="W674" i="4"/>
  <c r="AA674" i="4"/>
  <c r="AF674" i="4"/>
  <c r="AV674" i="4"/>
  <c r="AW674" i="4" s="1"/>
  <c r="O675" i="4"/>
  <c r="S675" i="4"/>
  <c r="W675" i="4"/>
  <c r="AA675" i="4"/>
  <c r="AF675" i="4"/>
  <c r="AV675" i="4"/>
  <c r="AW675" i="4" s="1"/>
  <c r="O676" i="4"/>
  <c r="S676" i="4"/>
  <c r="W676" i="4"/>
  <c r="AA676" i="4"/>
  <c r="AF676" i="4"/>
  <c r="AV676" i="4"/>
  <c r="AW676" i="4" s="1"/>
  <c r="O677" i="4"/>
  <c r="S677" i="4"/>
  <c r="W677" i="4"/>
  <c r="AA677" i="4"/>
  <c r="AF677" i="4"/>
  <c r="AV677" i="4"/>
  <c r="AW677" i="4"/>
  <c r="O678" i="4"/>
  <c r="S678" i="4"/>
  <c r="W678" i="4"/>
  <c r="AA678" i="4"/>
  <c r="AF678" i="4"/>
  <c r="AV678" i="4"/>
  <c r="AW678" i="4" s="1"/>
  <c r="O679" i="4"/>
  <c r="S679" i="4"/>
  <c r="W679" i="4"/>
  <c r="AA679" i="4"/>
  <c r="AF679" i="4"/>
  <c r="AV679" i="4"/>
  <c r="AW679" i="4" s="1"/>
  <c r="O680" i="4"/>
  <c r="S680" i="4"/>
  <c r="W680" i="4"/>
  <c r="AA680" i="4"/>
  <c r="AF680" i="4"/>
  <c r="AV680" i="4"/>
  <c r="AW680" i="4"/>
  <c r="O681" i="4"/>
  <c r="S681" i="4"/>
  <c r="W681" i="4"/>
  <c r="AA681" i="4"/>
  <c r="AF681" i="4"/>
  <c r="AV681" i="4"/>
  <c r="AW681" i="4" s="1"/>
  <c r="O682" i="4"/>
  <c r="AM682" i="4" s="1"/>
  <c r="S682" i="4"/>
  <c r="W682" i="4"/>
  <c r="AA682" i="4"/>
  <c r="AF682" i="4"/>
  <c r="AV682" i="4"/>
  <c r="AW682" i="4" s="1"/>
  <c r="O683" i="4"/>
  <c r="S683" i="4"/>
  <c r="W683" i="4"/>
  <c r="AA683" i="4"/>
  <c r="AF683" i="4"/>
  <c r="AV683" i="4"/>
  <c r="AW683" i="4" s="1"/>
  <c r="O684" i="4"/>
  <c r="S684" i="4"/>
  <c r="W684" i="4"/>
  <c r="AA684" i="4"/>
  <c r="AF684" i="4"/>
  <c r="AV684" i="4"/>
  <c r="AW684" i="4"/>
  <c r="O685" i="4"/>
  <c r="S685" i="4"/>
  <c r="W685" i="4"/>
  <c r="AA685" i="4"/>
  <c r="AF685" i="4"/>
  <c r="AV685" i="4"/>
  <c r="AW685" i="4" s="1"/>
  <c r="O686" i="4"/>
  <c r="S686" i="4"/>
  <c r="W686" i="4"/>
  <c r="AA686" i="4"/>
  <c r="AF686" i="4"/>
  <c r="AV686" i="4"/>
  <c r="AW686" i="4" s="1"/>
  <c r="O687" i="4"/>
  <c r="S687" i="4"/>
  <c r="W687" i="4"/>
  <c r="AQ687" i="4" s="1"/>
  <c r="AA687" i="4"/>
  <c r="AF687" i="4"/>
  <c r="AV687" i="4"/>
  <c r="AW687" i="4" s="1"/>
  <c r="O688" i="4"/>
  <c r="S688" i="4"/>
  <c r="W688" i="4"/>
  <c r="AA688" i="4"/>
  <c r="AF688" i="4"/>
  <c r="AV688" i="4"/>
  <c r="AW688" i="4" s="1"/>
  <c r="O689" i="4"/>
  <c r="AL689" i="4" s="1"/>
  <c r="S689" i="4"/>
  <c r="W689" i="4"/>
  <c r="AA689" i="4"/>
  <c r="AF689" i="4"/>
  <c r="AM689" i="4"/>
  <c r="AV689" i="4"/>
  <c r="AW689" i="4" s="1"/>
  <c r="O690" i="4"/>
  <c r="S690" i="4"/>
  <c r="W690" i="4"/>
  <c r="AA690" i="4"/>
  <c r="AF690" i="4"/>
  <c r="AV690" i="4"/>
  <c r="AW690" i="4" s="1"/>
  <c r="O691" i="4"/>
  <c r="S691" i="4"/>
  <c r="W691" i="4"/>
  <c r="AA691" i="4"/>
  <c r="AF691" i="4"/>
  <c r="AV691" i="4"/>
  <c r="AW691" i="4" s="1"/>
  <c r="O692" i="4"/>
  <c r="AL692" i="4" s="1"/>
  <c r="S692" i="4"/>
  <c r="W692" i="4"/>
  <c r="AA692" i="4"/>
  <c r="AF692" i="4"/>
  <c r="AV692" i="4"/>
  <c r="AW692" i="4" s="1"/>
  <c r="O693" i="4"/>
  <c r="S693" i="4"/>
  <c r="W693" i="4"/>
  <c r="AA693" i="4"/>
  <c r="AF693" i="4"/>
  <c r="AV693" i="4"/>
  <c r="AW693" i="4" s="1"/>
  <c r="O694" i="4"/>
  <c r="S694" i="4"/>
  <c r="W694" i="4"/>
  <c r="AA694" i="4"/>
  <c r="AF694" i="4"/>
  <c r="AV694" i="4"/>
  <c r="AW694" i="4"/>
  <c r="O695" i="4"/>
  <c r="S695" i="4"/>
  <c r="W695" i="4"/>
  <c r="AA695" i="4"/>
  <c r="AF695" i="4"/>
  <c r="AV695" i="4"/>
  <c r="AW695" i="4" s="1"/>
  <c r="O696" i="4"/>
  <c r="S696" i="4"/>
  <c r="AP696" i="4" s="1"/>
  <c r="W696" i="4"/>
  <c r="AA696" i="4"/>
  <c r="AF696" i="4"/>
  <c r="AV696" i="4"/>
  <c r="AW696" i="4" s="1"/>
  <c r="O697" i="4"/>
  <c r="S697" i="4"/>
  <c r="W697" i="4"/>
  <c r="AA697" i="4"/>
  <c r="AL697" i="4" s="1"/>
  <c r="AF697" i="4"/>
  <c r="AV697" i="4"/>
  <c r="AW697" i="4" s="1"/>
  <c r="O698" i="4"/>
  <c r="S698" i="4"/>
  <c r="W698" i="4"/>
  <c r="AA698" i="4"/>
  <c r="AF698" i="4"/>
  <c r="AV698" i="4"/>
  <c r="AW698" i="4" s="1"/>
  <c r="O699" i="4"/>
  <c r="S699" i="4"/>
  <c r="W699" i="4"/>
  <c r="AA699" i="4"/>
  <c r="AF699" i="4"/>
  <c r="AV699" i="4"/>
  <c r="AW699" i="4"/>
  <c r="O700" i="4"/>
  <c r="S700" i="4"/>
  <c r="AP700" i="4" s="1"/>
  <c r="W700" i="4"/>
  <c r="AA700" i="4"/>
  <c r="AF700" i="4"/>
  <c r="AV700" i="4"/>
  <c r="AW700" i="4"/>
  <c r="O701" i="4"/>
  <c r="S701" i="4"/>
  <c r="W701" i="4"/>
  <c r="AA701" i="4"/>
  <c r="AF701" i="4"/>
  <c r="AV701" i="4"/>
  <c r="AW701" i="4" s="1"/>
  <c r="O702" i="4"/>
  <c r="S702" i="4"/>
  <c r="W702" i="4"/>
  <c r="AA702" i="4"/>
  <c r="AF702" i="4"/>
  <c r="AV702" i="4"/>
  <c r="AW702" i="4" s="1"/>
  <c r="O703" i="4"/>
  <c r="AP703" i="4" s="1"/>
  <c r="S703" i="4"/>
  <c r="W703" i="4"/>
  <c r="AA703" i="4"/>
  <c r="AF703" i="4"/>
  <c r="AV703" i="4"/>
  <c r="AW703" i="4" s="1"/>
  <c r="O704" i="4"/>
  <c r="S704" i="4"/>
  <c r="W704" i="4"/>
  <c r="AA704" i="4"/>
  <c r="AL704" i="4" s="1"/>
  <c r="AF704" i="4"/>
  <c r="AV704" i="4"/>
  <c r="AW704" i="4" s="1"/>
  <c r="O705" i="4"/>
  <c r="S705" i="4"/>
  <c r="AP705" i="4" s="1"/>
  <c r="W705" i="4"/>
  <c r="AA705" i="4"/>
  <c r="AF705" i="4"/>
  <c r="AV705" i="4"/>
  <c r="AW705" i="4"/>
  <c r="O706" i="4"/>
  <c r="S706" i="4"/>
  <c r="AM706" i="4" s="1"/>
  <c r="W706" i="4"/>
  <c r="AA706" i="4"/>
  <c r="AF706" i="4"/>
  <c r="AV706" i="4"/>
  <c r="AW706" i="4" s="1"/>
  <c r="O707" i="4"/>
  <c r="S707" i="4"/>
  <c r="W707" i="4"/>
  <c r="AL707" i="4" s="1"/>
  <c r="AA707" i="4"/>
  <c r="AF707" i="4"/>
  <c r="AV707" i="4"/>
  <c r="AW707" i="4"/>
  <c r="O708" i="4"/>
  <c r="S708" i="4"/>
  <c r="W708" i="4"/>
  <c r="AA708" i="4"/>
  <c r="AF708" i="4"/>
  <c r="AV708" i="4"/>
  <c r="AW708" i="4" s="1"/>
  <c r="O709" i="4"/>
  <c r="S709" i="4"/>
  <c r="W709" i="4"/>
  <c r="AA709" i="4"/>
  <c r="AF709" i="4"/>
  <c r="AV709" i="4"/>
  <c r="AW709" i="4" s="1"/>
  <c r="O710" i="4"/>
  <c r="S710" i="4"/>
  <c r="W710" i="4"/>
  <c r="AA710" i="4"/>
  <c r="AF710" i="4"/>
  <c r="AV710" i="4"/>
  <c r="AW710" i="4" s="1"/>
  <c r="O711" i="4"/>
  <c r="S711" i="4"/>
  <c r="W711" i="4"/>
  <c r="AA711" i="4"/>
  <c r="AF711" i="4"/>
  <c r="AV711" i="4"/>
  <c r="AW711" i="4" s="1"/>
  <c r="O712" i="4"/>
  <c r="S712" i="4"/>
  <c r="W712" i="4"/>
  <c r="AA712" i="4"/>
  <c r="AF712" i="4"/>
  <c r="AV712" i="4"/>
  <c r="AW712" i="4" s="1"/>
  <c r="O713" i="4"/>
  <c r="S713" i="4"/>
  <c r="W713" i="4"/>
  <c r="AA713" i="4"/>
  <c r="AF713" i="4"/>
  <c r="AM713" i="4"/>
  <c r="AV713" i="4"/>
  <c r="AW713" i="4" s="1"/>
  <c r="O714" i="4"/>
  <c r="S714" i="4"/>
  <c r="W714" i="4"/>
  <c r="AA714" i="4"/>
  <c r="AF714" i="4"/>
  <c r="AV714" i="4"/>
  <c r="AW714" i="4" s="1"/>
  <c r="O715" i="4"/>
  <c r="AQ715" i="4" s="1"/>
  <c r="AR715" i="4" s="1"/>
  <c r="S715" i="4"/>
  <c r="W715" i="4"/>
  <c r="AA715" i="4"/>
  <c r="AF715" i="4"/>
  <c r="AM715" i="4" s="1"/>
  <c r="AP715" i="4"/>
  <c r="AV715" i="4"/>
  <c r="AW715" i="4" s="1"/>
  <c r="O716" i="4"/>
  <c r="S716" i="4"/>
  <c r="W716" i="4"/>
  <c r="AA716" i="4"/>
  <c r="AF716" i="4"/>
  <c r="AV716" i="4"/>
  <c r="AW716" i="4" s="1"/>
  <c r="O717" i="4"/>
  <c r="S717" i="4"/>
  <c r="W717" i="4"/>
  <c r="AP717" i="4" s="1"/>
  <c r="AA717" i="4"/>
  <c r="AF717" i="4"/>
  <c r="AV717" i="4"/>
  <c r="AW717" i="4" s="1"/>
  <c r="O718" i="4"/>
  <c r="S718" i="4"/>
  <c r="W718" i="4"/>
  <c r="AA718" i="4"/>
  <c r="AF718" i="4"/>
  <c r="AP718" i="4"/>
  <c r="AV718" i="4"/>
  <c r="AW718" i="4" s="1"/>
  <c r="O719" i="4"/>
  <c r="S719" i="4"/>
  <c r="W719" i="4"/>
  <c r="AA719" i="4"/>
  <c r="AF719" i="4"/>
  <c r="AQ719" i="4" s="1"/>
  <c r="AV719" i="4"/>
  <c r="AW719" i="4" s="1"/>
  <c r="O720" i="4"/>
  <c r="S720" i="4"/>
  <c r="W720" i="4"/>
  <c r="AA720" i="4"/>
  <c r="AF720" i="4"/>
  <c r="AV720" i="4"/>
  <c r="AW720" i="4" s="1"/>
  <c r="O721" i="4"/>
  <c r="S721" i="4"/>
  <c r="W721" i="4"/>
  <c r="AA721" i="4"/>
  <c r="AF721" i="4"/>
  <c r="AV721" i="4"/>
  <c r="AW721" i="4" s="1"/>
  <c r="O722" i="4"/>
  <c r="S722" i="4"/>
  <c r="W722" i="4"/>
  <c r="AA722" i="4"/>
  <c r="AF722" i="4"/>
  <c r="AV722" i="4"/>
  <c r="AW722" i="4" s="1"/>
  <c r="O723" i="4"/>
  <c r="S723" i="4"/>
  <c r="W723" i="4"/>
  <c r="AA723" i="4"/>
  <c r="AF723" i="4"/>
  <c r="AV723" i="4"/>
  <c r="AW723" i="4" s="1"/>
  <c r="O724" i="4"/>
  <c r="S724" i="4"/>
  <c r="W724" i="4"/>
  <c r="AA724" i="4"/>
  <c r="AF724" i="4"/>
  <c r="AV724" i="4"/>
  <c r="AW724" i="4" s="1"/>
  <c r="O725" i="4"/>
  <c r="S725" i="4"/>
  <c r="W725" i="4"/>
  <c r="AA725" i="4"/>
  <c r="AF725" i="4"/>
  <c r="AV725" i="4"/>
  <c r="AW725" i="4"/>
  <c r="O726" i="4"/>
  <c r="S726" i="4"/>
  <c r="W726" i="4"/>
  <c r="AA726" i="4"/>
  <c r="AF726" i="4"/>
  <c r="AV726" i="4"/>
  <c r="AW726" i="4" s="1"/>
  <c r="O727" i="4"/>
  <c r="AM727" i="4" s="1"/>
  <c r="S727" i="4"/>
  <c r="W727" i="4"/>
  <c r="AA727" i="4"/>
  <c r="AF727" i="4"/>
  <c r="AV727" i="4"/>
  <c r="AW727" i="4" s="1"/>
  <c r="O728" i="4"/>
  <c r="S728" i="4"/>
  <c r="AL728" i="4" s="1"/>
  <c r="W728" i="4"/>
  <c r="AA728" i="4"/>
  <c r="AF728" i="4"/>
  <c r="AV728" i="4"/>
  <c r="AW728" i="4" s="1"/>
  <c r="O729" i="4"/>
  <c r="AM729" i="4" s="1"/>
  <c r="S729" i="4"/>
  <c r="W729" i="4"/>
  <c r="AA729" i="4"/>
  <c r="AF729" i="4"/>
  <c r="AQ729" i="4"/>
  <c r="AV729" i="4"/>
  <c r="AW729" i="4" s="1"/>
  <c r="O730" i="4"/>
  <c r="S730" i="4"/>
  <c r="W730" i="4"/>
  <c r="AA730" i="4"/>
  <c r="AF730" i="4"/>
  <c r="AV730" i="4"/>
  <c r="AW730" i="4"/>
  <c r="O731" i="4"/>
  <c r="S731" i="4"/>
  <c r="W731" i="4"/>
  <c r="AA731" i="4"/>
  <c r="AF731" i="4"/>
  <c r="AV731" i="4"/>
  <c r="AW731" i="4" s="1"/>
  <c r="O732" i="4"/>
  <c r="S732" i="4"/>
  <c r="W732" i="4"/>
  <c r="AA732" i="4"/>
  <c r="AF732" i="4"/>
  <c r="AL732" i="4"/>
  <c r="AV732" i="4"/>
  <c r="AW732" i="4"/>
  <c r="O733" i="4"/>
  <c r="S733" i="4"/>
  <c r="W733" i="4"/>
  <c r="AA733" i="4"/>
  <c r="AF733" i="4"/>
  <c r="AV733" i="4"/>
  <c r="AW733" i="4" s="1"/>
  <c r="O734" i="4"/>
  <c r="S734" i="4"/>
  <c r="W734" i="4"/>
  <c r="AA734" i="4"/>
  <c r="AF734" i="4"/>
  <c r="AV734" i="4"/>
  <c r="AW734" i="4" s="1"/>
  <c r="O735" i="4"/>
  <c r="S735" i="4"/>
  <c r="AQ735" i="4" s="1"/>
  <c r="W735" i="4"/>
  <c r="AA735" i="4"/>
  <c r="AF735" i="4"/>
  <c r="AM735" i="4"/>
  <c r="AP735" i="4"/>
  <c r="AV735" i="4"/>
  <c r="AW735" i="4" s="1"/>
  <c r="O736" i="4"/>
  <c r="S736" i="4"/>
  <c r="W736" i="4"/>
  <c r="AA736" i="4"/>
  <c r="AF736" i="4"/>
  <c r="AV736" i="4"/>
  <c r="AW736" i="4" s="1"/>
  <c r="O737" i="4"/>
  <c r="S737" i="4"/>
  <c r="W737" i="4"/>
  <c r="AA737" i="4"/>
  <c r="AF737" i="4"/>
  <c r="AV737" i="4"/>
  <c r="AW737" i="4" s="1"/>
  <c r="O738" i="4"/>
  <c r="S738" i="4"/>
  <c r="W738" i="4"/>
  <c r="AA738" i="4"/>
  <c r="AF738" i="4"/>
  <c r="AQ738" i="4"/>
  <c r="AV738" i="4"/>
  <c r="AW738" i="4"/>
  <c r="O739" i="4"/>
  <c r="AQ739" i="4" s="1"/>
  <c r="S739" i="4"/>
  <c r="W739" i="4"/>
  <c r="AA739" i="4"/>
  <c r="AF739" i="4"/>
  <c r="AM739" i="4"/>
  <c r="AV739" i="4"/>
  <c r="AW739" i="4" s="1"/>
  <c r="O740" i="4"/>
  <c r="S740" i="4"/>
  <c r="W740" i="4"/>
  <c r="AA740" i="4"/>
  <c r="AF740" i="4"/>
  <c r="AV740" i="4"/>
  <c r="AW740" i="4" s="1"/>
  <c r="O741" i="4"/>
  <c r="S741" i="4"/>
  <c r="W741" i="4"/>
  <c r="AA741" i="4"/>
  <c r="AF741" i="4"/>
  <c r="AV741" i="4"/>
  <c r="AW741" i="4" s="1"/>
  <c r="O742" i="4"/>
  <c r="S742" i="4"/>
  <c r="W742" i="4"/>
  <c r="AA742" i="4"/>
  <c r="AF742" i="4"/>
  <c r="AV742" i="4"/>
  <c r="AW742" i="4" s="1"/>
  <c r="O743" i="4"/>
  <c r="S743" i="4"/>
  <c r="W743" i="4"/>
  <c r="AA743" i="4"/>
  <c r="AF743" i="4"/>
  <c r="AV743" i="4"/>
  <c r="AW743" i="4" s="1"/>
  <c r="O744" i="4"/>
  <c r="S744" i="4"/>
  <c r="W744" i="4"/>
  <c r="AA744" i="4"/>
  <c r="AF744" i="4"/>
  <c r="AV744" i="4"/>
  <c r="AW744" i="4" s="1"/>
  <c r="O745" i="4"/>
  <c r="S745" i="4"/>
  <c r="W745" i="4"/>
  <c r="AP745" i="4" s="1"/>
  <c r="AA745" i="4"/>
  <c r="AF745" i="4"/>
  <c r="AV745" i="4"/>
  <c r="AW745" i="4"/>
  <c r="O746" i="4"/>
  <c r="S746" i="4"/>
  <c r="W746" i="4"/>
  <c r="AA746" i="4"/>
  <c r="AL746" i="4" s="1"/>
  <c r="AF746" i="4"/>
  <c r="AV746" i="4"/>
  <c r="AW746" i="4" s="1"/>
  <c r="O747" i="4"/>
  <c r="S747" i="4"/>
  <c r="W747" i="4"/>
  <c r="AA747" i="4"/>
  <c r="AF747" i="4"/>
  <c r="AV747" i="4"/>
  <c r="AW747" i="4"/>
  <c r="O748" i="4"/>
  <c r="S748" i="4"/>
  <c r="W748" i="4"/>
  <c r="AA748" i="4"/>
  <c r="AF748" i="4"/>
  <c r="AP748" i="4"/>
  <c r="AV748" i="4"/>
  <c r="AW748" i="4"/>
  <c r="O749" i="4"/>
  <c r="S749" i="4"/>
  <c r="W749" i="4"/>
  <c r="AA749" i="4"/>
  <c r="AF749" i="4"/>
  <c r="AV749" i="4"/>
  <c r="AW749" i="4" s="1"/>
  <c r="O750" i="4"/>
  <c r="S750" i="4"/>
  <c r="W750" i="4"/>
  <c r="AA750" i="4"/>
  <c r="AF750" i="4"/>
  <c r="AV750" i="4"/>
  <c r="AW750" i="4" s="1"/>
  <c r="O751" i="4"/>
  <c r="S751" i="4"/>
  <c r="W751" i="4"/>
  <c r="AA751" i="4"/>
  <c r="AF751" i="4"/>
  <c r="AV751" i="4"/>
  <c r="AW751" i="4" s="1"/>
  <c r="O752" i="4"/>
  <c r="S752" i="4"/>
  <c r="W752" i="4"/>
  <c r="AA752" i="4"/>
  <c r="AF752" i="4"/>
  <c r="AV752" i="4"/>
  <c r="AW752" i="4"/>
  <c r="O753" i="4"/>
  <c r="S753" i="4"/>
  <c r="W753" i="4"/>
  <c r="AA753" i="4"/>
  <c r="AF753" i="4"/>
  <c r="AV753" i="4"/>
  <c r="AW753" i="4"/>
  <c r="O754" i="4"/>
  <c r="S754" i="4"/>
  <c r="AM754" i="4" s="1"/>
  <c r="W754" i="4"/>
  <c r="AA754" i="4"/>
  <c r="AF754" i="4"/>
  <c r="AV754" i="4"/>
  <c r="AW754" i="4"/>
  <c r="O755" i="4"/>
  <c r="S755" i="4"/>
  <c r="AL755" i="4" s="1"/>
  <c r="W755" i="4"/>
  <c r="AA755" i="4"/>
  <c r="AF755" i="4"/>
  <c r="AV755" i="4"/>
  <c r="AW755" i="4"/>
  <c r="O756" i="4"/>
  <c r="AM756" i="4" s="1"/>
  <c r="S756" i="4"/>
  <c r="W756" i="4"/>
  <c r="AA756" i="4"/>
  <c r="AF756" i="4"/>
  <c r="AV756" i="4"/>
  <c r="AW756" i="4" s="1"/>
  <c r="O757" i="4"/>
  <c r="S757" i="4"/>
  <c r="AM757" i="4" s="1"/>
  <c r="W757" i="4"/>
  <c r="AA757" i="4"/>
  <c r="AF757" i="4"/>
  <c r="AV757" i="4"/>
  <c r="AW757" i="4" s="1"/>
  <c r="O758" i="4"/>
  <c r="S758" i="4"/>
  <c r="W758" i="4"/>
  <c r="AA758" i="4"/>
  <c r="AF758" i="4"/>
  <c r="AV758" i="4"/>
  <c r="AW758" i="4"/>
  <c r="O759" i="4"/>
  <c r="S759" i="4"/>
  <c r="W759" i="4"/>
  <c r="AA759" i="4"/>
  <c r="AF759" i="4"/>
  <c r="AV759" i="4"/>
  <c r="AW759" i="4" s="1"/>
  <c r="O760" i="4"/>
  <c r="S760" i="4"/>
  <c r="W760" i="4"/>
  <c r="AA760" i="4"/>
  <c r="AF760" i="4"/>
  <c r="AV760" i="4"/>
  <c r="AW760" i="4" s="1"/>
  <c r="O761" i="4"/>
  <c r="S761" i="4"/>
  <c r="W761" i="4"/>
  <c r="AA761" i="4"/>
  <c r="AF761" i="4"/>
  <c r="AV761" i="4"/>
  <c r="AW761" i="4" s="1"/>
  <c r="O762" i="4"/>
  <c r="S762" i="4"/>
  <c r="W762" i="4"/>
  <c r="AA762" i="4"/>
  <c r="AF762" i="4"/>
  <c r="AQ762" i="4"/>
  <c r="AV762" i="4"/>
  <c r="AW762" i="4"/>
  <c r="O763" i="4"/>
  <c r="AP763" i="4" s="1"/>
  <c r="S763" i="4"/>
  <c r="W763" i="4"/>
  <c r="AA763" i="4"/>
  <c r="AF763" i="4"/>
  <c r="AL763" i="4"/>
  <c r="AQ763" i="4"/>
  <c r="AR763" i="4" s="1"/>
  <c r="AV763" i="4"/>
  <c r="AW763" i="4" s="1"/>
  <c r="O764" i="4"/>
  <c r="AQ764" i="4" s="1"/>
  <c r="S764" i="4"/>
  <c r="W764" i="4"/>
  <c r="AA764" i="4"/>
  <c r="AF764" i="4"/>
  <c r="AM764" i="4"/>
  <c r="AV764" i="4"/>
  <c r="AW764" i="4" s="1"/>
  <c r="O765" i="4"/>
  <c r="S765" i="4"/>
  <c r="W765" i="4"/>
  <c r="AA765" i="4"/>
  <c r="AF765" i="4"/>
  <c r="AV765" i="4"/>
  <c r="AW765" i="4" s="1"/>
  <c r="O766" i="4"/>
  <c r="S766" i="4"/>
  <c r="W766" i="4"/>
  <c r="AA766" i="4"/>
  <c r="AF766" i="4"/>
  <c r="AV766" i="4"/>
  <c r="AW766" i="4" s="1"/>
  <c r="O767" i="4"/>
  <c r="S767" i="4"/>
  <c r="W767" i="4"/>
  <c r="AA767" i="4"/>
  <c r="AF767" i="4"/>
  <c r="AV767" i="4"/>
  <c r="AW767" i="4" s="1"/>
  <c r="O768" i="4"/>
  <c r="AM768" i="4" s="1"/>
  <c r="S768" i="4"/>
  <c r="W768" i="4"/>
  <c r="AA768" i="4"/>
  <c r="AF768" i="4"/>
  <c r="AV768" i="4"/>
  <c r="AW768" i="4"/>
  <c r="O769" i="4"/>
  <c r="S769" i="4"/>
  <c r="W769" i="4"/>
  <c r="AA769" i="4"/>
  <c r="AF769" i="4"/>
  <c r="AV769" i="4"/>
  <c r="AW769" i="4" s="1"/>
  <c r="O770" i="4"/>
  <c r="S770" i="4"/>
  <c r="W770" i="4"/>
  <c r="AA770" i="4"/>
  <c r="AF770" i="4"/>
  <c r="AV770" i="4"/>
  <c r="AW770" i="4" s="1"/>
  <c r="O771" i="4"/>
  <c r="S771" i="4"/>
  <c r="AP771" i="4" s="1"/>
  <c r="W771" i="4"/>
  <c r="AA771" i="4"/>
  <c r="AF771" i="4"/>
  <c r="AV771" i="4"/>
  <c r="AW771" i="4" s="1"/>
  <c r="O772" i="4"/>
  <c r="AP772" i="4" s="1"/>
  <c r="S772" i="4"/>
  <c r="W772" i="4"/>
  <c r="AA772" i="4"/>
  <c r="AF772" i="4"/>
  <c r="AQ772" i="4"/>
  <c r="AV772" i="4"/>
  <c r="AW772" i="4"/>
  <c r="O773" i="4"/>
  <c r="S773" i="4"/>
  <c r="W773" i="4"/>
  <c r="AA773" i="4"/>
  <c r="AF773" i="4"/>
  <c r="AV773" i="4"/>
  <c r="AW773" i="4" s="1"/>
  <c r="O774" i="4"/>
  <c r="S774" i="4"/>
  <c r="W774" i="4"/>
  <c r="AA774" i="4"/>
  <c r="AF774" i="4"/>
  <c r="AV774" i="4"/>
  <c r="AW774" i="4" s="1"/>
  <c r="O775" i="4"/>
  <c r="AP775" i="4" s="1"/>
  <c r="S775" i="4"/>
  <c r="W775" i="4"/>
  <c r="AA775" i="4"/>
  <c r="AF775" i="4"/>
  <c r="AM775" i="4"/>
  <c r="AV775" i="4"/>
  <c r="AW775" i="4" s="1"/>
  <c r="O776" i="4"/>
  <c r="S776" i="4"/>
  <c r="AL776" i="4" s="1"/>
  <c r="W776" i="4"/>
  <c r="AA776" i="4"/>
  <c r="AF776" i="4"/>
  <c r="AM776" i="4"/>
  <c r="AV776" i="4"/>
  <c r="AW776" i="4"/>
  <c r="O777" i="4"/>
  <c r="AQ777" i="4" s="1"/>
  <c r="S777" i="4"/>
  <c r="AL777" i="4" s="1"/>
  <c r="W777" i="4"/>
  <c r="AA777" i="4"/>
  <c r="AF777" i="4"/>
  <c r="AM777" i="4"/>
  <c r="AV777" i="4"/>
  <c r="AW777" i="4" s="1"/>
  <c r="O778" i="4"/>
  <c r="AM778" i="4" s="1"/>
  <c r="AN778" i="4" s="1"/>
  <c r="S778" i="4"/>
  <c r="AQ778" i="4" s="1"/>
  <c r="W778" i="4"/>
  <c r="AA778" i="4"/>
  <c r="AF778" i="4"/>
  <c r="AL778" i="4"/>
  <c r="AP778" i="4"/>
  <c r="AV778" i="4"/>
  <c r="AW778" i="4"/>
  <c r="O779" i="4"/>
  <c r="S779" i="4"/>
  <c r="W779" i="4"/>
  <c r="AA779" i="4"/>
  <c r="AF779" i="4"/>
  <c r="AV779" i="4"/>
  <c r="AW779" i="4"/>
  <c r="O780" i="4"/>
  <c r="S780" i="4"/>
  <c r="W780" i="4"/>
  <c r="AA780" i="4"/>
  <c r="AF780" i="4"/>
  <c r="AV780" i="4"/>
  <c r="AW780" i="4"/>
  <c r="O781" i="4"/>
  <c r="S781" i="4"/>
  <c r="W781" i="4"/>
  <c r="AA781" i="4"/>
  <c r="AF781" i="4"/>
  <c r="AV781" i="4"/>
  <c r="AW781" i="4" s="1"/>
  <c r="O782" i="4"/>
  <c r="S782" i="4"/>
  <c r="W782" i="4"/>
  <c r="AA782" i="4"/>
  <c r="AM782" i="4" s="1"/>
  <c r="AF782" i="4"/>
  <c r="AV782" i="4"/>
  <c r="AW782" i="4" s="1"/>
  <c r="O783" i="4"/>
  <c r="AM783" i="4" s="1"/>
  <c r="S783" i="4"/>
  <c r="W783" i="4"/>
  <c r="AA783" i="4"/>
  <c r="AF783" i="4"/>
  <c r="AP783" i="4"/>
  <c r="AV783" i="4"/>
  <c r="AW783" i="4" s="1"/>
  <c r="O784" i="4"/>
  <c r="S784" i="4"/>
  <c r="W784" i="4"/>
  <c r="AA784" i="4"/>
  <c r="AF784" i="4"/>
  <c r="AV784" i="4"/>
  <c r="AW784" i="4" s="1"/>
  <c r="O785" i="4"/>
  <c r="S785" i="4"/>
  <c r="AP785" i="4" s="1"/>
  <c r="W785" i="4"/>
  <c r="AA785" i="4"/>
  <c r="AF785" i="4"/>
  <c r="AM785" i="4"/>
  <c r="AV785" i="4"/>
  <c r="AW785" i="4"/>
  <c r="O786" i="4"/>
  <c r="S786" i="4"/>
  <c r="W786" i="4"/>
  <c r="AA786" i="4"/>
  <c r="AF786" i="4"/>
  <c r="AL786" i="4"/>
  <c r="AV786" i="4"/>
  <c r="AW786" i="4"/>
  <c r="O787" i="4"/>
  <c r="S787" i="4"/>
  <c r="W787" i="4"/>
  <c r="AA787" i="4"/>
  <c r="AF787" i="4"/>
  <c r="AM787" i="4"/>
  <c r="AV787" i="4"/>
  <c r="AW787" i="4" s="1"/>
  <c r="O788" i="4"/>
  <c r="AL788" i="4" s="1"/>
  <c r="S788" i="4"/>
  <c r="W788" i="4"/>
  <c r="AA788" i="4"/>
  <c r="AF788" i="4"/>
  <c r="AV788" i="4"/>
  <c r="AW788" i="4" s="1"/>
  <c r="O789" i="4"/>
  <c r="S789" i="4"/>
  <c r="W789" i="4"/>
  <c r="AA789" i="4"/>
  <c r="AF789" i="4"/>
  <c r="AV789" i="4"/>
  <c r="AW789" i="4" s="1"/>
  <c r="O790" i="4"/>
  <c r="S790" i="4"/>
  <c r="W790" i="4"/>
  <c r="AA790" i="4"/>
  <c r="AF790" i="4"/>
  <c r="AV790" i="4"/>
  <c r="AW790" i="4" s="1"/>
  <c r="O791" i="4"/>
  <c r="S791" i="4"/>
  <c r="W791" i="4"/>
  <c r="AA791" i="4"/>
  <c r="AF791" i="4"/>
  <c r="AV791" i="4"/>
  <c r="AW791" i="4" s="1"/>
  <c r="O792" i="4"/>
  <c r="S792" i="4"/>
  <c r="W792" i="4"/>
  <c r="AA792" i="4"/>
  <c r="AF792" i="4"/>
  <c r="AV792" i="4"/>
  <c r="AW792" i="4"/>
  <c r="O793" i="4"/>
  <c r="S793" i="4"/>
  <c r="W793" i="4"/>
  <c r="AA793" i="4"/>
  <c r="AQ793" i="4" s="1"/>
  <c r="AF793" i="4"/>
  <c r="AV793" i="4"/>
  <c r="AW793" i="4" s="1"/>
  <c r="O794" i="4"/>
  <c r="S794" i="4"/>
  <c r="W794" i="4"/>
  <c r="AA794" i="4"/>
  <c r="AF794" i="4"/>
  <c r="AP794" i="4" s="1"/>
  <c r="AM794" i="4"/>
  <c r="AV794" i="4"/>
  <c r="AW794" i="4"/>
  <c r="O795" i="4"/>
  <c r="S795" i="4"/>
  <c r="W795" i="4"/>
  <c r="AA795" i="4"/>
  <c r="AF795" i="4"/>
  <c r="AV795" i="4"/>
  <c r="AW795" i="4"/>
  <c r="O796" i="4"/>
  <c r="S796" i="4"/>
  <c r="W796" i="4"/>
  <c r="AA796" i="4"/>
  <c r="AF796" i="4"/>
  <c r="AV796" i="4"/>
  <c r="AW796" i="4"/>
  <c r="O797" i="4"/>
  <c r="S797" i="4"/>
  <c r="W797" i="4"/>
  <c r="AA797" i="4"/>
  <c r="AF797" i="4"/>
  <c r="AV797" i="4"/>
  <c r="AW797" i="4"/>
  <c r="O798" i="4"/>
  <c r="S798" i="4"/>
  <c r="W798" i="4"/>
  <c r="AA798" i="4"/>
  <c r="AF798" i="4"/>
  <c r="AV798" i="4"/>
  <c r="AW798" i="4" s="1"/>
  <c r="O799" i="4"/>
  <c r="S799" i="4"/>
  <c r="W799" i="4"/>
  <c r="AA799" i="4"/>
  <c r="AF799" i="4"/>
  <c r="AV799" i="4"/>
  <c r="AW799" i="4" s="1"/>
  <c r="O800" i="4"/>
  <c r="S800" i="4"/>
  <c r="W800" i="4"/>
  <c r="AA800" i="4"/>
  <c r="AF800" i="4"/>
  <c r="AV800" i="4"/>
  <c r="AW800" i="4"/>
  <c r="O801" i="4"/>
  <c r="S801" i="4"/>
  <c r="W801" i="4"/>
  <c r="AA801" i="4"/>
  <c r="AF801" i="4"/>
  <c r="AV801" i="4"/>
  <c r="AW801" i="4" s="1"/>
  <c r="O802" i="4"/>
  <c r="S802" i="4"/>
  <c r="W802" i="4"/>
  <c r="AA802" i="4"/>
  <c r="AF802" i="4"/>
  <c r="AV802" i="4"/>
  <c r="AW802" i="4"/>
  <c r="O803" i="4"/>
  <c r="S803" i="4"/>
  <c r="W803" i="4"/>
  <c r="AA803" i="4"/>
  <c r="AF803" i="4"/>
  <c r="AV803" i="4"/>
  <c r="AW803" i="4"/>
  <c r="O804" i="4"/>
  <c r="AM804" i="4" s="1"/>
  <c r="S804" i="4"/>
  <c r="W804" i="4"/>
  <c r="AA804" i="4"/>
  <c r="AF804" i="4"/>
  <c r="AV804" i="4"/>
  <c r="AW804" i="4" s="1"/>
  <c r="O805" i="4"/>
  <c r="S805" i="4"/>
  <c r="W805" i="4"/>
  <c r="AA805" i="4"/>
  <c r="AF805" i="4"/>
  <c r="AV805" i="4"/>
  <c r="AW805" i="4" s="1"/>
  <c r="O806" i="4"/>
  <c r="S806" i="4"/>
  <c r="W806" i="4"/>
  <c r="AA806" i="4"/>
  <c r="AF806" i="4"/>
  <c r="AV806" i="4"/>
  <c r="AW806" i="4" s="1"/>
  <c r="O807" i="4"/>
  <c r="S807" i="4"/>
  <c r="W807" i="4"/>
  <c r="AA807" i="4"/>
  <c r="AF807" i="4"/>
  <c r="AV807" i="4"/>
  <c r="AW807" i="4"/>
  <c r="O808" i="4"/>
  <c r="S808" i="4"/>
  <c r="W808" i="4"/>
  <c r="AA808" i="4"/>
  <c r="AF808" i="4"/>
  <c r="AV808" i="4"/>
  <c r="AW808" i="4" s="1"/>
  <c r="O809" i="4"/>
  <c r="AP809" i="4" s="1"/>
  <c r="S809" i="4"/>
  <c r="W809" i="4"/>
  <c r="AA809" i="4"/>
  <c r="AF809" i="4"/>
  <c r="AL809" i="4"/>
  <c r="AV809" i="4"/>
  <c r="AW809" i="4" s="1"/>
  <c r="O810" i="4"/>
  <c r="S810" i="4"/>
  <c r="W810" i="4"/>
  <c r="AA810" i="4"/>
  <c r="AF810" i="4"/>
  <c r="AV810" i="4"/>
  <c r="AW810" i="4" s="1"/>
  <c r="O811" i="4"/>
  <c r="S811" i="4"/>
  <c r="W811" i="4"/>
  <c r="AA811" i="4"/>
  <c r="AF811" i="4"/>
  <c r="AM811" i="4" s="1"/>
  <c r="AV811" i="4"/>
  <c r="AW811" i="4" s="1"/>
  <c r="O812" i="4"/>
  <c r="S812" i="4"/>
  <c r="W812" i="4"/>
  <c r="AA812" i="4"/>
  <c r="AF812" i="4"/>
  <c r="AV812" i="4"/>
  <c r="AW812" i="4" s="1"/>
  <c r="O813" i="4"/>
  <c r="S813" i="4"/>
  <c r="AL813" i="4" s="1"/>
  <c r="W813" i="4"/>
  <c r="AA813" i="4"/>
  <c r="AF813" i="4"/>
  <c r="AP813" i="4"/>
  <c r="AV813" i="4"/>
  <c r="AW813" i="4" s="1"/>
  <c r="O814" i="4"/>
  <c r="AP814" i="4" s="1"/>
  <c r="S814" i="4"/>
  <c r="W814" i="4"/>
  <c r="AA814" i="4"/>
  <c r="AF814" i="4"/>
  <c r="AV814" i="4"/>
  <c r="AW814" i="4"/>
  <c r="O815" i="4"/>
  <c r="S815" i="4"/>
  <c r="AL815" i="4" s="1"/>
  <c r="W815" i="4"/>
  <c r="AA815" i="4"/>
  <c r="AF815" i="4"/>
  <c r="AQ815" i="4"/>
  <c r="AV815" i="4"/>
  <c r="AW815" i="4"/>
  <c r="O816" i="4"/>
  <c r="S816" i="4"/>
  <c r="AL816" i="4" s="1"/>
  <c r="W816" i="4"/>
  <c r="AA816" i="4"/>
  <c r="AF816" i="4"/>
  <c r="AV816" i="4"/>
  <c r="AW816" i="4" s="1"/>
  <c r="O817" i="4"/>
  <c r="S817" i="4"/>
  <c r="W817" i="4"/>
  <c r="AA817" i="4"/>
  <c r="AF817" i="4"/>
  <c r="AV817" i="4"/>
  <c r="AW817" i="4" s="1"/>
  <c r="O818" i="4"/>
  <c r="S818" i="4"/>
  <c r="W818" i="4"/>
  <c r="AA818" i="4"/>
  <c r="AF818" i="4"/>
  <c r="AV818" i="4"/>
  <c r="AW818" i="4" s="1"/>
  <c r="O819" i="4"/>
  <c r="S819" i="4"/>
  <c r="W819" i="4"/>
  <c r="AA819" i="4"/>
  <c r="AF819" i="4"/>
  <c r="AL819" i="4"/>
  <c r="AV819" i="4"/>
  <c r="AW819" i="4"/>
  <c r="O820" i="4"/>
  <c r="S820" i="4"/>
  <c r="W820" i="4"/>
  <c r="AA820" i="4"/>
  <c r="AQ820" i="4" s="1"/>
  <c r="AF820" i="4"/>
  <c r="AP820" i="4"/>
  <c r="AR820" i="4" s="1"/>
  <c r="AV820" i="4"/>
  <c r="AW820" i="4" s="1"/>
  <c r="O821" i="4"/>
  <c r="S821" i="4"/>
  <c r="W821" i="4"/>
  <c r="AA821" i="4"/>
  <c r="AF821" i="4"/>
  <c r="AV821" i="4"/>
  <c r="AW821" i="4"/>
  <c r="O822" i="4"/>
  <c r="S822" i="4"/>
  <c r="W822" i="4"/>
  <c r="AA822" i="4"/>
  <c r="AM822" i="4" s="1"/>
  <c r="AF822" i="4"/>
  <c r="AQ822" i="4"/>
  <c r="AV822" i="4"/>
  <c r="AW822" i="4" s="1"/>
  <c r="O823" i="4"/>
  <c r="AM823" i="4" s="1"/>
  <c r="S823" i="4"/>
  <c r="AL823" i="4" s="1"/>
  <c r="AN823" i="4" s="1"/>
  <c r="W823" i="4"/>
  <c r="AA823" i="4"/>
  <c r="AF823" i="4"/>
  <c r="AV823" i="4"/>
  <c r="AW823" i="4" s="1"/>
  <c r="O824" i="4"/>
  <c r="S824" i="4"/>
  <c r="W824" i="4"/>
  <c r="AA824" i="4"/>
  <c r="AF824" i="4"/>
  <c r="AV824" i="4"/>
  <c r="AW824" i="4"/>
  <c r="O825" i="4"/>
  <c r="S825" i="4"/>
  <c r="W825" i="4"/>
  <c r="AA825" i="4"/>
  <c r="AF825" i="4"/>
  <c r="AV825" i="4"/>
  <c r="AW825" i="4" s="1"/>
  <c r="O826" i="4"/>
  <c r="S826" i="4"/>
  <c r="W826" i="4"/>
  <c r="AQ826" i="4" s="1"/>
  <c r="AA826" i="4"/>
  <c r="AF826" i="4"/>
  <c r="AV826" i="4"/>
  <c r="AW826" i="4"/>
  <c r="O827" i="4"/>
  <c r="AQ827" i="4" s="1"/>
  <c r="S827" i="4"/>
  <c r="AM827" i="4" s="1"/>
  <c r="W827" i="4"/>
  <c r="AA827" i="4"/>
  <c r="AF827" i="4"/>
  <c r="AP827" i="4"/>
  <c r="AR827" i="4"/>
  <c r="AV827" i="4"/>
  <c r="AW827" i="4" s="1"/>
  <c r="O828" i="4"/>
  <c r="S828" i="4"/>
  <c r="W828" i="4"/>
  <c r="AA828" i="4"/>
  <c r="AF828" i="4"/>
  <c r="AV828" i="4"/>
  <c r="AW828" i="4"/>
  <c r="O829" i="4"/>
  <c r="S829" i="4"/>
  <c r="W829" i="4"/>
  <c r="AA829" i="4"/>
  <c r="AF829" i="4"/>
  <c r="AV829" i="4"/>
  <c r="AW829" i="4" s="1"/>
  <c r="O830" i="4"/>
  <c r="S830" i="4"/>
  <c r="W830" i="4"/>
  <c r="AA830" i="4"/>
  <c r="AF830" i="4"/>
  <c r="AV830" i="4"/>
  <c r="AW830" i="4" s="1"/>
  <c r="O831" i="4"/>
  <c r="S831" i="4"/>
  <c r="W831" i="4"/>
  <c r="AA831" i="4"/>
  <c r="AF831" i="4"/>
  <c r="AV831" i="4"/>
  <c r="AW831" i="4" s="1"/>
  <c r="O832" i="4"/>
  <c r="S832" i="4"/>
  <c r="W832" i="4"/>
  <c r="AA832" i="4"/>
  <c r="AF832" i="4"/>
  <c r="AV832" i="4"/>
  <c r="AW832" i="4" s="1"/>
  <c r="O833" i="4"/>
  <c r="S833" i="4"/>
  <c r="W833" i="4"/>
  <c r="AA833" i="4"/>
  <c r="AF833" i="4"/>
  <c r="AM833" i="4"/>
  <c r="AV833" i="4"/>
  <c r="AW833" i="4" s="1"/>
  <c r="O834" i="4"/>
  <c r="S834" i="4"/>
  <c r="W834" i="4"/>
  <c r="AA834" i="4"/>
  <c r="AF834" i="4"/>
  <c r="AV834" i="4"/>
  <c r="AW834" i="4" s="1"/>
  <c r="O835" i="4"/>
  <c r="S835" i="4"/>
  <c r="W835" i="4"/>
  <c r="AA835" i="4"/>
  <c r="AF835" i="4"/>
  <c r="AV835" i="4"/>
  <c r="AW835" i="4" s="1"/>
  <c r="O836" i="4"/>
  <c r="S836" i="4"/>
  <c r="W836" i="4"/>
  <c r="AA836" i="4"/>
  <c r="AF836" i="4"/>
  <c r="AV836" i="4"/>
  <c r="AW836" i="4" s="1"/>
  <c r="O837" i="4"/>
  <c r="S837" i="4"/>
  <c r="W837" i="4"/>
  <c r="AA837" i="4"/>
  <c r="AF837" i="4"/>
  <c r="AQ837" i="4"/>
  <c r="AV837" i="4"/>
  <c r="AW837" i="4" s="1"/>
  <c r="O838" i="4"/>
  <c r="S838" i="4"/>
  <c r="W838" i="4"/>
  <c r="AA838" i="4"/>
  <c r="AQ838" i="4" s="1"/>
  <c r="AF838" i="4"/>
  <c r="AV838" i="4"/>
  <c r="AW838" i="4"/>
  <c r="O839" i="4"/>
  <c r="S839" i="4"/>
  <c r="W839" i="4"/>
  <c r="AA839" i="4"/>
  <c r="AM839" i="4" s="1"/>
  <c r="AF839" i="4"/>
  <c r="AV839" i="4"/>
  <c r="AW839" i="4" s="1"/>
  <c r="O840" i="4"/>
  <c r="S840" i="4"/>
  <c r="W840" i="4"/>
  <c r="AA840" i="4"/>
  <c r="AF840" i="4"/>
  <c r="AV840" i="4"/>
  <c r="AW840" i="4" s="1"/>
  <c r="O841" i="4"/>
  <c r="S841" i="4"/>
  <c r="W841" i="4"/>
  <c r="AA841" i="4"/>
  <c r="AF841" i="4"/>
  <c r="AV841" i="4"/>
  <c r="AW841" i="4" s="1"/>
  <c r="O842" i="4"/>
  <c r="S842" i="4"/>
  <c r="W842" i="4"/>
  <c r="AA842" i="4"/>
  <c r="AF842" i="4"/>
  <c r="AM842" i="4" s="1"/>
  <c r="AV842" i="4"/>
  <c r="AW842" i="4" s="1"/>
  <c r="O843" i="4"/>
  <c r="S843" i="4"/>
  <c r="W843" i="4"/>
  <c r="AA843" i="4"/>
  <c r="AF843" i="4"/>
  <c r="AV843" i="4"/>
  <c r="AW843" i="4"/>
  <c r="O844" i="4"/>
  <c r="S844" i="4"/>
  <c r="W844" i="4"/>
  <c r="AA844" i="4"/>
  <c r="AF844" i="4"/>
  <c r="AP844" i="4"/>
  <c r="AV844" i="4"/>
  <c r="AW844" i="4"/>
  <c r="O845" i="4"/>
  <c r="S845" i="4"/>
  <c r="W845" i="4"/>
  <c r="AA845" i="4"/>
  <c r="AF845" i="4"/>
  <c r="AV845" i="4"/>
  <c r="AW845" i="4" s="1"/>
  <c r="O846" i="4"/>
  <c r="S846" i="4"/>
  <c r="W846" i="4"/>
  <c r="AA846" i="4"/>
  <c r="AF846" i="4"/>
  <c r="AP846" i="4"/>
  <c r="AV846" i="4"/>
  <c r="AW846" i="4" s="1"/>
  <c r="O847" i="4"/>
  <c r="S847" i="4"/>
  <c r="W847" i="4"/>
  <c r="AA847" i="4"/>
  <c r="AF847" i="4"/>
  <c r="AP847" i="4"/>
  <c r="AV847" i="4"/>
  <c r="AW847" i="4" s="1"/>
  <c r="O848" i="4"/>
  <c r="AM848" i="4" s="1"/>
  <c r="S848" i="4"/>
  <c r="W848" i="4"/>
  <c r="AA848" i="4"/>
  <c r="AF848" i="4"/>
  <c r="AV848" i="4"/>
  <c r="AW848" i="4" s="1"/>
  <c r="O849" i="4"/>
  <c r="S849" i="4"/>
  <c r="W849" i="4"/>
  <c r="AA849" i="4"/>
  <c r="AF849" i="4"/>
  <c r="AV849" i="4"/>
  <c r="AW849" i="4"/>
  <c r="O850" i="4"/>
  <c r="S850" i="4"/>
  <c r="W850" i="4"/>
  <c r="AA850" i="4"/>
  <c r="AF850" i="4"/>
  <c r="AM850" i="4" s="1"/>
  <c r="AV850" i="4"/>
  <c r="AW850" i="4" s="1"/>
  <c r="O851" i="4"/>
  <c r="S851" i="4"/>
  <c r="W851" i="4"/>
  <c r="AA851" i="4"/>
  <c r="AF851" i="4"/>
  <c r="AV851" i="4"/>
  <c r="AW851" i="4"/>
  <c r="O852" i="4"/>
  <c r="S852" i="4"/>
  <c r="W852" i="4"/>
  <c r="AA852" i="4"/>
  <c r="AF852" i="4"/>
  <c r="AV852" i="4"/>
  <c r="AW852" i="4" s="1"/>
  <c r="O853" i="4"/>
  <c r="S853" i="4"/>
  <c r="W853" i="4"/>
  <c r="AA853" i="4"/>
  <c r="AF853" i="4"/>
  <c r="AV853" i="4"/>
  <c r="AW853" i="4" s="1"/>
  <c r="O854" i="4"/>
  <c r="S854" i="4"/>
  <c r="W854" i="4"/>
  <c r="AA854" i="4"/>
  <c r="AF854" i="4"/>
  <c r="AV854" i="4"/>
  <c r="AW854" i="4"/>
  <c r="O855" i="4"/>
  <c r="AQ855" i="4" s="1"/>
  <c r="S855" i="4"/>
  <c r="W855" i="4"/>
  <c r="AA855" i="4"/>
  <c r="AF855" i="4"/>
  <c r="AV855" i="4"/>
  <c r="AW855" i="4"/>
  <c r="O856" i="4"/>
  <c r="S856" i="4"/>
  <c r="W856" i="4"/>
  <c r="AA856" i="4"/>
  <c r="AF856" i="4"/>
  <c r="AV856" i="4"/>
  <c r="AW856" i="4"/>
  <c r="O857" i="4"/>
  <c r="AM857" i="4" s="1"/>
  <c r="S857" i="4"/>
  <c r="W857" i="4"/>
  <c r="AA857" i="4"/>
  <c r="AF857" i="4"/>
  <c r="AV857" i="4"/>
  <c r="AW857" i="4"/>
  <c r="O858" i="4"/>
  <c r="AL858" i="4" s="1"/>
  <c r="S858" i="4"/>
  <c r="W858" i="4"/>
  <c r="AA858" i="4"/>
  <c r="AF858" i="4"/>
  <c r="AV858" i="4"/>
  <c r="AW858" i="4"/>
  <c r="O859" i="4"/>
  <c r="AP859" i="4" s="1"/>
  <c r="S859" i="4"/>
  <c r="W859" i="4"/>
  <c r="AA859" i="4"/>
  <c r="AF859" i="4"/>
  <c r="AV859" i="4"/>
  <c r="AW859" i="4"/>
  <c r="O860" i="4"/>
  <c r="S860" i="4"/>
  <c r="AL860" i="4" s="1"/>
  <c r="W860" i="4"/>
  <c r="AA860" i="4"/>
  <c r="AF860" i="4"/>
  <c r="AV860" i="4"/>
  <c r="AW860" i="4" s="1"/>
  <c r="O861" i="4"/>
  <c r="S861" i="4"/>
  <c r="W861" i="4"/>
  <c r="AA861" i="4"/>
  <c r="AF861" i="4"/>
  <c r="AV861" i="4"/>
  <c r="AW861" i="4" s="1"/>
  <c r="O862" i="4"/>
  <c r="S862" i="4"/>
  <c r="W862" i="4"/>
  <c r="AA862" i="4"/>
  <c r="AF862" i="4"/>
  <c r="AV862" i="4"/>
  <c r="AW862" i="4" s="1"/>
  <c r="O863" i="4"/>
  <c r="AL863" i="4" s="1"/>
  <c r="S863" i="4"/>
  <c r="W863" i="4"/>
  <c r="AA863" i="4"/>
  <c r="AF863" i="4"/>
  <c r="AV863" i="4"/>
  <c r="AW863" i="4" s="1"/>
  <c r="O864" i="4"/>
  <c r="S864" i="4"/>
  <c r="W864" i="4"/>
  <c r="AA864" i="4"/>
  <c r="AF864" i="4"/>
  <c r="AV864" i="4"/>
  <c r="AW864" i="4" s="1"/>
  <c r="O865" i="4"/>
  <c r="S865" i="4"/>
  <c r="W865" i="4"/>
  <c r="AA865" i="4"/>
  <c r="AF865" i="4"/>
  <c r="AV865" i="4"/>
  <c r="AW865" i="4" s="1"/>
  <c r="O866" i="4"/>
  <c r="S866" i="4"/>
  <c r="W866" i="4"/>
  <c r="AA866" i="4"/>
  <c r="AF866" i="4"/>
  <c r="AV866" i="4"/>
  <c r="AW866" i="4" s="1"/>
  <c r="O867" i="4"/>
  <c r="S867" i="4"/>
  <c r="W867" i="4"/>
  <c r="AA867" i="4"/>
  <c r="AF867" i="4"/>
  <c r="AV867" i="4"/>
  <c r="AW867" i="4" s="1"/>
  <c r="O868" i="4"/>
  <c r="S868" i="4"/>
  <c r="W868" i="4"/>
  <c r="AA868" i="4"/>
  <c r="AF868" i="4"/>
  <c r="AV868" i="4"/>
  <c r="AW868" i="4" s="1"/>
  <c r="O869" i="4"/>
  <c r="S869" i="4"/>
  <c r="W869" i="4"/>
  <c r="AA869" i="4"/>
  <c r="AF869" i="4"/>
  <c r="AV869" i="4"/>
  <c r="AW869" i="4" s="1"/>
  <c r="O870" i="4"/>
  <c r="S870" i="4"/>
  <c r="W870" i="4"/>
  <c r="AA870" i="4"/>
  <c r="AF870" i="4"/>
  <c r="AM870" i="4"/>
  <c r="AQ870" i="4"/>
  <c r="AV870" i="4"/>
  <c r="AW870" i="4" s="1"/>
  <c r="O871" i="4"/>
  <c r="AM871" i="4" s="1"/>
  <c r="S871" i="4"/>
  <c r="W871" i="4"/>
  <c r="AA871" i="4"/>
  <c r="AF871" i="4"/>
  <c r="AV871" i="4"/>
  <c r="AW871" i="4" s="1"/>
  <c r="O872" i="4"/>
  <c r="S872" i="4"/>
  <c r="AP872" i="4" s="1"/>
  <c r="W872" i="4"/>
  <c r="AA872" i="4"/>
  <c r="AF872" i="4"/>
  <c r="AV872" i="4"/>
  <c r="AW872" i="4"/>
  <c r="O873" i="4"/>
  <c r="S873" i="4"/>
  <c r="AL873" i="4" s="1"/>
  <c r="W873" i="4"/>
  <c r="AA873" i="4"/>
  <c r="AF873" i="4"/>
  <c r="AV873" i="4"/>
  <c r="AW873" i="4" s="1"/>
  <c r="O874" i="4"/>
  <c r="S874" i="4"/>
  <c r="AP874" i="4" s="1"/>
  <c r="W874" i="4"/>
  <c r="AA874" i="4"/>
  <c r="AF874" i="4"/>
  <c r="AV874" i="4"/>
  <c r="AW874" i="4"/>
  <c r="O875" i="4"/>
  <c r="S875" i="4"/>
  <c r="W875" i="4"/>
  <c r="AA875" i="4"/>
  <c r="AF875" i="4"/>
  <c r="AP875" i="4"/>
  <c r="AV875" i="4"/>
  <c r="AW875" i="4" s="1"/>
  <c r="O876" i="4"/>
  <c r="AL876" i="4" s="1"/>
  <c r="S876" i="4"/>
  <c r="W876" i="4"/>
  <c r="AA876" i="4"/>
  <c r="AF876" i="4"/>
  <c r="AV876" i="4"/>
  <c r="AW876" i="4" s="1"/>
  <c r="O877" i="4"/>
  <c r="S877" i="4"/>
  <c r="W877" i="4"/>
  <c r="AA877" i="4"/>
  <c r="AF877" i="4"/>
  <c r="AV877" i="4"/>
  <c r="AW877" i="4" s="1"/>
  <c r="O878" i="4"/>
  <c r="S878" i="4"/>
  <c r="W878" i="4"/>
  <c r="AA878" i="4"/>
  <c r="AF878" i="4"/>
  <c r="AV878" i="4"/>
  <c r="AW878" i="4" s="1"/>
  <c r="O879" i="4"/>
  <c r="AL879" i="4" s="1"/>
  <c r="S879" i="4"/>
  <c r="AQ879" i="4" s="1"/>
  <c r="W879" i="4"/>
  <c r="AA879" i="4"/>
  <c r="AF879" i="4"/>
  <c r="AV879" i="4"/>
  <c r="AW879" i="4" s="1"/>
  <c r="O880" i="4"/>
  <c r="S880" i="4"/>
  <c r="W880" i="4"/>
  <c r="AA880" i="4"/>
  <c r="AF880" i="4"/>
  <c r="AV880" i="4"/>
  <c r="AW880" i="4" s="1"/>
  <c r="O881" i="4"/>
  <c r="S881" i="4"/>
  <c r="W881" i="4"/>
  <c r="AA881" i="4"/>
  <c r="AF881" i="4"/>
  <c r="AV881" i="4"/>
  <c r="AW881" i="4" s="1"/>
  <c r="O882" i="4"/>
  <c r="S882" i="4"/>
  <c r="W882" i="4"/>
  <c r="AA882" i="4"/>
  <c r="AF882" i="4"/>
  <c r="AV882" i="4"/>
  <c r="AW882" i="4" s="1"/>
  <c r="O883" i="4"/>
  <c r="S883" i="4"/>
  <c r="W883" i="4"/>
  <c r="AA883" i="4"/>
  <c r="AF883" i="4"/>
  <c r="AV883" i="4"/>
  <c r="AW883" i="4" s="1"/>
  <c r="O884" i="4"/>
  <c r="S884" i="4"/>
  <c r="W884" i="4"/>
  <c r="AA884" i="4"/>
  <c r="AF884" i="4"/>
  <c r="AV884" i="4"/>
  <c r="AW884" i="4" s="1"/>
  <c r="O885" i="4"/>
  <c r="S885" i="4"/>
  <c r="W885" i="4"/>
  <c r="AA885" i="4"/>
  <c r="AM885" i="4" s="1"/>
  <c r="AF885" i="4"/>
  <c r="AV885" i="4"/>
  <c r="AW885" i="4" s="1"/>
  <c r="O886" i="4"/>
  <c r="S886" i="4"/>
  <c r="W886" i="4"/>
  <c r="AA886" i="4"/>
  <c r="AF886" i="4"/>
  <c r="AV886" i="4"/>
  <c r="AW886" i="4" s="1"/>
  <c r="O887" i="4"/>
  <c r="AM887" i="4" s="1"/>
  <c r="S887" i="4"/>
  <c r="W887" i="4"/>
  <c r="AA887" i="4"/>
  <c r="AF887" i="4"/>
  <c r="AV887" i="4"/>
  <c r="AW887" i="4" s="1"/>
  <c r="O888" i="4"/>
  <c r="S888" i="4"/>
  <c r="W888" i="4"/>
  <c r="AA888" i="4"/>
  <c r="AF888" i="4"/>
  <c r="AV888" i="4"/>
  <c r="AW888" i="4" s="1"/>
  <c r="O889" i="4"/>
  <c r="S889" i="4"/>
  <c r="W889" i="4"/>
  <c r="AA889" i="4"/>
  <c r="AF889" i="4"/>
  <c r="AL889" i="4"/>
  <c r="AP889" i="4"/>
  <c r="AV889" i="4"/>
  <c r="AW889" i="4" s="1"/>
  <c r="O890" i="4"/>
  <c r="S890" i="4"/>
  <c r="AM890" i="4" s="1"/>
  <c r="W890" i="4"/>
  <c r="AA890" i="4"/>
  <c r="AF890" i="4"/>
  <c r="AQ890" i="4"/>
  <c r="AV890" i="4"/>
  <c r="AW890" i="4" s="1"/>
  <c r="O891" i="4"/>
  <c r="S891" i="4"/>
  <c r="W891" i="4"/>
  <c r="AA891" i="4"/>
  <c r="AF891" i="4"/>
  <c r="AV891" i="4"/>
  <c r="AW891" i="4"/>
  <c r="O892" i="4"/>
  <c r="AL892" i="4" s="1"/>
  <c r="S892" i="4"/>
  <c r="W892" i="4"/>
  <c r="AA892" i="4"/>
  <c r="AF892" i="4"/>
  <c r="AV892" i="4"/>
  <c r="AW892" i="4" s="1"/>
  <c r="O893" i="4"/>
  <c r="S893" i="4"/>
  <c r="W893" i="4"/>
  <c r="AA893" i="4"/>
  <c r="AF893" i="4"/>
  <c r="AV893" i="4"/>
  <c r="AW893" i="4"/>
  <c r="O894" i="4"/>
  <c r="S894" i="4"/>
  <c r="W894" i="4"/>
  <c r="AP894" i="4" s="1"/>
  <c r="AA894" i="4"/>
  <c r="AF894" i="4"/>
  <c r="AV894" i="4"/>
  <c r="AW894" i="4" s="1"/>
  <c r="O895" i="4"/>
  <c r="AM895" i="4" s="1"/>
  <c r="S895" i="4"/>
  <c r="W895" i="4"/>
  <c r="AA895" i="4"/>
  <c r="AF895" i="4"/>
  <c r="AV895" i="4"/>
  <c r="AW895" i="4" s="1"/>
  <c r="O896" i="4"/>
  <c r="S896" i="4"/>
  <c r="W896" i="4"/>
  <c r="AA896" i="4"/>
  <c r="AF896" i="4"/>
  <c r="AV896" i="4"/>
  <c r="AW896" i="4"/>
  <c r="O897" i="4"/>
  <c r="S897" i="4"/>
  <c r="W897" i="4"/>
  <c r="AA897" i="4"/>
  <c r="AF897" i="4"/>
  <c r="AV897" i="4"/>
  <c r="AW897" i="4"/>
  <c r="O898" i="4"/>
  <c r="AM898" i="4" s="1"/>
  <c r="S898" i="4"/>
  <c r="W898" i="4"/>
  <c r="AA898" i="4"/>
  <c r="AF898" i="4"/>
  <c r="AV898" i="4"/>
  <c r="AW898" i="4"/>
  <c r="O899" i="4"/>
  <c r="S899" i="4"/>
  <c r="W899" i="4"/>
  <c r="AA899" i="4"/>
  <c r="AF899" i="4"/>
  <c r="AV899" i="4"/>
  <c r="AW899" i="4"/>
  <c r="O900" i="4"/>
  <c r="S900" i="4"/>
  <c r="AQ900" i="4" s="1"/>
  <c r="W900" i="4"/>
  <c r="AA900" i="4"/>
  <c r="AF900" i="4"/>
  <c r="AV900" i="4"/>
  <c r="AW900" i="4" s="1"/>
  <c r="O901" i="4"/>
  <c r="AL901" i="4" s="1"/>
  <c r="S901" i="4"/>
  <c r="W901" i="4"/>
  <c r="AA901" i="4"/>
  <c r="AF901" i="4"/>
  <c r="AV901" i="4"/>
  <c r="AW901" i="4" s="1"/>
  <c r="O902" i="4"/>
  <c r="S902" i="4"/>
  <c r="W902" i="4"/>
  <c r="AA902" i="4"/>
  <c r="AF902" i="4"/>
  <c r="AV902" i="4"/>
  <c r="AW902" i="4"/>
  <c r="O903" i="4"/>
  <c r="AQ903" i="4" s="1"/>
  <c r="S903" i="4"/>
  <c r="W903" i="4"/>
  <c r="AA903" i="4"/>
  <c r="AF903" i="4"/>
  <c r="AV903" i="4"/>
  <c r="AW903" i="4"/>
  <c r="O904" i="4"/>
  <c r="AM904" i="4" s="1"/>
  <c r="S904" i="4"/>
  <c r="W904" i="4"/>
  <c r="AA904" i="4"/>
  <c r="AF904" i="4"/>
  <c r="AV904" i="4"/>
  <c r="AW904" i="4"/>
  <c r="O905" i="4"/>
  <c r="S905" i="4"/>
  <c r="W905" i="4"/>
  <c r="AA905" i="4"/>
  <c r="AF905" i="4"/>
  <c r="AV905" i="4"/>
  <c r="AW905" i="4"/>
  <c r="O906" i="4"/>
  <c r="S906" i="4"/>
  <c r="W906" i="4"/>
  <c r="AA906" i="4"/>
  <c r="AF906" i="4"/>
  <c r="AV906" i="4"/>
  <c r="AW906" i="4"/>
  <c r="O907" i="4"/>
  <c r="AL907" i="4" s="1"/>
  <c r="S907" i="4"/>
  <c r="W907" i="4"/>
  <c r="AA907" i="4"/>
  <c r="AF907" i="4"/>
  <c r="AV907" i="4"/>
  <c r="AW907" i="4" s="1"/>
  <c r="O908" i="4"/>
  <c r="AM908" i="4" s="1"/>
  <c r="S908" i="4"/>
  <c r="W908" i="4"/>
  <c r="AA908" i="4"/>
  <c r="AF908" i="4"/>
  <c r="AV908" i="4"/>
  <c r="AW908" i="4" s="1"/>
  <c r="O909" i="4"/>
  <c r="AL909" i="4" s="1"/>
  <c r="S909" i="4"/>
  <c r="W909" i="4"/>
  <c r="AA909" i="4"/>
  <c r="AF909" i="4"/>
  <c r="AV909" i="4"/>
  <c r="AW909" i="4" s="1"/>
  <c r="O910" i="4"/>
  <c r="S910" i="4"/>
  <c r="AL910" i="4" s="1"/>
  <c r="W910" i="4"/>
  <c r="AA910" i="4"/>
  <c r="AF910" i="4"/>
  <c r="AV910" i="4"/>
  <c r="AW910" i="4" s="1"/>
  <c r="O911" i="4"/>
  <c r="S911" i="4"/>
  <c r="AL911" i="4" s="1"/>
  <c r="W911" i="4"/>
  <c r="AA911" i="4"/>
  <c r="AF911" i="4"/>
  <c r="AV911" i="4"/>
  <c r="AW911" i="4" s="1"/>
  <c r="O912" i="4"/>
  <c r="S912" i="4"/>
  <c r="W912" i="4"/>
  <c r="AA912" i="4"/>
  <c r="AF912" i="4"/>
  <c r="AL912" i="4" s="1"/>
  <c r="AV912" i="4"/>
  <c r="AW912" i="4" s="1"/>
  <c r="O913" i="4"/>
  <c r="S913" i="4"/>
  <c r="W913" i="4"/>
  <c r="AA913" i="4"/>
  <c r="AF913" i="4"/>
  <c r="AV913" i="4"/>
  <c r="AW913" i="4" s="1"/>
  <c r="O914" i="4"/>
  <c r="S914" i="4"/>
  <c r="W914" i="4"/>
  <c r="AA914" i="4"/>
  <c r="AF914" i="4"/>
  <c r="AV914" i="4"/>
  <c r="AW914" i="4" s="1"/>
  <c r="O915" i="4"/>
  <c r="S915" i="4"/>
  <c r="W915" i="4"/>
  <c r="AA915" i="4"/>
  <c r="AF915" i="4"/>
  <c r="AV915" i="4"/>
  <c r="AW915" i="4" s="1"/>
  <c r="O916" i="4"/>
  <c r="S916" i="4"/>
  <c r="W916" i="4"/>
  <c r="AA916" i="4"/>
  <c r="AF916" i="4"/>
  <c r="AL916" i="4"/>
  <c r="AV916" i="4"/>
  <c r="AW916" i="4" s="1"/>
  <c r="O917" i="4"/>
  <c r="S917" i="4"/>
  <c r="W917" i="4"/>
  <c r="AA917" i="4"/>
  <c r="AF917" i="4"/>
  <c r="AV917" i="4"/>
  <c r="AW917" i="4" s="1"/>
  <c r="O918" i="4"/>
  <c r="AQ918" i="4" s="1"/>
  <c r="S918" i="4"/>
  <c r="W918" i="4"/>
  <c r="AA918" i="4"/>
  <c r="AF918" i="4"/>
  <c r="AV918" i="4"/>
  <c r="AW918" i="4" s="1"/>
  <c r="O919" i="4"/>
  <c r="AM919" i="4" s="1"/>
  <c r="S919" i="4"/>
  <c r="W919" i="4"/>
  <c r="AA919" i="4"/>
  <c r="AF919" i="4"/>
  <c r="AV919" i="4"/>
  <c r="AW919" i="4" s="1"/>
  <c r="O920" i="4"/>
  <c r="AL920" i="4" s="1"/>
  <c r="AN920" i="4" s="1"/>
  <c r="S920" i="4"/>
  <c r="W920" i="4"/>
  <c r="AQ920" i="4" s="1"/>
  <c r="AA920" i="4"/>
  <c r="AF920" i="4"/>
  <c r="AM920" i="4"/>
  <c r="AV920" i="4"/>
  <c r="AW920" i="4" s="1"/>
  <c r="O921" i="4"/>
  <c r="AM921" i="4" s="1"/>
  <c r="S921" i="4"/>
  <c r="W921" i="4"/>
  <c r="AA921" i="4"/>
  <c r="AF921" i="4"/>
  <c r="AV921" i="4"/>
  <c r="AW921" i="4" s="1"/>
  <c r="O922" i="4"/>
  <c r="AL922" i="4" s="1"/>
  <c r="S922" i="4"/>
  <c r="W922" i="4"/>
  <c r="AA922" i="4"/>
  <c r="AF922" i="4"/>
  <c r="AV922" i="4"/>
  <c r="AW922" i="4"/>
  <c r="O923" i="4"/>
  <c r="S923" i="4"/>
  <c r="W923" i="4"/>
  <c r="AA923" i="4"/>
  <c r="AF923" i="4"/>
  <c r="AV923" i="4"/>
  <c r="AW923" i="4" s="1"/>
  <c r="O924" i="4"/>
  <c r="S924" i="4"/>
  <c r="W924" i="4"/>
  <c r="AA924" i="4"/>
  <c r="AF924" i="4"/>
  <c r="AV924" i="4"/>
  <c r="AW924" i="4" s="1"/>
  <c r="O925" i="4"/>
  <c r="S925" i="4"/>
  <c r="W925" i="4"/>
  <c r="AA925" i="4"/>
  <c r="AF925" i="4"/>
  <c r="AV925" i="4"/>
  <c r="AW925" i="4" s="1"/>
  <c r="O926" i="4"/>
  <c r="AM926" i="4" s="1"/>
  <c r="AN926" i="4" s="1"/>
  <c r="S926" i="4"/>
  <c r="W926" i="4"/>
  <c r="AA926" i="4"/>
  <c r="AP926" i="4" s="1"/>
  <c r="AR926" i="4" s="1"/>
  <c r="AF926" i="4"/>
  <c r="AQ926" i="4" s="1"/>
  <c r="AL926" i="4"/>
  <c r="AV926" i="4"/>
  <c r="AW926" i="4" s="1"/>
  <c r="O927" i="4"/>
  <c r="S927" i="4"/>
  <c r="W927" i="4"/>
  <c r="AA927" i="4"/>
  <c r="AF927" i="4"/>
  <c r="AQ927" i="4"/>
  <c r="AV927" i="4"/>
  <c r="AW927" i="4" s="1"/>
  <c r="O928" i="4"/>
  <c r="S928" i="4"/>
  <c r="W928" i="4"/>
  <c r="AA928" i="4"/>
  <c r="AF928" i="4"/>
  <c r="AV928" i="4"/>
  <c r="AW928" i="4" s="1"/>
  <c r="O929" i="4"/>
  <c r="AL929" i="4" s="1"/>
  <c r="S929" i="4"/>
  <c r="W929" i="4"/>
  <c r="AA929" i="4"/>
  <c r="AF929" i="4"/>
  <c r="AV929" i="4"/>
  <c r="AW929" i="4"/>
  <c r="O930" i="4"/>
  <c r="S930" i="4"/>
  <c r="AQ930" i="4" s="1"/>
  <c r="W930" i="4"/>
  <c r="AA930" i="4"/>
  <c r="AF930" i="4"/>
  <c r="AV930" i="4"/>
  <c r="AW930" i="4"/>
  <c r="O931" i="4"/>
  <c r="S931" i="4"/>
  <c r="W931" i="4"/>
  <c r="AA931" i="4"/>
  <c r="AF931" i="4"/>
  <c r="AV931" i="4"/>
  <c r="AW931" i="4" s="1"/>
  <c r="O932" i="4"/>
  <c r="S932" i="4"/>
  <c r="W932" i="4"/>
  <c r="AA932" i="4"/>
  <c r="AF932" i="4"/>
  <c r="AV932" i="4"/>
  <c r="AW932" i="4" s="1"/>
  <c r="O933" i="4"/>
  <c r="S933" i="4"/>
  <c r="W933" i="4"/>
  <c r="AA933" i="4"/>
  <c r="AQ933" i="4" s="1"/>
  <c r="AF933" i="4"/>
  <c r="AM933" i="4"/>
  <c r="AV933" i="4"/>
  <c r="AW933" i="4" s="1"/>
  <c r="O934" i="4"/>
  <c r="S934" i="4"/>
  <c r="AM934" i="4" s="1"/>
  <c r="W934" i="4"/>
  <c r="AA934" i="4"/>
  <c r="AF934" i="4"/>
  <c r="AL934" i="4"/>
  <c r="AV934" i="4"/>
  <c r="AW934" i="4"/>
  <c r="O935" i="4"/>
  <c r="AL935" i="4" s="1"/>
  <c r="S935" i="4"/>
  <c r="W935" i="4"/>
  <c r="AA935" i="4"/>
  <c r="AF935" i="4"/>
  <c r="AV935" i="4"/>
  <c r="AW935" i="4" s="1"/>
  <c r="O936" i="4"/>
  <c r="AM936" i="4" s="1"/>
  <c r="S936" i="4"/>
  <c r="W936" i="4"/>
  <c r="AA936" i="4"/>
  <c r="AF936" i="4"/>
  <c r="AV936" i="4"/>
  <c r="AW936" i="4"/>
  <c r="O937" i="4"/>
  <c r="AL937" i="4" s="1"/>
  <c r="S937" i="4"/>
  <c r="W937" i="4"/>
  <c r="AP937" i="4" s="1"/>
  <c r="AA937" i="4"/>
  <c r="AF937" i="4"/>
  <c r="AV937" i="4"/>
  <c r="AW937" i="4"/>
  <c r="O938" i="4"/>
  <c r="S938" i="4"/>
  <c r="W938" i="4"/>
  <c r="AA938" i="4"/>
  <c r="AF938" i="4"/>
  <c r="AV938" i="4"/>
  <c r="AW938" i="4" s="1"/>
  <c r="O939" i="4"/>
  <c r="S939" i="4"/>
  <c r="W939" i="4"/>
  <c r="AA939" i="4"/>
  <c r="AF939" i="4"/>
  <c r="AV939" i="4"/>
  <c r="AW939" i="4"/>
  <c r="O940" i="4"/>
  <c r="AP940" i="4" s="1"/>
  <c r="AR940" i="4" s="1"/>
  <c r="S940" i="4"/>
  <c r="W940" i="4"/>
  <c r="AQ940" i="4" s="1"/>
  <c r="AA940" i="4"/>
  <c r="AF940" i="4"/>
  <c r="AV940" i="4"/>
  <c r="AW940" i="4" s="1"/>
  <c r="O941" i="4"/>
  <c r="S941" i="4"/>
  <c r="W941" i="4"/>
  <c r="AA941" i="4"/>
  <c r="AF941" i="4"/>
  <c r="AV941" i="4"/>
  <c r="AW941" i="4"/>
  <c r="O942" i="4"/>
  <c r="S942" i="4"/>
  <c r="W942" i="4"/>
  <c r="AA942" i="4"/>
  <c r="AF942" i="4"/>
  <c r="AV942" i="4"/>
  <c r="AW942" i="4" s="1"/>
  <c r="O943" i="4"/>
  <c r="S943" i="4"/>
  <c r="W943" i="4"/>
  <c r="AA943" i="4"/>
  <c r="AF943" i="4"/>
  <c r="AV943" i="4"/>
  <c r="AW943" i="4" s="1"/>
  <c r="O944" i="4"/>
  <c r="S944" i="4"/>
  <c r="W944" i="4"/>
  <c r="AA944" i="4"/>
  <c r="AF944" i="4"/>
  <c r="AV944" i="4"/>
  <c r="AW944" i="4" s="1"/>
  <c r="O945" i="4"/>
  <c r="S945" i="4"/>
  <c r="W945" i="4"/>
  <c r="AA945" i="4"/>
  <c r="AF945" i="4"/>
  <c r="AV945" i="4"/>
  <c r="AW945" i="4"/>
  <c r="O946" i="4"/>
  <c r="S946" i="4"/>
  <c r="W946" i="4"/>
  <c r="AA946" i="4"/>
  <c r="AF946" i="4"/>
  <c r="AM946" i="4"/>
  <c r="AV946" i="4"/>
  <c r="AW946" i="4"/>
  <c r="O947" i="4"/>
  <c r="S947" i="4"/>
  <c r="W947" i="4"/>
  <c r="AA947" i="4"/>
  <c r="AF947" i="4"/>
  <c r="AP947" i="4" s="1"/>
  <c r="AV947" i="4"/>
  <c r="AW947" i="4" s="1"/>
  <c r="O948" i="4"/>
  <c r="AQ948" i="4" s="1"/>
  <c r="S948" i="4"/>
  <c r="W948" i="4"/>
  <c r="AA948" i="4"/>
  <c r="AF948" i="4"/>
  <c r="AP948" i="4"/>
  <c r="AR948" i="4" s="1"/>
  <c r="AV948" i="4"/>
  <c r="AW948" i="4" s="1"/>
  <c r="O949" i="4"/>
  <c r="AL949" i="4" s="1"/>
  <c r="S949" i="4"/>
  <c r="W949" i="4"/>
  <c r="AA949" i="4"/>
  <c r="AF949" i="4"/>
  <c r="AV949" i="4"/>
  <c r="AW949" i="4"/>
  <c r="O950" i="4"/>
  <c r="S950" i="4"/>
  <c r="W950" i="4"/>
  <c r="AA950" i="4"/>
  <c r="AF950" i="4"/>
  <c r="AV950" i="4"/>
  <c r="AW950" i="4"/>
  <c r="O951" i="4"/>
  <c r="AQ951" i="4" s="1"/>
  <c r="S951" i="4"/>
  <c r="W951" i="4"/>
  <c r="AA951" i="4"/>
  <c r="AF951" i="4"/>
  <c r="AV951" i="4"/>
  <c r="AW951" i="4"/>
  <c r="O952" i="4"/>
  <c r="S952" i="4"/>
  <c r="W952" i="4"/>
  <c r="AA952" i="4"/>
  <c r="AF952" i="4"/>
  <c r="AV952" i="4"/>
  <c r="AW952" i="4"/>
  <c r="O953" i="4"/>
  <c r="S953" i="4"/>
  <c r="W953" i="4"/>
  <c r="AA953" i="4"/>
  <c r="AF953" i="4"/>
  <c r="AV953" i="4"/>
  <c r="AW953" i="4"/>
  <c r="O954" i="4"/>
  <c r="S954" i="4"/>
  <c r="W954" i="4"/>
  <c r="AA954" i="4"/>
  <c r="AF954" i="4"/>
  <c r="AV954" i="4"/>
  <c r="AW954" i="4"/>
  <c r="O955" i="4"/>
  <c r="AL955" i="4" s="1"/>
  <c r="S955" i="4"/>
  <c r="W955" i="4"/>
  <c r="AA955" i="4"/>
  <c r="AF955" i="4"/>
  <c r="AV955" i="4"/>
  <c r="AW955" i="4" s="1"/>
  <c r="O956" i="4"/>
  <c r="AP956" i="4" s="1"/>
  <c r="S956" i="4"/>
  <c r="W956" i="4"/>
  <c r="AA956" i="4"/>
  <c r="AF956" i="4"/>
  <c r="AV956" i="4"/>
  <c r="AW956" i="4" s="1"/>
  <c r="O957" i="4"/>
  <c r="S957" i="4"/>
  <c r="W957" i="4"/>
  <c r="AA957" i="4"/>
  <c r="AF957" i="4"/>
  <c r="AV957" i="4"/>
  <c r="AW957" i="4" s="1"/>
  <c r="O958" i="4"/>
  <c r="S958" i="4"/>
  <c r="W958" i="4"/>
  <c r="AA958" i="4"/>
  <c r="AF958" i="4"/>
  <c r="AV958" i="4"/>
  <c r="AW958" i="4"/>
  <c r="O959" i="4"/>
  <c r="S959" i="4"/>
  <c r="AL959" i="4" s="1"/>
  <c r="W959" i="4"/>
  <c r="AA959" i="4"/>
  <c r="AF959" i="4"/>
  <c r="AV959" i="4"/>
  <c r="AW959" i="4" s="1"/>
  <c r="O960" i="4"/>
  <c r="AQ960" i="4" s="1"/>
  <c r="S960" i="4"/>
  <c r="W960" i="4"/>
  <c r="AA960" i="4"/>
  <c r="AF960" i="4"/>
  <c r="AV960" i="4"/>
  <c r="AW960" i="4" s="1"/>
  <c r="O961" i="4"/>
  <c r="S961" i="4"/>
  <c r="W961" i="4"/>
  <c r="AA961" i="4"/>
  <c r="AF961" i="4"/>
  <c r="AV961" i="4"/>
  <c r="AW961" i="4" s="1"/>
  <c r="O962" i="4"/>
  <c r="S962" i="4"/>
  <c r="W962" i="4"/>
  <c r="AA962" i="4"/>
  <c r="AF962" i="4"/>
  <c r="AV962" i="4"/>
  <c r="AW962" i="4" s="1"/>
  <c r="O963" i="4"/>
  <c r="AP963" i="4" s="1"/>
  <c r="S963" i="4"/>
  <c r="AL963" i="4" s="1"/>
  <c r="W963" i="4"/>
  <c r="AA963" i="4"/>
  <c r="AF963" i="4"/>
  <c r="AV963" i="4"/>
  <c r="AW963" i="4"/>
  <c r="O964" i="4"/>
  <c r="S964" i="4"/>
  <c r="W964" i="4"/>
  <c r="AA964" i="4"/>
  <c r="AF964" i="4"/>
  <c r="AV964" i="4"/>
  <c r="AW964" i="4"/>
  <c r="O965" i="4"/>
  <c r="S965" i="4"/>
  <c r="W965" i="4"/>
  <c r="AA965" i="4"/>
  <c r="AF965" i="4"/>
  <c r="AV965" i="4"/>
  <c r="AW965" i="4"/>
  <c r="O966" i="4"/>
  <c r="S966" i="4"/>
  <c r="W966" i="4"/>
  <c r="AA966" i="4"/>
  <c r="AF966" i="4"/>
  <c r="AV966" i="4"/>
  <c r="AW966" i="4" s="1"/>
  <c r="O967" i="4"/>
  <c r="S967" i="4"/>
  <c r="W967" i="4"/>
  <c r="AA967" i="4"/>
  <c r="AF967" i="4"/>
  <c r="AV967" i="4"/>
  <c r="AW967" i="4"/>
  <c r="O968" i="4"/>
  <c r="S968" i="4"/>
  <c r="W968" i="4"/>
  <c r="AA968" i="4"/>
  <c r="AF968" i="4"/>
  <c r="AV968" i="4"/>
  <c r="AW968" i="4"/>
  <c r="O969" i="4"/>
  <c r="AM969" i="4" s="1"/>
  <c r="S969" i="4"/>
  <c r="W969" i="4"/>
  <c r="AA969" i="4"/>
  <c r="AF969" i="4"/>
  <c r="AV969" i="4"/>
  <c r="AW969" i="4" s="1"/>
  <c r="O970" i="4"/>
  <c r="S970" i="4"/>
  <c r="W970" i="4"/>
  <c r="AA970" i="4"/>
  <c r="AF970" i="4"/>
  <c r="AV970" i="4"/>
  <c r="AW970" i="4" s="1"/>
  <c r="O971" i="4"/>
  <c r="S971" i="4"/>
  <c r="W971" i="4"/>
  <c r="AA971" i="4"/>
  <c r="AF971" i="4"/>
  <c r="AV971" i="4"/>
  <c r="AW971" i="4" s="1"/>
  <c r="O972" i="4"/>
  <c r="S972" i="4"/>
  <c r="W972" i="4"/>
  <c r="AA972" i="4"/>
  <c r="AF972" i="4"/>
  <c r="AV972" i="4"/>
  <c r="AW972" i="4" s="1"/>
  <c r="O973" i="4"/>
  <c r="S973" i="4"/>
  <c r="W973" i="4"/>
  <c r="AA973" i="4"/>
  <c r="AF973" i="4"/>
  <c r="AV973" i="4"/>
  <c r="AW973" i="4" s="1"/>
  <c r="O974" i="4"/>
  <c r="S974" i="4"/>
  <c r="W974" i="4"/>
  <c r="AA974" i="4"/>
  <c r="AF974" i="4"/>
  <c r="AV974" i="4"/>
  <c r="AW974" i="4" s="1"/>
  <c r="O975" i="4"/>
  <c r="AP975" i="4" s="1"/>
  <c r="S975" i="4"/>
  <c r="W975" i="4"/>
  <c r="AA975" i="4"/>
  <c r="AF975" i="4"/>
  <c r="AV975" i="4"/>
  <c r="AW975" i="4" s="1"/>
  <c r="O976" i="4"/>
  <c r="S976" i="4"/>
  <c r="W976" i="4"/>
  <c r="AA976" i="4"/>
  <c r="AF976" i="4"/>
  <c r="AV976" i="4"/>
  <c r="AW976" i="4" s="1"/>
  <c r="O977" i="4"/>
  <c r="S977" i="4"/>
  <c r="AM977" i="4" s="1"/>
  <c r="W977" i="4"/>
  <c r="AA977" i="4"/>
  <c r="AF977" i="4"/>
  <c r="AV977" i="4"/>
  <c r="AW977" i="4"/>
  <c r="O978" i="4"/>
  <c r="AP978" i="4" s="1"/>
  <c r="S978" i="4"/>
  <c r="W978" i="4"/>
  <c r="AA978" i="4"/>
  <c r="AF978" i="4"/>
  <c r="AV978" i="4"/>
  <c r="AW978" i="4"/>
  <c r="O979" i="4"/>
  <c r="S979" i="4"/>
  <c r="W979" i="4"/>
  <c r="AA979" i="4"/>
  <c r="AF979" i="4"/>
  <c r="AV979" i="4"/>
  <c r="AW979" i="4" s="1"/>
  <c r="O980" i="4"/>
  <c r="S980" i="4"/>
  <c r="W980" i="4"/>
  <c r="AA980" i="4"/>
  <c r="AF980" i="4"/>
  <c r="AV980" i="4"/>
  <c r="AW980" i="4" s="1"/>
  <c r="O981" i="4"/>
  <c r="S981" i="4"/>
  <c r="W981" i="4"/>
  <c r="AP981" i="4" s="1"/>
  <c r="AA981" i="4"/>
  <c r="AF981" i="4"/>
  <c r="AM981" i="4"/>
  <c r="AV981" i="4"/>
  <c r="AW981" i="4" s="1"/>
  <c r="O982" i="4"/>
  <c r="S982" i="4"/>
  <c r="W982" i="4"/>
  <c r="AA982" i="4"/>
  <c r="AF982" i="4"/>
  <c r="AV982" i="4"/>
  <c r="AW982" i="4"/>
  <c r="O983" i="4"/>
  <c r="S983" i="4"/>
  <c r="W983" i="4"/>
  <c r="AA983" i="4"/>
  <c r="AF983" i="4"/>
  <c r="AV983" i="4"/>
  <c r="AW983" i="4" s="1"/>
  <c r="O984" i="4"/>
  <c r="S984" i="4"/>
  <c r="W984" i="4"/>
  <c r="AA984" i="4"/>
  <c r="AF984" i="4"/>
  <c r="AV984" i="4"/>
  <c r="AW984" i="4" s="1"/>
  <c r="O985" i="4"/>
  <c r="S985" i="4"/>
  <c r="W985" i="4"/>
  <c r="AQ985" i="4" s="1"/>
  <c r="AA985" i="4"/>
  <c r="AF985" i="4"/>
  <c r="AP985" i="4"/>
  <c r="AR985" i="4" s="1"/>
  <c r="AV985" i="4"/>
  <c r="AW985" i="4"/>
  <c r="O986" i="4"/>
  <c r="S986" i="4"/>
  <c r="W986" i="4"/>
  <c r="AA986" i="4"/>
  <c r="AF986" i="4"/>
  <c r="AV986" i="4"/>
  <c r="AW986" i="4"/>
  <c r="O987" i="4"/>
  <c r="S987" i="4"/>
  <c r="W987" i="4"/>
  <c r="AA987" i="4"/>
  <c r="AF987" i="4"/>
  <c r="AV987" i="4"/>
  <c r="AW987" i="4" s="1"/>
  <c r="O988" i="4"/>
  <c r="S988" i="4"/>
  <c r="W988" i="4"/>
  <c r="AA988" i="4"/>
  <c r="AF988" i="4"/>
  <c r="AV988" i="4"/>
  <c r="AW988" i="4" s="1"/>
  <c r="O989" i="4"/>
  <c r="S989" i="4"/>
  <c r="W989" i="4"/>
  <c r="AA989" i="4"/>
  <c r="AP989" i="4" s="1"/>
  <c r="AF989" i="4"/>
  <c r="AL989" i="4" s="1"/>
  <c r="AV989" i="4"/>
  <c r="AW989" i="4" s="1"/>
  <c r="O990" i="4"/>
  <c r="S990" i="4"/>
  <c r="W990" i="4"/>
  <c r="AA990" i="4"/>
  <c r="AL990" i="4" s="1"/>
  <c r="AN990" i="4" s="1"/>
  <c r="AF990" i="4"/>
  <c r="AM990" i="4"/>
  <c r="AV990" i="4"/>
  <c r="AW990" i="4" s="1"/>
  <c r="O991" i="4"/>
  <c r="S991" i="4"/>
  <c r="W991" i="4"/>
  <c r="AA991" i="4"/>
  <c r="AF991" i="4"/>
  <c r="AV991" i="4"/>
  <c r="AW991" i="4"/>
  <c r="O992" i="4"/>
  <c r="S992" i="4"/>
  <c r="W992" i="4"/>
  <c r="AA992" i="4"/>
  <c r="AF992" i="4"/>
  <c r="AQ992" i="4" s="1"/>
  <c r="AL992" i="4"/>
  <c r="AP992" i="4"/>
  <c r="AV992" i="4"/>
  <c r="AW992" i="4" s="1"/>
  <c r="O993" i="4"/>
  <c r="S993" i="4"/>
  <c r="W993" i="4"/>
  <c r="AP993" i="4" s="1"/>
  <c r="AA993" i="4"/>
  <c r="AF993" i="4"/>
  <c r="AM993" i="4"/>
  <c r="AV993" i="4"/>
  <c r="AW993" i="4"/>
  <c r="O994" i="4"/>
  <c r="AM994" i="4" s="1"/>
  <c r="S994" i="4"/>
  <c r="W994" i="4"/>
  <c r="AA994" i="4"/>
  <c r="AF994" i="4"/>
  <c r="AV994" i="4"/>
  <c r="AW994" i="4"/>
  <c r="O995" i="4"/>
  <c r="AP995" i="4" s="1"/>
  <c r="S995" i="4"/>
  <c r="W995" i="4"/>
  <c r="AA995" i="4"/>
  <c r="AM995" i="4" s="1"/>
  <c r="AF995" i="4"/>
  <c r="AV995" i="4"/>
  <c r="AW995" i="4"/>
  <c r="O996" i="4"/>
  <c r="AQ996" i="4" s="1"/>
  <c r="S996" i="4"/>
  <c r="W996" i="4"/>
  <c r="AA996" i="4"/>
  <c r="AF996" i="4"/>
  <c r="AV996" i="4"/>
  <c r="AW996" i="4" s="1"/>
  <c r="O997" i="4"/>
  <c r="AL997" i="4" s="1"/>
  <c r="S997" i="4"/>
  <c r="W997" i="4"/>
  <c r="AA997" i="4"/>
  <c r="AF997" i="4"/>
  <c r="AV997" i="4"/>
  <c r="AW997" i="4" s="1"/>
  <c r="O998" i="4"/>
  <c r="S998" i="4"/>
  <c r="W998" i="4"/>
  <c r="AA998" i="4"/>
  <c r="AF998" i="4"/>
  <c r="AV998" i="4"/>
  <c r="AW998" i="4"/>
  <c r="O999" i="4"/>
  <c r="AQ999" i="4" s="1"/>
  <c r="S999" i="4"/>
  <c r="W999" i="4"/>
  <c r="AA999" i="4"/>
  <c r="AF999" i="4"/>
  <c r="AV999" i="4"/>
  <c r="AW999" i="4"/>
  <c r="O594" i="4"/>
  <c r="S594" i="4"/>
  <c r="W594" i="4"/>
  <c r="AA594" i="4"/>
  <c r="AF594" i="4"/>
  <c r="AV594" i="4"/>
  <c r="AR978" i="4" l="1"/>
  <c r="AR993" i="4"/>
  <c r="AN885" i="4"/>
  <c r="AN871" i="4"/>
  <c r="AP830" i="4"/>
  <c r="AR830" i="4" s="1"/>
  <c r="AQ830" i="4"/>
  <c r="AL796" i="4"/>
  <c r="AP796" i="4"/>
  <c r="AL765" i="4"/>
  <c r="AP765" i="4"/>
  <c r="AP761" i="4"/>
  <c r="AR761" i="4" s="1"/>
  <c r="AL761" i="4"/>
  <c r="AQ761" i="4"/>
  <c r="AL751" i="4"/>
  <c r="AP751" i="4"/>
  <c r="AL730" i="4"/>
  <c r="AP730" i="4"/>
  <c r="AN707" i="4"/>
  <c r="AP691" i="4"/>
  <c r="AR691" i="4" s="1"/>
  <c r="AL691" i="4"/>
  <c r="AM691" i="4"/>
  <c r="AQ691" i="4"/>
  <c r="AM984" i="4"/>
  <c r="AL978" i="4"/>
  <c r="AQ975" i="4"/>
  <c r="AL970" i="4"/>
  <c r="AM964" i="4"/>
  <c r="AP944" i="4"/>
  <c r="AP931" i="4"/>
  <c r="AM930" i="4"/>
  <c r="AM923" i="4"/>
  <c r="AQ911" i="4"/>
  <c r="AM910" i="4"/>
  <c r="AP906" i="4"/>
  <c r="AL895" i="4"/>
  <c r="AM894" i="4"/>
  <c r="AM886" i="4"/>
  <c r="AL884" i="4"/>
  <c r="AL878" i="4"/>
  <c r="AM864" i="4"/>
  <c r="AL853" i="4"/>
  <c r="AM853" i="4"/>
  <c r="AP853" i="4"/>
  <c r="AL831" i="4"/>
  <c r="AP811" i="4"/>
  <c r="AR811" i="4" s="1"/>
  <c r="AL804" i="4"/>
  <c r="AN804" i="4" s="1"/>
  <c r="AP804" i="4"/>
  <c r="AQ797" i="4"/>
  <c r="AM797" i="4"/>
  <c r="AP774" i="4"/>
  <c r="AL774" i="4"/>
  <c r="AQ774" i="4"/>
  <c r="AL726" i="4"/>
  <c r="AM726" i="4"/>
  <c r="AM719" i="4"/>
  <c r="AP702" i="4"/>
  <c r="AL702" i="4"/>
  <c r="AM702" i="4"/>
  <c r="AL693" i="4"/>
  <c r="AL678" i="4"/>
  <c r="AM678" i="4"/>
  <c r="AR975" i="4"/>
  <c r="AL969" i="4"/>
  <c r="AL924" i="4"/>
  <c r="AP908" i="4"/>
  <c r="AM741" i="4"/>
  <c r="AQ741" i="4"/>
  <c r="AL986" i="4"/>
  <c r="AM973" i="4"/>
  <c r="AP960" i="4"/>
  <c r="AR960" i="4" s="1"/>
  <c r="AQ955" i="4"/>
  <c r="AM953" i="4"/>
  <c r="AN953" i="4" s="1"/>
  <c r="AL948" i="4"/>
  <c r="AL942" i="4"/>
  <c r="AL941" i="4"/>
  <c r="AM932" i="4"/>
  <c r="AM925" i="4"/>
  <c r="AL923" i="4"/>
  <c r="AN923" i="4" s="1"/>
  <c r="AL921" i="4"/>
  <c r="AN921" i="4" s="1"/>
  <c r="AP912" i="4"/>
  <c r="AR912" i="4" s="1"/>
  <c r="AM911" i="4"/>
  <c r="AN911" i="4" s="1"/>
  <c r="AP910" i="4"/>
  <c r="AL908" i="4"/>
  <c r="AL906" i="4"/>
  <c r="AQ905" i="4"/>
  <c r="AP900" i="4"/>
  <c r="AR900" i="4" s="1"/>
  <c r="AM896" i="4"/>
  <c r="AL893" i="4"/>
  <c r="AL885" i="4"/>
  <c r="AQ885" i="4"/>
  <c r="AL881" i="4"/>
  <c r="AM878" i="4"/>
  <c r="AQ874" i="4"/>
  <c r="AR874" i="4" s="1"/>
  <c r="AQ873" i="4"/>
  <c r="AL871" i="4"/>
  <c r="AL867" i="4"/>
  <c r="AQ867" i="4"/>
  <c r="AM863" i="4"/>
  <c r="AN863" i="4" s="1"/>
  <c r="AM849" i="4"/>
  <c r="AM831" i="4"/>
  <c r="AP831" i="4"/>
  <c r="AQ831" i="4"/>
  <c r="AM824" i="4"/>
  <c r="AN824" i="4" s="1"/>
  <c r="AL824" i="4"/>
  <c r="AL800" i="4"/>
  <c r="AP800" i="4"/>
  <c r="AR800" i="4" s="1"/>
  <c r="AQ800" i="4"/>
  <c r="AM761" i="4"/>
  <c r="AP753" i="4"/>
  <c r="AQ753" i="4"/>
  <c r="AM752" i="4"/>
  <c r="AP752" i="4"/>
  <c r="AQ752" i="4"/>
  <c r="AM730" i="4"/>
  <c r="AN730" i="4" s="1"/>
  <c r="AM693" i="4"/>
  <c r="AP693" i="4"/>
  <c r="AQ693" i="4"/>
  <c r="AR992" i="4"/>
  <c r="AQ959" i="4"/>
  <c r="AQ941" i="4"/>
  <c r="AQ937" i="4"/>
  <c r="AM922" i="4"/>
  <c r="AN922" i="4" s="1"/>
  <c r="AP911" i="4"/>
  <c r="AR911" i="4" s="1"/>
  <c r="AL861" i="4"/>
  <c r="AN861" i="4" s="1"/>
  <c r="AQ842" i="4"/>
  <c r="AM791" i="4"/>
  <c r="AP779" i="4"/>
  <c r="AL734" i="4"/>
  <c r="AM734" i="4"/>
  <c r="AQ734" i="4"/>
  <c r="AQ730" i="4"/>
  <c r="AN671" i="4"/>
  <c r="AP983" i="4"/>
  <c r="AQ971" i="4"/>
  <c r="AM966" i="4"/>
  <c r="AM958" i="4"/>
  <c r="AP990" i="4"/>
  <c r="AL988" i="4"/>
  <c r="AM971" i="4"/>
  <c r="AQ963" i="4"/>
  <c r="AR963" i="4" s="1"/>
  <c r="AM959" i="4"/>
  <c r="AQ958" i="4"/>
  <c r="AP955" i="4"/>
  <c r="AM947" i="4"/>
  <c r="AM937" i="4"/>
  <c r="AN937" i="4" s="1"/>
  <c r="AM935" i="4"/>
  <c r="AL930" i="4"/>
  <c r="AQ916" i="4"/>
  <c r="AL915" i="4"/>
  <c r="AQ912" i="4"/>
  <c r="AQ907" i="4"/>
  <c r="AL886" i="4"/>
  <c r="AQ886" i="4"/>
  <c r="AL882" i="4"/>
  <c r="AP879" i="4"/>
  <c r="AR879" i="4" s="1"/>
  <c r="AM873" i="4"/>
  <c r="AN873" i="4" s="1"/>
  <c r="AM862" i="4"/>
  <c r="AQ860" i="4"/>
  <c r="AQ859" i="4"/>
  <c r="AM856" i="4"/>
  <c r="AL842" i="4"/>
  <c r="AN842" i="4" s="1"/>
  <c r="AP842" i="4"/>
  <c r="AL836" i="4"/>
  <c r="AM825" i="4"/>
  <c r="AQ825" i="4"/>
  <c r="AQ810" i="4"/>
  <c r="AM774" i="4"/>
  <c r="AL767" i="4"/>
  <c r="AM767" i="4"/>
  <c r="AN763" i="4"/>
  <c r="AP704" i="4"/>
  <c r="AR704" i="4" s="1"/>
  <c r="AL696" i="4"/>
  <c r="AM671" i="4"/>
  <c r="AP671" i="4"/>
  <c r="AN934" i="4"/>
  <c r="AL987" i="4"/>
  <c r="AM975" i="4"/>
  <c r="AL952" i="4"/>
  <c r="AL904" i="4"/>
  <c r="AN904" i="4" s="1"/>
  <c r="AL897" i="4"/>
  <c r="AM881" i="4"/>
  <c r="AL766" i="4"/>
  <c r="AP766" i="4"/>
  <c r="AP996" i="4"/>
  <c r="AR996" i="4" s="1"/>
  <c r="AM982" i="4"/>
  <c r="AN982" i="4" s="1"/>
  <c r="AL975" i="4"/>
  <c r="AP959" i="4"/>
  <c r="AR959" i="4" s="1"/>
  <c r="AL956" i="4"/>
  <c r="AL954" i="4"/>
  <c r="AM989" i="4"/>
  <c r="AQ978" i="4"/>
  <c r="AL972" i="4"/>
  <c r="AL967" i="4"/>
  <c r="AN967" i="4" s="1"/>
  <c r="AQ949" i="4"/>
  <c r="AL943" i="4"/>
  <c r="AM927" i="4"/>
  <c r="AM996" i="4"/>
  <c r="AL993" i="4"/>
  <c r="AN993" i="4" s="1"/>
  <c r="AP991" i="4"/>
  <c r="AQ989" i="4"/>
  <c r="AR989" i="4" s="1"/>
  <c r="AL985" i="4"/>
  <c r="AL974" i="4"/>
  <c r="AN974" i="4" s="1"/>
  <c r="AQ969" i="4"/>
  <c r="AM960" i="4"/>
  <c r="AP958" i="4"/>
  <c r="AR958" i="4" s="1"/>
  <c r="AL957" i="4"/>
  <c r="AM955" i="4"/>
  <c r="AN955" i="4" s="1"/>
  <c r="AP949" i="4"/>
  <c r="AQ934" i="4"/>
  <c r="AL933" i="4"/>
  <c r="AN933" i="4" s="1"/>
  <c r="AL927" i="4"/>
  <c r="AP925" i="4"/>
  <c r="AM916" i="4"/>
  <c r="AP909" i="4"/>
  <c r="AP907" i="4"/>
  <c r="AR907" i="4" s="1"/>
  <c r="AM900" i="4"/>
  <c r="AM897" i="4"/>
  <c r="AQ896" i="4"/>
  <c r="AP895" i="4"/>
  <c r="AQ893" i="4"/>
  <c r="AP892" i="4"/>
  <c r="AQ889" i="4"/>
  <c r="AP882" i="4"/>
  <c r="AM879" i="4"/>
  <c r="AN879" i="4" s="1"/>
  <c r="AQ878" i="4"/>
  <c r="AM868" i="4"/>
  <c r="AL864" i="4"/>
  <c r="AN864" i="4" s="1"/>
  <c r="AL859" i="4"/>
  <c r="AQ858" i="4"/>
  <c r="AL857" i="4"/>
  <c r="AN857" i="4" s="1"/>
  <c r="AQ856" i="4"/>
  <c r="AL851" i="4"/>
  <c r="AP848" i="4"/>
  <c r="AL822" i="4"/>
  <c r="AN822" i="4" s="1"/>
  <c r="AQ767" i="4"/>
  <c r="AM744" i="4"/>
  <c r="AQ726" i="4"/>
  <c r="AL720" i="4"/>
  <c r="AL718" i="4"/>
  <c r="AL713" i="4"/>
  <c r="AN713" i="4" s="1"/>
  <c r="AL681" i="4"/>
  <c r="AN681" i="4" s="1"/>
  <c r="AM681" i="4"/>
  <c r="AQ678" i="4"/>
  <c r="AN959" i="4"/>
  <c r="AR937" i="4"/>
  <c r="AM998" i="4"/>
  <c r="AL984" i="4"/>
  <c r="AP972" i="4"/>
  <c r="AQ953" i="4"/>
  <c r="AM967" i="4"/>
  <c r="AL996" i="4"/>
  <c r="AN996" i="4" s="1"/>
  <c r="AQ993" i="4"/>
  <c r="AQ986" i="4"/>
  <c r="AL983" i="4"/>
  <c r="AN983" i="4" s="1"/>
  <c r="AL982" i="4"/>
  <c r="AQ981" i="4"/>
  <c r="AR981" i="4" s="1"/>
  <c r="AM974" i="4"/>
  <c r="AQ967" i="4"/>
  <c r="AQ966" i="4"/>
  <c r="AM963" i="4"/>
  <c r="AN963" i="4" s="1"/>
  <c r="AL958" i="4"/>
  <c r="AN958" i="4" s="1"/>
  <c r="AQ954" i="4"/>
  <c r="AL953" i="4"/>
  <c r="AM949" i="4"/>
  <c r="AN949" i="4" s="1"/>
  <c r="AL947" i="4"/>
  <c r="AN947" i="4" s="1"/>
  <c r="AL945" i="4"/>
  <c r="AM942" i="4"/>
  <c r="AM941" i="4"/>
  <c r="AP934" i="4"/>
  <c r="AR934" i="4" s="1"/>
  <c r="AQ923" i="4"/>
  <c r="AQ922" i="4"/>
  <c r="AQ921" i="4"/>
  <c r="AP920" i="4"/>
  <c r="AR920" i="4" s="1"/>
  <c r="AQ919" i="4"/>
  <c r="AM918" i="4"/>
  <c r="AQ906" i="4"/>
  <c r="AM905" i="4"/>
  <c r="AL900" i="4"/>
  <c r="AN900" i="4" s="1"/>
  <c r="AP899" i="4"/>
  <c r="AQ897" i="4"/>
  <c r="AP893" i="4"/>
  <c r="AR893" i="4" s="1"/>
  <c r="AP878" i="4"/>
  <c r="AL875" i="4"/>
  <c r="AP871" i="4"/>
  <c r="AP862" i="4"/>
  <c r="AM859" i="4"/>
  <c r="AP856" i="4"/>
  <c r="AR856" i="4" s="1"/>
  <c r="AL852" i="4"/>
  <c r="AQ848" i="4"/>
  <c r="AL837" i="4"/>
  <c r="AN837" i="4" s="1"/>
  <c r="AM837" i="4"/>
  <c r="AP837" i="4"/>
  <c r="AR837" i="4" s="1"/>
  <c r="AQ834" i="4"/>
  <c r="AP833" i="4"/>
  <c r="AM830" i="4"/>
  <c r="AL828" i="4"/>
  <c r="AL826" i="4"/>
  <c r="AN826" i="4" s="1"/>
  <c r="AM826" i="4"/>
  <c r="AP826" i="4"/>
  <c r="AR826" i="4" s="1"/>
  <c r="AQ811" i="4"/>
  <c r="AL801" i="4"/>
  <c r="AN801" i="4" s="1"/>
  <c r="AM801" i="4"/>
  <c r="AP801" i="4"/>
  <c r="AQ796" i="4"/>
  <c r="AR778" i="4"/>
  <c r="AP767" i="4"/>
  <c r="AP746" i="4"/>
  <c r="AP741" i="4"/>
  <c r="AR741" i="4" s="1"/>
  <c r="AM737" i="4"/>
  <c r="AR735" i="4"/>
  <c r="AP734" i="4"/>
  <c r="AR734" i="4" s="1"/>
  <c r="AP719" i="4"/>
  <c r="AR719" i="4" s="1"/>
  <c r="AQ714" i="4"/>
  <c r="AM707" i="4"/>
  <c r="AQ681" i="4"/>
  <c r="AQ671" i="4"/>
  <c r="AP988" i="4"/>
  <c r="AQ968" i="4"/>
  <c r="AM948" i="4"/>
  <c r="AR859" i="4"/>
  <c r="AM814" i="4"/>
  <c r="AL814" i="4"/>
  <c r="AP799" i="4"/>
  <c r="AL683" i="4"/>
  <c r="AM683" i="4"/>
  <c r="AM992" i="4"/>
  <c r="AN992" i="4" s="1"/>
  <c r="AL971" i="4"/>
  <c r="AP967" i="4"/>
  <c r="AR967" i="4" s="1"/>
  <c r="AL964" i="4"/>
  <c r="AN964" i="4" s="1"/>
  <c r="AL960" i="4"/>
  <c r="AP943" i="4"/>
  <c r="AL938" i="4"/>
  <c r="AM907" i="4"/>
  <c r="AN907" i="4" s="1"/>
  <c r="AP896" i="4"/>
  <c r="AL888" i="4"/>
  <c r="AQ883" i="4"/>
  <c r="AM875" i="4"/>
  <c r="AL874" i="4"/>
  <c r="AL872" i="4"/>
  <c r="AN872" i="4" s="1"/>
  <c r="AL862" i="4"/>
  <c r="AN862" i="4" s="1"/>
  <c r="AL856" i="4"/>
  <c r="AN856" i="4" s="1"/>
  <c r="AL848" i="4"/>
  <c r="AN848" i="4" s="1"/>
  <c r="AL845" i="4"/>
  <c r="AQ794" i="4"/>
  <c r="AR794" i="4" s="1"/>
  <c r="AP789" i="4"/>
  <c r="AQ789" i="4"/>
  <c r="AN786" i="4"/>
  <c r="AR772" i="4"/>
  <c r="AL750" i="4"/>
  <c r="AP750" i="4"/>
  <c r="AL724" i="4"/>
  <c r="AM724" i="4"/>
  <c r="AP724" i="4"/>
  <c r="AM716" i="4"/>
  <c r="AL716" i="4"/>
  <c r="AN716" i="4" s="1"/>
  <c r="AQ716" i="4"/>
  <c r="AL682" i="4"/>
  <c r="AN682" i="4" s="1"/>
  <c r="AQ682" i="4"/>
  <c r="AM672" i="4"/>
  <c r="AL672" i="4"/>
  <c r="AN672" i="4" s="1"/>
  <c r="AL896" i="4"/>
  <c r="AL894" i="4"/>
  <c r="AQ892" i="4"/>
  <c r="AR892" i="4" s="1"/>
  <c r="AL891" i="4"/>
  <c r="AL890" i="4"/>
  <c r="AL883" i="4"/>
  <c r="AM872" i="4"/>
  <c r="AL870" i="4"/>
  <c r="AM852" i="4"/>
  <c r="AQ844" i="4"/>
  <c r="AL843" i="4"/>
  <c r="AL825" i="4"/>
  <c r="AN825" i="4" s="1"/>
  <c r="AQ819" i="4"/>
  <c r="AL811" i="4"/>
  <c r="AQ805" i="4"/>
  <c r="AL803" i="4"/>
  <c r="AQ801" i="4"/>
  <c r="AL795" i="4"/>
  <c r="AL794" i="4"/>
  <c r="AN794" i="4" s="1"/>
  <c r="AL793" i="4"/>
  <c r="AN793" i="4" s="1"/>
  <c r="AM792" i="4"/>
  <c r="AL790" i="4"/>
  <c r="AP782" i="4"/>
  <c r="AL780" i="4"/>
  <c r="AL764" i="4"/>
  <c r="AN764" i="4" s="1"/>
  <c r="AM751" i="4"/>
  <c r="AL745" i="4"/>
  <c r="AM743" i="4"/>
  <c r="AP726" i="4"/>
  <c r="AR726" i="4" s="1"/>
  <c r="AQ724" i="4"/>
  <c r="AL719" i="4"/>
  <c r="AN719" i="4" s="1"/>
  <c r="AL715" i="4"/>
  <c r="AN715" i="4" s="1"/>
  <c r="AL703" i="4"/>
  <c r="AL700" i="4"/>
  <c r="AL695" i="4"/>
  <c r="AL686" i="4"/>
  <c r="AP685" i="4"/>
  <c r="AP678" i="4"/>
  <c r="AR678" i="4" s="1"/>
  <c r="AL844" i="4"/>
  <c r="AL835" i="4"/>
  <c r="AM834" i="4"/>
  <c r="AL833" i="4"/>
  <c r="AN833" i="4" s="1"/>
  <c r="AM809" i="4"/>
  <c r="AN809" i="4" s="1"/>
  <c r="AM808" i="4"/>
  <c r="AL799" i="4"/>
  <c r="AM793" i="4"/>
  <c r="AL791" i="4"/>
  <c r="AN791" i="4" s="1"/>
  <c r="AL782" i="4"/>
  <c r="AM779" i="4"/>
  <c r="AL775" i="4"/>
  <c r="AN775" i="4" s="1"/>
  <c r="AL771" i="4"/>
  <c r="AM763" i="4"/>
  <c r="AL757" i="4"/>
  <c r="AL744" i="4"/>
  <c r="AN744" i="4" s="1"/>
  <c r="AP742" i="4"/>
  <c r="AM731" i="4"/>
  <c r="AQ720" i="4"/>
  <c r="AL711" i="4"/>
  <c r="AQ709" i="4"/>
  <c r="AP706" i="4"/>
  <c r="AM704" i="4"/>
  <c r="AN704" i="4" s="1"/>
  <c r="AP698" i="4"/>
  <c r="AQ696" i="4"/>
  <c r="AR696" i="4" s="1"/>
  <c r="AL674" i="4"/>
  <c r="AP672" i="4"/>
  <c r="AW33" i="4"/>
  <c r="AP851" i="4"/>
  <c r="AL849" i="4"/>
  <c r="AN849" i="4" s="1"/>
  <c r="AL847" i="4"/>
  <c r="AL841" i="4"/>
  <c r="AM840" i="4"/>
  <c r="AL834" i="4"/>
  <c r="AP823" i="4"/>
  <c r="AL820" i="4"/>
  <c r="AM799" i="4"/>
  <c r="AL792" i="4"/>
  <c r="AN792" i="4" s="1"/>
  <c r="AL770" i="4"/>
  <c r="AM766" i="4"/>
  <c r="AQ746" i="4"/>
  <c r="AQ717" i="4"/>
  <c r="AR717" i="4" s="1"/>
  <c r="AP716" i="4"/>
  <c r="AM714" i="4"/>
  <c r="AL687" i="4"/>
  <c r="AL684" i="4"/>
  <c r="AP682" i="4"/>
  <c r="AP674" i="4"/>
  <c r="AM889" i="4"/>
  <c r="AN889" i="4" s="1"/>
  <c r="AM888" i="4"/>
  <c r="AL887" i="4"/>
  <c r="AN887" i="4" s="1"/>
  <c r="AM867" i="4"/>
  <c r="AM860" i="4"/>
  <c r="AN860" i="4" s="1"/>
  <c r="AP857" i="4"/>
  <c r="AP852" i="4"/>
  <c r="AQ849" i="4"/>
  <c r="AM847" i="4"/>
  <c r="AQ846" i="4"/>
  <c r="AR846" i="4" s="1"/>
  <c r="AL839" i="4"/>
  <c r="AN839" i="4" s="1"/>
  <c r="AL838" i="4"/>
  <c r="AP822" i="4"/>
  <c r="AR822" i="4" s="1"/>
  <c r="AP819" i="4"/>
  <c r="AR819" i="4" s="1"/>
  <c r="AP812" i="4"/>
  <c r="AQ809" i="4"/>
  <c r="AM800" i="4"/>
  <c r="AQ779" i="4"/>
  <c r="AR779" i="4" s="1"/>
  <c r="AM770" i="4"/>
  <c r="AN770" i="4" s="1"/>
  <c r="AL759" i="4"/>
  <c r="AP755" i="4"/>
  <c r="AQ748" i="4"/>
  <c r="AL739" i="4"/>
  <c r="AN739" i="4" s="1"/>
  <c r="AL738" i="4"/>
  <c r="AP737" i="4"/>
  <c r="AL733" i="4"/>
  <c r="AL722" i="4"/>
  <c r="AN722" i="4" s="1"/>
  <c r="AQ704" i="4"/>
  <c r="AL675" i="4"/>
  <c r="AQ655" i="4"/>
  <c r="AL810" i="4"/>
  <c r="AP803" i="4"/>
  <c r="AP790" i="4"/>
  <c r="AL783" i="4"/>
  <c r="AN783" i="4" s="1"/>
  <c r="AN777" i="4"/>
  <c r="AN776" i="4"/>
  <c r="AL760" i="4"/>
  <c r="AL756" i="4"/>
  <c r="AN756" i="4" s="1"/>
  <c r="AL737" i="4"/>
  <c r="AP722" i="4"/>
  <c r="AM718" i="4"/>
  <c r="AL714" i="4"/>
  <c r="AQ713" i="4"/>
  <c r="AP689" i="4"/>
  <c r="AL680" i="4"/>
  <c r="AM675" i="4"/>
  <c r="AW487" i="4"/>
  <c r="AW538" i="4"/>
  <c r="AL638" i="4"/>
  <c r="AL830" i="4"/>
  <c r="AP816" i="4"/>
  <c r="AL805" i="4"/>
  <c r="AL798" i="4"/>
  <c r="AM789" i="4"/>
  <c r="AL787" i="4"/>
  <c r="AN787" i="4" s="1"/>
  <c r="AM786" i="4"/>
  <c r="AL785" i="4"/>
  <c r="AN785" i="4" s="1"/>
  <c r="AQ783" i="4"/>
  <c r="AR783" i="4" s="1"/>
  <c r="AL772" i="4"/>
  <c r="AL762" i="4"/>
  <c r="AL753" i="4"/>
  <c r="AL752" i="4"/>
  <c r="AL749" i="4"/>
  <c r="AL748" i="4"/>
  <c r="AL743" i="4"/>
  <c r="AL742" i="4"/>
  <c r="AL741" i="4"/>
  <c r="AN741" i="4" s="1"/>
  <c r="AL740" i="4"/>
  <c r="AP738" i="4"/>
  <c r="AR738" i="4" s="1"/>
  <c r="AL735" i="4"/>
  <c r="AN735" i="4" s="1"/>
  <c r="AP733" i="4"/>
  <c r="AL729" i="4"/>
  <c r="AL709" i="4"/>
  <c r="AL701" i="4"/>
  <c r="AQ700" i="4"/>
  <c r="AN689" i="4"/>
  <c r="AL685" i="4"/>
  <c r="AN685" i="4" s="1"/>
  <c r="AL645" i="4"/>
  <c r="AP637" i="4"/>
  <c r="AL300" i="4"/>
  <c r="AL102" i="4"/>
  <c r="AL655" i="4"/>
  <c r="AL666" i="4"/>
  <c r="AL455" i="4"/>
  <c r="AL398" i="4"/>
  <c r="AL607" i="4"/>
  <c r="AL486" i="4"/>
  <c r="AM247" i="4"/>
  <c r="AQ643" i="4"/>
  <c r="AL635" i="4"/>
  <c r="AL625" i="4"/>
  <c r="AP624" i="4"/>
  <c r="AM484" i="4"/>
  <c r="AM664" i="4"/>
  <c r="AP455" i="4"/>
  <c r="AL33" i="4"/>
  <c r="AM174" i="4"/>
  <c r="AL634" i="4"/>
  <c r="AM607" i="4"/>
  <c r="AP650" i="4"/>
  <c r="AM486" i="4"/>
  <c r="AL640" i="4"/>
  <c r="AP635" i="4"/>
  <c r="AL83" i="4"/>
  <c r="AM633" i="4"/>
  <c r="AL619" i="4"/>
  <c r="AP564" i="4"/>
  <c r="AM399" i="4"/>
  <c r="AL301" i="4"/>
  <c r="AM533" i="4"/>
  <c r="AL636" i="4"/>
  <c r="AP628" i="4"/>
  <c r="AP619" i="4"/>
  <c r="AL667" i="4"/>
  <c r="AL488" i="4"/>
  <c r="AL660" i="4"/>
  <c r="AP209" i="4"/>
  <c r="AP632" i="4"/>
  <c r="AL399" i="4"/>
  <c r="AM656" i="4"/>
  <c r="AL275" i="4"/>
  <c r="AL628" i="4"/>
  <c r="AN628" i="4" s="1"/>
  <c r="AW628" i="4" s="1"/>
  <c r="AM430" i="4"/>
  <c r="AP604" i="4"/>
  <c r="AP661" i="4"/>
  <c r="AP652" i="4"/>
  <c r="AP85" i="4"/>
  <c r="AQ638" i="4"/>
  <c r="AQ636" i="4"/>
  <c r="AP606" i="4"/>
  <c r="AP102" i="4"/>
  <c r="AM487" i="4"/>
  <c r="AL657" i="4"/>
  <c r="AM595" i="4"/>
  <c r="AL538" i="4"/>
  <c r="AL183" i="4"/>
  <c r="AM397" i="4"/>
  <c r="AL627" i="4"/>
  <c r="AL107" i="4"/>
  <c r="AP668" i="4"/>
  <c r="AL646" i="4"/>
  <c r="AL595" i="4"/>
  <c r="AM89" i="4"/>
  <c r="AM300" i="4"/>
  <c r="AN300" i="4" s="1"/>
  <c r="AW300" i="4" s="1"/>
  <c r="AQ645" i="4"/>
  <c r="AP125" i="4"/>
  <c r="AQ627" i="4"/>
  <c r="AL591" i="4"/>
  <c r="AL168" i="4"/>
  <c r="AP204" i="4"/>
  <c r="AL620" i="4"/>
  <c r="AL608" i="4"/>
  <c r="AM657" i="4"/>
  <c r="AQ107" i="4"/>
  <c r="AP669" i="4"/>
  <c r="AP655" i="4"/>
  <c r="AR655" i="4" s="1"/>
  <c r="AM653" i="4"/>
  <c r="AL653" i="4"/>
  <c r="AQ653" i="4"/>
  <c r="AP646" i="4"/>
  <c r="AM667" i="4"/>
  <c r="AL210" i="4"/>
  <c r="AQ210" i="4"/>
  <c r="AL644" i="4"/>
  <c r="AQ644" i="4"/>
  <c r="AL664" i="4"/>
  <c r="AM663" i="4"/>
  <c r="AL662" i="4"/>
  <c r="AQ661" i="4"/>
  <c r="AL661" i="4"/>
  <c r="AM661" i="4"/>
  <c r="AM488" i="4"/>
  <c r="AP488" i="4"/>
  <c r="AQ33" i="4"/>
  <c r="AP33" i="4"/>
  <c r="AL303" i="4"/>
  <c r="AP302" i="4"/>
  <c r="AL302" i="4"/>
  <c r="AP174" i="4"/>
  <c r="AQ174" i="4"/>
  <c r="AL174" i="4"/>
  <c r="AQ102" i="4"/>
  <c r="AM660" i="4"/>
  <c r="AL659" i="4"/>
  <c r="AQ487" i="4"/>
  <c r="AP487" i="4"/>
  <c r="AL487" i="4"/>
  <c r="AN487" i="4" s="1"/>
  <c r="AL658" i="4"/>
  <c r="AQ657" i="4"/>
  <c r="AP657" i="4"/>
  <c r="AL656" i="4"/>
  <c r="AP398" i="4"/>
  <c r="AM398" i="4"/>
  <c r="AP301" i="4"/>
  <c r="AQ301" i="4"/>
  <c r="AP595" i="4"/>
  <c r="AL654" i="4"/>
  <c r="AP654" i="4"/>
  <c r="AL89" i="4"/>
  <c r="AM652" i="4"/>
  <c r="AL652" i="4"/>
  <c r="AQ652" i="4"/>
  <c r="AQ300" i="4"/>
  <c r="AP300" i="4"/>
  <c r="AL651" i="4"/>
  <c r="AQ650" i="4"/>
  <c r="AM650" i="4"/>
  <c r="AL650" i="4"/>
  <c r="AQ85" i="4"/>
  <c r="AL85" i="4"/>
  <c r="AL648" i="4"/>
  <c r="AP247" i="4"/>
  <c r="AL247" i="4"/>
  <c r="AP645" i="4"/>
  <c r="AM645" i="4"/>
  <c r="AN645" i="4" s="1"/>
  <c r="AW645" i="4" s="1"/>
  <c r="AM275" i="4"/>
  <c r="AP639" i="4"/>
  <c r="AL485" i="4"/>
  <c r="AP485" i="4"/>
  <c r="AL209" i="4"/>
  <c r="AQ209" i="4"/>
  <c r="AL643" i="4"/>
  <c r="AP538" i="4"/>
  <c r="AL576" i="4"/>
  <c r="AM576" i="4"/>
  <c r="AL642" i="4"/>
  <c r="AQ640" i="4"/>
  <c r="AL637" i="4"/>
  <c r="AL27" i="4"/>
  <c r="AP636" i="4"/>
  <c r="AM125" i="4"/>
  <c r="AL125" i="4"/>
  <c r="AM628" i="4"/>
  <c r="AQ83" i="4"/>
  <c r="AP83" i="4"/>
  <c r="AP213" i="4"/>
  <c r="AL213" i="4"/>
  <c r="AP633" i="4"/>
  <c r="AQ633" i="4"/>
  <c r="AL633" i="4"/>
  <c r="AM183" i="4"/>
  <c r="AQ183" i="4"/>
  <c r="AM632" i="4"/>
  <c r="AL632" i="4"/>
  <c r="AN632" i="4" s="1"/>
  <c r="AL630" i="4"/>
  <c r="AQ397" i="4"/>
  <c r="AP397" i="4"/>
  <c r="AL397" i="4"/>
  <c r="AL629" i="4"/>
  <c r="AM627" i="4"/>
  <c r="AP627" i="4"/>
  <c r="AL626" i="4"/>
  <c r="AQ625" i="4"/>
  <c r="AP625" i="4"/>
  <c r="AM625" i="4"/>
  <c r="AN625" i="4" s="1"/>
  <c r="AW625" i="4" s="1"/>
  <c r="AL624" i="4"/>
  <c r="AQ624" i="4"/>
  <c r="AR624" i="4" s="1"/>
  <c r="AL623" i="4"/>
  <c r="AP623" i="4"/>
  <c r="AM168" i="4"/>
  <c r="AL430" i="4"/>
  <c r="AQ430" i="4"/>
  <c r="AP430" i="4"/>
  <c r="AL484" i="4"/>
  <c r="AQ204" i="4"/>
  <c r="AL204" i="4"/>
  <c r="AL621" i="4"/>
  <c r="AP620" i="4"/>
  <c r="AQ620" i="4"/>
  <c r="AM620" i="4"/>
  <c r="AN620" i="4" s="1"/>
  <c r="AW620" i="4" s="1"/>
  <c r="AQ619" i="4"/>
  <c r="AM616" i="4"/>
  <c r="AL616" i="4"/>
  <c r="AL614" i="4"/>
  <c r="AP608" i="4"/>
  <c r="AM608" i="4"/>
  <c r="AN608" i="4" s="1"/>
  <c r="AW608" i="4" s="1"/>
  <c r="AM606" i="4"/>
  <c r="AL606" i="4"/>
  <c r="AQ606" i="4"/>
  <c r="AM584" i="4"/>
  <c r="AL584" i="4"/>
  <c r="AP605" i="4"/>
  <c r="AQ604" i="4"/>
  <c r="AL604" i="4"/>
  <c r="AQ564" i="4"/>
  <c r="AR564" i="4" s="1"/>
  <c r="AL564" i="4"/>
  <c r="AL594" i="4"/>
  <c r="AN894" i="4"/>
  <c r="AR842" i="4"/>
  <c r="AN960" i="4"/>
  <c r="AN985" i="4"/>
  <c r="AN971" i="4"/>
  <c r="AN916" i="4"/>
  <c r="AN834" i="4"/>
  <c r="AN830" i="4"/>
  <c r="AR991" i="4"/>
  <c r="AN989" i="4"/>
  <c r="AR801" i="4"/>
  <c r="AN908" i="4"/>
  <c r="AN927" i="4"/>
  <c r="AN890" i="4"/>
  <c r="AR889" i="4"/>
  <c r="AN782" i="4"/>
  <c r="AN838" i="4"/>
  <c r="AN757" i="4"/>
  <c r="AL676" i="4"/>
  <c r="AM676" i="4"/>
  <c r="AP942" i="4"/>
  <c r="AQ787" i="4"/>
  <c r="AM622" i="4"/>
  <c r="AP622" i="4"/>
  <c r="AQ622" i="4"/>
  <c r="AL854" i="4"/>
  <c r="AM854" i="4"/>
  <c r="AP854" i="4"/>
  <c r="AQ854" i="4"/>
  <c r="AQ983" i="4"/>
  <c r="AQ974" i="4"/>
  <c r="AP933" i="4"/>
  <c r="AR933" i="4" s="1"/>
  <c r="AP919" i="4"/>
  <c r="AR919" i="4" s="1"/>
  <c r="AP905" i="4"/>
  <c r="AR905" i="4" s="1"/>
  <c r="AM882" i="4"/>
  <c r="AN882" i="4" s="1"/>
  <c r="AL868" i="4"/>
  <c r="AN868" i="4" s="1"/>
  <c r="AQ863" i="4"/>
  <c r="AM835" i="4"/>
  <c r="AN835" i="4" s="1"/>
  <c r="AM816" i="4"/>
  <c r="AN816" i="4" s="1"/>
  <c r="AP797" i="4"/>
  <c r="AR797" i="4" s="1"/>
  <c r="AL768" i="4"/>
  <c r="AN768" i="4" s="1"/>
  <c r="AM983" i="4"/>
  <c r="AP974" i="4"/>
  <c r="AR974" i="4" s="1"/>
  <c r="AM956" i="4"/>
  <c r="AN956" i="4" s="1"/>
  <c r="AQ872" i="4"/>
  <c r="AR872" i="4" s="1"/>
  <c r="AP863" i="4"/>
  <c r="AR863" i="4" s="1"/>
  <c r="AP849" i="4"/>
  <c r="AR849" i="4" s="1"/>
  <c r="AL694" i="4"/>
  <c r="AM694" i="4"/>
  <c r="AP694" i="4"/>
  <c r="AQ694" i="4"/>
  <c r="AP979" i="4"/>
  <c r="AP923" i="4"/>
  <c r="AL919" i="4"/>
  <c r="AN919" i="4" s="1"/>
  <c r="AL905" i="4"/>
  <c r="AP886" i="4"/>
  <c r="AR886" i="4" s="1"/>
  <c r="AL840" i="4"/>
  <c r="AL821" i="4"/>
  <c r="AM821" i="4"/>
  <c r="AP821" i="4"/>
  <c r="AQ821" i="4"/>
  <c r="AL797" i="4"/>
  <c r="AN797" i="4" s="1"/>
  <c r="AQ782" i="4"/>
  <c r="AR782" i="4" s="1"/>
  <c r="AL773" i="4"/>
  <c r="AM773" i="4"/>
  <c r="AP773" i="4"/>
  <c r="AQ773" i="4"/>
  <c r="AL877" i="4"/>
  <c r="AN877" i="4" s="1"/>
  <c r="AM877" i="4"/>
  <c r="AL807" i="4"/>
  <c r="AN807" i="4" s="1"/>
  <c r="AM807" i="4"/>
  <c r="AP807" i="4"/>
  <c r="AP877" i="4"/>
  <c r="AM753" i="4"/>
  <c r="AM728" i="4"/>
  <c r="AN728" i="4" s="1"/>
  <c r="AL723" i="4"/>
  <c r="AP723" i="4"/>
  <c r="AQ723" i="4"/>
  <c r="AL712" i="4"/>
  <c r="AP712" i="4"/>
  <c r="AM891" i="4"/>
  <c r="AM723" i="4"/>
  <c r="AR705" i="4"/>
  <c r="AM687" i="4"/>
  <c r="AN687" i="4" s="1"/>
  <c r="AP687" i="4"/>
  <c r="AR687" i="4" s="1"/>
  <c r="AL965" i="4"/>
  <c r="AN965" i="4" s="1"/>
  <c r="AM965" i="4"/>
  <c r="AP965" i="4"/>
  <c r="AQ965" i="4"/>
  <c r="AL928" i="4"/>
  <c r="AM928" i="4"/>
  <c r="AP928" i="4"/>
  <c r="AQ928" i="4"/>
  <c r="AQ853" i="4"/>
  <c r="AR853" i="4" s="1"/>
  <c r="AR844" i="4"/>
  <c r="AP835" i="4"/>
  <c r="AN811" i="4"/>
  <c r="AL758" i="4"/>
  <c r="AM758" i="4"/>
  <c r="AP758" i="4"/>
  <c r="AR758" i="4" s="1"/>
  <c r="AQ758" i="4"/>
  <c r="AR748" i="4"/>
  <c r="AL806" i="4"/>
  <c r="AN806" i="4" s="1"/>
  <c r="AM806" i="4"/>
  <c r="AP806" i="4"/>
  <c r="AQ806" i="4"/>
  <c r="AR767" i="4"/>
  <c r="AP743" i="4"/>
  <c r="AQ743" i="4"/>
  <c r="AL705" i="4"/>
  <c r="AN705" i="4" s="1"/>
  <c r="AM705" i="4"/>
  <c r="AQ705" i="4"/>
  <c r="AQ669" i="4"/>
  <c r="AR669" i="4" s="1"/>
  <c r="AL647" i="4"/>
  <c r="AM978" i="4"/>
  <c r="AN978" i="4" s="1"/>
  <c r="AQ964" i="4"/>
  <c r="AP927" i="4"/>
  <c r="AR927" i="4" s="1"/>
  <c r="AL914" i="4"/>
  <c r="AN914" i="4" s="1"/>
  <c r="AQ914" i="4"/>
  <c r="AP890" i="4"/>
  <c r="AR890" i="4" s="1"/>
  <c r="AP867" i="4"/>
  <c r="AR867" i="4" s="1"/>
  <c r="AP834" i="4"/>
  <c r="AM820" i="4"/>
  <c r="AN820" i="4" s="1"/>
  <c r="AP815" i="4"/>
  <c r="AR815" i="4" s="1"/>
  <c r="AM772" i="4"/>
  <c r="AN772" i="4" s="1"/>
  <c r="AQ757" i="4"/>
  <c r="AM738" i="4"/>
  <c r="AN738" i="4" s="1"/>
  <c r="AL699" i="4"/>
  <c r="AP686" i="4"/>
  <c r="AR686" i="4" s="1"/>
  <c r="AP787" i="4"/>
  <c r="AM987" i="4"/>
  <c r="AN987" i="4" s="1"/>
  <c r="AQ982" i="4"/>
  <c r="AN969" i="4"/>
  <c r="AP964" i="4"/>
  <c r="AM914" i="4"/>
  <c r="AP839" i="4"/>
  <c r="AQ839" i="4"/>
  <c r="AQ786" i="4"/>
  <c r="AP757" i="4"/>
  <c r="AP982" i="4"/>
  <c r="AR982" i="4" s="1"/>
  <c r="AL973" i="4"/>
  <c r="AN973" i="4" s="1"/>
  <c r="AL951" i="4"/>
  <c r="AM951" i="4"/>
  <c r="AP951" i="4"/>
  <c r="AR951" i="4" s="1"/>
  <c r="AQ909" i="4"/>
  <c r="AR909" i="4" s="1"/>
  <c r="AM909" i="4"/>
  <c r="AN909" i="4" s="1"/>
  <c r="AQ904" i="4"/>
  <c r="AM876" i="4"/>
  <c r="AN876" i="4" s="1"/>
  <c r="AP876" i="4"/>
  <c r="AQ876" i="4"/>
  <c r="AQ824" i="4"/>
  <c r="AM815" i="4"/>
  <c r="AN815" i="4" s="1"/>
  <c r="AP786" i="4"/>
  <c r="AM732" i="4"/>
  <c r="AN732" i="4" s="1"/>
  <c r="AP732" i="4"/>
  <c r="AQ732" i="4"/>
  <c r="AQ680" i="4"/>
  <c r="AP941" i="4"/>
  <c r="AR941" i="4" s="1"/>
  <c r="AP904" i="4"/>
  <c r="AR904" i="4" s="1"/>
  <c r="AN895" i="4"/>
  <c r="AQ871" i="4"/>
  <c r="AR871" i="4" s="1"/>
  <c r="AQ857" i="4"/>
  <c r="AR857" i="4" s="1"/>
  <c r="AP824" i="4"/>
  <c r="AQ776" i="4"/>
  <c r="AQ698" i="4"/>
  <c r="AR698" i="4" s="1"/>
  <c r="AP680" i="4"/>
  <c r="AR680" i="4" s="1"/>
  <c r="AL668" i="4"/>
  <c r="AM668" i="4"/>
  <c r="AQ668" i="4"/>
  <c r="AL665" i="4"/>
  <c r="AP946" i="4"/>
  <c r="AQ946" i="4"/>
  <c r="AL946" i="4"/>
  <c r="AN946" i="4" s="1"/>
  <c r="AL829" i="4"/>
  <c r="AM829" i="4"/>
  <c r="AP805" i="4"/>
  <c r="AR805" i="4" s="1"/>
  <c r="AP776" i="4"/>
  <c r="AL727" i="4"/>
  <c r="AN727" i="4" s="1"/>
  <c r="AP727" i="4"/>
  <c r="AQ727" i="4"/>
  <c r="AM686" i="4"/>
  <c r="AQ686" i="4"/>
  <c r="AQ942" i="4"/>
  <c r="AP791" i="4"/>
  <c r="AR791" i="4" s="1"/>
  <c r="AQ791" i="4"/>
  <c r="AL781" i="4"/>
  <c r="AN781" i="4" s="1"/>
  <c r="AM781" i="4"/>
  <c r="AP986" i="4"/>
  <c r="AP968" i="4"/>
  <c r="AR968" i="4" s="1"/>
  <c r="AP922" i="4"/>
  <c r="AR922" i="4" s="1"/>
  <c r="AQ908" i="4"/>
  <c r="AP885" i="4"/>
  <c r="AR885" i="4" s="1"/>
  <c r="AQ875" i="4"/>
  <c r="AR875" i="4" s="1"/>
  <c r="AP838" i="4"/>
  <c r="AR838" i="4" s="1"/>
  <c r="AP829" i="4"/>
  <c r="AM805" i="4"/>
  <c r="AN805" i="4" s="1"/>
  <c r="AP973" i="4"/>
  <c r="AL913" i="4"/>
  <c r="AN913" i="4" s="1"/>
  <c r="AM913" i="4"/>
  <c r="AP913" i="4"/>
  <c r="AR913" i="4" s="1"/>
  <c r="AQ913" i="4"/>
  <c r="AP781" i="4"/>
  <c r="AN752" i="4"/>
  <c r="AL710" i="4"/>
  <c r="AL991" i="4"/>
  <c r="AM986" i="4"/>
  <c r="AN986" i="4" s="1"/>
  <c r="AL968" i="4"/>
  <c r="AQ945" i="4"/>
  <c r="AQ931" i="4"/>
  <c r="AL918" i="4"/>
  <c r="AN918" i="4" s="1"/>
  <c r="AP918" i="4"/>
  <c r="AR918" i="4" s="1"/>
  <c r="AM843" i="4"/>
  <c r="AM838" i="4"/>
  <c r="AL747" i="4"/>
  <c r="AL721" i="4"/>
  <c r="AM721" i="4"/>
  <c r="AP721" i="4"/>
  <c r="AQ721" i="4"/>
  <c r="AL698" i="4"/>
  <c r="AM680" i="4"/>
  <c r="AN680" i="4" s="1"/>
  <c r="AL950" i="4"/>
  <c r="AM950" i="4"/>
  <c r="AP950" i="4"/>
  <c r="AQ950" i="4"/>
  <c r="AP945" i="4"/>
  <c r="AP861" i="4"/>
  <c r="AQ852" i="4"/>
  <c r="AR852" i="4" s="1"/>
  <c r="AQ790" i="4"/>
  <c r="AR790" i="4" s="1"/>
  <c r="AM742" i="4"/>
  <c r="AN742" i="4" s="1"/>
  <c r="AQ742" i="4"/>
  <c r="AR742" i="4" s="1"/>
  <c r="AM634" i="4"/>
  <c r="AP634" i="4"/>
  <c r="AQ634" i="4"/>
  <c r="AM968" i="4"/>
  <c r="AP977" i="4"/>
  <c r="AM931" i="4"/>
  <c r="AQ771" i="4"/>
  <c r="AR771" i="4" s="1"/>
  <c r="AM945" i="4"/>
  <c r="AN945" i="4" s="1"/>
  <c r="AL931" i="4"/>
  <c r="AL899" i="4"/>
  <c r="AL880" i="4"/>
  <c r="AM880" i="4"/>
  <c r="AP880" i="4"/>
  <c r="AQ880" i="4"/>
  <c r="AQ697" i="4"/>
  <c r="AL995" i="4"/>
  <c r="AN995" i="4" s="1"/>
  <c r="AL936" i="4"/>
  <c r="AN936" i="4" s="1"/>
  <c r="AN814" i="4"/>
  <c r="AP756" i="4"/>
  <c r="AL731" i="4"/>
  <c r="AN731" i="4" s="1"/>
  <c r="AP731" i="4"/>
  <c r="AQ731" i="4"/>
  <c r="AM697" i="4"/>
  <c r="AN697" i="4" s="1"/>
  <c r="AL470" i="4"/>
  <c r="AM470" i="4"/>
  <c r="AP470" i="4"/>
  <c r="AQ470" i="4"/>
  <c r="AL605" i="4"/>
  <c r="AR809" i="4"/>
  <c r="AL673" i="4"/>
  <c r="AM673" i="4"/>
  <c r="AP673" i="4"/>
  <c r="AQ673" i="4"/>
  <c r="AR102" i="4"/>
  <c r="AQ605" i="4"/>
  <c r="AM912" i="4"/>
  <c r="AN912" i="4" s="1"/>
  <c r="AL866" i="4"/>
  <c r="AQ866" i="4"/>
  <c r="AM828" i="4"/>
  <c r="AN828" i="4" s="1"/>
  <c r="AP828" i="4"/>
  <c r="AQ828" i="4"/>
  <c r="AL736" i="4"/>
  <c r="AM736" i="4"/>
  <c r="AP736" i="4"/>
  <c r="AR736" i="4" s="1"/>
  <c r="AQ736" i="4"/>
  <c r="AN935" i="4"/>
  <c r="AQ894" i="4"/>
  <c r="AR894" i="4" s="1"/>
  <c r="AM866" i="4"/>
  <c r="AM780" i="4"/>
  <c r="AN780" i="4" s="1"/>
  <c r="AP780" i="4"/>
  <c r="AQ780" i="4"/>
  <c r="AP697" i="4"/>
  <c r="AR697" i="4" s="1"/>
  <c r="AQ861" i="4"/>
  <c r="AM861" i="4"/>
  <c r="AL679" i="4"/>
  <c r="AM679" i="4"/>
  <c r="AP679" i="4"/>
  <c r="AQ679" i="4"/>
  <c r="AM790" i="4"/>
  <c r="AN790" i="4" s="1"/>
  <c r="AM720" i="4"/>
  <c r="AN720" i="4" s="1"/>
  <c r="AN660" i="4"/>
  <c r="AM819" i="4"/>
  <c r="AN819" i="4" s="1"/>
  <c r="AM771" i="4"/>
  <c r="AP720" i="4"/>
  <c r="AR720" i="4" s="1"/>
  <c r="AP533" i="4"/>
  <c r="AL940" i="4"/>
  <c r="AL649" i="4"/>
  <c r="AM649" i="4"/>
  <c r="AP649" i="4"/>
  <c r="AQ649" i="4"/>
  <c r="AQ990" i="4"/>
  <c r="AR990" i="4" s="1"/>
  <c r="AQ756" i="4"/>
  <c r="AM746" i="4"/>
  <c r="AN746" i="4" s="1"/>
  <c r="AL708" i="4"/>
  <c r="AM708" i="4"/>
  <c r="AP708" i="4"/>
  <c r="AM684" i="4"/>
  <c r="AN684" i="4" s="1"/>
  <c r="AP684" i="4"/>
  <c r="AQ684" i="4"/>
  <c r="AP860" i="4"/>
  <c r="AR860" i="4" s="1"/>
  <c r="AN664" i="4"/>
  <c r="AW664" i="4" s="1"/>
  <c r="AM985" i="4"/>
  <c r="AL981" i="4"/>
  <c r="AN981" i="4" s="1"/>
  <c r="AP971" i="4"/>
  <c r="AR971" i="4" s="1"/>
  <c r="AQ944" i="4"/>
  <c r="AR944" i="4" s="1"/>
  <c r="AP930" i="4"/>
  <c r="AR930" i="4" s="1"/>
  <c r="AL976" i="4"/>
  <c r="AM976" i="4"/>
  <c r="AP976" i="4"/>
  <c r="AQ976" i="4"/>
  <c r="AM893" i="4"/>
  <c r="AM874" i="4"/>
  <c r="AN874" i="4" s="1"/>
  <c r="AN870" i="4"/>
  <c r="AM846" i="4"/>
  <c r="AQ823" i="4"/>
  <c r="AR823" i="4" s="1"/>
  <c r="AQ760" i="4"/>
  <c r="AM750" i="4"/>
  <c r="AN750" i="4" s="1"/>
  <c r="AN653" i="4"/>
  <c r="AP660" i="4"/>
  <c r="AP802" i="4"/>
  <c r="AQ802" i="4"/>
  <c r="AL802" i="4"/>
  <c r="AR983" i="4"/>
  <c r="AL396" i="4"/>
  <c r="AM396" i="4"/>
  <c r="AP396" i="4"/>
  <c r="AQ396" i="4"/>
  <c r="AL903" i="4"/>
  <c r="AM903" i="4"/>
  <c r="AP903" i="4"/>
  <c r="AR903" i="4" s="1"/>
  <c r="AP935" i="4"/>
  <c r="AQ935" i="4"/>
  <c r="AP953" i="4"/>
  <c r="AP916" i="4"/>
  <c r="AP898" i="4"/>
  <c r="AQ898" i="4"/>
  <c r="AL898" i="4"/>
  <c r="AN898" i="4" s="1"/>
  <c r="AL865" i="4"/>
  <c r="AM865" i="4"/>
  <c r="AP865" i="4"/>
  <c r="AQ865" i="4"/>
  <c r="AP994" i="4"/>
  <c r="AQ994" i="4"/>
  <c r="AL994" i="4"/>
  <c r="AN994" i="4" s="1"/>
  <c r="AL925" i="4"/>
  <c r="AN925" i="4" s="1"/>
  <c r="AL846" i="4"/>
  <c r="AQ775" i="4"/>
  <c r="AR775" i="4" s="1"/>
  <c r="AP760" i="4"/>
  <c r="AL725" i="4"/>
  <c r="AM725" i="4"/>
  <c r="AP725" i="4"/>
  <c r="AQ725" i="4"/>
  <c r="AN714" i="4"/>
  <c r="AL690" i="4"/>
  <c r="AP690" i="4"/>
  <c r="AR690" i="4" s="1"/>
  <c r="AQ690" i="4"/>
  <c r="AM204" i="4"/>
  <c r="AL832" i="4"/>
  <c r="AM832" i="4"/>
  <c r="AP832" i="4"/>
  <c r="AQ832" i="4"/>
  <c r="AL818" i="4"/>
  <c r="AQ818" i="4"/>
  <c r="AQ808" i="4"/>
  <c r="AQ804" i="4"/>
  <c r="AR804" i="4" s="1"/>
  <c r="AQ765" i="4"/>
  <c r="AR765" i="4" s="1"/>
  <c r="AM765" i="4"/>
  <c r="AN765" i="4" s="1"/>
  <c r="AQ745" i="4"/>
  <c r="AR745" i="4" s="1"/>
  <c r="AQ708" i="4"/>
  <c r="AM690" i="4"/>
  <c r="AP957" i="4"/>
  <c r="AL939" i="4"/>
  <c r="AM883" i="4"/>
  <c r="AN883" i="4" s="1"/>
  <c r="AQ864" i="4"/>
  <c r="AQ841" i="4"/>
  <c r="AM818" i="4"/>
  <c r="AP808" i="4"/>
  <c r="AR808" i="4" s="1"/>
  <c r="AP798" i="4"/>
  <c r="AL784" i="4"/>
  <c r="AN784" i="4" s="1"/>
  <c r="AM784" i="4"/>
  <c r="AP784" i="4"/>
  <c r="AQ784" i="4"/>
  <c r="AM760" i="4"/>
  <c r="AN760" i="4" s="1"/>
  <c r="AM695" i="4"/>
  <c r="AL631" i="4"/>
  <c r="AL917" i="4"/>
  <c r="AN917" i="4" s="1"/>
  <c r="AM917" i="4"/>
  <c r="AP917" i="4"/>
  <c r="AQ917" i="4"/>
  <c r="AL944" i="4"/>
  <c r="AL998" i="4"/>
  <c r="AN998" i="4" s="1"/>
  <c r="AP998" i="4"/>
  <c r="AQ998" i="4"/>
  <c r="AM939" i="4"/>
  <c r="AL902" i="4"/>
  <c r="AN902" i="4" s="1"/>
  <c r="AM902" i="4"/>
  <c r="AP902" i="4"/>
  <c r="AQ902" i="4"/>
  <c r="AP897" i="4"/>
  <c r="AR897" i="4" s="1"/>
  <c r="AP864" i="4"/>
  <c r="AP841" i="4"/>
  <c r="AL827" i="4"/>
  <c r="AN827" i="4" s="1"/>
  <c r="AQ813" i="4"/>
  <c r="AR813" i="4" s="1"/>
  <c r="AM813" i="4"/>
  <c r="AN813" i="4" s="1"/>
  <c r="AL789" i="4"/>
  <c r="AM745" i="4"/>
  <c r="AN745" i="4" s="1"/>
  <c r="AN740" i="4"/>
  <c r="AP713" i="4"/>
  <c r="AR713" i="4" s="1"/>
  <c r="AM798" i="4"/>
  <c r="AL779" i="4"/>
  <c r="AN779" i="4" s="1"/>
  <c r="AR724" i="4"/>
  <c r="AL403" i="4"/>
  <c r="AM403" i="4"/>
  <c r="AP403" i="4"/>
  <c r="AQ403" i="4"/>
  <c r="AL310" i="4"/>
  <c r="AM841" i="4"/>
  <c r="AQ750" i="4"/>
  <c r="AR750" i="4" s="1"/>
  <c r="AM972" i="4"/>
  <c r="AN972" i="4" s="1"/>
  <c r="AQ972" i="4"/>
  <c r="AL962" i="4"/>
  <c r="AQ962" i="4"/>
  <c r="AM962" i="4"/>
  <c r="AQ997" i="4"/>
  <c r="AQ812" i="4"/>
  <c r="AR812" i="4" s="1"/>
  <c r="AL769" i="4"/>
  <c r="AN769" i="4" s="1"/>
  <c r="AM769" i="4"/>
  <c r="AP769" i="4"/>
  <c r="AQ769" i="4"/>
  <c r="AN734" i="4"/>
  <c r="AP701" i="4"/>
  <c r="AQ701" i="4"/>
  <c r="AP695" i="4"/>
  <c r="AR695" i="4" s="1"/>
  <c r="AQ695" i="4"/>
  <c r="AQ938" i="4"/>
  <c r="AQ901" i="4"/>
  <c r="AL869" i="4"/>
  <c r="AM869" i="4"/>
  <c r="AP869" i="4"/>
  <c r="AR869" i="4" s="1"/>
  <c r="AQ869" i="4"/>
  <c r="AP997" i="4"/>
  <c r="AR997" i="4" s="1"/>
  <c r="AP938" i="4"/>
  <c r="AR938" i="4" s="1"/>
  <c r="AP901" i="4"/>
  <c r="AR901" i="4" s="1"/>
  <c r="AP883" i="4"/>
  <c r="AR883" i="4" s="1"/>
  <c r="AL817" i="4"/>
  <c r="AM817" i="4"/>
  <c r="AP817" i="4"/>
  <c r="AQ817" i="4"/>
  <c r="AQ957" i="4"/>
  <c r="AM957" i="4"/>
  <c r="AN957" i="4" s="1"/>
  <c r="AR906" i="4"/>
  <c r="AQ845" i="4"/>
  <c r="AM812" i="4"/>
  <c r="AL808" i="4"/>
  <c r="AN808" i="4" s="1"/>
  <c r="AQ749" i="4"/>
  <c r="AN729" i="4"/>
  <c r="AN718" i="4"/>
  <c r="AM701" i="4"/>
  <c r="AN701" i="4" s="1"/>
  <c r="AR682" i="4"/>
  <c r="AL677" i="4"/>
  <c r="AM677" i="4"/>
  <c r="AP677" i="4"/>
  <c r="AQ677" i="4"/>
  <c r="AP663" i="4"/>
  <c r="AL639" i="4"/>
  <c r="AM944" i="4"/>
  <c r="AL980" i="4"/>
  <c r="AM980" i="4"/>
  <c r="AP980" i="4"/>
  <c r="AQ980" i="4"/>
  <c r="AM997" i="4"/>
  <c r="AN997" i="4" s="1"/>
  <c r="AQ979" i="4"/>
  <c r="AQ970" i="4"/>
  <c r="AQ952" i="4"/>
  <c r="AM938" i="4"/>
  <c r="AQ915" i="4"/>
  <c r="AM901" i="4"/>
  <c r="AN901" i="4" s="1"/>
  <c r="AL855" i="4"/>
  <c r="AM855" i="4"/>
  <c r="AP855" i="4"/>
  <c r="AR855" i="4" s="1"/>
  <c r="AP845" i="4"/>
  <c r="AL812" i="4"/>
  <c r="AQ798" i="4"/>
  <c r="AP749" i="4"/>
  <c r="AN486" i="4"/>
  <c r="AQ639" i="4"/>
  <c r="AR639" i="4" s="1"/>
  <c r="AL622" i="4"/>
  <c r="AP952" i="4"/>
  <c r="AR952" i="4" s="1"/>
  <c r="AQ868" i="4"/>
  <c r="AP850" i="4"/>
  <c r="AQ850" i="4"/>
  <c r="AL850" i="4"/>
  <c r="AN850" i="4" s="1"/>
  <c r="AQ768" i="4"/>
  <c r="AR995" i="4"/>
  <c r="AL999" i="4"/>
  <c r="AM999" i="4"/>
  <c r="AP999" i="4"/>
  <c r="AR999" i="4" s="1"/>
  <c r="AM979" i="4"/>
  <c r="AL961" i="4"/>
  <c r="AM961" i="4"/>
  <c r="AP961" i="4"/>
  <c r="AQ961" i="4"/>
  <c r="AQ882" i="4"/>
  <c r="AR882" i="4" s="1"/>
  <c r="AP868" i="4"/>
  <c r="AM845" i="4"/>
  <c r="AN845" i="4" s="1"/>
  <c r="AQ816" i="4"/>
  <c r="AR816" i="4" s="1"/>
  <c r="AQ807" i="4"/>
  <c r="AM802" i="4"/>
  <c r="AP768" i="4"/>
  <c r="AM749" i="4"/>
  <c r="AN749" i="4" s="1"/>
  <c r="AQ676" i="4"/>
  <c r="AP915" i="4"/>
  <c r="AQ988" i="4"/>
  <c r="AP984" i="4"/>
  <c r="AM970" i="4"/>
  <c r="AN970" i="4" s="1"/>
  <c r="AL966" i="4"/>
  <c r="AN966" i="4" s="1"/>
  <c r="AP966" i="4"/>
  <c r="AR966" i="4" s="1"/>
  <c r="AQ956" i="4"/>
  <c r="AR956" i="4" s="1"/>
  <c r="AM952" i="4"/>
  <c r="AM924" i="4"/>
  <c r="AP924" i="4"/>
  <c r="AR924" i="4" s="1"/>
  <c r="AQ924" i="4"/>
  <c r="AM915" i="4"/>
  <c r="AN915" i="4" s="1"/>
  <c r="AN910" i="4"/>
  <c r="AP887" i="4"/>
  <c r="AQ887" i="4"/>
  <c r="AQ835" i="4"/>
  <c r="AP793" i="4"/>
  <c r="AR793" i="4" s="1"/>
  <c r="AP764" i="4"/>
  <c r="AR764" i="4" s="1"/>
  <c r="AP754" i="4"/>
  <c r="AQ754" i="4"/>
  <c r="AL754" i="4"/>
  <c r="AN754" i="4" s="1"/>
  <c r="AQ728" i="4"/>
  <c r="AQ712" i="4"/>
  <c r="AR700" i="4"/>
  <c r="AP676" i="4"/>
  <c r="AL977" i="4"/>
  <c r="AN977" i="4" s="1"/>
  <c r="AP970" i="4"/>
  <c r="AR970" i="4" s="1"/>
  <c r="AL979" i="4"/>
  <c r="AN979" i="4" s="1"/>
  <c r="AM929" i="4"/>
  <c r="AN929" i="4" s="1"/>
  <c r="AP929" i="4"/>
  <c r="AP739" i="4"/>
  <c r="AR739" i="4" s="1"/>
  <c r="AP728" i="4"/>
  <c r="AM712" i="4"/>
  <c r="AL688" i="4"/>
  <c r="AM688" i="4"/>
  <c r="AP688" i="4"/>
  <c r="AQ688" i="4"/>
  <c r="AL641" i="4"/>
  <c r="AM717" i="4"/>
  <c r="AL706" i="4"/>
  <c r="AN706" i="4" s="1"/>
  <c r="AQ702" i="4"/>
  <c r="AR702" i="4" s="1"/>
  <c r="AM669" i="4"/>
  <c r="AL663" i="4"/>
  <c r="AQ488" i="4"/>
  <c r="AR488" i="4" s="1"/>
  <c r="AM639" i="4"/>
  <c r="AL533" i="4"/>
  <c r="AQ125" i="4"/>
  <c r="AM605" i="4"/>
  <c r="AL717" i="4"/>
  <c r="AN717" i="4" s="1"/>
  <c r="AL669" i="4"/>
  <c r="AQ646" i="4"/>
  <c r="AQ538" i="4"/>
  <c r="AR538" i="4" s="1"/>
  <c r="AM646" i="4"/>
  <c r="AN646" i="4" s="1"/>
  <c r="AQ302" i="4"/>
  <c r="AR302" i="4" s="1"/>
  <c r="AM538" i="4"/>
  <c r="AN538" i="4" s="1"/>
  <c r="AQ213" i="4"/>
  <c r="AM85" i="4"/>
  <c r="AM619" i="4"/>
  <c r="AP709" i="4"/>
  <c r="AQ672" i="4"/>
  <c r="AR672" i="4" s="1"/>
  <c r="AP210" i="4"/>
  <c r="AR210" i="4" s="1"/>
  <c r="AM301" i="4"/>
  <c r="AN301" i="4" s="1"/>
  <c r="AW301" i="4" s="1"/>
  <c r="AQ247" i="4"/>
  <c r="AR247" i="4" s="1"/>
  <c r="AP640" i="4"/>
  <c r="AR640" i="4" s="1"/>
  <c r="AM624" i="4"/>
  <c r="AN624" i="4" s="1"/>
  <c r="AW624" i="4" s="1"/>
  <c r="AQ608" i="4"/>
  <c r="AM698" i="4"/>
  <c r="AQ683" i="4"/>
  <c r="AM302" i="4"/>
  <c r="AN302" i="4" s="1"/>
  <c r="AQ89" i="4"/>
  <c r="AM213" i="4"/>
  <c r="AN213" i="4" s="1"/>
  <c r="AW213" i="4" s="1"/>
  <c r="AQ168" i="4"/>
  <c r="AM709" i="4"/>
  <c r="AN709" i="4" s="1"/>
  <c r="AP683" i="4"/>
  <c r="AM210" i="4"/>
  <c r="AQ659" i="4"/>
  <c r="AP89" i="4"/>
  <c r="AM640" i="4"/>
  <c r="AN640" i="4" s="1"/>
  <c r="AW640" i="4" s="1"/>
  <c r="AQ630" i="4"/>
  <c r="AP168" i="4"/>
  <c r="AQ662" i="4"/>
  <c r="AP659" i="4"/>
  <c r="AQ27" i="4"/>
  <c r="AP630" i="4"/>
  <c r="AP662" i="4"/>
  <c r="AQ485" i="4"/>
  <c r="AP27" i="4"/>
  <c r="AM659" i="4"/>
  <c r="AN659" i="4" s="1"/>
  <c r="AQ651" i="4"/>
  <c r="AM630" i="4"/>
  <c r="AN630" i="4" s="1"/>
  <c r="AW630" i="4" s="1"/>
  <c r="AQ621" i="4"/>
  <c r="AM662" i="4"/>
  <c r="AN662" i="4" s="1"/>
  <c r="AQ656" i="4"/>
  <c r="AP651" i="4"/>
  <c r="AM27" i="4"/>
  <c r="AQ626" i="4"/>
  <c r="AP621" i="4"/>
  <c r="AQ399" i="4"/>
  <c r="AP656" i="4"/>
  <c r="AM485" i="4"/>
  <c r="AQ628" i="4"/>
  <c r="AR628" i="4" s="1"/>
  <c r="AP626" i="4"/>
  <c r="AM604" i="4"/>
  <c r="AN604" i="4" s="1"/>
  <c r="AW604" i="4" s="1"/>
  <c r="AQ667" i="4"/>
  <c r="AP399" i="4"/>
  <c r="AM651" i="4"/>
  <c r="AQ576" i="4"/>
  <c r="AM621" i="4"/>
  <c r="AQ675" i="4"/>
  <c r="AP667" i="4"/>
  <c r="AQ486" i="4"/>
  <c r="AP576" i="4"/>
  <c r="AM626" i="4"/>
  <c r="AN626" i="4" s="1"/>
  <c r="AW626" i="4" s="1"/>
  <c r="AQ616" i="4"/>
  <c r="AP675" i="4"/>
  <c r="AQ595" i="4"/>
  <c r="AP486" i="4"/>
  <c r="AQ591" i="4"/>
  <c r="AP616" i="4"/>
  <c r="AP591" i="4"/>
  <c r="AP644" i="4"/>
  <c r="AR644" i="4" s="1"/>
  <c r="AP638" i="4"/>
  <c r="AR638" i="4" s="1"/>
  <c r="AM591" i="4"/>
  <c r="AN591" i="4" s="1"/>
  <c r="AM644" i="4"/>
  <c r="AN644" i="4" s="1"/>
  <c r="AM638" i="4"/>
  <c r="AN638" i="4" s="1"/>
  <c r="AQ977" i="4"/>
  <c r="AQ929" i="4"/>
  <c r="AQ881" i="4"/>
  <c r="AP870" i="4"/>
  <c r="AR870" i="4" s="1"/>
  <c r="AQ833" i="4"/>
  <c r="AQ785" i="4"/>
  <c r="AR785" i="4" s="1"/>
  <c r="AQ737" i="4"/>
  <c r="AR737" i="4" s="1"/>
  <c r="AQ689" i="4"/>
  <c r="AR689" i="4" s="1"/>
  <c r="AQ398" i="4"/>
  <c r="AR398" i="4" s="1"/>
  <c r="AM636" i="4"/>
  <c r="AP881" i="4"/>
  <c r="AR881" i="4" s="1"/>
  <c r="AM655" i="4"/>
  <c r="AM209" i="4"/>
  <c r="AN209" i="4" s="1"/>
  <c r="AW209" i="4" s="1"/>
  <c r="AM564" i="4"/>
  <c r="AQ759" i="4"/>
  <c r="AQ711" i="4"/>
  <c r="AQ666" i="4"/>
  <c r="AQ642" i="4"/>
  <c r="AQ770" i="4"/>
  <c r="AP759" i="4"/>
  <c r="AQ674" i="4"/>
  <c r="AP666" i="4"/>
  <c r="AQ648" i="4"/>
  <c r="AP642" i="4"/>
  <c r="AQ614" i="4"/>
  <c r="AQ722" i="4"/>
  <c r="AP711" i="4"/>
  <c r="AQ973" i="4"/>
  <c r="AP962" i="4"/>
  <c r="AM940" i="4"/>
  <c r="AQ925" i="4"/>
  <c r="AR925" i="4" s="1"/>
  <c r="AP914" i="4"/>
  <c r="AR914" i="4" s="1"/>
  <c r="AM892" i="4"/>
  <c r="AN892" i="4" s="1"/>
  <c r="AQ877" i="4"/>
  <c r="AP866" i="4"/>
  <c r="AR866" i="4" s="1"/>
  <c r="AM844" i="4"/>
  <c r="AN844" i="4" s="1"/>
  <c r="AQ829" i="4"/>
  <c r="AP818" i="4"/>
  <c r="AR818" i="4" s="1"/>
  <c r="AM796" i="4"/>
  <c r="AN796" i="4" s="1"/>
  <c r="AQ781" i="4"/>
  <c r="AP770" i="4"/>
  <c r="AR770" i="4" s="1"/>
  <c r="AM748" i="4"/>
  <c r="AN748" i="4" s="1"/>
  <c r="AQ733" i="4"/>
  <c r="AR733" i="4" s="1"/>
  <c r="AM700" i="4"/>
  <c r="AN700" i="4" s="1"/>
  <c r="AQ685" i="4"/>
  <c r="AR685" i="4" s="1"/>
  <c r="AM33" i="4"/>
  <c r="AN33" i="4" s="1"/>
  <c r="AQ654" i="4"/>
  <c r="AR654" i="4" s="1"/>
  <c r="AP648" i="4"/>
  <c r="AM83" i="4"/>
  <c r="AN83" i="4" s="1"/>
  <c r="AW83" i="4" s="1"/>
  <c r="AQ623" i="4"/>
  <c r="AP614" i="4"/>
  <c r="AM988" i="4"/>
  <c r="AN988" i="4" s="1"/>
  <c r="AQ984" i="4"/>
  <c r="AQ936" i="4"/>
  <c r="AQ888" i="4"/>
  <c r="AQ840" i="4"/>
  <c r="AQ792" i="4"/>
  <c r="AM759" i="4"/>
  <c r="AN759" i="4" s="1"/>
  <c r="AQ744" i="4"/>
  <c r="AM711" i="4"/>
  <c r="AM666" i="4"/>
  <c r="AN666" i="4" s="1"/>
  <c r="AM642" i="4"/>
  <c r="AQ995" i="4"/>
  <c r="AQ947" i="4"/>
  <c r="AR947" i="4" s="1"/>
  <c r="AP936" i="4"/>
  <c r="AR936" i="4" s="1"/>
  <c r="AQ899" i="4"/>
  <c r="AR899" i="4" s="1"/>
  <c r="AP888" i="4"/>
  <c r="AR888" i="4" s="1"/>
  <c r="AQ851" i="4"/>
  <c r="AR851" i="4" s="1"/>
  <c r="AP840" i="4"/>
  <c r="AQ803" i="4"/>
  <c r="AP792" i="4"/>
  <c r="AQ755" i="4"/>
  <c r="AR755" i="4" s="1"/>
  <c r="AP744" i="4"/>
  <c r="AR744" i="4" s="1"/>
  <c r="AM722" i="4"/>
  <c r="AQ707" i="4"/>
  <c r="AM674" i="4"/>
  <c r="AN674" i="4" s="1"/>
  <c r="AQ664" i="4"/>
  <c r="AM648" i="4"/>
  <c r="AN648" i="4" s="1"/>
  <c r="AW648" i="4" s="1"/>
  <c r="AQ637" i="4"/>
  <c r="AR637" i="4" s="1"/>
  <c r="AP183" i="4"/>
  <c r="AM614" i="4"/>
  <c r="AN614" i="4" s="1"/>
  <c r="AQ910" i="4"/>
  <c r="AR910" i="4" s="1"/>
  <c r="AQ862" i="4"/>
  <c r="AQ814" i="4"/>
  <c r="AR814" i="4" s="1"/>
  <c r="AQ766" i="4"/>
  <c r="AR766" i="4" s="1"/>
  <c r="AM733" i="4"/>
  <c r="AQ718" i="4"/>
  <c r="AR718" i="4" s="1"/>
  <c r="AP707" i="4"/>
  <c r="AR707" i="4" s="1"/>
  <c r="AM685" i="4"/>
  <c r="AP664" i="4"/>
  <c r="AM654" i="4"/>
  <c r="AN654" i="4" s="1"/>
  <c r="AW654" i="4" s="1"/>
  <c r="AQ275" i="4"/>
  <c r="AM623" i="4"/>
  <c r="AQ584" i="4"/>
  <c r="AM696" i="4"/>
  <c r="AN696" i="4" s="1"/>
  <c r="AM102" i="4"/>
  <c r="AN102" i="4" s="1"/>
  <c r="AW102" i="4" s="1"/>
  <c r="AQ607" i="4"/>
  <c r="AP275" i="4"/>
  <c r="AQ484" i="4"/>
  <c r="AP584" i="4"/>
  <c r="AP969" i="4"/>
  <c r="AR969" i="4" s="1"/>
  <c r="AQ932" i="4"/>
  <c r="AP921" i="4"/>
  <c r="AR921" i="4" s="1"/>
  <c r="AM899" i="4"/>
  <c r="AQ884" i="4"/>
  <c r="AP873" i="4"/>
  <c r="AM851" i="4"/>
  <c r="AN851" i="4" s="1"/>
  <c r="AQ836" i="4"/>
  <c r="AP825" i="4"/>
  <c r="AR825" i="4" s="1"/>
  <c r="AM803" i="4"/>
  <c r="AN803" i="4" s="1"/>
  <c r="AQ788" i="4"/>
  <c r="AP777" i="4"/>
  <c r="AR777" i="4" s="1"/>
  <c r="AM755" i="4"/>
  <c r="AN755" i="4" s="1"/>
  <c r="AQ740" i="4"/>
  <c r="AP729" i="4"/>
  <c r="AR729" i="4" s="1"/>
  <c r="AQ692" i="4"/>
  <c r="AP681" i="4"/>
  <c r="AR681" i="4" s="1"/>
  <c r="AQ658" i="4"/>
  <c r="AP607" i="4"/>
  <c r="AM637" i="4"/>
  <c r="AQ629" i="4"/>
  <c r="AP484" i="4"/>
  <c r="AQ991" i="4"/>
  <c r="AQ943" i="4"/>
  <c r="AP932" i="4"/>
  <c r="AR932" i="4" s="1"/>
  <c r="AQ895" i="4"/>
  <c r="AR895" i="4" s="1"/>
  <c r="AP884" i="4"/>
  <c r="AQ847" i="4"/>
  <c r="AR847" i="4" s="1"/>
  <c r="AP836" i="4"/>
  <c r="AR836" i="4" s="1"/>
  <c r="AQ799" i="4"/>
  <c r="AR799" i="4" s="1"/>
  <c r="AP788" i="4"/>
  <c r="AR788" i="4" s="1"/>
  <c r="AQ751" i="4"/>
  <c r="AR751" i="4" s="1"/>
  <c r="AP740" i="4"/>
  <c r="AR740" i="4" s="1"/>
  <c r="AQ703" i="4"/>
  <c r="AR703" i="4" s="1"/>
  <c r="AP692" i="4"/>
  <c r="AR692" i="4" s="1"/>
  <c r="AQ455" i="4"/>
  <c r="AR455" i="4" s="1"/>
  <c r="AP658" i="4"/>
  <c r="AQ635" i="4"/>
  <c r="AR635" i="4" s="1"/>
  <c r="AP629" i="4"/>
  <c r="AM884" i="4"/>
  <c r="AP858" i="4"/>
  <c r="AR858" i="4" s="1"/>
  <c r="AM836" i="4"/>
  <c r="AP810" i="4"/>
  <c r="AR810" i="4" s="1"/>
  <c r="AM788" i="4"/>
  <c r="AN788" i="4" s="1"/>
  <c r="AP762" i="4"/>
  <c r="AR762" i="4" s="1"/>
  <c r="AM740" i="4"/>
  <c r="AP714" i="4"/>
  <c r="AR714" i="4" s="1"/>
  <c r="AM692" i="4"/>
  <c r="AN692" i="4" s="1"/>
  <c r="AP653" i="4"/>
  <c r="AR653" i="4" s="1"/>
  <c r="AM658" i="4"/>
  <c r="AN658" i="4" s="1"/>
  <c r="AP643" i="4"/>
  <c r="AM629" i="4"/>
  <c r="AP107" i="4"/>
  <c r="AR107" i="4" s="1"/>
  <c r="AP954" i="4"/>
  <c r="AM991" i="4"/>
  <c r="AM943" i="4"/>
  <c r="AN943" i="4" s="1"/>
  <c r="AL932" i="4"/>
  <c r="AN932" i="4" s="1"/>
  <c r="AM703" i="4"/>
  <c r="AN703" i="4" s="1"/>
  <c r="AM455" i="4"/>
  <c r="AN455" i="4" s="1"/>
  <c r="AW455" i="4" s="1"/>
  <c r="AM635" i="4"/>
  <c r="AQ891" i="4"/>
  <c r="AM858" i="4"/>
  <c r="AN858" i="4" s="1"/>
  <c r="AQ843" i="4"/>
  <c r="AM810" i="4"/>
  <c r="AQ795" i="4"/>
  <c r="AM762" i="4"/>
  <c r="AN762" i="4" s="1"/>
  <c r="AQ747" i="4"/>
  <c r="AQ699" i="4"/>
  <c r="AQ303" i="4"/>
  <c r="AM643" i="4"/>
  <c r="AN643" i="4" s="1"/>
  <c r="AW643" i="4" s="1"/>
  <c r="AQ631" i="4"/>
  <c r="AM107" i="4"/>
  <c r="AN107" i="4" s="1"/>
  <c r="AW107" i="4" s="1"/>
  <c r="AQ987" i="4"/>
  <c r="AM954" i="4"/>
  <c r="AN954" i="4" s="1"/>
  <c r="AQ939" i="4"/>
  <c r="AM906" i="4"/>
  <c r="AN906" i="4" s="1"/>
  <c r="AP987" i="4"/>
  <c r="AR987" i="4" s="1"/>
  <c r="AP939" i="4"/>
  <c r="AP891" i="4"/>
  <c r="AP843" i="4"/>
  <c r="AR843" i="4" s="1"/>
  <c r="AP795" i="4"/>
  <c r="AR795" i="4" s="1"/>
  <c r="AP747" i="4"/>
  <c r="AQ710" i="4"/>
  <c r="AP699" i="4"/>
  <c r="AR699" i="4" s="1"/>
  <c r="AQ665" i="4"/>
  <c r="AP303" i="4"/>
  <c r="AQ641" i="4"/>
  <c r="AP631" i="4"/>
  <c r="AP710" i="4"/>
  <c r="AP665" i="4"/>
  <c r="AQ647" i="4"/>
  <c r="AP641" i="4"/>
  <c r="AQ310" i="4"/>
  <c r="AM795" i="4"/>
  <c r="AN795" i="4" s="1"/>
  <c r="AM747" i="4"/>
  <c r="AM699" i="4"/>
  <c r="AM303" i="4"/>
  <c r="AP647" i="4"/>
  <c r="AM631" i="4"/>
  <c r="AP310" i="4"/>
  <c r="AM710" i="4"/>
  <c r="AM665" i="4"/>
  <c r="AQ660" i="4"/>
  <c r="AM641" i="4"/>
  <c r="AQ632" i="4"/>
  <c r="AR632" i="4" s="1"/>
  <c r="AQ706" i="4"/>
  <c r="AR706" i="4" s="1"/>
  <c r="AQ663" i="4"/>
  <c r="AM647" i="4"/>
  <c r="AQ533" i="4"/>
  <c r="AM310" i="4"/>
  <c r="AQ594" i="4"/>
  <c r="AP594" i="4"/>
  <c r="AM594" i="4"/>
  <c r="AF53" i="4"/>
  <c r="AF603" i="4"/>
  <c r="AF602" i="4"/>
  <c r="AF601" i="4"/>
  <c r="AF600" i="4"/>
  <c r="AF402" i="4"/>
  <c r="AF429" i="4"/>
  <c r="AF483" i="4"/>
  <c r="AF406" i="4"/>
  <c r="AF599" i="4"/>
  <c r="AF299" i="4"/>
  <c r="AF298" i="4"/>
  <c r="AP298" i="4" s="1"/>
  <c r="AF180" i="4"/>
  <c r="AF618" i="4"/>
  <c r="AF617" i="4"/>
  <c r="AF597" i="4"/>
  <c r="AF596" i="4"/>
  <c r="AF593" i="4"/>
  <c r="AF592" i="4"/>
  <c r="AF590" i="4"/>
  <c r="AF589" i="4"/>
  <c r="AF588" i="4"/>
  <c r="AF395" i="4"/>
  <c r="AF580" i="4"/>
  <c r="AF284" i="4"/>
  <c r="AF543" i="4"/>
  <c r="AF482" i="4"/>
  <c r="AF203" i="4"/>
  <c r="AF252" i="4"/>
  <c r="AF587" i="4"/>
  <c r="AF559" i="4"/>
  <c r="AF151" i="4"/>
  <c r="AF586" i="4"/>
  <c r="AF585" i="4"/>
  <c r="AF583" i="4"/>
  <c r="AF447" i="4"/>
  <c r="AF526" i="4"/>
  <c r="AF496" i="4"/>
  <c r="AF582" i="4"/>
  <c r="AF581" i="4"/>
  <c r="AF579" i="4"/>
  <c r="AF171" i="4"/>
  <c r="AF578" i="4"/>
  <c r="AF577" i="4"/>
  <c r="AF113" i="4"/>
  <c r="AF598" i="4"/>
  <c r="AF575" i="4"/>
  <c r="AF537" i="4"/>
  <c r="AF572" i="4"/>
  <c r="AF495" i="4"/>
  <c r="AF571" i="4"/>
  <c r="AF570" i="4"/>
  <c r="AF569" i="4"/>
  <c r="AF178" i="4"/>
  <c r="AF567" i="4"/>
  <c r="AF297" i="4"/>
  <c r="AF296" i="4"/>
  <c r="AF568" i="4"/>
  <c r="AF566" i="4"/>
  <c r="AF321" i="4"/>
  <c r="AF565" i="4"/>
  <c r="AF563" i="4"/>
  <c r="AF551" i="4"/>
  <c r="AF562" i="4"/>
  <c r="AF150" i="4"/>
  <c r="AF561" i="4"/>
  <c r="AF262" i="4"/>
  <c r="AF560" i="4"/>
  <c r="AF558" i="4"/>
  <c r="AF200" i="4"/>
  <c r="AF446" i="4"/>
  <c r="AF613" i="4"/>
  <c r="AF557" i="4"/>
  <c r="AF556" i="4"/>
  <c r="AF550" i="4"/>
  <c r="AF555" i="4"/>
  <c r="AF554" i="4"/>
  <c r="AF549" i="4"/>
  <c r="AF529" i="4"/>
  <c r="AF553" i="4"/>
  <c r="AF552" i="4"/>
  <c r="AF185" i="4"/>
  <c r="AF528" i="4"/>
  <c r="AF548" i="4"/>
  <c r="AF547" i="4"/>
  <c r="AF546" i="4"/>
  <c r="AF545" i="4"/>
  <c r="AF544" i="4"/>
  <c r="AF474" i="4"/>
  <c r="AF542" i="4"/>
  <c r="AF540" i="4"/>
  <c r="AF539" i="4"/>
  <c r="AF134" i="4"/>
  <c r="AF536" i="4"/>
  <c r="AF535" i="4"/>
  <c r="AF532" i="4"/>
  <c r="AF445" i="4"/>
  <c r="AF531" i="4"/>
  <c r="AF124" i="4"/>
  <c r="AF530" i="4"/>
  <c r="AF527" i="4"/>
  <c r="AF525" i="4"/>
  <c r="AF433" i="4"/>
  <c r="AF522" i="4"/>
  <c r="AF149" i="4"/>
  <c r="AF274" i="4"/>
  <c r="AF521" i="4"/>
  <c r="AF520" i="4"/>
  <c r="AF519" i="4"/>
  <c r="AF518" i="4"/>
  <c r="AF128" i="4"/>
  <c r="AF500" i="4"/>
  <c r="AF499" i="4"/>
  <c r="AF517" i="4"/>
  <c r="AF319" i="4"/>
  <c r="AF516" i="4"/>
  <c r="AF515" i="4"/>
  <c r="AF514" i="4"/>
  <c r="AF513" i="4"/>
  <c r="AF512" i="4"/>
  <c r="AF383" i="4"/>
  <c r="AF32" i="4"/>
  <c r="AF481" i="4"/>
  <c r="AF498" i="4"/>
  <c r="AF524" i="4"/>
  <c r="AF444" i="4"/>
  <c r="AF202" i="4"/>
  <c r="AF511" i="4"/>
  <c r="AF510" i="4"/>
  <c r="AF509" i="4"/>
  <c r="AF480" i="4"/>
  <c r="AF508" i="4"/>
  <c r="AF507" i="4"/>
  <c r="AF506" i="4"/>
  <c r="AF479" i="4"/>
  <c r="AF505" i="4"/>
  <c r="AF504" i="4"/>
  <c r="AF503" i="4"/>
  <c r="AF502" i="4"/>
  <c r="AF501" i="4"/>
  <c r="AF497" i="4"/>
  <c r="AF494" i="4"/>
  <c r="AF493" i="4"/>
  <c r="AF492" i="4"/>
  <c r="AF117" i="4"/>
  <c r="AF491" i="4"/>
  <c r="AF382" i="4"/>
  <c r="AF478" i="4"/>
  <c r="AF490" i="4"/>
  <c r="AF330" i="4"/>
  <c r="AF489" i="4"/>
  <c r="AF477" i="4"/>
  <c r="AF473" i="4"/>
  <c r="AF283" i="4"/>
  <c r="AF472" i="4"/>
  <c r="AF471" i="4"/>
  <c r="AF469" i="4"/>
  <c r="AF468" i="4"/>
  <c r="AF467" i="4"/>
  <c r="AF466" i="4"/>
  <c r="AF246" i="4"/>
  <c r="AF615" i="4"/>
  <c r="AF465" i="4"/>
  <c r="AF476" i="4"/>
  <c r="AF58" i="4"/>
  <c r="AF464" i="4"/>
  <c r="AF463" i="4"/>
  <c r="AF462" i="4"/>
  <c r="AF438" i="4"/>
  <c r="AF282" i="4"/>
  <c r="AF394" i="4"/>
  <c r="AF461" i="4"/>
  <c r="AF460" i="4"/>
  <c r="AF31" i="4"/>
  <c r="AF443" i="4"/>
  <c r="AF142" i="4"/>
  <c r="AF459" i="4"/>
  <c r="AF458" i="4"/>
  <c r="AF141" i="4"/>
  <c r="AF140" i="4"/>
  <c r="AF457" i="4"/>
  <c r="AF456" i="4"/>
  <c r="AF454" i="4"/>
  <c r="AF393" i="4"/>
  <c r="AF148" i="4"/>
  <c r="AF147" i="4"/>
  <c r="AF453" i="4"/>
  <c r="AF440" i="4"/>
  <c r="AF392" i="4"/>
  <c r="AF98" i="4"/>
  <c r="AF452" i="4"/>
  <c r="AF451" i="4"/>
  <c r="AF450" i="4"/>
  <c r="AF417" i="4"/>
  <c r="AF523" i="4"/>
  <c r="AF133" i="4"/>
  <c r="AF132" i="4"/>
  <c r="AF449" i="4"/>
  <c r="AF448" i="4"/>
  <c r="AF391" i="4"/>
  <c r="AF52" i="4"/>
  <c r="AF442" i="4"/>
  <c r="AF390" i="4"/>
  <c r="AF196" i="4"/>
  <c r="AF441" i="4"/>
  <c r="AF439" i="4"/>
  <c r="AF437" i="4"/>
  <c r="AF37" i="4"/>
  <c r="AF435" i="4"/>
  <c r="AF434" i="4"/>
  <c r="AF432" i="4"/>
  <c r="AF431" i="4"/>
  <c r="AF428" i="4"/>
  <c r="AF380" i="4"/>
  <c r="AF427" i="4"/>
  <c r="AF9" i="4"/>
  <c r="AF426" i="4"/>
  <c r="AF425" i="4"/>
  <c r="AF51" i="4"/>
  <c r="AF424" i="4"/>
  <c r="AF318" i="4"/>
  <c r="AF423" i="4"/>
  <c r="AF422" i="4"/>
  <c r="AF389" i="4"/>
  <c r="AF144" i="4"/>
  <c r="AF421" i="4"/>
  <c r="AF420" i="4"/>
  <c r="AF314" i="4"/>
  <c r="AF334" i="4"/>
  <c r="AF419" i="4"/>
  <c r="AF418" i="4"/>
  <c r="AF416" i="4"/>
  <c r="AF94" i="4"/>
  <c r="AF242" i="4"/>
  <c r="AF415" i="4"/>
  <c r="AF379" i="4"/>
  <c r="AF325" i="4"/>
  <c r="AF414" i="4"/>
  <c r="AF232" i="4"/>
  <c r="AF16" i="4"/>
  <c r="AF220" i="4"/>
  <c r="AF413" i="4"/>
  <c r="AF412" i="4"/>
  <c r="AF411" i="4"/>
  <c r="AF342" i="4"/>
  <c r="AF410" i="4"/>
  <c r="AF307" i="4"/>
  <c r="AF121" i="4"/>
  <c r="AF408" i="4"/>
  <c r="AF407" i="4"/>
  <c r="AF475" i="4"/>
  <c r="AF405" i="4"/>
  <c r="AF401" i="4"/>
  <c r="AF400" i="4"/>
  <c r="AF22" i="4"/>
  <c r="AF388" i="4"/>
  <c r="AF387" i="4"/>
  <c r="AF386" i="4"/>
  <c r="AF385" i="4"/>
  <c r="AF235" i="4"/>
  <c r="AF109" i="4"/>
  <c r="AF219" i="4"/>
  <c r="AF328" i="4"/>
  <c r="AF384" i="4"/>
  <c r="AF381" i="4"/>
  <c r="AF332" i="4"/>
  <c r="AF378" i="4"/>
  <c r="AF377" i="4"/>
  <c r="AF541" i="4"/>
  <c r="AF50" i="4"/>
  <c r="AF376" i="4"/>
  <c r="AF193" i="4"/>
  <c r="AF352" i="4"/>
  <c r="AF351" i="4"/>
  <c r="AF347" i="4"/>
  <c r="AF375" i="4"/>
  <c r="AF374" i="4"/>
  <c r="AF323" i="4"/>
  <c r="AF313" i="4"/>
  <c r="AF534" i="4"/>
  <c r="AF373" i="4"/>
  <c r="AF295" i="4"/>
  <c r="AF291" i="4"/>
  <c r="AF288" i="4"/>
  <c r="AF372" i="4"/>
  <c r="AF281" i="4"/>
  <c r="AF612" i="4"/>
  <c r="AF436" i="4"/>
  <c r="AF227" i="4"/>
  <c r="AF265" i="4"/>
  <c r="AF261" i="4"/>
  <c r="AF258" i="4"/>
  <c r="AF251" i="4"/>
  <c r="AF245" i="4"/>
  <c r="AF244" i="4"/>
  <c r="AF237" i="4"/>
  <c r="AF224" i="4"/>
  <c r="AF371" i="4"/>
  <c r="AF218" i="4"/>
  <c r="AF370" i="4"/>
  <c r="AF369" i="4"/>
  <c r="AF368" i="4"/>
  <c r="AF215" i="4"/>
  <c r="AF212" i="4"/>
  <c r="AF207" i="4"/>
  <c r="AF199" i="4"/>
  <c r="AF195" i="4"/>
  <c r="AF191" i="4"/>
  <c r="AF187" i="4"/>
  <c r="AF367" i="4"/>
  <c r="AF182" i="4"/>
  <c r="AF176" i="4"/>
  <c r="AF173" i="4"/>
  <c r="AF170" i="4"/>
  <c r="AF164" i="4"/>
  <c r="AF163" i="4"/>
  <c r="AF574" i="4"/>
  <c r="AF573" i="4"/>
  <c r="AF159" i="4"/>
  <c r="AF158" i="4"/>
  <c r="AF155" i="4"/>
  <c r="AF153" i="4"/>
  <c r="AF146" i="4"/>
  <c r="AF139" i="4"/>
  <c r="AF366" i="4"/>
  <c r="AF130" i="4"/>
  <c r="AF611" i="4"/>
  <c r="AF610" i="4"/>
  <c r="AF609" i="4"/>
  <c r="AF365" i="4"/>
  <c r="AF119" i="4"/>
  <c r="AF116" i="4"/>
  <c r="AF115" i="4"/>
  <c r="AF104" i="4"/>
  <c r="AF101" i="4"/>
  <c r="AF364" i="4"/>
  <c r="AF93" i="4"/>
  <c r="AF81" i="4"/>
  <c r="AF80" i="4"/>
  <c r="AF77" i="4"/>
  <c r="AF74" i="4"/>
  <c r="AF73" i="4"/>
  <c r="AF72" i="4"/>
  <c r="AF363" i="4"/>
  <c r="AF362" i="4"/>
  <c r="AF65" i="4"/>
  <c r="AF64" i="4"/>
  <c r="AF62" i="4"/>
  <c r="AF361" i="4"/>
  <c r="AF360" i="4"/>
  <c r="AF57" i="4"/>
  <c r="AF55" i="4"/>
  <c r="AF48" i="4"/>
  <c r="AF46" i="4"/>
  <c r="AF45" i="4"/>
  <c r="AF359" i="4"/>
  <c r="AF41" i="4"/>
  <c r="AF39" i="4"/>
  <c r="AF36" i="4"/>
  <c r="AF358" i="4"/>
  <c r="AF357" i="4"/>
  <c r="AF30" i="4"/>
  <c r="AF26" i="4"/>
  <c r="AF24" i="4"/>
  <c r="AF21" i="4"/>
  <c r="AF356" i="4"/>
  <c r="AF15" i="4"/>
  <c r="AF355" i="4"/>
  <c r="AF11" i="4"/>
  <c r="AF354" i="4"/>
  <c r="AF353" i="4"/>
  <c r="AF350" i="4"/>
  <c r="AF349" i="4"/>
  <c r="AF348" i="4"/>
  <c r="AF346" i="4"/>
  <c r="AF345" i="4"/>
  <c r="AF344" i="4"/>
  <c r="AF343" i="4"/>
  <c r="AF341" i="4"/>
  <c r="AF340" i="4"/>
  <c r="AF339" i="4"/>
  <c r="AF404" i="4"/>
  <c r="AF338" i="4"/>
  <c r="AF337" i="4"/>
  <c r="AF336" i="4"/>
  <c r="AF335" i="4"/>
  <c r="AF333" i="4"/>
  <c r="AF331" i="4"/>
  <c r="AF329" i="4"/>
  <c r="AF327" i="4"/>
  <c r="AF326" i="4"/>
  <c r="AF324" i="4"/>
  <c r="AF322" i="4"/>
  <c r="AF320" i="4"/>
  <c r="AF317" i="4"/>
  <c r="AF316" i="4"/>
  <c r="AF315" i="4"/>
  <c r="AF312" i="4"/>
  <c r="AF240" i="4"/>
  <c r="AF311" i="4"/>
  <c r="AF309" i="4"/>
  <c r="AF308" i="4"/>
  <c r="AF306" i="4"/>
  <c r="AF305" i="4"/>
  <c r="AF304" i="4"/>
  <c r="AF294" i="4"/>
  <c r="AF293" i="4"/>
  <c r="AF292" i="4"/>
  <c r="AF290" i="4"/>
  <c r="AF289" i="4"/>
  <c r="AF287" i="4"/>
  <c r="AF286" i="4"/>
  <c r="AF285" i="4"/>
  <c r="AF280" i="4"/>
  <c r="AF279" i="4"/>
  <c r="AF278" i="4"/>
  <c r="AF277" i="4"/>
  <c r="AF276" i="4"/>
  <c r="AF273" i="4"/>
  <c r="AF272" i="4"/>
  <c r="AF271" i="4"/>
  <c r="AF270" i="4"/>
  <c r="AF269" i="4"/>
  <c r="AF268" i="4"/>
  <c r="AF267" i="4"/>
  <c r="AF266" i="4"/>
  <c r="AF264" i="4"/>
  <c r="AF263" i="4"/>
  <c r="AF260" i="4"/>
  <c r="AF259" i="4"/>
  <c r="AF257" i="4"/>
  <c r="AF256" i="4"/>
  <c r="AF255" i="4"/>
  <c r="AF254" i="4"/>
  <c r="AF253" i="4"/>
  <c r="AF250" i="4"/>
  <c r="AF409" i="4"/>
  <c r="AF249" i="4"/>
  <c r="AF248" i="4"/>
  <c r="AF243" i="4"/>
  <c r="AF241" i="4"/>
  <c r="AF239" i="4"/>
  <c r="AF236" i="4"/>
  <c r="AF234" i="4"/>
  <c r="AF233" i="4"/>
  <c r="AF231" i="4"/>
  <c r="AF230" i="4"/>
  <c r="AF229" i="4"/>
  <c r="AF228" i="4"/>
  <c r="AF226" i="4"/>
  <c r="AF225" i="4"/>
  <c r="AF223" i="4"/>
  <c r="AF222" i="4"/>
  <c r="AF221" i="4"/>
  <c r="AF217" i="4"/>
  <c r="AF216" i="4"/>
  <c r="AF214" i="4"/>
  <c r="AF211" i="4"/>
  <c r="AF208" i="4"/>
  <c r="AF206" i="4"/>
  <c r="AF205" i="4"/>
  <c r="AF201" i="4"/>
  <c r="AF198" i="4"/>
  <c r="AF197" i="4"/>
  <c r="AF194" i="4"/>
  <c r="AF238" i="4"/>
  <c r="AF192" i="4"/>
  <c r="AF190" i="4"/>
  <c r="AF189" i="4"/>
  <c r="AF188" i="4"/>
  <c r="AF186" i="4"/>
  <c r="AF184" i="4"/>
  <c r="AF181" i="4"/>
  <c r="AF179" i="4"/>
  <c r="AF177" i="4"/>
  <c r="AF175" i="4"/>
  <c r="AF172" i="4"/>
  <c r="AF169" i="4"/>
  <c r="AF167" i="4"/>
  <c r="AF166" i="4"/>
  <c r="AF165" i="4"/>
  <c r="AF162" i="4"/>
  <c r="AF161" i="4"/>
  <c r="AF160" i="4"/>
  <c r="AF157" i="4"/>
  <c r="AF156" i="4"/>
  <c r="AF154" i="4"/>
  <c r="AF152" i="4"/>
  <c r="AF145" i="4"/>
  <c r="AF143" i="4"/>
  <c r="AF138" i="4"/>
  <c r="AF137" i="4"/>
  <c r="AF136" i="4"/>
  <c r="AF135" i="4"/>
  <c r="AF131" i="4"/>
  <c r="AF129" i="4"/>
  <c r="AF127" i="4"/>
  <c r="AF126" i="4"/>
  <c r="AF123" i="4"/>
  <c r="AF122" i="4"/>
  <c r="AF120" i="4"/>
  <c r="AF118" i="4"/>
  <c r="AF114" i="4"/>
  <c r="AF112" i="4"/>
  <c r="AF111" i="4"/>
  <c r="AF110" i="4"/>
  <c r="AF108" i="4"/>
  <c r="AF106" i="4"/>
  <c r="AF105" i="4"/>
  <c r="AF103" i="4"/>
  <c r="AF100" i="4"/>
  <c r="AF99" i="4"/>
  <c r="AF97" i="4"/>
  <c r="AF96" i="4"/>
  <c r="AF95" i="4"/>
  <c r="AF92" i="4"/>
  <c r="AF91" i="4"/>
  <c r="AF90" i="4"/>
  <c r="AF88" i="4"/>
  <c r="AF87" i="4"/>
  <c r="AF86" i="4"/>
  <c r="AF84" i="4"/>
  <c r="AF82" i="4"/>
  <c r="AF79" i="4"/>
  <c r="AF78" i="4"/>
  <c r="AF76" i="4"/>
  <c r="AF75" i="4"/>
  <c r="AF71" i="4"/>
  <c r="AF70" i="4"/>
  <c r="AF69" i="4"/>
  <c r="AF68" i="4"/>
  <c r="AF67" i="4"/>
  <c r="AF66" i="4"/>
  <c r="AF63" i="4"/>
  <c r="AF61" i="4"/>
  <c r="AF60" i="4"/>
  <c r="AF59" i="4"/>
  <c r="AF56" i="4"/>
  <c r="AF54" i="4"/>
  <c r="AF49" i="4"/>
  <c r="AF47" i="4"/>
  <c r="AF44" i="4"/>
  <c r="AF43" i="4"/>
  <c r="AF42" i="4"/>
  <c r="AF40" i="4"/>
  <c r="AF38" i="4"/>
  <c r="AF35" i="4"/>
  <c r="AF34" i="4"/>
  <c r="AF29" i="4"/>
  <c r="AF28" i="4"/>
  <c r="AF25" i="4"/>
  <c r="AF23" i="4"/>
  <c r="AF20" i="4"/>
  <c r="AF19" i="4"/>
  <c r="AF18" i="4"/>
  <c r="AF17" i="4"/>
  <c r="AF14" i="4"/>
  <c r="AF13" i="4"/>
  <c r="AF12" i="4"/>
  <c r="AF10" i="4"/>
  <c r="AF8" i="4"/>
  <c r="AA53" i="4"/>
  <c r="AA603" i="4"/>
  <c r="AA602" i="4"/>
  <c r="AA601" i="4"/>
  <c r="AA600" i="4"/>
  <c r="AA402" i="4"/>
  <c r="AA429" i="4"/>
  <c r="AA483" i="4"/>
  <c r="AA406" i="4"/>
  <c r="AA599" i="4"/>
  <c r="AA299" i="4"/>
  <c r="AA298" i="4"/>
  <c r="AA180" i="4"/>
  <c r="AA618" i="4"/>
  <c r="AA617" i="4"/>
  <c r="AA597" i="4"/>
  <c r="AA596" i="4"/>
  <c r="AA593" i="4"/>
  <c r="AA592" i="4"/>
  <c r="AA590" i="4"/>
  <c r="AA589" i="4"/>
  <c r="AA588" i="4"/>
  <c r="AA395" i="4"/>
  <c r="AA580" i="4"/>
  <c r="AA284" i="4"/>
  <c r="AA543" i="4"/>
  <c r="AA482" i="4"/>
  <c r="AA203" i="4"/>
  <c r="AA252" i="4"/>
  <c r="AA587" i="4"/>
  <c r="AA559" i="4"/>
  <c r="AA151" i="4"/>
  <c r="AA586" i="4"/>
  <c r="AA585" i="4"/>
  <c r="AA583" i="4"/>
  <c r="AA447" i="4"/>
  <c r="AA526" i="4"/>
  <c r="AA496" i="4"/>
  <c r="AA582" i="4"/>
  <c r="AA581" i="4"/>
  <c r="AA579" i="4"/>
  <c r="AA171" i="4"/>
  <c r="AA578" i="4"/>
  <c r="AA577" i="4"/>
  <c r="AA113" i="4"/>
  <c r="AA598" i="4"/>
  <c r="AA575" i="4"/>
  <c r="AA537" i="4"/>
  <c r="AA572" i="4"/>
  <c r="AA495" i="4"/>
  <c r="AA571" i="4"/>
  <c r="AA570" i="4"/>
  <c r="AA569" i="4"/>
  <c r="AA178" i="4"/>
  <c r="AA567" i="4"/>
  <c r="AA297" i="4"/>
  <c r="AA296" i="4"/>
  <c r="AA568" i="4"/>
  <c r="AA566" i="4"/>
  <c r="AA321" i="4"/>
  <c r="AA565" i="4"/>
  <c r="AA563" i="4"/>
  <c r="AA551" i="4"/>
  <c r="AA562" i="4"/>
  <c r="AA150" i="4"/>
  <c r="AA561" i="4"/>
  <c r="AA262" i="4"/>
  <c r="AA560" i="4"/>
  <c r="AA558" i="4"/>
  <c r="AA200" i="4"/>
  <c r="AA446" i="4"/>
  <c r="AA613" i="4"/>
  <c r="AA557" i="4"/>
  <c r="AA556" i="4"/>
  <c r="AA550" i="4"/>
  <c r="AA555" i="4"/>
  <c r="AA554" i="4"/>
  <c r="AA549" i="4"/>
  <c r="AA529" i="4"/>
  <c r="AA553" i="4"/>
  <c r="AA552" i="4"/>
  <c r="AA185" i="4"/>
  <c r="AA528" i="4"/>
  <c r="AA548" i="4"/>
  <c r="AA547" i="4"/>
  <c r="AA546" i="4"/>
  <c r="AA545" i="4"/>
  <c r="AA544" i="4"/>
  <c r="AA474" i="4"/>
  <c r="AA542" i="4"/>
  <c r="AA540" i="4"/>
  <c r="AP540" i="4" s="1"/>
  <c r="AA539" i="4"/>
  <c r="AA134" i="4"/>
  <c r="AA536" i="4"/>
  <c r="AA535" i="4"/>
  <c r="AA532" i="4"/>
  <c r="AA445" i="4"/>
  <c r="AA531" i="4"/>
  <c r="AA124" i="4"/>
  <c r="AQ124" i="4" s="1"/>
  <c r="AA530" i="4"/>
  <c r="AA527" i="4"/>
  <c r="AA525" i="4"/>
  <c r="AA433" i="4"/>
  <c r="AA522" i="4"/>
  <c r="AA149" i="4"/>
  <c r="AA274" i="4"/>
  <c r="AA521" i="4"/>
  <c r="AA520" i="4"/>
  <c r="AA519" i="4"/>
  <c r="AA518" i="4"/>
  <c r="AA128" i="4"/>
  <c r="AA500" i="4"/>
  <c r="AA499" i="4"/>
  <c r="AA517" i="4"/>
  <c r="AA319" i="4"/>
  <c r="AA516" i="4"/>
  <c r="AA515" i="4"/>
  <c r="AA514" i="4"/>
  <c r="AA513" i="4"/>
  <c r="AA512" i="4"/>
  <c r="AA383" i="4"/>
  <c r="AA32" i="4"/>
  <c r="AA481" i="4"/>
  <c r="AA498" i="4"/>
  <c r="AA524" i="4"/>
  <c r="AA444" i="4"/>
  <c r="AA202" i="4"/>
  <c r="AA511" i="4"/>
  <c r="AA510" i="4"/>
  <c r="AA509" i="4"/>
  <c r="AA480" i="4"/>
  <c r="AA508" i="4"/>
  <c r="AA507" i="4"/>
  <c r="AA506" i="4"/>
  <c r="AA479" i="4"/>
  <c r="AA505" i="4"/>
  <c r="AA504" i="4"/>
  <c r="AA503" i="4"/>
  <c r="AA502" i="4"/>
  <c r="AP502" i="4" s="1"/>
  <c r="AA501" i="4"/>
  <c r="AA497" i="4"/>
  <c r="AA494" i="4"/>
  <c r="AA493" i="4"/>
  <c r="AA492" i="4"/>
  <c r="AA117" i="4"/>
  <c r="AA491" i="4"/>
  <c r="AA382" i="4"/>
  <c r="AA478" i="4"/>
  <c r="AA490" i="4"/>
  <c r="AA330" i="4"/>
  <c r="AA489" i="4"/>
  <c r="AA477" i="4"/>
  <c r="AA473" i="4"/>
  <c r="AA283" i="4"/>
  <c r="AA472" i="4"/>
  <c r="AA471" i="4"/>
  <c r="AA469" i="4"/>
  <c r="AA468" i="4"/>
  <c r="AA467" i="4"/>
  <c r="AA466" i="4"/>
  <c r="AA246" i="4"/>
  <c r="AA615" i="4"/>
  <c r="AA465" i="4"/>
  <c r="AA476" i="4"/>
  <c r="AA58" i="4"/>
  <c r="AA464" i="4"/>
  <c r="AA463" i="4"/>
  <c r="AA462" i="4"/>
  <c r="AA438" i="4"/>
  <c r="AA282" i="4"/>
  <c r="AA394" i="4"/>
  <c r="AP394" i="4" s="1"/>
  <c r="AA461" i="4"/>
  <c r="AA460" i="4"/>
  <c r="AA31" i="4"/>
  <c r="AA443" i="4"/>
  <c r="AA142" i="4"/>
  <c r="AA459" i="4"/>
  <c r="AA458" i="4"/>
  <c r="AA141" i="4"/>
  <c r="AP141" i="4" s="1"/>
  <c r="AA140" i="4"/>
  <c r="AA457" i="4"/>
  <c r="AA456" i="4"/>
  <c r="AA454" i="4"/>
  <c r="AA393" i="4"/>
  <c r="AA148" i="4"/>
  <c r="AA147" i="4"/>
  <c r="AA453" i="4"/>
  <c r="AA440" i="4"/>
  <c r="AA392" i="4"/>
  <c r="AA98" i="4"/>
  <c r="AA452" i="4"/>
  <c r="AA451" i="4"/>
  <c r="AA450" i="4"/>
  <c r="AA417" i="4"/>
  <c r="AA523" i="4"/>
  <c r="AQ523" i="4" s="1"/>
  <c r="AA133" i="4"/>
  <c r="AA132" i="4"/>
  <c r="AA449" i="4"/>
  <c r="AA448" i="4"/>
  <c r="AA391" i="4"/>
  <c r="AA52" i="4"/>
  <c r="AA442" i="4"/>
  <c r="AA390" i="4"/>
  <c r="AA196" i="4"/>
  <c r="AA441" i="4"/>
  <c r="AA439" i="4"/>
  <c r="AA437" i="4"/>
  <c r="AA37" i="4"/>
  <c r="AA435" i="4"/>
  <c r="AA434" i="4"/>
  <c r="AA432" i="4"/>
  <c r="AL432" i="4" s="1"/>
  <c r="AA431" i="4"/>
  <c r="AA428" i="4"/>
  <c r="AA380" i="4"/>
  <c r="AA427" i="4"/>
  <c r="AA9" i="4"/>
  <c r="AA426" i="4"/>
  <c r="AA425" i="4"/>
  <c r="AA51" i="4"/>
  <c r="AQ51" i="4" s="1"/>
  <c r="AA424" i="4"/>
  <c r="AA318" i="4"/>
  <c r="AA423" i="4"/>
  <c r="AA422" i="4"/>
  <c r="AA389" i="4"/>
  <c r="AA144" i="4"/>
  <c r="AA421" i="4"/>
  <c r="AA420" i="4"/>
  <c r="AA314" i="4"/>
  <c r="AA334" i="4"/>
  <c r="AA419" i="4"/>
  <c r="AA418" i="4"/>
  <c r="AA416" i="4"/>
  <c r="AA94" i="4"/>
  <c r="AA242" i="4"/>
  <c r="AA415" i="4"/>
  <c r="AA379" i="4"/>
  <c r="AA325" i="4"/>
  <c r="AA414" i="4"/>
  <c r="AA232" i="4"/>
  <c r="AA16" i="4"/>
  <c r="AA220" i="4"/>
  <c r="AA413" i="4"/>
  <c r="AA412" i="4"/>
  <c r="AP412" i="4" s="1"/>
  <c r="AA411" i="4"/>
  <c r="AA342" i="4"/>
  <c r="AA410" i="4"/>
  <c r="AA307" i="4"/>
  <c r="AA121" i="4"/>
  <c r="AA408" i="4"/>
  <c r="AA407" i="4"/>
  <c r="AA475" i="4"/>
  <c r="AL475" i="4" s="1"/>
  <c r="AA405" i="4"/>
  <c r="AA401" i="4"/>
  <c r="AA400" i="4"/>
  <c r="AA22" i="4"/>
  <c r="AA388" i="4"/>
  <c r="AA387" i="4"/>
  <c r="AA386" i="4"/>
  <c r="AA385" i="4"/>
  <c r="AA235" i="4"/>
  <c r="AA109" i="4"/>
  <c r="AA219" i="4"/>
  <c r="AA328" i="4"/>
  <c r="AA384" i="4"/>
  <c r="AA381" i="4"/>
  <c r="AA332" i="4"/>
  <c r="AA378" i="4"/>
  <c r="AA377" i="4"/>
  <c r="AA541" i="4"/>
  <c r="AA50" i="4"/>
  <c r="AA376" i="4"/>
  <c r="AA193" i="4"/>
  <c r="AA352" i="4"/>
  <c r="AA351" i="4"/>
  <c r="AA347" i="4"/>
  <c r="AP347" i="4" s="1"/>
  <c r="AA375" i="4"/>
  <c r="AA374" i="4"/>
  <c r="AA323" i="4"/>
  <c r="AA313" i="4"/>
  <c r="AA534" i="4"/>
  <c r="AA373" i="4"/>
  <c r="AA295" i="4"/>
  <c r="AA291" i="4"/>
  <c r="AA288" i="4"/>
  <c r="AA372" i="4"/>
  <c r="AA281" i="4"/>
  <c r="AA612" i="4"/>
  <c r="AA436" i="4"/>
  <c r="AA227" i="4"/>
  <c r="AA265" i="4"/>
  <c r="AA261" i="4"/>
  <c r="AA258" i="4"/>
  <c r="AA251" i="4"/>
  <c r="AA245" i="4"/>
  <c r="AA244" i="4"/>
  <c r="AA237" i="4"/>
  <c r="AA224" i="4"/>
  <c r="AA371" i="4"/>
  <c r="AA218" i="4"/>
  <c r="AQ218" i="4" s="1"/>
  <c r="AA370" i="4"/>
  <c r="AA369" i="4"/>
  <c r="AA368" i="4"/>
  <c r="AA215" i="4"/>
  <c r="AA212" i="4"/>
  <c r="AA207" i="4"/>
  <c r="AA199" i="4"/>
  <c r="AA195" i="4"/>
  <c r="AA191" i="4"/>
  <c r="AA187" i="4"/>
  <c r="AA367" i="4"/>
  <c r="AA182" i="4"/>
  <c r="AA176" i="4"/>
  <c r="AA173" i="4"/>
  <c r="AA170" i="4"/>
  <c r="AA164" i="4"/>
  <c r="AA163" i="4"/>
  <c r="AA574" i="4"/>
  <c r="AA573" i="4"/>
  <c r="AA159" i="4"/>
  <c r="AA158" i="4"/>
  <c r="AA155" i="4"/>
  <c r="AA153" i="4"/>
  <c r="AA146" i="4"/>
  <c r="AA139" i="4"/>
  <c r="AA366" i="4"/>
  <c r="AA130" i="4"/>
  <c r="AA611" i="4"/>
  <c r="AA610" i="4"/>
  <c r="AA609" i="4"/>
  <c r="AA365" i="4"/>
  <c r="AA119" i="4"/>
  <c r="AA116" i="4"/>
  <c r="AA115" i="4"/>
  <c r="AA104" i="4"/>
  <c r="AA101" i="4"/>
  <c r="AA364" i="4"/>
  <c r="AA93" i="4"/>
  <c r="AA81" i="4"/>
  <c r="AA80" i="4"/>
  <c r="AQ80" i="4" s="1"/>
  <c r="AA77" i="4"/>
  <c r="AA74" i="4"/>
  <c r="AA73" i="4"/>
  <c r="AA72" i="4"/>
  <c r="AA363" i="4"/>
  <c r="AA362" i="4"/>
  <c r="AA65" i="4"/>
  <c r="AA64" i="4"/>
  <c r="AL64" i="4" s="1"/>
  <c r="AA62" i="4"/>
  <c r="AA361" i="4"/>
  <c r="AA360" i="4"/>
  <c r="AA57" i="4"/>
  <c r="AA55" i="4"/>
  <c r="AA48" i="4"/>
  <c r="AA46" i="4"/>
  <c r="AA45" i="4"/>
  <c r="AA359" i="4"/>
  <c r="AA41" i="4"/>
  <c r="AA39" i="4"/>
  <c r="AA36" i="4"/>
  <c r="AA358" i="4"/>
  <c r="AA357" i="4"/>
  <c r="AA30" i="4"/>
  <c r="AA26" i="4"/>
  <c r="AP26" i="4" s="1"/>
  <c r="AA24" i="4"/>
  <c r="AA21" i="4"/>
  <c r="AA356" i="4"/>
  <c r="AA15" i="4"/>
  <c r="AA355" i="4"/>
  <c r="AA11" i="4"/>
  <c r="AA354" i="4"/>
  <c r="AA353" i="4"/>
  <c r="AA350" i="4"/>
  <c r="AA349" i="4"/>
  <c r="AA348" i="4"/>
  <c r="AA346" i="4"/>
  <c r="AA345" i="4"/>
  <c r="AA344" i="4"/>
  <c r="AA343" i="4"/>
  <c r="AA341" i="4"/>
  <c r="AA340" i="4"/>
  <c r="AA339" i="4"/>
  <c r="AA404" i="4"/>
  <c r="AA338" i="4"/>
  <c r="AA337" i="4"/>
  <c r="AA336" i="4"/>
  <c r="AA335" i="4"/>
  <c r="AA333" i="4"/>
  <c r="AQ333" i="4" s="1"/>
  <c r="AA331" i="4"/>
  <c r="AA329" i="4"/>
  <c r="AA327" i="4"/>
  <c r="AA326" i="4"/>
  <c r="AA324" i="4"/>
  <c r="AA322" i="4"/>
  <c r="AA320" i="4"/>
  <c r="AA317" i="4"/>
  <c r="AQ317" i="4" s="1"/>
  <c r="AA316" i="4"/>
  <c r="AA315" i="4"/>
  <c r="AA312" i="4"/>
  <c r="AA240" i="4"/>
  <c r="AA311" i="4"/>
  <c r="AA309" i="4"/>
  <c r="AA308" i="4"/>
  <c r="AA306" i="4"/>
  <c r="AA305" i="4"/>
  <c r="AA304" i="4"/>
  <c r="AA294" i="4"/>
  <c r="AA293" i="4"/>
  <c r="AA292" i="4"/>
  <c r="AA290" i="4"/>
  <c r="AA289" i="4"/>
  <c r="AA287" i="4"/>
  <c r="AP287" i="4" s="1"/>
  <c r="AA286" i="4"/>
  <c r="AA285" i="4"/>
  <c r="AA280" i="4"/>
  <c r="AA279" i="4"/>
  <c r="AA278" i="4"/>
  <c r="AA277" i="4"/>
  <c r="AA276" i="4"/>
  <c r="AA273" i="4"/>
  <c r="AP273" i="4" s="1"/>
  <c r="AA272" i="4"/>
  <c r="AA271" i="4"/>
  <c r="AA270" i="4"/>
  <c r="AA269" i="4"/>
  <c r="AA268" i="4"/>
  <c r="AA267" i="4"/>
  <c r="AA266" i="4"/>
  <c r="AA264" i="4"/>
  <c r="AQ264" i="4" s="1"/>
  <c r="AA263" i="4"/>
  <c r="AA260" i="4"/>
  <c r="AA259" i="4"/>
  <c r="AA257" i="4"/>
  <c r="AA256" i="4"/>
  <c r="AA255" i="4"/>
  <c r="AA254" i="4"/>
  <c r="AA253" i="4"/>
  <c r="AQ253" i="4" s="1"/>
  <c r="AA250" i="4"/>
  <c r="AA409" i="4"/>
  <c r="AA249" i="4"/>
  <c r="AA248" i="4"/>
  <c r="AA243" i="4"/>
  <c r="AA241" i="4"/>
  <c r="AA239" i="4"/>
  <c r="AA236" i="4"/>
  <c r="AL236" i="4" s="1"/>
  <c r="AA234" i="4"/>
  <c r="AA233" i="4"/>
  <c r="AA231" i="4"/>
  <c r="AA230" i="4"/>
  <c r="AA229" i="4"/>
  <c r="AA228" i="4"/>
  <c r="AA226" i="4"/>
  <c r="AA225" i="4"/>
  <c r="AA223" i="4"/>
  <c r="AA222" i="4"/>
  <c r="AA221" i="4"/>
  <c r="AA217" i="4"/>
  <c r="AA216" i="4"/>
  <c r="AA214" i="4"/>
  <c r="AA211" i="4"/>
  <c r="AA208" i="4"/>
  <c r="AP208" i="4" s="1"/>
  <c r="AA206" i="4"/>
  <c r="AA205" i="4"/>
  <c r="AA201" i="4"/>
  <c r="AA198" i="4"/>
  <c r="AA197" i="4"/>
  <c r="AA194" i="4"/>
  <c r="AA238" i="4"/>
  <c r="AA192" i="4"/>
  <c r="AP192" i="4" s="1"/>
  <c r="AA190" i="4"/>
  <c r="AA189" i="4"/>
  <c r="AA188" i="4"/>
  <c r="AA186" i="4"/>
  <c r="AA184" i="4"/>
  <c r="AA181" i="4"/>
  <c r="AA179" i="4"/>
  <c r="AA177" i="4"/>
  <c r="AQ177" i="4" s="1"/>
  <c r="AA175" i="4"/>
  <c r="AA172" i="4"/>
  <c r="AA169" i="4"/>
  <c r="AA167" i="4"/>
  <c r="AA166" i="4"/>
  <c r="AA165" i="4"/>
  <c r="AA162" i="4"/>
  <c r="AA161" i="4"/>
  <c r="AA160" i="4"/>
  <c r="AA157" i="4"/>
  <c r="AA156" i="4"/>
  <c r="AA154" i="4"/>
  <c r="AA152" i="4"/>
  <c r="AA145" i="4"/>
  <c r="AA143" i="4"/>
  <c r="AA138" i="4"/>
  <c r="AP138" i="4" s="1"/>
  <c r="AA137" i="4"/>
  <c r="AA136" i="4"/>
  <c r="AA135" i="4"/>
  <c r="AA131" i="4"/>
  <c r="AA129" i="4"/>
  <c r="AA127" i="4"/>
  <c r="AA126" i="4"/>
  <c r="AA123" i="4"/>
  <c r="AQ123" i="4" s="1"/>
  <c r="AA122" i="4"/>
  <c r="AA120" i="4"/>
  <c r="AA118" i="4"/>
  <c r="AA114" i="4"/>
  <c r="AA112" i="4"/>
  <c r="AA111" i="4"/>
  <c r="AA110" i="4"/>
  <c r="AA108" i="4"/>
  <c r="AA106" i="4"/>
  <c r="AA105" i="4"/>
  <c r="AA103" i="4"/>
  <c r="AA100" i="4"/>
  <c r="AA99" i="4"/>
  <c r="AA97" i="4"/>
  <c r="AA96" i="4"/>
  <c r="AA95" i="4"/>
  <c r="AA92" i="4"/>
  <c r="AA91" i="4"/>
  <c r="AA90" i="4"/>
  <c r="AA88" i="4"/>
  <c r="AA87" i="4"/>
  <c r="AA86" i="4"/>
  <c r="AA84" i="4"/>
  <c r="AA82" i="4"/>
  <c r="AA79" i="4"/>
  <c r="AA78" i="4"/>
  <c r="AA76" i="4"/>
  <c r="AA75" i="4"/>
  <c r="AA71" i="4"/>
  <c r="AA70" i="4"/>
  <c r="AA69" i="4"/>
  <c r="AA68" i="4"/>
  <c r="AP68" i="4" s="1"/>
  <c r="AA67" i="4"/>
  <c r="AA66" i="4"/>
  <c r="AA63" i="4"/>
  <c r="AA61" i="4"/>
  <c r="AA60" i="4"/>
  <c r="AA59" i="4"/>
  <c r="AA56" i="4"/>
  <c r="AA54" i="4"/>
  <c r="AA49" i="4"/>
  <c r="AA47" i="4"/>
  <c r="AA44" i="4"/>
  <c r="AA43" i="4"/>
  <c r="AA42" i="4"/>
  <c r="AA40" i="4"/>
  <c r="AA38" i="4"/>
  <c r="AA35" i="4"/>
  <c r="AP35" i="4" s="1"/>
  <c r="AA34" i="4"/>
  <c r="AA29" i="4"/>
  <c r="AA28" i="4"/>
  <c r="AA25" i="4"/>
  <c r="AA23" i="4"/>
  <c r="AA20" i="4"/>
  <c r="AA19" i="4"/>
  <c r="AA18" i="4"/>
  <c r="AA17" i="4"/>
  <c r="AA14" i="4"/>
  <c r="AA13" i="4"/>
  <c r="AA12" i="4"/>
  <c r="AA10" i="4"/>
  <c r="AA8" i="4"/>
  <c r="W53" i="4"/>
  <c r="W603" i="4"/>
  <c r="W602" i="4"/>
  <c r="W601" i="4"/>
  <c r="W600" i="4"/>
  <c r="W402" i="4"/>
  <c r="W429" i="4"/>
  <c r="W483" i="4"/>
  <c r="W406" i="4"/>
  <c r="W599" i="4"/>
  <c r="W299" i="4"/>
  <c r="W298" i="4"/>
  <c r="W180" i="4"/>
  <c r="W618" i="4"/>
  <c r="W617" i="4"/>
  <c r="W597" i="4"/>
  <c r="W596" i="4"/>
  <c r="W593" i="4"/>
  <c r="W592" i="4"/>
  <c r="W590" i="4"/>
  <c r="W589" i="4"/>
  <c r="W588" i="4"/>
  <c r="W395" i="4"/>
  <c r="W580" i="4"/>
  <c r="W284" i="4"/>
  <c r="W543" i="4"/>
  <c r="W482" i="4"/>
  <c r="W203" i="4"/>
  <c r="W252" i="4"/>
  <c r="W587" i="4"/>
  <c r="W559" i="4"/>
  <c r="W151" i="4"/>
  <c r="W586" i="4"/>
  <c r="W585" i="4"/>
  <c r="W583" i="4"/>
  <c r="W447" i="4"/>
  <c r="W526" i="4"/>
  <c r="W496" i="4"/>
  <c r="W582" i="4"/>
  <c r="W581" i="4"/>
  <c r="W579" i="4"/>
  <c r="W171" i="4"/>
  <c r="W578" i="4"/>
  <c r="W577" i="4"/>
  <c r="W113" i="4"/>
  <c r="W598" i="4"/>
  <c r="W575" i="4"/>
  <c r="W537" i="4"/>
  <c r="W572" i="4"/>
  <c r="W495" i="4"/>
  <c r="W571" i="4"/>
  <c r="W570" i="4"/>
  <c r="W569" i="4"/>
  <c r="W178" i="4"/>
  <c r="W567" i="4"/>
  <c r="W297" i="4"/>
  <c r="W296" i="4"/>
  <c r="W568" i="4"/>
  <c r="W566" i="4"/>
  <c r="W321" i="4"/>
  <c r="W565" i="4"/>
  <c r="W563" i="4"/>
  <c r="W551" i="4"/>
  <c r="W562" i="4"/>
  <c r="W150" i="4"/>
  <c r="W561" i="4"/>
  <c r="W262" i="4"/>
  <c r="W560" i="4"/>
  <c r="W558" i="4"/>
  <c r="W200" i="4"/>
  <c r="W446" i="4"/>
  <c r="W613" i="4"/>
  <c r="W557" i="4"/>
  <c r="W556" i="4"/>
  <c r="W550" i="4"/>
  <c r="W555" i="4"/>
  <c r="W554" i="4"/>
  <c r="W549" i="4"/>
  <c r="W529" i="4"/>
  <c r="W553" i="4"/>
  <c r="W552" i="4"/>
  <c r="W185" i="4"/>
  <c r="W528" i="4"/>
  <c r="W548" i="4"/>
  <c r="W547" i="4"/>
  <c r="W546" i="4"/>
  <c r="W545" i="4"/>
  <c r="W544" i="4"/>
  <c r="W474" i="4"/>
  <c r="W542" i="4"/>
  <c r="W540" i="4"/>
  <c r="W539" i="4"/>
  <c r="W134" i="4"/>
  <c r="W536" i="4"/>
  <c r="W535" i="4"/>
  <c r="W532" i="4"/>
  <c r="W445" i="4"/>
  <c r="W531" i="4"/>
  <c r="W124" i="4"/>
  <c r="W530" i="4"/>
  <c r="W527" i="4"/>
  <c r="W525" i="4"/>
  <c r="W433" i="4"/>
  <c r="W522" i="4"/>
  <c r="W149" i="4"/>
  <c r="W274" i="4"/>
  <c r="AP274" i="4" s="1"/>
  <c r="W521" i="4"/>
  <c r="W520" i="4"/>
  <c r="W519" i="4"/>
  <c r="W518" i="4"/>
  <c r="W128" i="4"/>
  <c r="W500" i="4"/>
  <c r="W499" i="4"/>
  <c r="W517" i="4"/>
  <c r="AQ517" i="4" s="1"/>
  <c r="W319" i="4"/>
  <c r="W516" i="4"/>
  <c r="W515" i="4"/>
  <c r="W514" i="4"/>
  <c r="W513" i="4"/>
  <c r="W512" i="4"/>
  <c r="W383" i="4"/>
  <c r="W32" i="4"/>
  <c r="W481" i="4"/>
  <c r="W498" i="4"/>
  <c r="W524" i="4"/>
  <c r="W444" i="4"/>
  <c r="W202" i="4"/>
  <c r="W511" i="4"/>
  <c r="W510" i="4"/>
  <c r="W509" i="4"/>
  <c r="W480" i="4"/>
  <c r="W508" i="4"/>
  <c r="W507" i="4"/>
  <c r="W506" i="4"/>
  <c r="W479" i="4"/>
  <c r="W505" i="4"/>
  <c r="W504" i="4"/>
  <c r="W503" i="4"/>
  <c r="W502" i="4"/>
  <c r="W501" i="4"/>
  <c r="W497" i="4"/>
  <c r="W494" i="4"/>
  <c r="W493" i="4"/>
  <c r="W492" i="4"/>
  <c r="W117" i="4"/>
  <c r="W491" i="4"/>
  <c r="AQ491" i="4" s="1"/>
  <c r="W382" i="4"/>
  <c r="W478" i="4"/>
  <c r="W490" i="4"/>
  <c r="W330" i="4"/>
  <c r="W489" i="4"/>
  <c r="W477" i="4"/>
  <c r="W473" i="4"/>
  <c r="AP473" i="4" s="1"/>
  <c r="W283" i="4"/>
  <c r="AQ283" i="4" s="1"/>
  <c r="W472" i="4"/>
  <c r="W471" i="4"/>
  <c r="W469" i="4"/>
  <c r="W468" i="4"/>
  <c r="W467" i="4"/>
  <c r="W466" i="4"/>
  <c r="W246" i="4"/>
  <c r="W615" i="4"/>
  <c r="W465" i="4"/>
  <c r="W476" i="4"/>
  <c r="W58" i="4"/>
  <c r="W464" i="4"/>
  <c r="W463" i="4"/>
  <c r="W462" i="4"/>
  <c r="W438" i="4"/>
  <c r="AQ438" i="4" s="1"/>
  <c r="W282" i="4"/>
  <c r="W394" i="4"/>
  <c r="W461" i="4"/>
  <c r="W460" i="4"/>
  <c r="W31" i="4"/>
  <c r="W443" i="4"/>
  <c r="W142" i="4"/>
  <c r="W459" i="4"/>
  <c r="W458" i="4"/>
  <c r="AP458" i="4" s="1"/>
  <c r="W141" i="4"/>
  <c r="W140" i="4"/>
  <c r="W457" i="4"/>
  <c r="W456" i="4"/>
  <c r="W454" i="4"/>
  <c r="W393" i="4"/>
  <c r="W148" i="4"/>
  <c r="W147" i="4"/>
  <c r="W453" i="4"/>
  <c r="W440" i="4"/>
  <c r="W392" i="4"/>
  <c r="W98" i="4"/>
  <c r="W452" i="4"/>
  <c r="W451" i="4"/>
  <c r="W450" i="4"/>
  <c r="W417" i="4"/>
  <c r="W523" i="4"/>
  <c r="W133" i="4"/>
  <c r="W132" i="4"/>
  <c r="W449" i="4"/>
  <c r="W448" i="4"/>
  <c r="W391" i="4"/>
  <c r="W52" i="4"/>
  <c r="W442" i="4"/>
  <c r="W390" i="4"/>
  <c r="W196" i="4"/>
  <c r="W441" i="4"/>
  <c r="W439" i="4"/>
  <c r="W437" i="4"/>
  <c r="W37" i="4"/>
  <c r="W435" i="4"/>
  <c r="W434" i="4"/>
  <c r="AM434" i="4" s="1"/>
  <c r="W432" i="4"/>
  <c r="W431" i="4"/>
  <c r="W428" i="4"/>
  <c r="W380" i="4"/>
  <c r="W427" i="4"/>
  <c r="W9" i="4"/>
  <c r="W426" i="4"/>
  <c r="AQ426" i="4" s="1"/>
  <c r="W425" i="4"/>
  <c r="W51" i="4"/>
  <c r="W424" i="4"/>
  <c r="W318" i="4"/>
  <c r="W423" i="4"/>
  <c r="W422" i="4"/>
  <c r="W389" i="4"/>
  <c r="W144" i="4"/>
  <c r="W421" i="4"/>
  <c r="AP421" i="4" s="1"/>
  <c r="W420" i="4"/>
  <c r="W314" i="4"/>
  <c r="W334" i="4"/>
  <c r="W419" i="4"/>
  <c r="W418" i="4"/>
  <c r="W416" i="4"/>
  <c r="W94" i="4"/>
  <c r="W242" i="4"/>
  <c r="AM242" i="4" s="1"/>
  <c r="W415" i="4"/>
  <c r="W379" i="4"/>
  <c r="W325" i="4"/>
  <c r="W414" i="4"/>
  <c r="W232" i="4"/>
  <c r="W16" i="4"/>
  <c r="W220" i="4"/>
  <c r="W413" i="4"/>
  <c r="W412" i="4"/>
  <c r="W411" i="4"/>
  <c r="W342" i="4"/>
  <c r="W410" i="4"/>
  <c r="W307" i="4"/>
  <c r="W121" i="4"/>
  <c r="W408" i="4"/>
  <c r="AQ408" i="4" s="1"/>
  <c r="W407" i="4"/>
  <c r="W475" i="4"/>
  <c r="W405" i="4"/>
  <c r="W401" i="4"/>
  <c r="W400" i="4"/>
  <c r="W22" i="4"/>
  <c r="W388" i="4"/>
  <c r="W387" i="4"/>
  <c r="AP387" i="4" s="1"/>
  <c r="W386" i="4"/>
  <c r="AM386" i="4" s="1"/>
  <c r="W385" i="4"/>
  <c r="W235" i="4"/>
  <c r="W109" i="4"/>
  <c r="W219" i="4"/>
  <c r="W328" i="4"/>
  <c r="W384" i="4"/>
  <c r="W381" i="4"/>
  <c r="W332" i="4"/>
  <c r="AL332" i="4" s="1"/>
  <c r="W378" i="4"/>
  <c r="W377" i="4"/>
  <c r="W541" i="4"/>
  <c r="W50" i="4"/>
  <c r="W376" i="4"/>
  <c r="W193" i="4"/>
  <c r="W352" i="4"/>
  <c r="AQ352" i="4" s="1"/>
  <c r="W351" i="4"/>
  <c r="W347" i="4"/>
  <c r="W375" i="4"/>
  <c r="W374" i="4"/>
  <c r="W323" i="4"/>
  <c r="W313" i="4"/>
  <c r="W534" i="4"/>
  <c r="W373" i="4"/>
  <c r="W295" i="4"/>
  <c r="W291" i="4"/>
  <c r="W288" i="4"/>
  <c r="W372" i="4"/>
  <c r="W281" i="4"/>
  <c r="W612" i="4"/>
  <c r="W436" i="4"/>
  <c r="W227" i="4"/>
  <c r="AP227" i="4" s="1"/>
  <c r="W265" i="4"/>
  <c r="W261" i="4"/>
  <c r="W258" i="4"/>
  <c r="W251" i="4"/>
  <c r="W245" i="4"/>
  <c r="W244" i="4"/>
  <c r="W237" i="4"/>
  <c r="W224" i="4"/>
  <c r="W371" i="4"/>
  <c r="AM371" i="4" s="1"/>
  <c r="W218" i="4"/>
  <c r="W370" i="4"/>
  <c r="W369" i="4"/>
  <c r="W368" i="4"/>
  <c r="W215" i="4"/>
  <c r="W212" i="4"/>
  <c r="W207" i="4"/>
  <c r="W199" i="4"/>
  <c r="W195" i="4"/>
  <c r="W191" i="4"/>
  <c r="W187" i="4"/>
  <c r="W367" i="4"/>
  <c r="W182" i="4"/>
  <c r="W176" i="4"/>
  <c r="W173" i="4"/>
  <c r="AQ173" i="4" s="1"/>
  <c r="W170" i="4"/>
  <c r="W164" i="4"/>
  <c r="W163" i="4"/>
  <c r="W574" i="4"/>
  <c r="W573" i="4"/>
  <c r="W159" i="4"/>
  <c r="W158" i="4"/>
  <c r="W155" i="4"/>
  <c r="W153" i="4"/>
  <c r="AP153" i="4" s="1"/>
  <c r="W146" i="4"/>
  <c r="W139" i="4"/>
  <c r="W366" i="4"/>
  <c r="W130" i="4"/>
  <c r="W611" i="4"/>
  <c r="W610" i="4"/>
  <c r="W609" i="4"/>
  <c r="W365" i="4"/>
  <c r="AL365" i="4" s="1"/>
  <c r="W119" i="4"/>
  <c r="W116" i="4"/>
  <c r="W115" i="4"/>
  <c r="W104" i="4"/>
  <c r="W101" i="4"/>
  <c r="W364" i="4"/>
  <c r="W93" i="4"/>
  <c r="W81" i="4"/>
  <c r="AQ81" i="4" s="1"/>
  <c r="W80" i="4"/>
  <c r="W77" i="4"/>
  <c r="W74" i="4"/>
  <c r="W73" i="4"/>
  <c r="W72" i="4"/>
  <c r="W363" i="4"/>
  <c r="W362" i="4"/>
  <c r="AQ362" i="4" s="1"/>
  <c r="W65" i="4"/>
  <c r="W64" i="4"/>
  <c r="W62" i="4"/>
  <c r="W361" i="4"/>
  <c r="W360" i="4"/>
  <c r="W57" i="4"/>
  <c r="W55" i="4"/>
  <c r="W48" i="4"/>
  <c r="W46" i="4"/>
  <c r="W45" i="4"/>
  <c r="W359" i="4"/>
  <c r="W41" i="4"/>
  <c r="W39" i="4"/>
  <c r="W36" i="4"/>
  <c r="W358" i="4"/>
  <c r="W357" i="4"/>
  <c r="W30" i="4"/>
  <c r="W26" i="4"/>
  <c r="W24" i="4"/>
  <c r="W21" i="4"/>
  <c r="W356" i="4"/>
  <c r="W15" i="4"/>
  <c r="W355" i="4"/>
  <c r="W11" i="4"/>
  <c r="W354" i="4"/>
  <c r="W353" i="4"/>
  <c r="W350" i="4"/>
  <c r="W349" i="4"/>
  <c r="W348" i="4"/>
  <c r="W346" i="4"/>
  <c r="W345" i="4"/>
  <c r="W344" i="4"/>
  <c r="W343" i="4"/>
  <c r="W341" i="4"/>
  <c r="W340" i="4"/>
  <c r="W339" i="4"/>
  <c r="W404" i="4"/>
  <c r="W338" i="4"/>
  <c r="W337" i="4"/>
  <c r="W336" i="4"/>
  <c r="W335" i="4"/>
  <c r="W333" i="4"/>
  <c r="W331" i="4"/>
  <c r="W329" i="4"/>
  <c r="W327" i="4"/>
  <c r="W326" i="4"/>
  <c r="W324" i="4"/>
  <c r="W322" i="4"/>
  <c r="W320" i="4"/>
  <c r="AP320" i="4" s="1"/>
  <c r="W317" i="4"/>
  <c r="W316" i="4"/>
  <c r="W315" i="4"/>
  <c r="W312" i="4"/>
  <c r="W240" i="4"/>
  <c r="W311" i="4"/>
  <c r="W309" i="4"/>
  <c r="W308" i="4"/>
  <c r="AP308" i="4" s="1"/>
  <c r="W306" i="4"/>
  <c r="W305" i="4"/>
  <c r="W304" i="4"/>
  <c r="W294" i="4"/>
  <c r="W293" i="4"/>
  <c r="W292" i="4"/>
  <c r="W290" i="4"/>
  <c r="W289" i="4"/>
  <c r="W287" i="4"/>
  <c r="W286" i="4"/>
  <c r="W285" i="4"/>
  <c r="W280" i="4"/>
  <c r="W279" i="4"/>
  <c r="W278" i="4"/>
  <c r="W277" i="4"/>
  <c r="W276" i="4"/>
  <c r="W273" i="4"/>
  <c r="W272" i="4"/>
  <c r="W271" i="4"/>
  <c r="W270" i="4"/>
  <c r="W269" i="4"/>
  <c r="W268" i="4"/>
  <c r="W267" i="4"/>
  <c r="W266" i="4"/>
  <c r="AP266" i="4" s="1"/>
  <c r="W264" i="4"/>
  <c r="W263" i="4"/>
  <c r="W260" i="4"/>
  <c r="W259" i="4"/>
  <c r="W257" i="4"/>
  <c r="W256" i="4"/>
  <c r="W255" i="4"/>
  <c r="W254" i="4"/>
  <c r="W253" i="4"/>
  <c r="W250" i="4"/>
  <c r="W409" i="4"/>
  <c r="W249" i="4"/>
  <c r="W248" i="4"/>
  <c r="W243" i="4"/>
  <c r="W241" i="4"/>
  <c r="W239" i="4"/>
  <c r="W236" i="4"/>
  <c r="W234" i="4"/>
  <c r="W233" i="4"/>
  <c r="W231" i="4"/>
  <c r="W230" i="4"/>
  <c r="W229" i="4"/>
  <c r="W228" i="4"/>
  <c r="W226" i="4"/>
  <c r="AL226" i="4" s="1"/>
  <c r="W225" i="4"/>
  <c r="W223" i="4"/>
  <c r="W222" i="4"/>
  <c r="W221" i="4"/>
  <c r="W217" i="4"/>
  <c r="W216" i="4"/>
  <c r="W214" i="4"/>
  <c r="W211" i="4"/>
  <c r="W208" i="4"/>
  <c r="W206" i="4"/>
  <c r="W205" i="4"/>
  <c r="W201" i="4"/>
  <c r="W198" i="4"/>
  <c r="W197" i="4"/>
  <c r="W194" i="4"/>
  <c r="W238" i="4"/>
  <c r="W192" i="4"/>
  <c r="W190" i="4"/>
  <c r="W189" i="4"/>
  <c r="W188" i="4"/>
  <c r="W186" i="4"/>
  <c r="W184" i="4"/>
  <c r="W181" i="4"/>
  <c r="W179" i="4"/>
  <c r="AQ179" i="4" s="1"/>
  <c r="W177" i="4"/>
  <c r="W175" i="4"/>
  <c r="W172" i="4"/>
  <c r="W169" i="4"/>
  <c r="W167" i="4"/>
  <c r="W166" i="4"/>
  <c r="W165" i="4"/>
  <c r="W162" i="4"/>
  <c r="AL162" i="4" s="1"/>
  <c r="W161" i="4"/>
  <c r="W160" i="4"/>
  <c r="W157" i="4"/>
  <c r="W156" i="4"/>
  <c r="W154" i="4"/>
  <c r="W152" i="4"/>
  <c r="W145" i="4"/>
  <c r="W143" i="4"/>
  <c r="W138" i="4"/>
  <c r="W137" i="4"/>
  <c r="W136" i="4"/>
  <c r="W135" i="4"/>
  <c r="W131" i="4"/>
  <c r="W129" i="4"/>
  <c r="W127" i="4"/>
  <c r="W126" i="4"/>
  <c r="AL126" i="4" s="1"/>
  <c r="W123" i="4"/>
  <c r="W122" i="4"/>
  <c r="W120" i="4"/>
  <c r="W118" i="4"/>
  <c r="W114" i="4"/>
  <c r="W112" i="4"/>
  <c r="W111" i="4"/>
  <c r="W110" i="4"/>
  <c r="AQ110" i="4" s="1"/>
  <c r="W108" i="4"/>
  <c r="W106" i="4"/>
  <c r="W105" i="4"/>
  <c r="W103" i="4"/>
  <c r="W100" i="4"/>
  <c r="W99" i="4"/>
  <c r="W97" i="4"/>
  <c r="W96" i="4"/>
  <c r="W95" i="4"/>
  <c r="W92" i="4"/>
  <c r="W91" i="4"/>
  <c r="W90" i="4"/>
  <c r="W88" i="4"/>
  <c r="W87" i="4"/>
  <c r="W86" i="4"/>
  <c r="W84" i="4"/>
  <c r="AQ84" i="4" s="1"/>
  <c r="W82" i="4"/>
  <c r="W79" i="4"/>
  <c r="W78" i="4"/>
  <c r="W76" i="4"/>
  <c r="W75" i="4"/>
  <c r="W71" i="4"/>
  <c r="W70" i="4"/>
  <c r="W69" i="4"/>
  <c r="AQ69" i="4" s="1"/>
  <c r="W68" i="4"/>
  <c r="W67" i="4"/>
  <c r="W66" i="4"/>
  <c r="W63" i="4"/>
  <c r="W61" i="4"/>
  <c r="W60" i="4"/>
  <c r="W59" i="4"/>
  <c r="W56" i="4"/>
  <c r="AQ56" i="4" s="1"/>
  <c r="W54" i="4"/>
  <c r="W49" i="4"/>
  <c r="W47" i="4"/>
  <c r="W44" i="4"/>
  <c r="W43" i="4"/>
  <c r="W42" i="4"/>
  <c r="W40" i="4"/>
  <c r="W38" i="4"/>
  <c r="W35" i="4"/>
  <c r="W34" i="4"/>
  <c r="W29" i="4"/>
  <c r="W28" i="4"/>
  <c r="W25" i="4"/>
  <c r="W23" i="4"/>
  <c r="W20" i="4"/>
  <c r="W19" i="4"/>
  <c r="W18" i="4"/>
  <c r="W17" i="4"/>
  <c r="W14" i="4"/>
  <c r="W13" i="4"/>
  <c r="W12" i="4"/>
  <c r="W10" i="4"/>
  <c r="W8" i="4"/>
  <c r="S180" i="4"/>
  <c r="S618" i="4"/>
  <c r="S617" i="4"/>
  <c r="S597" i="4"/>
  <c r="S596" i="4"/>
  <c r="S593" i="4"/>
  <c r="S592" i="4"/>
  <c r="S590" i="4"/>
  <c r="AL590" i="4" s="1"/>
  <c r="S589" i="4"/>
  <c r="S588" i="4"/>
  <c r="S395" i="4"/>
  <c r="S580" i="4"/>
  <c r="S284" i="4"/>
  <c r="S543" i="4"/>
  <c r="S482" i="4"/>
  <c r="S203" i="4"/>
  <c r="S252" i="4"/>
  <c r="S587" i="4"/>
  <c r="S559" i="4"/>
  <c r="S151" i="4"/>
  <c r="S586" i="4"/>
  <c r="S585" i="4"/>
  <c r="S583" i="4"/>
  <c r="S447" i="4"/>
  <c r="AP447" i="4" s="1"/>
  <c r="S526" i="4"/>
  <c r="S496" i="4"/>
  <c r="S582" i="4"/>
  <c r="S581" i="4"/>
  <c r="S579" i="4"/>
  <c r="S171" i="4"/>
  <c r="S578" i="4"/>
  <c r="S577" i="4"/>
  <c r="AP577" i="4" s="1"/>
  <c r="S113" i="4"/>
  <c r="AL113" i="4" s="1"/>
  <c r="S598" i="4"/>
  <c r="S575" i="4"/>
  <c r="S537" i="4"/>
  <c r="S572" i="4"/>
  <c r="S495" i="4"/>
  <c r="S571" i="4"/>
  <c r="S570" i="4"/>
  <c r="AQ570" i="4" s="1"/>
  <c r="S569" i="4"/>
  <c r="S178" i="4"/>
  <c r="S567" i="4"/>
  <c r="S297" i="4"/>
  <c r="S296" i="4"/>
  <c r="S568" i="4"/>
  <c r="S566" i="4"/>
  <c r="S321" i="4"/>
  <c r="AL321" i="4" s="1"/>
  <c r="S565" i="4"/>
  <c r="S563" i="4"/>
  <c r="S551" i="4"/>
  <c r="S562" i="4"/>
  <c r="S150" i="4"/>
  <c r="S561" i="4"/>
  <c r="S262" i="4"/>
  <c r="S560" i="4"/>
  <c r="S558" i="4"/>
  <c r="AL558" i="4" s="1"/>
  <c r="S200" i="4"/>
  <c r="S446" i="4"/>
  <c r="S613" i="4"/>
  <c r="S557" i="4"/>
  <c r="S556" i="4"/>
  <c r="S550" i="4"/>
  <c r="S555" i="4"/>
  <c r="S554" i="4"/>
  <c r="AL554" i="4" s="1"/>
  <c r="S549" i="4"/>
  <c r="S529" i="4"/>
  <c r="S553" i="4"/>
  <c r="S552" i="4"/>
  <c r="S185" i="4"/>
  <c r="S528" i="4"/>
  <c r="S548" i="4"/>
  <c r="S547" i="4"/>
  <c r="S546" i="4"/>
  <c r="S545" i="4"/>
  <c r="S544" i="4"/>
  <c r="S474" i="4"/>
  <c r="S542" i="4"/>
  <c r="S540" i="4"/>
  <c r="S539" i="4"/>
  <c r="S134" i="4"/>
  <c r="S536" i="4"/>
  <c r="S535" i="4"/>
  <c r="S532" i="4"/>
  <c r="S445" i="4"/>
  <c r="S531" i="4"/>
  <c r="S124" i="4"/>
  <c r="S530" i="4"/>
  <c r="S527" i="4"/>
  <c r="S525" i="4"/>
  <c r="S433" i="4"/>
  <c r="S522" i="4"/>
  <c r="S149" i="4"/>
  <c r="S274" i="4"/>
  <c r="S521" i="4"/>
  <c r="S520" i="4"/>
  <c r="S519" i="4"/>
  <c r="S518" i="4"/>
  <c r="S128" i="4"/>
  <c r="S500" i="4"/>
  <c r="S499" i="4"/>
  <c r="S517" i="4"/>
  <c r="S319" i="4"/>
  <c r="S516" i="4"/>
  <c r="S515" i="4"/>
  <c r="S514" i="4"/>
  <c r="S513" i="4"/>
  <c r="S512" i="4"/>
  <c r="S383" i="4"/>
  <c r="S32" i="4"/>
  <c r="S481" i="4"/>
  <c r="S498" i="4"/>
  <c r="S524" i="4"/>
  <c r="AM524" i="4" s="1"/>
  <c r="S444" i="4"/>
  <c r="S202" i="4"/>
  <c r="S511" i="4"/>
  <c r="S510" i="4"/>
  <c r="S509" i="4"/>
  <c r="S480" i="4"/>
  <c r="S508" i="4"/>
  <c r="S507" i="4"/>
  <c r="S506" i="4"/>
  <c r="S479" i="4"/>
  <c r="S505" i="4"/>
  <c r="S504" i="4"/>
  <c r="S503" i="4"/>
  <c r="S502" i="4"/>
  <c r="S501" i="4"/>
  <c r="S497" i="4"/>
  <c r="S494" i="4"/>
  <c r="S493" i="4"/>
  <c r="S492" i="4"/>
  <c r="S117" i="4"/>
  <c r="S491" i="4"/>
  <c r="S382" i="4"/>
  <c r="S478" i="4"/>
  <c r="S490" i="4"/>
  <c r="AM490" i="4" s="1"/>
  <c r="S330" i="4"/>
  <c r="S489" i="4"/>
  <c r="S477" i="4"/>
  <c r="S473" i="4"/>
  <c r="S283" i="4"/>
  <c r="S472" i="4"/>
  <c r="S471" i="4"/>
  <c r="S469" i="4"/>
  <c r="AP469" i="4" s="1"/>
  <c r="S468" i="4"/>
  <c r="S467" i="4"/>
  <c r="S466" i="4"/>
  <c r="S246" i="4"/>
  <c r="S615" i="4"/>
  <c r="S465" i="4"/>
  <c r="S476" i="4"/>
  <c r="S58" i="4"/>
  <c r="S464" i="4"/>
  <c r="S463" i="4"/>
  <c r="S462" i="4"/>
  <c r="S438" i="4"/>
  <c r="S282" i="4"/>
  <c r="S394" i="4"/>
  <c r="S461" i="4"/>
  <c r="S460" i="4"/>
  <c r="S31" i="4"/>
  <c r="S443" i="4"/>
  <c r="S142" i="4"/>
  <c r="S459" i="4"/>
  <c r="S458" i="4"/>
  <c r="S141" i="4"/>
  <c r="S140" i="4"/>
  <c r="S457" i="4"/>
  <c r="AM457" i="4" s="1"/>
  <c r="S456" i="4"/>
  <c r="S454" i="4"/>
  <c r="S393" i="4"/>
  <c r="S148" i="4"/>
  <c r="S147" i="4"/>
  <c r="S453" i="4"/>
  <c r="S440" i="4"/>
  <c r="S392" i="4"/>
  <c r="AP392" i="4" s="1"/>
  <c r="S98" i="4"/>
  <c r="S452" i="4"/>
  <c r="S451" i="4"/>
  <c r="S450" i="4"/>
  <c r="S417" i="4"/>
  <c r="S523" i="4"/>
  <c r="S133" i="4"/>
  <c r="S132" i="4"/>
  <c r="AL132" i="4" s="1"/>
  <c r="S449" i="4"/>
  <c r="S448" i="4"/>
  <c r="S391" i="4"/>
  <c r="S52" i="4"/>
  <c r="S442" i="4"/>
  <c r="S390" i="4"/>
  <c r="S196" i="4"/>
  <c r="S441" i="4"/>
  <c r="S439" i="4"/>
  <c r="S437" i="4"/>
  <c r="S37" i="4"/>
  <c r="S435" i="4"/>
  <c r="S434" i="4"/>
  <c r="S432" i="4"/>
  <c r="S431" i="4"/>
  <c r="S428" i="4"/>
  <c r="S380" i="4"/>
  <c r="S427" i="4"/>
  <c r="S9" i="4"/>
  <c r="S426" i="4"/>
  <c r="S425" i="4"/>
  <c r="S51" i="4"/>
  <c r="S424" i="4"/>
  <c r="S318" i="4"/>
  <c r="AP318" i="4" s="1"/>
  <c r="S423" i="4"/>
  <c r="S422" i="4"/>
  <c r="S389" i="4"/>
  <c r="S144" i="4"/>
  <c r="S421" i="4"/>
  <c r="S420" i="4"/>
  <c r="S314" i="4"/>
  <c r="S334" i="4"/>
  <c r="S419" i="4"/>
  <c r="S418" i="4"/>
  <c r="S416" i="4"/>
  <c r="S94" i="4"/>
  <c r="S242" i="4"/>
  <c r="S415" i="4"/>
  <c r="S379" i="4"/>
  <c r="S325" i="4"/>
  <c r="AL325" i="4" s="1"/>
  <c r="S414" i="4"/>
  <c r="S232" i="4"/>
  <c r="S16" i="4"/>
  <c r="S220" i="4"/>
  <c r="S413" i="4"/>
  <c r="S412" i="4"/>
  <c r="S411" i="4"/>
  <c r="S342" i="4"/>
  <c r="S410" i="4"/>
  <c r="S307" i="4"/>
  <c r="S121" i="4"/>
  <c r="S408" i="4"/>
  <c r="S407" i="4"/>
  <c r="S475" i="4"/>
  <c r="S405" i="4"/>
  <c r="S401" i="4"/>
  <c r="S400" i="4"/>
  <c r="S22" i="4"/>
  <c r="S388" i="4"/>
  <c r="S387" i="4"/>
  <c r="S386" i="4"/>
  <c r="S385" i="4"/>
  <c r="S235" i="4"/>
  <c r="S109" i="4"/>
  <c r="AQ109" i="4" s="1"/>
  <c r="S219" i="4"/>
  <c r="S328" i="4"/>
  <c r="S384" i="4"/>
  <c r="S381" i="4"/>
  <c r="S332" i="4"/>
  <c r="S378" i="4"/>
  <c r="S377" i="4"/>
  <c r="S541" i="4"/>
  <c r="AL541" i="4" s="1"/>
  <c r="S50" i="4"/>
  <c r="S376" i="4"/>
  <c r="S193" i="4"/>
  <c r="S352" i="4"/>
  <c r="S351" i="4"/>
  <c r="S347" i="4"/>
  <c r="S375" i="4"/>
  <c r="S374" i="4"/>
  <c r="S323" i="4"/>
  <c r="S313" i="4"/>
  <c r="S534" i="4"/>
  <c r="S373" i="4"/>
  <c r="S295" i="4"/>
  <c r="S291" i="4"/>
  <c r="S288" i="4"/>
  <c r="S372" i="4"/>
  <c r="AQ372" i="4" s="1"/>
  <c r="S281" i="4"/>
  <c r="S612" i="4"/>
  <c r="S436" i="4"/>
  <c r="S227" i="4"/>
  <c r="S265" i="4"/>
  <c r="S261" i="4"/>
  <c r="S258" i="4"/>
  <c r="S251" i="4"/>
  <c r="AP251" i="4" s="1"/>
  <c r="S245" i="4"/>
  <c r="S244" i="4"/>
  <c r="S237" i="4"/>
  <c r="S224" i="4"/>
  <c r="S371" i="4"/>
  <c r="S218" i="4"/>
  <c r="S370" i="4"/>
  <c r="S369" i="4"/>
  <c r="AM369" i="4" s="1"/>
  <c r="S368" i="4"/>
  <c r="S215" i="4"/>
  <c r="S212" i="4"/>
  <c r="S207" i="4"/>
  <c r="S199" i="4"/>
  <c r="S195" i="4"/>
  <c r="S191" i="4"/>
  <c r="S187" i="4"/>
  <c r="AP187" i="4" s="1"/>
  <c r="S367" i="4"/>
  <c r="S182" i="4"/>
  <c r="S176" i="4"/>
  <c r="S173" i="4"/>
  <c r="S170" i="4"/>
  <c r="S164" i="4"/>
  <c r="S163" i="4"/>
  <c r="S574" i="4"/>
  <c r="AQ574" i="4" s="1"/>
  <c r="S573" i="4"/>
  <c r="S159" i="4"/>
  <c r="S158" i="4"/>
  <c r="S155" i="4"/>
  <c r="S153" i="4"/>
  <c r="S146" i="4"/>
  <c r="S139" i="4"/>
  <c r="S366" i="4"/>
  <c r="AL366" i="4" s="1"/>
  <c r="S130" i="4"/>
  <c r="S611" i="4"/>
  <c r="S610" i="4"/>
  <c r="S609" i="4"/>
  <c r="S365" i="4"/>
  <c r="S119" i="4"/>
  <c r="S116" i="4"/>
  <c r="S115" i="4"/>
  <c r="S104" i="4"/>
  <c r="S101" i="4"/>
  <c r="S364" i="4"/>
  <c r="S93" i="4"/>
  <c r="S81" i="4"/>
  <c r="S80" i="4"/>
  <c r="S77" i="4"/>
  <c r="S74" i="4"/>
  <c r="S73" i="4"/>
  <c r="S72" i="4"/>
  <c r="S363" i="4"/>
  <c r="S362" i="4"/>
  <c r="S65" i="4"/>
  <c r="S64" i="4"/>
  <c r="S62" i="4"/>
  <c r="S361" i="4"/>
  <c r="AQ361" i="4" s="1"/>
  <c r="S360" i="4"/>
  <c r="S57" i="4"/>
  <c r="S55" i="4"/>
  <c r="S48" i="4"/>
  <c r="S46" i="4"/>
  <c r="S45" i="4"/>
  <c r="S359" i="4"/>
  <c r="S41" i="4"/>
  <c r="S39" i="4"/>
  <c r="S36" i="4"/>
  <c r="S358" i="4"/>
  <c r="S357" i="4"/>
  <c r="S30" i="4"/>
  <c r="S26" i="4"/>
  <c r="S24" i="4"/>
  <c r="S21" i="4"/>
  <c r="AQ21" i="4" s="1"/>
  <c r="S356" i="4"/>
  <c r="S15" i="4"/>
  <c r="S355" i="4"/>
  <c r="S11" i="4"/>
  <c r="S354" i="4"/>
  <c r="S353" i="4"/>
  <c r="S350" i="4"/>
  <c r="S349" i="4"/>
  <c r="AQ349" i="4" s="1"/>
  <c r="S348" i="4"/>
  <c r="S346" i="4"/>
  <c r="S345" i="4"/>
  <c r="S344" i="4"/>
  <c r="S343" i="4"/>
  <c r="S341" i="4"/>
  <c r="S340" i="4"/>
  <c r="S339" i="4"/>
  <c r="S404" i="4"/>
  <c r="S338" i="4"/>
  <c r="S337" i="4"/>
  <c r="S336" i="4"/>
  <c r="S335" i="4"/>
  <c r="S333" i="4"/>
  <c r="S331" i="4"/>
  <c r="S329" i="4"/>
  <c r="AQ329" i="4" s="1"/>
  <c r="S327" i="4"/>
  <c r="S326" i="4"/>
  <c r="S324" i="4"/>
  <c r="S322" i="4"/>
  <c r="S320" i="4"/>
  <c r="S317" i="4"/>
  <c r="S316" i="4"/>
  <c r="S315" i="4"/>
  <c r="AP315" i="4" s="1"/>
  <c r="S312" i="4"/>
  <c r="S240" i="4"/>
  <c r="S311" i="4"/>
  <c r="S309" i="4"/>
  <c r="S308" i="4"/>
  <c r="S306" i="4"/>
  <c r="S305" i="4"/>
  <c r="S304" i="4"/>
  <c r="AM304" i="4" s="1"/>
  <c r="S294" i="4"/>
  <c r="S293" i="4"/>
  <c r="S292" i="4"/>
  <c r="S290" i="4"/>
  <c r="S289" i="4"/>
  <c r="S287" i="4"/>
  <c r="S286" i="4"/>
  <c r="S285" i="4"/>
  <c r="S280" i="4"/>
  <c r="S279" i="4"/>
  <c r="S278" i="4"/>
  <c r="S277" i="4"/>
  <c r="S276" i="4"/>
  <c r="S273" i="4"/>
  <c r="S272" i="4"/>
  <c r="S271" i="4"/>
  <c r="S270" i="4"/>
  <c r="S269" i="4"/>
  <c r="S268" i="4"/>
  <c r="S267" i="4"/>
  <c r="S266" i="4"/>
  <c r="S264" i="4"/>
  <c r="S263" i="4"/>
  <c r="S260" i="4"/>
  <c r="S259" i="4"/>
  <c r="S257" i="4"/>
  <c r="S256" i="4"/>
  <c r="S255" i="4"/>
  <c r="S254" i="4"/>
  <c r="S253" i="4"/>
  <c r="S250" i="4"/>
  <c r="S409" i="4"/>
  <c r="S249" i="4"/>
  <c r="S248" i="4"/>
  <c r="S243" i="4"/>
  <c r="S241" i="4"/>
  <c r="S239" i="4"/>
  <c r="S236" i="4"/>
  <c r="S234" i="4"/>
  <c r="S233" i="4"/>
  <c r="S231" i="4"/>
  <c r="S230" i="4"/>
  <c r="S229" i="4"/>
  <c r="S228" i="4"/>
  <c r="S226" i="4"/>
  <c r="S225" i="4"/>
  <c r="S223" i="4"/>
  <c r="S222" i="4"/>
  <c r="AQ222" i="4" s="1"/>
  <c r="S221" i="4"/>
  <c r="S217" i="4"/>
  <c r="S216" i="4"/>
  <c r="S214" i="4"/>
  <c r="S211" i="4"/>
  <c r="S208" i="4"/>
  <c r="S206" i="4"/>
  <c r="S205" i="4"/>
  <c r="S201" i="4"/>
  <c r="S198" i="4"/>
  <c r="S197" i="4"/>
  <c r="S194" i="4"/>
  <c r="S238" i="4"/>
  <c r="S192" i="4"/>
  <c r="S190" i="4"/>
  <c r="S189" i="4"/>
  <c r="S188" i="4"/>
  <c r="S186" i="4"/>
  <c r="S184" i="4"/>
  <c r="S181" i="4"/>
  <c r="S179" i="4"/>
  <c r="S177" i="4"/>
  <c r="S175" i="4"/>
  <c r="S172" i="4"/>
  <c r="AQ172" i="4" s="1"/>
  <c r="S169" i="4"/>
  <c r="S167" i="4"/>
  <c r="S166" i="4"/>
  <c r="S165" i="4"/>
  <c r="S162" i="4"/>
  <c r="S161" i="4"/>
  <c r="S160" i="4"/>
  <c r="S157" i="4"/>
  <c r="S156" i="4"/>
  <c r="S154" i="4"/>
  <c r="S152" i="4"/>
  <c r="S145" i="4"/>
  <c r="S143" i="4"/>
  <c r="S138" i="4"/>
  <c r="S137" i="4"/>
  <c r="S136" i="4"/>
  <c r="AP136" i="4" s="1"/>
  <c r="S135" i="4"/>
  <c r="S131" i="4"/>
  <c r="S129" i="4"/>
  <c r="S127" i="4"/>
  <c r="S126" i="4"/>
  <c r="S123" i="4"/>
  <c r="S122" i="4"/>
  <c r="S120" i="4"/>
  <c r="S118" i="4"/>
  <c r="S114" i="4"/>
  <c r="S112" i="4"/>
  <c r="S111" i="4"/>
  <c r="S110" i="4"/>
  <c r="S108" i="4"/>
  <c r="S106" i="4"/>
  <c r="S105" i="4"/>
  <c r="S103" i="4"/>
  <c r="S100" i="4"/>
  <c r="S99" i="4"/>
  <c r="S97" i="4"/>
  <c r="S96" i="4"/>
  <c r="S95" i="4"/>
  <c r="S92" i="4"/>
  <c r="S91" i="4"/>
  <c r="S90" i="4"/>
  <c r="S88" i="4"/>
  <c r="S87" i="4"/>
  <c r="S86" i="4"/>
  <c r="S84" i="4"/>
  <c r="S82" i="4"/>
  <c r="S79" i="4"/>
  <c r="S78" i="4"/>
  <c r="S76" i="4"/>
  <c r="S75" i="4"/>
  <c r="S71" i="4"/>
  <c r="S70" i="4"/>
  <c r="S69" i="4"/>
  <c r="S68" i="4"/>
  <c r="S67" i="4"/>
  <c r="S66" i="4"/>
  <c r="AQ66" i="4" s="1"/>
  <c r="S63" i="4"/>
  <c r="S61" i="4"/>
  <c r="S60" i="4"/>
  <c r="S59" i="4"/>
  <c r="S56" i="4"/>
  <c r="S54" i="4"/>
  <c r="S49" i="4"/>
  <c r="S47" i="4"/>
  <c r="AQ47" i="4" s="1"/>
  <c r="S44" i="4"/>
  <c r="S43" i="4"/>
  <c r="S42" i="4"/>
  <c r="S40" i="4"/>
  <c r="S38" i="4"/>
  <c r="S35" i="4"/>
  <c r="S34" i="4"/>
  <c r="S29" i="4"/>
  <c r="AM29" i="4" s="1"/>
  <c r="S28" i="4"/>
  <c r="S25" i="4"/>
  <c r="S23" i="4"/>
  <c r="S20" i="4"/>
  <c r="S19" i="4"/>
  <c r="S18" i="4"/>
  <c r="S17" i="4"/>
  <c r="S14" i="4"/>
  <c r="AP14" i="4" s="1"/>
  <c r="S13" i="4"/>
  <c r="S12" i="4"/>
  <c r="S10" i="4"/>
  <c r="S8" i="4"/>
  <c r="O565" i="4"/>
  <c r="O563" i="4"/>
  <c r="O551" i="4"/>
  <c r="AP551" i="4" s="1"/>
  <c r="O562" i="4"/>
  <c r="O150" i="4"/>
  <c r="O561" i="4"/>
  <c r="O262" i="4"/>
  <c r="O560" i="4"/>
  <c r="O558" i="4"/>
  <c r="O200" i="4"/>
  <c r="O446" i="4"/>
  <c r="O613" i="4"/>
  <c r="O557" i="4"/>
  <c r="O556" i="4"/>
  <c r="O550" i="4"/>
  <c r="O555" i="4"/>
  <c r="O554" i="4"/>
  <c r="O549" i="4"/>
  <c r="O529" i="4"/>
  <c r="O553" i="4"/>
  <c r="AM553" i="4" s="1"/>
  <c r="O552" i="4"/>
  <c r="O185" i="4"/>
  <c r="O528" i="4"/>
  <c r="O548" i="4"/>
  <c r="O547" i="4"/>
  <c r="O546" i="4"/>
  <c r="O545" i="4"/>
  <c r="O544" i="4"/>
  <c r="O474" i="4"/>
  <c r="O542" i="4"/>
  <c r="O540" i="4"/>
  <c r="O539" i="4"/>
  <c r="O134" i="4"/>
  <c r="O536" i="4"/>
  <c r="O535" i="4"/>
  <c r="AL535" i="4" s="1"/>
  <c r="O532" i="4"/>
  <c r="AQ532" i="4" s="1"/>
  <c r="O445" i="4"/>
  <c r="O531" i="4"/>
  <c r="O124" i="4"/>
  <c r="O530" i="4"/>
  <c r="O527" i="4"/>
  <c r="O525" i="4"/>
  <c r="AQ525" i="4" s="1"/>
  <c r="O433" i="4"/>
  <c r="AP433" i="4" s="1"/>
  <c r="O522" i="4"/>
  <c r="AQ522" i="4" s="1"/>
  <c r="O149" i="4"/>
  <c r="O274" i="4"/>
  <c r="O521" i="4"/>
  <c r="O520" i="4"/>
  <c r="O519" i="4"/>
  <c r="O518" i="4"/>
  <c r="O128" i="4"/>
  <c r="O500" i="4"/>
  <c r="AQ500" i="4" s="1"/>
  <c r="O499" i="4"/>
  <c r="O517" i="4"/>
  <c r="O319" i="4"/>
  <c r="O516" i="4"/>
  <c r="O515" i="4"/>
  <c r="O514" i="4"/>
  <c r="O513" i="4"/>
  <c r="AL513" i="4" s="1"/>
  <c r="O512" i="4"/>
  <c r="O383" i="4"/>
  <c r="O32" i="4"/>
  <c r="O481" i="4"/>
  <c r="O498" i="4"/>
  <c r="O524" i="4"/>
  <c r="O444" i="4"/>
  <c r="AP444" i="4" s="1"/>
  <c r="O202" i="4"/>
  <c r="AP202" i="4" s="1"/>
  <c r="O511" i="4"/>
  <c r="O510" i="4"/>
  <c r="O509" i="4"/>
  <c r="O480" i="4"/>
  <c r="O508" i="4"/>
  <c r="O507" i="4"/>
  <c r="O506" i="4"/>
  <c r="O479" i="4"/>
  <c r="O505" i="4"/>
  <c r="AQ505" i="4" s="1"/>
  <c r="O504" i="4"/>
  <c r="O503" i="4"/>
  <c r="O502" i="4"/>
  <c r="O501" i="4"/>
  <c r="O497" i="4"/>
  <c r="O494" i="4"/>
  <c r="O493" i="4"/>
  <c r="AP493" i="4" s="1"/>
  <c r="O492" i="4"/>
  <c r="O117" i="4"/>
  <c r="O491" i="4"/>
  <c r="O382" i="4"/>
  <c r="O478" i="4"/>
  <c r="O490" i="4"/>
  <c r="O330" i="4"/>
  <c r="O489" i="4"/>
  <c r="O477" i="4"/>
  <c r="AP477" i="4" s="1"/>
  <c r="O473" i="4"/>
  <c r="O283" i="4"/>
  <c r="O472" i="4"/>
  <c r="O471" i="4"/>
  <c r="O469" i="4"/>
  <c r="O468" i="4"/>
  <c r="O467" i="4"/>
  <c r="AQ467" i="4" s="1"/>
  <c r="O466" i="4"/>
  <c r="AP466" i="4" s="1"/>
  <c r="O246" i="4"/>
  <c r="O615" i="4"/>
  <c r="O465" i="4"/>
  <c r="O476" i="4"/>
  <c r="O58" i="4"/>
  <c r="O464" i="4"/>
  <c r="O463" i="4"/>
  <c r="AQ463" i="4" s="1"/>
  <c r="O462" i="4"/>
  <c r="O438" i="4"/>
  <c r="O282" i="4"/>
  <c r="O394" i="4"/>
  <c r="O461" i="4"/>
  <c r="O460" i="4"/>
  <c r="O31" i="4"/>
  <c r="O443" i="4"/>
  <c r="O142" i="4"/>
  <c r="AQ142" i="4" s="1"/>
  <c r="O459" i="4"/>
  <c r="O458" i="4"/>
  <c r="O141" i="4"/>
  <c r="O140" i="4"/>
  <c r="O457" i="4"/>
  <c r="O456" i="4"/>
  <c r="AQ456" i="4" s="1"/>
  <c r="O454" i="4"/>
  <c r="AQ454" i="4" s="1"/>
  <c r="O393" i="4"/>
  <c r="AM393" i="4" s="1"/>
  <c r="O148" i="4"/>
  <c r="O147" i="4"/>
  <c r="O453" i="4"/>
  <c r="O440" i="4"/>
  <c r="O392" i="4"/>
  <c r="O98" i="4"/>
  <c r="O452" i="4"/>
  <c r="AQ452" i="4" s="1"/>
  <c r="O451" i="4"/>
  <c r="O450" i="4"/>
  <c r="O417" i="4"/>
  <c r="O523" i="4"/>
  <c r="O133" i="4"/>
  <c r="O132" i="4"/>
  <c r="O449" i="4"/>
  <c r="O448" i="4"/>
  <c r="O391" i="4"/>
  <c r="AP391" i="4" s="1"/>
  <c r="O52" i="4"/>
  <c r="O442" i="4"/>
  <c r="O390" i="4"/>
  <c r="O196" i="4"/>
  <c r="O441" i="4"/>
  <c r="O439" i="4"/>
  <c r="AQ439" i="4" s="1"/>
  <c r="O437" i="4"/>
  <c r="O37" i="4"/>
  <c r="O435" i="4"/>
  <c r="O434" i="4"/>
  <c r="O432" i="4"/>
  <c r="O431" i="4"/>
  <c r="O428" i="4"/>
  <c r="O380" i="4"/>
  <c r="O427" i="4"/>
  <c r="AP427" i="4" s="1"/>
  <c r="O9" i="4"/>
  <c r="O426" i="4"/>
  <c r="O425" i="4"/>
  <c r="O51" i="4"/>
  <c r="O424" i="4"/>
  <c r="O318" i="4"/>
  <c r="O423" i="4"/>
  <c r="O422" i="4"/>
  <c r="AP422" i="4" s="1"/>
  <c r="O389" i="4"/>
  <c r="O144" i="4"/>
  <c r="O421" i="4"/>
  <c r="O420" i="4"/>
  <c r="O314" i="4"/>
  <c r="O334" i="4"/>
  <c r="O419" i="4"/>
  <c r="O418" i="4"/>
  <c r="O416" i="4"/>
  <c r="AP416" i="4" s="1"/>
  <c r="O94" i="4"/>
  <c r="O242" i="4"/>
  <c r="O415" i="4"/>
  <c r="O379" i="4"/>
  <c r="O325" i="4"/>
  <c r="O414" i="4"/>
  <c r="AP414" i="4" s="1"/>
  <c r="O232" i="4"/>
  <c r="AQ232" i="4" s="1"/>
  <c r="O16" i="4"/>
  <c r="O220" i="4"/>
  <c r="O413" i="4"/>
  <c r="O412" i="4"/>
  <c r="O411" i="4"/>
  <c r="O342" i="4"/>
  <c r="O410" i="4"/>
  <c r="O307" i="4"/>
  <c r="AP307" i="4" s="1"/>
  <c r="O121" i="4"/>
  <c r="AQ121" i="4" s="1"/>
  <c r="O408" i="4"/>
  <c r="O407" i="4"/>
  <c r="O475" i="4"/>
  <c r="O405" i="4"/>
  <c r="O401" i="4"/>
  <c r="O400" i="4"/>
  <c r="O22" i="4"/>
  <c r="O388" i="4"/>
  <c r="O387" i="4"/>
  <c r="O386" i="4"/>
  <c r="O385" i="4"/>
  <c r="O235" i="4"/>
  <c r="O109" i="4"/>
  <c r="O219" i="4"/>
  <c r="AP219" i="4" s="1"/>
  <c r="O328" i="4"/>
  <c r="AQ328" i="4" s="1"/>
  <c r="O384" i="4"/>
  <c r="AP384" i="4" s="1"/>
  <c r="O381" i="4"/>
  <c r="O332" i="4"/>
  <c r="O378" i="4"/>
  <c r="O377" i="4"/>
  <c r="O541" i="4"/>
  <c r="O50" i="4"/>
  <c r="O376" i="4"/>
  <c r="O193" i="4"/>
  <c r="AQ193" i="4" s="1"/>
  <c r="O352" i="4"/>
  <c r="O351" i="4"/>
  <c r="O347" i="4"/>
  <c r="O375" i="4"/>
  <c r="O374" i="4"/>
  <c r="O323" i="4"/>
  <c r="O313" i="4"/>
  <c r="AL313" i="4" s="1"/>
  <c r="O534" i="4"/>
  <c r="AP534" i="4" s="1"/>
  <c r="O373" i="4"/>
  <c r="O295" i="4"/>
  <c r="O291" i="4"/>
  <c r="O288" i="4"/>
  <c r="O372" i="4"/>
  <c r="O281" i="4"/>
  <c r="O612" i="4"/>
  <c r="AP612" i="4" s="1"/>
  <c r="O436" i="4"/>
  <c r="AP436" i="4" s="1"/>
  <c r="O227" i="4"/>
  <c r="O265" i="4"/>
  <c r="O261" i="4"/>
  <c r="O258" i="4"/>
  <c r="O251" i="4"/>
  <c r="O245" i="4"/>
  <c r="O244" i="4"/>
  <c r="O237" i="4"/>
  <c r="AQ237" i="4" s="1"/>
  <c r="O224" i="4"/>
  <c r="O371" i="4"/>
  <c r="O218" i="4"/>
  <c r="O370" i="4"/>
  <c r="O369" i="4"/>
  <c r="O368" i="4"/>
  <c r="O215" i="4"/>
  <c r="O212" i="4"/>
  <c r="AQ212" i="4" s="1"/>
  <c r="O207" i="4"/>
  <c r="O199" i="4"/>
  <c r="O195" i="4"/>
  <c r="O191" i="4"/>
  <c r="O187" i="4"/>
  <c r="O367" i="4"/>
  <c r="O182" i="4"/>
  <c r="O176" i="4"/>
  <c r="O173" i="4"/>
  <c r="O170" i="4"/>
  <c r="O164" i="4"/>
  <c r="O163" i="4"/>
  <c r="O574" i="4"/>
  <c r="O573" i="4"/>
  <c r="O159" i="4"/>
  <c r="AQ159" i="4" s="1"/>
  <c r="O158" i="4"/>
  <c r="AQ158" i="4" s="1"/>
  <c r="O155" i="4"/>
  <c r="O153" i="4"/>
  <c r="O146" i="4"/>
  <c r="O139" i="4"/>
  <c r="O366" i="4"/>
  <c r="O130" i="4"/>
  <c r="O611" i="4"/>
  <c r="O610" i="4"/>
  <c r="AL610" i="4" s="1"/>
  <c r="O609" i="4"/>
  <c r="O365" i="4"/>
  <c r="O119" i="4"/>
  <c r="O116" i="4"/>
  <c r="O115" i="4"/>
  <c r="O104" i="4"/>
  <c r="O101" i="4"/>
  <c r="AP101" i="4" s="1"/>
  <c r="O364" i="4"/>
  <c r="O93" i="4"/>
  <c r="O81" i="4"/>
  <c r="O80" i="4"/>
  <c r="O77" i="4"/>
  <c r="O74" i="4"/>
  <c r="O73" i="4"/>
  <c r="O72" i="4"/>
  <c r="O363" i="4"/>
  <c r="AQ363" i="4" s="1"/>
  <c r="O362" i="4"/>
  <c r="O65" i="4"/>
  <c r="O64" i="4"/>
  <c r="O62" i="4"/>
  <c r="O361" i="4"/>
  <c r="O360" i="4"/>
  <c r="O57" i="4"/>
  <c r="AQ57" i="4" s="1"/>
  <c r="O55" i="4"/>
  <c r="O48" i="4"/>
  <c r="O46" i="4"/>
  <c r="O45" i="4"/>
  <c r="O359" i="4"/>
  <c r="O41" i="4"/>
  <c r="O39" i="4"/>
  <c r="O36" i="4"/>
  <c r="AP36" i="4" s="1"/>
  <c r="O358" i="4"/>
  <c r="AQ358" i="4" s="1"/>
  <c r="O357" i="4"/>
  <c r="O30" i="4"/>
  <c r="O26" i="4"/>
  <c r="O24" i="4"/>
  <c r="O21" i="4"/>
  <c r="O356" i="4"/>
  <c r="O15" i="4"/>
  <c r="AM15" i="4" s="1"/>
  <c r="O355" i="4"/>
  <c r="O11" i="4"/>
  <c r="O354" i="4"/>
  <c r="O353" i="4"/>
  <c r="O350" i="4"/>
  <c r="O349" i="4"/>
  <c r="O348" i="4"/>
  <c r="O346" i="4"/>
  <c r="AP346" i="4" s="1"/>
  <c r="O345" i="4"/>
  <c r="O344" i="4"/>
  <c r="O343" i="4"/>
  <c r="O341" i="4"/>
  <c r="O340" i="4"/>
  <c r="O339" i="4"/>
  <c r="O404" i="4"/>
  <c r="AP404" i="4" s="1"/>
  <c r="O338" i="4"/>
  <c r="AQ338" i="4" s="1"/>
  <c r="O337" i="4"/>
  <c r="O336" i="4"/>
  <c r="O335" i="4"/>
  <c r="O333" i="4"/>
  <c r="O331" i="4"/>
  <c r="O329" i="4"/>
  <c r="O327" i="4"/>
  <c r="O326" i="4"/>
  <c r="AQ326" i="4" s="1"/>
  <c r="O324" i="4"/>
  <c r="O322" i="4"/>
  <c r="O320" i="4"/>
  <c r="O317" i="4"/>
  <c r="O316" i="4"/>
  <c r="O315" i="4"/>
  <c r="O312" i="4"/>
  <c r="AQ312" i="4" s="1"/>
  <c r="O240" i="4"/>
  <c r="AM240" i="4" s="1"/>
  <c r="O311" i="4"/>
  <c r="O309" i="4"/>
  <c r="O308" i="4"/>
  <c r="O306" i="4"/>
  <c r="O305" i="4"/>
  <c r="O304" i="4"/>
  <c r="O294" i="4"/>
  <c r="AQ294" i="4" s="1"/>
  <c r="O293" i="4"/>
  <c r="O292" i="4"/>
  <c r="AP292" i="4" s="1"/>
  <c r="O290" i="4"/>
  <c r="O289" i="4"/>
  <c r="O287" i="4"/>
  <c r="O286" i="4"/>
  <c r="O285" i="4"/>
  <c r="O280" i="4"/>
  <c r="O279" i="4"/>
  <c r="O278" i="4"/>
  <c r="AQ278" i="4" s="1"/>
  <c r="O277" i="4"/>
  <c r="O276" i="4"/>
  <c r="O273" i="4"/>
  <c r="O272" i="4"/>
  <c r="O271" i="4"/>
  <c r="O270" i="4"/>
  <c r="O269" i="4"/>
  <c r="AQ269" i="4" s="1"/>
  <c r="O268" i="4"/>
  <c r="O267" i="4"/>
  <c r="O266" i="4"/>
  <c r="O264" i="4"/>
  <c r="O263" i="4"/>
  <c r="O260" i="4"/>
  <c r="O259" i="4"/>
  <c r="O257" i="4"/>
  <c r="O256" i="4"/>
  <c r="AP256" i="4" s="1"/>
  <c r="O255" i="4"/>
  <c r="O254" i="4"/>
  <c r="O253" i="4"/>
  <c r="O250" i="4"/>
  <c r="O409" i="4"/>
  <c r="O249" i="4"/>
  <c r="O248" i="4"/>
  <c r="AP248" i="4" s="1"/>
  <c r="O243" i="4"/>
  <c r="O241" i="4"/>
  <c r="O239" i="4"/>
  <c r="O236" i="4"/>
  <c r="O234" i="4"/>
  <c r="O233" i="4"/>
  <c r="O231" i="4"/>
  <c r="O230" i="4"/>
  <c r="AP230" i="4" s="1"/>
  <c r="O229" i="4"/>
  <c r="AP229" i="4" s="1"/>
  <c r="O228" i="4"/>
  <c r="O226" i="4"/>
  <c r="O225" i="4"/>
  <c r="O223" i="4"/>
  <c r="O222" i="4"/>
  <c r="O221" i="4"/>
  <c r="O217" i="4"/>
  <c r="O216" i="4"/>
  <c r="O214" i="4"/>
  <c r="O211" i="4"/>
  <c r="O208" i="4"/>
  <c r="O206" i="4"/>
  <c r="O205" i="4"/>
  <c r="O201" i="4"/>
  <c r="AQ201" i="4" s="1"/>
  <c r="O198" i="4"/>
  <c r="AP198" i="4" s="1"/>
  <c r="O197" i="4"/>
  <c r="O194" i="4"/>
  <c r="O238" i="4"/>
  <c r="O192" i="4"/>
  <c r="O190" i="4"/>
  <c r="O189" i="4"/>
  <c r="O188" i="4"/>
  <c r="O186" i="4"/>
  <c r="AP186" i="4" s="1"/>
  <c r="O184" i="4"/>
  <c r="AQ184" i="4" s="1"/>
  <c r="O181" i="4"/>
  <c r="O179" i="4"/>
  <c r="O177" i="4"/>
  <c r="O175" i="4"/>
  <c r="O172" i="4"/>
  <c r="O169" i="4"/>
  <c r="O167" i="4"/>
  <c r="AQ167" i="4" s="1"/>
  <c r="O166" i="4"/>
  <c r="O165" i="4"/>
  <c r="O162" i="4"/>
  <c r="O161" i="4"/>
  <c r="O160" i="4"/>
  <c r="O157" i="4"/>
  <c r="O156" i="4"/>
  <c r="O154" i="4"/>
  <c r="AP154" i="4" s="1"/>
  <c r="O152" i="4"/>
  <c r="AM152" i="4" s="1"/>
  <c r="O145" i="4"/>
  <c r="O143" i="4"/>
  <c r="O138" i="4"/>
  <c r="O137" i="4"/>
  <c r="O136" i="4"/>
  <c r="O135" i="4"/>
  <c r="O131" i="4"/>
  <c r="O129" i="4"/>
  <c r="O127" i="4"/>
  <c r="O126" i="4"/>
  <c r="O123" i="4"/>
  <c r="O122" i="4"/>
  <c r="O120" i="4"/>
  <c r="O118" i="4"/>
  <c r="O114" i="4"/>
  <c r="O112" i="4"/>
  <c r="AP112" i="4" s="1"/>
  <c r="O111" i="4"/>
  <c r="O110" i="4"/>
  <c r="O108" i="4"/>
  <c r="O106" i="4"/>
  <c r="O105" i="4"/>
  <c r="O103" i="4"/>
  <c r="O100" i="4"/>
  <c r="AQ100" i="4" s="1"/>
  <c r="O99" i="4"/>
  <c r="AP99" i="4" s="1"/>
  <c r="O97" i="4"/>
  <c r="O96" i="4"/>
  <c r="O95" i="4"/>
  <c r="O92" i="4"/>
  <c r="O91" i="4"/>
  <c r="O90" i="4"/>
  <c r="O88" i="4"/>
  <c r="O87" i="4"/>
  <c r="AP87" i="4" s="1"/>
  <c r="O86" i="4"/>
  <c r="O84" i="4"/>
  <c r="O82" i="4"/>
  <c r="O79" i="4"/>
  <c r="O78" i="4"/>
  <c r="O76" i="4"/>
  <c r="O75" i="4"/>
  <c r="AQ75" i="4" s="1"/>
  <c r="O71" i="4"/>
  <c r="AL71" i="4" s="1"/>
  <c r="O70" i="4"/>
  <c r="O69" i="4"/>
  <c r="O68" i="4"/>
  <c r="O67" i="4"/>
  <c r="O66" i="4"/>
  <c r="O63" i="4"/>
  <c r="AQ63" i="4" s="1"/>
  <c r="O61" i="4"/>
  <c r="O60" i="4"/>
  <c r="AM60" i="4" s="1"/>
  <c r="O59" i="4"/>
  <c r="O56" i="4"/>
  <c r="O54" i="4"/>
  <c r="O49" i="4"/>
  <c r="O47" i="4"/>
  <c r="O44" i="4"/>
  <c r="O43" i="4"/>
  <c r="O42" i="4"/>
  <c r="O40" i="4"/>
  <c r="O38" i="4"/>
  <c r="O35" i="4"/>
  <c r="O34" i="4"/>
  <c r="O29" i="4"/>
  <c r="O28" i="4"/>
  <c r="O25" i="4"/>
  <c r="AP25" i="4" s="1"/>
  <c r="O23" i="4"/>
  <c r="AM23" i="4" s="1"/>
  <c r="O20" i="4"/>
  <c r="O19" i="4"/>
  <c r="O18" i="4"/>
  <c r="O17" i="4"/>
  <c r="O14" i="4"/>
  <c r="O13" i="4"/>
  <c r="O12" i="4"/>
  <c r="O10" i="4"/>
  <c r="AQ10" i="4" s="1"/>
  <c r="O8" i="4"/>
  <c r="S53" i="4"/>
  <c r="S603" i="4"/>
  <c r="S602" i="4"/>
  <c r="S601" i="4"/>
  <c r="S600" i="4"/>
  <c r="S402" i="4"/>
  <c r="S429" i="4"/>
  <c r="S483" i="4"/>
  <c r="S406" i="4"/>
  <c r="S599" i="4"/>
  <c r="S299" i="4"/>
  <c r="S298" i="4"/>
  <c r="O53" i="4"/>
  <c r="O603" i="4"/>
  <c r="O602" i="4"/>
  <c r="O601" i="4"/>
  <c r="O600" i="4"/>
  <c r="O402" i="4"/>
  <c r="O429" i="4"/>
  <c r="O483" i="4"/>
  <c r="O406" i="4"/>
  <c r="O599" i="4"/>
  <c r="O299" i="4"/>
  <c r="O298" i="4"/>
  <c r="O180" i="4"/>
  <c r="O618" i="4"/>
  <c r="O617" i="4"/>
  <c r="O597" i="4"/>
  <c r="AQ597" i="4" s="1"/>
  <c r="O596" i="4"/>
  <c r="O593" i="4"/>
  <c r="O592" i="4"/>
  <c r="O590" i="4"/>
  <c r="O589" i="4"/>
  <c r="O588" i="4"/>
  <c r="O395" i="4"/>
  <c r="O580" i="4"/>
  <c r="AP580" i="4" s="1"/>
  <c r="O284" i="4"/>
  <c r="O543" i="4"/>
  <c r="O482" i="4"/>
  <c r="AP482" i="4" s="1"/>
  <c r="O203" i="4"/>
  <c r="O252" i="4"/>
  <c r="O587" i="4"/>
  <c r="O559" i="4"/>
  <c r="O151" i="4"/>
  <c r="O586" i="4"/>
  <c r="O585" i="4"/>
  <c r="O583" i="4"/>
  <c r="O447" i="4"/>
  <c r="O526" i="4"/>
  <c r="O496" i="4"/>
  <c r="O582" i="4"/>
  <c r="O581" i="4"/>
  <c r="AQ581" i="4" s="1"/>
  <c r="O579" i="4"/>
  <c r="O171" i="4"/>
  <c r="O578" i="4"/>
  <c r="O577" i="4"/>
  <c r="O113" i="4"/>
  <c r="O598" i="4"/>
  <c r="O575" i="4"/>
  <c r="O537" i="4"/>
  <c r="O572" i="4"/>
  <c r="O495" i="4"/>
  <c r="AQ495" i="4" s="1"/>
  <c r="O571" i="4"/>
  <c r="O570" i="4"/>
  <c r="O569" i="4"/>
  <c r="O178" i="4"/>
  <c r="O567" i="4"/>
  <c r="O297" i="4"/>
  <c r="AP297" i="4" s="1"/>
  <c r="O296" i="4"/>
  <c r="O568" i="4"/>
  <c r="O566" i="4"/>
  <c r="O321" i="4"/>
  <c r="B1" i="4"/>
  <c r="C1" i="4" s="1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V53" i="4"/>
  <c r="AV603" i="4"/>
  <c r="AW603" i="4" s="1"/>
  <c r="AV602" i="4"/>
  <c r="AV601" i="4"/>
  <c r="AV600" i="4"/>
  <c r="AV402" i="4"/>
  <c r="AV429" i="4"/>
  <c r="AV483" i="4"/>
  <c r="AV406" i="4"/>
  <c r="AV599" i="4"/>
  <c r="AV299" i="4"/>
  <c r="AV298" i="4"/>
  <c r="AV180" i="4"/>
  <c r="AV618" i="4"/>
  <c r="AV617" i="4"/>
  <c r="AV597" i="4"/>
  <c r="AV596" i="4"/>
  <c r="AV593" i="4"/>
  <c r="AV592" i="4"/>
  <c r="AV590" i="4"/>
  <c r="AW590" i="4" s="1"/>
  <c r="AV589" i="4"/>
  <c r="AV588" i="4"/>
  <c r="AV395" i="4"/>
  <c r="AV580" i="4"/>
  <c r="AV284" i="4"/>
  <c r="AV543" i="4"/>
  <c r="AW543" i="4" s="1"/>
  <c r="AV482" i="4"/>
  <c r="AV203" i="4"/>
  <c r="AV252" i="4"/>
  <c r="AV587" i="4"/>
  <c r="AV559" i="4"/>
  <c r="AW559" i="4" s="1"/>
  <c r="AV151" i="4"/>
  <c r="AV586" i="4"/>
  <c r="AV585" i="4"/>
  <c r="AV583" i="4"/>
  <c r="AV447" i="4"/>
  <c r="AV526" i="4"/>
  <c r="AV496" i="4"/>
  <c r="AV582" i="4"/>
  <c r="AV581" i="4"/>
  <c r="AV579" i="4"/>
  <c r="AV171" i="4"/>
  <c r="AV578" i="4"/>
  <c r="AV577" i="4"/>
  <c r="AV113" i="4"/>
  <c r="AV598" i="4"/>
  <c r="AV575" i="4"/>
  <c r="AV537" i="4"/>
  <c r="AW537" i="4" s="1"/>
  <c r="AV572" i="4"/>
  <c r="AV495" i="4"/>
  <c r="AV571" i="4"/>
  <c r="AV570" i="4"/>
  <c r="AV569" i="4"/>
  <c r="AV178" i="4"/>
  <c r="AV567" i="4"/>
  <c r="AV297" i="4"/>
  <c r="AV296" i="4"/>
  <c r="AV568" i="4"/>
  <c r="AW568" i="4" s="1"/>
  <c r="AV566" i="4"/>
  <c r="AV321" i="4"/>
  <c r="AV565" i="4"/>
  <c r="AV563" i="4"/>
  <c r="AV551" i="4"/>
  <c r="AV562" i="4"/>
  <c r="AV150" i="4"/>
  <c r="AV561" i="4"/>
  <c r="AV262" i="4"/>
  <c r="AV560" i="4"/>
  <c r="AV558" i="4"/>
  <c r="AW558" i="4" s="1"/>
  <c r="AV200" i="4"/>
  <c r="AW200" i="4" s="1"/>
  <c r="AV446" i="4"/>
  <c r="AV613" i="4"/>
  <c r="AW613" i="4" s="1"/>
  <c r="AV557" i="4"/>
  <c r="AV556" i="4"/>
  <c r="AV550" i="4"/>
  <c r="AV555" i="4"/>
  <c r="AV554" i="4"/>
  <c r="AV549" i="4"/>
  <c r="AW549" i="4" s="1"/>
  <c r="AV529" i="4"/>
  <c r="AV553" i="4"/>
  <c r="AV552" i="4"/>
  <c r="AV185" i="4"/>
  <c r="AV528" i="4"/>
  <c r="AV548" i="4"/>
  <c r="AV547" i="4"/>
  <c r="AV546" i="4"/>
  <c r="AV545" i="4"/>
  <c r="AV544" i="4"/>
  <c r="AV474" i="4"/>
  <c r="AV542" i="4"/>
  <c r="AW542" i="4" s="1"/>
  <c r="AV540" i="4"/>
  <c r="AV539" i="4"/>
  <c r="AV134" i="4"/>
  <c r="AV536" i="4"/>
  <c r="AV535" i="4"/>
  <c r="AV532" i="4"/>
  <c r="AV445" i="4"/>
  <c r="AV531" i="4"/>
  <c r="AV124" i="4"/>
  <c r="AW124" i="4" s="1"/>
  <c r="AV530" i="4"/>
  <c r="AV527" i="4"/>
  <c r="AV525" i="4"/>
  <c r="AV433" i="4"/>
  <c r="AV522" i="4"/>
  <c r="AV149" i="4"/>
  <c r="AW149" i="4" s="1"/>
  <c r="AV274" i="4"/>
  <c r="AV521" i="4"/>
  <c r="AV520" i="4"/>
  <c r="AW520" i="4" s="1"/>
  <c r="AV519" i="4"/>
  <c r="AW519" i="4" s="1"/>
  <c r="AV518" i="4"/>
  <c r="AW518" i="4" s="1"/>
  <c r="AV128" i="4"/>
  <c r="AV500" i="4"/>
  <c r="AV499" i="4"/>
  <c r="AV517" i="4"/>
  <c r="AV319" i="4"/>
  <c r="AW319" i="4" s="1"/>
  <c r="AV516" i="4"/>
  <c r="AV515" i="4"/>
  <c r="AV514" i="4"/>
  <c r="AV513" i="4"/>
  <c r="AW513" i="4" s="1"/>
  <c r="AV512" i="4"/>
  <c r="AV383" i="4"/>
  <c r="AV32" i="4"/>
  <c r="AV481" i="4"/>
  <c r="AV498" i="4"/>
  <c r="AV524" i="4"/>
  <c r="AV444" i="4"/>
  <c r="AV202" i="4"/>
  <c r="AV511" i="4"/>
  <c r="AV510" i="4"/>
  <c r="AW510" i="4" s="1"/>
  <c r="AV509" i="4"/>
  <c r="AW509" i="4" s="1"/>
  <c r="AV480" i="4"/>
  <c r="AV508" i="4"/>
  <c r="AV507" i="4"/>
  <c r="AV506" i="4"/>
  <c r="AV479" i="4"/>
  <c r="AV505" i="4"/>
  <c r="AW505" i="4"/>
  <c r="AV504" i="4"/>
  <c r="AV503" i="4"/>
  <c r="AV502" i="4"/>
  <c r="AV501" i="4"/>
  <c r="AV497" i="4"/>
  <c r="AV494" i="4"/>
  <c r="AV493" i="4"/>
  <c r="AV492" i="4"/>
  <c r="AV117" i="4"/>
  <c r="AV491" i="4"/>
  <c r="AV382" i="4"/>
  <c r="AV478" i="4"/>
  <c r="AV490" i="4"/>
  <c r="AV330" i="4"/>
  <c r="AV489" i="4"/>
  <c r="AW489" i="4" s="1"/>
  <c r="AV477" i="4"/>
  <c r="AV473" i="4"/>
  <c r="AV283" i="4"/>
  <c r="AV472" i="4"/>
  <c r="AV471" i="4"/>
  <c r="AW471" i="4" s="1"/>
  <c r="AV469" i="4"/>
  <c r="AV468" i="4"/>
  <c r="AV467" i="4"/>
  <c r="AV466" i="4"/>
  <c r="AV246" i="4"/>
  <c r="AV615" i="4"/>
  <c r="AV465" i="4"/>
  <c r="AV476" i="4"/>
  <c r="AV58" i="4"/>
  <c r="AV464" i="4"/>
  <c r="AW464" i="4" s="1"/>
  <c r="AV463" i="4"/>
  <c r="AW463" i="4" s="1"/>
  <c r="AV462" i="4"/>
  <c r="AV438" i="4"/>
  <c r="AV282" i="4"/>
  <c r="AV394" i="4"/>
  <c r="AV461" i="4"/>
  <c r="AV460" i="4"/>
  <c r="AV31" i="4"/>
  <c r="AV443" i="4"/>
  <c r="AV142" i="4"/>
  <c r="AV459" i="4"/>
  <c r="AV458" i="4"/>
  <c r="AV141" i="4"/>
  <c r="AV140" i="4"/>
  <c r="AV457" i="4"/>
  <c r="AV456" i="4"/>
  <c r="AV454" i="4"/>
  <c r="AV393" i="4"/>
  <c r="AV148" i="4"/>
  <c r="AV147" i="4"/>
  <c r="AV453" i="4"/>
  <c r="AV440" i="4"/>
  <c r="AW440" i="4" s="1"/>
  <c r="AV392" i="4"/>
  <c r="AV98" i="4"/>
  <c r="AV452" i="4"/>
  <c r="AV451" i="4"/>
  <c r="AW451" i="4" s="1"/>
  <c r="AV450" i="4"/>
  <c r="AW450" i="4" s="1"/>
  <c r="AV417" i="4"/>
  <c r="AV523" i="4"/>
  <c r="AV133" i="4"/>
  <c r="AV132" i="4"/>
  <c r="AV449" i="4"/>
  <c r="AW449" i="4" s="1"/>
  <c r="AV448" i="4"/>
  <c r="AW448" i="4" s="1"/>
  <c r="AV391" i="4"/>
  <c r="AV52" i="4"/>
  <c r="AV442" i="4"/>
  <c r="AV390" i="4"/>
  <c r="AV196" i="4"/>
  <c r="AV441" i="4"/>
  <c r="AV439" i="4"/>
  <c r="AW439" i="4" s="1"/>
  <c r="AV437" i="4"/>
  <c r="AV37" i="4"/>
  <c r="AV435" i="4"/>
  <c r="AW435" i="4" s="1"/>
  <c r="AV434" i="4"/>
  <c r="AV432" i="4"/>
  <c r="AV431" i="4"/>
  <c r="AV428" i="4"/>
  <c r="AV380" i="4"/>
  <c r="AV427" i="4"/>
  <c r="AV9" i="4"/>
  <c r="AV426" i="4"/>
  <c r="AW426" i="4" s="1"/>
  <c r="AV425" i="4"/>
  <c r="AV51" i="4"/>
  <c r="AV424" i="4"/>
  <c r="AV318" i="4"/>
  <c r="AW318" i="4" s="1"/>
  <c r="AV423" i="4"/>
  <c r="AW423" i="4" s="1"/>
  <c r="AV422" i="4"/>
  <c r="AW422" i="4" s="1"/>
  <c r="AV389" i="4"/>
  <c r="AV144" i="4"/>
  <c r="AV421" i="4"/>
  <c r="AV420" i="4"/>
  <c r="AV314" i="4"/>
  <c r="AV334" i="4"/>
  <c r="AV419" i="4"/>
  <c r="AV418" i="4"/>
  <c r="AV416" i="4"/>
  <c r="AV94" i="4"/>
  <c r="AV242" i="4"/>
  <c r="AV415" i="4"/>
  <c r="AV379" i="4"/>
  <c r="AV325" i="4"/>
  <c r="AV414" i="4"/>
  <c r="AV232" i="4"/>
  <c r="AW232" i="4" s="1"/>
  <c r="AV16" i="4"/>
  <c r="AV220" i="4"/>
  <c r="AV413" i="4"/>
  <c r="AV412" i="4"/>
  <c r="AV411" i="4"/>
  <c r="AV342" i="4"/>
  <c r="AV410" i="4"/>
  <c r="AV307" i="4"/>
  <c r="AV121" i="4"/>
  <c r="AW121" i="4" s="1"/>
  <c r="AV408" i="4"/>
  <c r="AW408" i="4" s="1"/>
  <c r="AV407" i="4"/>
  <c r="AV475" i="4"/>
  <c r="AV405" i="4"/>
  <c r="AV401" i="4"/>
  <c r="AV400" i="4"/>
  <c r="AV22" i="4"/>
  <c r="AW22" i="4" s="1"/>
  <c r="AV388" i="4"/>
  <c r="AV387" i="4"/>
  <c r="AV386" i="4"/>
  <c r="AW386" i="4" s="1"/>
  <c r="AV385" i="4"/>
  <c r="AV235" i="4"/>
  <c r="AV109" i="4"/>
  <c r="AV219" i="4"/>
  <c r="AV328" i="4"/>
  <c r="AV384" i="4"/>
  <c r="AV381" i="4"/>
  <c r="AV332" i="4"/>
  <c r="AV378" i="4"/>
  <c r="AV377" i="4"/>
  <c r="AV541" i="4"/>
  <c r="AW541" i="4" s="1"/>
  <c r="AV50" i="4"/>
  <c r="AV376" i="4"/>
  <c r="AW376" i="4" s="1"/>
  <c r="AV193" i="4"/>
  <c r="AV352" i="4"/>
  <c r="AV351" i="4"/>
  <c r="AV347" i="4"/>
  <c r="AV375" i="4"/>
  <c r="AV374" i="4"/>
  <c r="AV323" i="4"/>
  <c r="AV313" i="4"/>
  <c r="AV534" i="4"/>
  <c r="AV373" i="4"/>
  <c r="AV295" i="4"/>
  <c r="AV291" i="4"/>
  <c r="AV288" i="4"/>
  <c r="AW288" i="4" s="1"/>
  <c r="AV372" i="4"/>
  <c r="AV281" i="4"/>
  <c r="AV612" i="4"/>
  <c r="AW612" i="4" s="1"/>
  <c r="AV436" i="4"/>
  <c r="AV227" i="4"/>
  <c r="AV265" i="4"/>
  <c r="AW265" i="4" s="1"/>
  <c r="AV261" i="4"/>
  <c r="AV258" i="4"/>
  <c r="AV251" i="4"/>
  <c r="AV245" i="4"/>
  <c r="AV244" i="4"/>
  <c r="AV237" i="4"/>
  <c r="AV224" i="4"/>
  <c r="AV371" i="4"/>
  <c r="AV218" i="4"/>
  <c r="AV370" i="4"/>
  <c r="AV369" i="4"/>
  <c r="AV368" i="4"/>
  <c r="AV215" i="4"/>
  <c r="AV212" i="4"/>
  <c r="AV207" i="4"/>
  <c r="AV199" i="4"/>
  <c r="AV195" i="4"/>
  <c r="AV191" i="4"/>
  <c r="AV187" i="4"/>
  <c r="AV367" i="4"/>
  <c r="AV182" i="4"/>
  <c r="AV176" i="4"/>
  <c r="AV173" i="4"/>
  <c r="AV170" i="4"/>
  <c r="AV164" i="4"/>
  <c r="AV163" i="4"/>
  <c r="AW163" i="4" s="1"/>
  <c r="AV574" i="4"/>
  <c r="AV573" i="4"/>
  <c r="AV159" i="4"/>
  <c r="AV158" i="4"/>
  <c r="AV155" i="4"/>
  <c r="AV153" i="4"/>
  <c r="AV146" i="4"/>
  <c r="AV139" i="4"/>
  <c r="AV366" i="4"/>
  <c r="AV130" i="4"/>
  <c r="AV611" i="4"/>
  <c r="AW611" i="4" s="1"/>
  <c r="AV610" i="4"/>
  <c r="AW610" i="4" s="1"/>
  <c r="AV609" i="4"/>
  <c r="AW609" i="4" s="1"/>
  <c r="AV365" i="4"/>
  <c r="AV119" i="4"/>
  <c r="AV116" i="4"/>
  <c r="AV115" i="4"/>
  <c r="AV104" i="4"/>
  <c r="AV101" i="4"/>
  <c r="AV364" i="4"/>
  <c r="AV93" i="4"/>
  <c r="AV81" i="4"/>
  <c r="AW81" i="4" s="1"/>
  <c r="AV80" i="4"/>
  <c r="AV77" i="4"/>
  <c r="AV74" i="4"/>
  <c r="AV73" i="4"/>
  <c r="AV72" i="4"/>
  <c r="AW72" i="4" s="1"/>
  <c r="AV363" i="4"/>
  <c r="AV362" i="4"/>
  <c r="AV65" i="4"/>
  <c r="AV64" i="4"/>
  <c r="AV62" i="4"/>
  <c r="AV361" i="4"/>
  <c r="AV360" i="4"/>
  <c r="AV57" i="4"/>
  <c r="AV55" i="4"/>
  <c r="AV48" i="4"/>
  <c r="AV46" i="4"/>
  <c r="AV45" i="4"/>
  <c r="AV359" i="4"/>
  <c r="AV41" i="4"/>
  <c r="AV39" i="4"/>
  <c r="AV36" i="4"/>
  <c r="AV358" i="4"/>
  <c r="AV357" i="4"/>
  <c r="AV30" i="4"/>
  <c r="AV26" i="4"/>
  <c r="AV24" i="4"/>
  <c r="AV21" i="4"/>
  <c r="AV356" i="4"/>
  <c r="AV15" i="4"/>
  <c r="AV355" i="4"/>
  <c r="AV11" i="4"/>
  <c r="AV354" i="4"/>
  <c r="AW354" i="4" s="1"/>
  <c r="AV353" i="4"/>
  <c r="AV350" i="4"/>
  <c r="AV349" i="4"/>
  <c r="AV348" i="4"/>
  <c r="AV346" i="4"/>
  <c r="AV345" i="4"/>
  <c r="AV344" i="4"/>
  <c r="AV343" i="4"/>
  <c r="AV341" i="4"/>
  <c r="AV340" i="4"/>
  <c r="AV339" i="4"/>
  <c r="AV404" i="4"/>
  <c r="AV338" i="4"/>
  <c r="AV337" i="4"/>
  <c r="AV336" i="4"/>
  <c r="AV335" i="4"/>
  <c r="AV333" i="4"/>
  <c r="AV331" i="4"/>
  <c r="AV329" i="4"/>
  <c r="AV327" i="4"/>
  <c r="AV326" i="4"/>
  <c r="AV324" i="4"/>
  <c r="AV322" i="4"/>
  <c r="AV320" i="4"/>
  <c r="AV317" i="4"/>
  <c r="AW317" i="4" s="1"/>
  <c r="AV316" i="4"/>
  <c r="AV315" i="4"/>
  <c r="AV312" i="4"/>
  <c r="AV240" i="4"/>
  <c r="AV311" i="4"/>
  <c r="AV309" i="4"/>
  <c r="AV308" i="4"/>
  <c r="AV306" i="4"/>
  <c r="AV305" i="4"/>
  <c r="AV304" i="4"/>
  <c r="AV294" i="4"/>
  <c r="AV293" i="4"/>
  <c r="AV292" i="4"/>
  <c r="AV290" i="4"/>
  <c r="AV289" i="4"/>
  <c r="AW289" i="4" s="1"/>
  <c r="AV287" i="4"/>
  <c r="AW287" i="4" s="1"/>
  <c r="AV286" i="4"/>
  <c r="AV285" i="4"/>
  <c r="AV280" i="4"/>
  <c r="AV279" i="4"/>
  <c r="AV278" i="4"/>
  <c r="AV277" i="4"/>
  <c r="AW277" i="4" s="1"/>
  <c r="AV276" i="4"/>
  <c r="AV273" i="4"/>
  <c r="AV272" i="4"/>
  <c r="AV271" i="4"/>
  <c r="AV270" i="4"/>
  <c r="AV269" i="4"/>
  <c r="AV268" i="4"/>
  <c r="AV267" i="4"/>
  <c r="AV266" i="4"/>
  <c r="AV264" i="4"/>
  <c r="AV263" i="4"/>
  <c r="AV260" i="4"/>
  <c r="AV259" i="4"/>
  <c r="AV257" i="4"/>
  <c r="AV256" i="4"/>
  <c r="AV255" i="4"/>
  <c r="AV254" i="4"/>
  <c r="AV253" i="4"/>
  <c r="AV250" i="4"/>
  <c r="AV409" i="4"/>
  <c r="AV249" i="4"/>
  <c r="AV248" i="4"/>
  <c r="AV243" i="4"/>
  <c r="AV241" i="4"/>
  <c r="AV239" i="4"/>
  <c r="AV236" i="4"/>
  <c r="AV234" i="4"/>
  <c r="AV233" i="4"/>
  <c r="AV231" i="4"/>
  <c r="AW231" i="4" s="1"/>
  <c r="AV230" i="4"/>
  <c r="AV229" i="4"/>
  <c r="AV228" i="4"/>
  <c r="AV226" i="4"/>
  <c r="AV225" i="4"/>
  <c r="AW225" i="4" s="1"/>
  <c r="AV223" i="4"/>
  <c r="AV222" i="4"/>
  <c r="AV221" i="4"/>
  <c r="AV217" i="4"/>
  <c r="AV216" i="4"/>
  <c r="AV214" i="4"/>
  <c r="AV211" i="4"/>
  <c r="AV208" i="4"/>
  <c r="AV206" i="4"/>
  <c r="AV205" i="4"/>
  <c r="AV201" i="4"/>
  <c r="AV198" i="4"/>
  <c r="AV197" i="4"/>
  <c r="AV194" i="4"/>
  <c r="AV238" i="4"/>
  <c r="AV192" i="4"/>
  <c r="AV190" i="4"/>
  <c r="AV189" i="4"/>
  <c r="AV188" i="4"/>
  <c r="AV186" i="4"/>
  <c r="AV184" i="4"/>
  <c r="AV181" i="4"/>
  <c r="AV179" i="4"/>
  <c r="AV177" i="4"/>
  <c r="AV175" i="4"/>
  <c r="AV172" i="4"/>
  <c r="AV169" i="4"/>
  <c r="AV167" i="4"/>
  <c r="AW167" i="4" s="1"/>
  <c r="AV166" i="4"/>
  <c r="AV165" i="4"/>
  <c r="AV162" i="4"/>
  <c r="AV161" i="4"/>
  <c r="AV160" i="4"/>
  <c r="AV157" i="4"/>
  <c r="AV156" i="4"/>
  <c r="AV154" i="4"/>
  <c r="AV152" i="4"/>
  <c r="AV145" i="4"/>
  <c r="AV143" i="4"/>
  <c r="AV138" i="4"/>
  <c r="AV137" i="4"/>
  <c r="AW137" i="4" s="1"/>
  <c r="AV136" i="4"/>
  <c r="AV135" i="4"/>
  <c r="AV131" i="4"/>
  <c r="AV129" i="4"/>
  <c r="AV127" i="4"/>
  <c r="AV126" i="4"/>
  <c r="AV123" i="4"/>
  <c r="AW123" i="4" s="1"/>
  <c r="AV122" i="4"/>
  <c r="AV120" i="4"/>
  <c r="AW120" i="4" s="1"/>
  <c r="AV118" i="4"/>
  <c r="AV114" i="4"/>
  <c r="AV112" i="4"/>
  <c r="AV111" i="4"/>
  <c r="AV110" i="4"/>
  <c r="AV108" i="4"/>
  <c r="AV106" i="4"/>
  <c r="AV105" i="4"/>
  <c r="AV103" i="4"/>
  <c r="AV100" i="4"/>
  <c r="AV99" i="4"/>
  <c r="AV97" i="4"/>
  <c r="AV96" i="4"/>
  <c r="AV95" i="4"/>
  <c r="AV92" i="4"/>
  <c r="AV91" i="4"/>
  <c r="AV90" i="4"/>
  <c r="AV88" i="4"/>
  <c r="AV87" i="4"/>
  <c r="AV86" i="4"/>
  <c r="AV84" i="4"/>
  <c r="AV82" i="4"/>
  <c r="AV79" i="4"/>
  <c r="AW79" i="4" s="1"/>
  <c r="AV78" i="4"/>
  <c r="AV76" i="4"/>
  <c r="AV75" i="4"/>
  <c r="AV71" i="4"/>
  <c r="AV70" i="4"/>
  <c r="AV69" i="4"/>
  <c r="AV68" i="4"/>
  <c r="AV67" i="4"/>
  <c r="AV66" i="4"/>
  <c r="AV63" i="4"/>
  <c r="AV61" i="4"/>
  <c r="AV60" i="4"/>
  <c r="AV59" i="4"/>
  <c r="AV56" i="4"/>
  <c r="AV54" i="4"/>
  <c r="AV49" i="4"/>
  <c r="AV47" i="4"/>
  <c r="AV44" i="4"/>
  <c r="AV43" i="4"/>
  <c r="AV42" i="4"/>
  <c r="AV40" i="4"/>
  <c r="AV38" i="4"/>
  <c r="AV35" i="4"/>
  <c r="AV34" i="4"/>
  <c r="AV29" i="4"/>
  <c r="AV28" i="4"/>
  <c r="AV25" i="4"/>
  <c r="AV23" i="4"/>
  <c r="AV20" i="4"/>
  <c r="AV19" i="4"/>
  <c r="AV18" i="4"/>
  <c r="AV17" i="4"/>
  <c r="AV14" i="4"/>
  <c r="AV13" i="4"/>
  <c r="AV12" i="4"/>
  <c r="AV10" i="4"/>
  <c r="AV8" i="4"/>
  <c r="AM577" i="4"/>
  <c r="AL577" i="4"/>
  <c r="AL537" i="4"/>
  <c r="AL551" i="4"/>
  <c r="AM558" i="4"/>
  <c r="AM382" i="4"/>
  <c r="AM458" i="4"/>
  <c r="AL458" i="4"/>
  <c r="AM401" i="4"/>
  <c r="AM351" i="4"/>
  <c r="AL358" i="4"/>
  <c r="AM320" i="4"/>
  <c r="AL189" i="4"/>
  <c r="AL87" i="4"/>
  <c r="AL13" i="4"/>
  <c r="AQ483" i="4"/>
  <c r="AP483" i="4"/>
  <c r="AP593" i="4"/>
  <c r="AQ580" i="4"/>
  <c r="AQ151" i="4"/>
  <c r="AP151" i="4"/>
  <c r="AQ537" i="4"/>
  <c r="AP537" i="4"/>
  <c r="AP495" i="4"/>
  <c r="AQ297" i="4"/>
  <c r="AQ549" i="4"/>
  <c r="AP549" i="4"/>
  <c r="AQ553" i="4"/>
  <c r="AP542" i="4"/>
  <c r="AQ540" i="4"/>
  <c r="AQ518" i="4"/>
  <c r="AP518" i="4"/>
  <c r="AP517" i="4"/>
  <c r="AQ319" i="4"/>
  <c r="AQ514" i="4"/>
  <c r="AP514" i="4"/>
  <c r="AP513" i="4"/>
  <c r="AQ524" i="4"/>
  <c r="AP509" i="4"/>
  <c r="AQ480" i="4"/>
  <c r="AQ330" i="4"/>
  <c r="AP330" i="4"/>
  <c r="AP283" i="4"/>
  <c r="AP468" i="4"/>
  <c r="AP58" i="4"/>
  <c r="AQ282" i="4"/>
  <c r="AP282" i="4"/>
  <c r="AQ31" i="4"/>
  <c r="AP31" i="4"/>
  <c r="AP457" i="4"/>
  <c r="AP456" i="4"/>
  <c r="AP454" i="4"/>
  <c r="AP148" i="4"/>
  <c r="AQ98" i="4"/>
  <c r="AP98" i="4"/>
  <c r="AP452" i="4"/>
  <c r="AQ417" i="4"/>
  <c r="AQ132" i="4"/>
  <c r="AQ391" i="4"/>
  <c r="AQ432" i="4"/>
  <c r="AQ380" i="4"/>
  <c r="AP380" i="4"/>
  <c r="AQ427" i="4"/>
  <c r="AQ422" i="4"/>
  <c r="AP389" i="4"/>
  <c r="AQ242" i="4"/>
  <c r="AP242" i="4"/>
  <c r="AP121" i="4"/>
  <c r="AP475" i="4"/>
  <c r="AQ400" i="4"/>
  <c r="AP328" i="4"/>
  <c r="AP541" i="4"/>
  <c r="AP50" i="4"/>
  <c r="AQ323" i="4"/>
  <c r="AP323" i="4"/>
  <c r="AQ295" i="4"/>
  <c r="AQ281" i="4"/>
  <c r="AP281" i="4"/>
  <c r="AP261" i="4"/>
  <c r="AQ251" i="4"/>
  <c r="AP245" i="4"/>
  <c r="AQ244" i="4"/>
  <c r="AP244" i="4"/>
  <c r="AQ187" i="4"/>
  <c r="AP367" i="4"/>
  <c r="AP182" i="4"/>
  <c r="AQ573" i="4"/>
  <c r="AP573" i="4"/>
  <c r="AP159" i="4"/>
  <c r="AQ366" i="4"/>
  <c r="AP366" i="4"/>
  <c r="AP104" i="4"/>
  <c r="AQ101" i="4"/>
  <c r="AP364" i="4"/>
  <c r="AP80" i="4"/>
  <c r="AQ74" i="4"/>
  <c r="AQ73" i="4"/>
  <c r="AQ360" i="4"/>
  <c r="AP360" i="4"/>
  <c r="AP57" i="4"/>
  <c r="AP48" i="4"/>
  <c r="AP39" i="4"/>
  <c r="AQ357" i="4"/>
  <c r="AQ15" i="4"/>
  <c r="AQ354" i="4"/>
  <c r="AP354" i="4"/>
  <c r="AQ348" i="4"/>
  <c r="AP348" i="4"/>
  <c r="AQ346" i="4"/>
  <c r="AQ339" i="4"/>
  <c r="AP339" i="4"/>
  <c r="AQ327" i="4"/>
  <c r="AP327" i="4"/>
  <c r="AQ320" i="4"/>
  <c r="AQ315" i="4"/>
  <c r="AP312" i="4"/>
  <c r="AQ287" i="4"/>
  <c r="AQ280" i="4"/>
  <c r="AP280" i="4"/>
  <c r="AP269" i="4"/>
  <c r="AQ259" i="4"/>
  <c r="AP259" i="4"/>
  <c r="AQ249" i="4"/>
  <c r="AP249" i="4"/>
  <c r="AQ248" i="4"/>
  <c r="AP239" i="4"/>
  <c r="AQ233" i="4"/>
  <c r="AQ231" i="4"/>
  <c r="AP231" i="4"/>
  <c r="AP226" i="4"/>
  <c r="AP222" i="4"/>
  <c r="AQ208" i="4"/>
  <c r="AP201" i="4"/>
  <c r="AQ198" i="4"/>
  <c r="AP197" i="4"/>
  <c r="AP189" i="4"/>
  <c r="AP188" i="4"/>
  <c r="AP172" i="4"/>
  <c r="AQ169" i="4"/>
  <c r="AP169" i="4"/>
  <c r="AP167" i="4"/>
  <c r="AQ156" i="4"/>
  <c r="AP156" i="4"/>
  <c r="AQ154" i="4"/>
  <c r="AQ152" i="4"/>
  <c r="AQ143" i="4"/>
  <c r="AQ136" i="4"/>
  <c r="AQ118" i="4"/>
  <c r="AQ108" i="4"/>
  <c r="AP108" i="4"/>
  <c r="AQ103" i="4"/>
  <c r="AP103" i="4"/>
  <c r="AP100" i="4"/>
  <c r="AQ90" i="4"/>
  <c r="AP90" i="4"/>
  <c r="AP88" i="4"/>
  <c r="AQ87" i="4"/>
  <c r="AQ76" i="4"/>
  <c r="AP76" i="4"/>
  <c r="AP75" i="4"/>
  <c r="AQ71" i="4"/>
  <c r="AP69" i="4"/>
  <c r="AQ68" i="4"/>
  <c r="AQ54" i="4"/>
  <c r="AP47" i="4"/>
  <c r="AP44" i="4"/>
  <c r="AQ28" i="4"/>
  <c r="AP28" i="4"/>
  <c r="AQ25" i="4"/>
  <c r="AQ14" i="4"/>
  <c r="AQ13" i="4"/>
  <c r="AP13" i="4"/>
  <c r="AR537" i="4"/>
  <c r="AZ1" i="4"/>
  <c r="BA1" i="4" s="1"/>
  <c r="BB1" i="4" s="1"/>
  <c r="BC1" i="4" s="1"/>
  <c r="BD1" i="4" s="1"/>
  <c r="AQ477" i="4" l="1"/>
  <c r="AM87" i="4"/>
  <c r="AL329" i="4"/>
  <c r="AR834" i="4"/>
  <c r="AN676" i="4"/>
  <c r="AN683" i="4"/>
  <c r="AR753" i="4"/>
  <c r="AN726" i="4"/>
  <c r="AP71" i="4"/>
  <c r="AP110" i="4"/>
  <c r="AP152" i="4"/>
  <c r="AQ266" i="4"/>
  <c r="AP317" i="4"/>
  <c r="AP15" i="4"/>
  <c r="AR15" i="4" s="1"/>
  <c r="AQ384" i="4"/>
  <c r="AP523" i="4"/>
  <c r="AQ202" i="4"/>
  <c r="AP553" i="4"/>
  <c r="AQ590" i="4"/>
  <c r="AL179" i="4"/>
  <c r="AR786" i="4"/>
  <c r="AN843" i="4"/>
  <c r="AN930" i="4"/>
  <c r="AN678" i="4"/>
  <c r="AL571" i="4"/>
  <c r="AP571" i="4"/>
  <c r="AM571" i="4"/>
  <c r="AM197" i="4"/>
  <c r="AQ197" i="4"/>
  <c r="AR197" i="4" s="1"/>
  <c r="AQ243" i="4"/>
  <c r="AP243" i="4"/>
  <c r="AP233" i="4"/>
  <c r="AM233" i="4"/>
  <c r="AL233" i="4"/>
  <c r="AL271" i="4"/>
  <c r="AP271" i="4"/>
  <c r="AR271" i="4" s="1"/>
  <c r="AQ541" i="4"/>
  <c r="AR541" i="4" s="1"/>
  <c r="AM541" i="4"/>
  <c r="AN541" i="4" s="1"/>
  <c r="AM342" i="4"/>
  <c r="AL342" i="4"/>
  <c r="AL490" i="4"/>
  <c r="AN490" i="4" s="1"/>
  <c r="AW490" i="4" s="1"/>
  <c r="AP490" i="4"/>
  <c r="AM211" i="4"/>
  <c r="AL211" i="4"/>
  <c r="AQ211" i="4"/>
  <c r="AR211" i="4" s="1"/>
  <c r="AP211" i="4"/>
  <c r="AM289" i="4"/>
  <c r="AL289" i="4"/>
  <c r="AN289" i="4" s="1"/>
  <c r="AQ289" i="4"/>
  <c r="AP289" i="4"/>
  <c r="AL343" i="4"/>
  <c r="AQ343" i="4"/>
  <c r="AP343" i="4"/>
  <c r="AM265" i="4"/>
  <c r="AL265" i="4"/>
  <c r="AP265" i="4"/>
  <c r="AL351" i="4"/>
  <c r="AQ351" i="4"/>
  <c r="AL386" i="4"/>
  <c r="AN386" i="4" s="1"/>
  <c r="AP386" i="4"/>
  <c r="AR386" i="4" s="1"/>
  <c r="AQ407" i="4"/>
  <c r="AR407" i="4" s="1"/>
  <c r="AP407" i="4"/>
  <c r="AL407" i="4"/>
  <c r="AM425" i="4"/>
  <c r="AL425" i="4"/>
  <c r="AP417" i="4"/>
  <c r="AM417" i="4"/>
  <c r="AL417" i="4"/>
  <c r="AM282" i="4"/>
  <c r="AL282" i="4"/>
  <c r="AM509" i="4"/>
  <c r="AL509" i="4"/>
  <c r="AQ509" i="4"/>
  <c r="AQ531" i="4"/>
  <c r="AP531" i="4"/>
  <c r="AM542" i="4"/>
  <c r="AL542" i="4"/>
  <c r="AN542" i="4" s="1"/>
  <c r="AQ542" i="4"/>
  <c r="AQ556" i="4"/>
  <c r="AP556" i="4"/>
  <c r="AM556" i="4"/>
  <c r="AL556" i="4"/>
  <c r="AQ225" i="4"/>
  <c r="AP225" i="4"/>
  <c r="AM287" i="4"/>
  <c r="AN287" i="4" s="1"/>
  <c r="AL287" i="4"/>
  <c r="AQ353" i="4"/>
  <c r="AP353" i="4"/>
  <c r="AQ119" i="4"/>
  <c r="AP119" i="4"/>
  <c r="AQ146" i="4"/>
  <c r="AP146" i="4"/>
  <c r="AP164" i="4"/>
  <c r="AR164" i="4" s="1"/>
  <c r="AL164" i="4"/>
  <c r="AL261" i="4"/>
  <c r="AQ261" i="4"/>
  <c r="AL385" i="4"/>
  <c r="AQ385" i="4"/>
  <c r="AQ415" i="4"/>
  <c r="AP415" i="4"/>
  <c r="AQ390" i="4"/>
  <c r="AP390" i="4"/>
  <c r="AQ453" i="4"/>
  <c r="AP453" i="4"/>
  <c r="AQ601" i="4"/>
  <c r="AM601" i="4"/>
  <c r="AR961" i="4"/>
  <c r="AN817" i="4"/>
  <c r="AN667" i="4"/>
  <c r="AQ355" i="4"/>
  <c r="AP355" i="4"/>
  <c r="AQ512" i="4"/>
  <c r="AP512" i="4"/>
  <c r="AR512" i="4" s="1"/>
  <c r="AP544" i="4"/>
  <c r="AQ544" i="4"/>
  <c r="AM47" i="4"/>
  <c r="AL47" i="4"/>
  <c r="AM120" i="4"/>
  <c r="AL120" i="4"/>
  <c r="AQ189" i="4"/>
  <c r="AM189" i="4"/>
  <c r="AQ285" i="4"/>
  <c r="AP285" i="4"/>
  <c r="AQ41" i="4"/>
  <c r="AP41" i="4"/>
  <c r="AM441" i="4"/>
  <c r="AL441" i="4"/>
  <c r="AQ466" i="4"/>
  <c r="AL242" i="4"/>
  <c r="AN242" i="4" s="1"/>
  <c r="AW242" i="4" s="1"/>
  <c r="AQ171" i="4"/>
  <c r="AP171" i="4"/>
  <c r="AM171" i="4"/>
  <c r="AL171" i="4"/>
  <c r="AN171" i="4" s="1"/>
  <c r="AW171" i="4" s="1"/>
  <c r="AM593" i="4"/>
  <c r="AQ593" i="4"/>
  <c r="AM12" i="4"/>
  <c r="AP12" i="4"/>
  <c r="AQ182" i="4"/>
  <c r="AM182" i="4"/>
  <c r="AL182" i="4"/>
  <c r="AQ22" i="4"/>
  <c r="AP22" i="4"/>
  <c r="AQ418" i="4"/>
  <c r="AP418" i="4"/>
  <c r="AQ545" i="4"/>
  <c r="AP545" i="4"/>
  <c r="AQ195" i="4"/>
  <c r="AN87" i="4"/>
  <c r="AM311" i="4"/>
  <c r="AQ311" i="4"/>
  <c r="AQ205" i="4"/>
  <c r="AM205" i="4"/>
  <c r="AL205" i="4"/>
  <c r="AM372" i="4"/>
  <c r="AL372" i="4"/>
  <c r="AP372" i="4"/>
  <c r="AQ428" i="4"/>
  <c r="AP428" i="4"/>
  <c r="AP527" i="4"/>
  <c r="AM527" i="4"/>
  <c r="AL527" i="4"/>
  <c r="AN527" i="4" s="1"/>
  <c r="AQ565" i="4"/>
  <c r="AR565" i="4" s="1"/>
  <c r="AM565" i="4"/>
  <c r="AN565" i="4" s="1"/>
  <c r="AW565" i="4" s="1"/>
  <c r="AQ276" i="4"/>
  <c r="AP276" i="4"/>
  <c r="AP10" i="4"/>
  <c r="AQ120" i="4"/>
  <c r="AQ434" i="4"/>
  <c r="AQ457" i="4"/>
  <c r="AP522" i="4"/>
  <c r="AP568" i="4"/>
  <c r="AM257" i="4"/>
  <c r="AP257" i="4"/>
  <c r="AQ448" i="4"/>
  <c r="AR448" i="4" s="1"/>
  <c r="AP448" i="4"/>
  <c r="AQ446" i="4"/>
  <c r="AL446" i="4"/>
  <c r="AM203" i="4"/>
  <c r="AQ203" i="4"/>
  <c r="AP203" i="4"/>
  <c r="AP179" i="4"/>
  <c r="AQ230" i="4"/>
  <c r="AR230" i="4" s="1"/>
  <c r="AQ292" i="4"/>
  <c r="AP358" i="4"/>
  <c r="AP363" i="4"/>
  <c r="AQ265" i="4"/>
  <c r="AP385" i="4"/>
  <c r="AQ342" i="4"/>
  <c r="AP441" i="4"/>
  <c r="AP467" i="4"/>
  <c r="AR467" i="4" s="1"/>
  <c r="AQ513" i="4"/>
  <c r="AQ527" i="4"/>
  <c r="AQ447" i="4"/>
  <c r="AM226" i="4"/>
  <c r="AM517" i="4"/>
  <c r="AM590" i="4"/>
  <c r="AW469" i="4"/>
  <c r="AQ610" i="4"/>
  <c r="AR610" i="4" s="1"/>
  <c r="AP610" i="4"/>
  <c r="AL212" i="4"/>
  <c r="AM212" i="4"/>
  <c r="AQ389" i="4"/>
  <c r="AL389" i="4"/>
  <c r="AP462" i="4"/>
  <c r="AL462" i="4"/>
  <c r="AM109" i="4"/>
  <c r="AN109" i="4" s="1"/>
  <c r="AW109" i="4" s="1"/>
  <c r="AL109" i="4"/>
  <c r="AP109" i="4"/>
  <c r="AM519" i="4"/>
  <c r="AQ519" i="4"/>
  <c r="AP519" i="4"/>
  <c r="AM56" i="4"/>
  <c r="AL56" i="4"/>
  <c r="AP56" i="4"/>
  <c r="AR56" i="4" s="1"/>
  <c r="AM354" i="4"/>
  <c r="AL354" i="4"/>
  <c r="AQ490" i="4"/>
  <c r="AM585" i="4"/>
  <c r="AL585" i="4"/>
  <c r="AN585" i="4" s="1"/>
  <c r="AW585" i="4" s="1"/>
  <c r="AQ88" i="4"/>
  <c r="AL88" i="4"/>
  <c r="AQ279" i="4"/>
  <c r="AP279" i="4"/>
  <c r="AQ215" i="4"/>
  <c r="AP215" i="4"/>
  <c r="AQ479" i="4"/>
  <c r="AP479" i="4"/>
  <c r="AR479" i="4" s="1"/>
  <c r="AL529" i="4"/>
  <c r="AQ529" i="4"/>
  <c r="AP529" i="4"/>
  <c r="AQ60" i="4"/>
  <c r="AP123" i="4"/>
  <c r="AQ12" i="4"/>
  <c r="AP29" i="4"/>
  <c r="AP66" i="4"/>
  <c r="AR66" i="4" s="1"/>
  <c r="AQ126" i="4"/>
  <c r="AP205" i="4"/>
  <c r="AP253" i="4"/>
  <c r="AP278" i="4"/>
  <c r="AP240" i="4"/>
  <c r="AP349" i="4"/>
  <c r="AQ36" i="4"/>
  <c r="AP365" i="4"/>
  <c r="AR365" i="4" s="1"/>
  <c r="AP574" i="4"/>
  <c r="AQ369" i="4"/>
  <c r="AQ386" i="4"/>
  <c r="AP232" i="4"/>
  <c r="AP425" i="4"/>
  <c r="AQ441" i="4"/>
  <c r="AP505" i="4"/>
  <c r="AP124" i="4"/>
  <c r="AR124" i="4" s="1"/>
  <c r="AP558" i="4"/>
  <c r="AR558" i="4" s="1"/>
  <c r="AP585" i="4"/>
  <c r="AM271" i="4"/>
  <c r="AM432" i="4"/>
  <c r="AM544" i="4"/>
  <c r="AL593" i="4"/>
  <c r="AN802" i="4"/>
  <c r="AN737" i="4"/>
  <c r="AQ229" i="4"/>
  <c r="AM229" i="4"/>
  <c r="AL364" i="4"/>
  <c r="AQ364" i="4"/>
  <c r="AM16" i="4"/>
  <c r="AN16" i="4" s="1"/>
  <c r="AW16" i="4" s="1"/>
  <c r="AQ16" i="4"/>
  <c r="AL16" i="4"/>
  <c r="AQ37" i="4"/>
  <c r="AP37" i="4"/>
  <c r="AP157" i="4"/>
  <c r="AL157" i="4"/>
  <c r="AP329" i="4"/>
  <c r="AM329" i="4"/>
  <c r="AN329" i="4" s="1"/>
  <c r="AW329" i="4" s="1"/>
  <c r="AM339" i="4"/>
  <c r="AN339" i="4" s="1"/>
  <c r="AW339" i="4" s="1"/>
  <c r="AL339" i="4"/>
  <c r="AP74" i="4"/>
  <c r="AM74" i="4"/>
  <c r="AL74" i="4"/>
  <c r="AM187" i="4"/>
  <c r="AL187" i="4"/>
  <c r="AQ318" i="4"/>
  <c r="AM318" i="4"/>
  <c r="AN318" i="4" s="1"/>
  <c r="AL318" i="4"/>
  <c r="AM58" i="4"/>
  <c r="AL58" i="4"/>
  <c r="AQ58" i="4"/>
  <c r="AM497" i="4"/>
  <c r="AL497" i="4"/>
  <c r="AP497" i="4"/>
  <c r="AQ547" i="4"/>
  <c r="AR547" i="4" s="1"/>
  <c r="AP547" i="4"/>
  <c r="AM81" i="4"/>
  <c r="AL81" i="4"/>
  <c r="AP81" i="4"/>
  <c r="AQ271" i="4"/>
  <c r="AP361" i="4"/>
  <c r="AP212" i="4"/>
  <c r="AR212" i="4" s="1"/>
  <c r="AP342" i="4"/>
  <c r="AR342" i="4" s="1"/>
  <c r="AL517" i="4"/>
  <c r="AM495" i="4"/>
  <c r="AL495" i="4"/>
  <c r="AM543" i="4"/>
  <c r="AQ128" i="4"/>
  <c r="AR128" i="4" s="1"/>
  <c r="AL128" i="4"/>
  <c r="AQ207" i="4"/>
  <c r="AP207" i="4"/>
  <c r="AQ157" i="4"/>
  <c r="AQ186" i="4"/>
  <c r="AQ240" i="4"/>
  <c r="AP333" i="4"/>
  <c r="AQ365" i="4"/>
  <c r="AP218" i="4"/>
  <c r="AR218" i="4" s="1"/>
  <c r="AQ612" i="4"/>
  <c r="AP351" i="4"/>
  <c r="AQ425" i="4"/>
  <c r="AP532" i="4"/>
  <c r="AQ558" i="4"/>
  <c r="AM276" i="4"/>
  <c r="AL547" i="4"/>
  <c r="AR977" i="4"/>
  <c r="AW475" i="4"/>
  <c r="AP53" i="4"/>
  <c r="AQ95" i="4"/>
  <c r="AR643" i="4"/>
  <c r="AR884" i="4"/>
  <c r="AR792" i="4"/>
  <c r="AN485" i="4"/>
  <c r="AW485" i="4" s="1"/>
  <c r="AN677" i="4"/>
  <c r="AN869" i="4"/>
  <c r="AN962" i="4"/>
  <c r="AN789" i="4"/>
  <c r="AR902" i="4"/>
  <c r="AR784" i="4"/>
  <c r="AR898" i="4"/>
  <c r="AR684" i="4"/>
  <c r="AN771" i="4"/>
  <c r="AR861" i="4"/>
  <c r="AR986" i="4"/>
  <c r="AN829" i="4"/>
  <c r="AN699" i="4"/>
  <c r="AN758" i="4"/>
  <c r="AN928" i="4"/>
  <c r="AN753" i="4"/>
  <c r="AR773" i="4"/>
  <c r="AN821" i="4"/>
  <c r="AN854" i="4"/>
  <c r="AN275" i="4"/>
  <c r="AW275" i="4" s="1"/>
  <c r="AN656" i="4"/>
  <c r="AN847" i="4"/>
  <c r="AR949" i="4"/>
  <c r="AN975" i="4"/>
  <c r="AR693" i="4"/>
  <c r="AR831" i="4"/>
  <c r="AN693" i="4"/>
  <c r="AN831" i="4"/>
  <c r="AR730" i="4"/>
  <c r="AW571" i="4"/>
  <c r="AP105" i="4"/>
  <c r="AM157" i="4"/>
  <c r="AQ260" i="4"/>
  <c r="AM361" i="4"/>
  <c r="AM115" i="4"/>
  <c r="AM334" i="4"/>
  <c r="AN334" i="4" s="1"/>
  <c r="AW334" i="4" s="1"/>
  <c r="AM507" i="4"/>
  <c r="AL519" i="4"/>
  <c r="AL565" i="4"/>
  <c r="AQ568" i="4"/>
  <c r="AQ504" i="4"/>
  <c r="AR747" i="4"/>
  <c r="AN836" i="4"/>
  <c r="AN733" i="4"/>
  <c r="AR803" i="4"/>
  <c r="AR666" i="4"/>
  <c r="AR675" i="4"/>
  <c r="AN210" i="4"/>
  <c r="AR709" i="4"/>
  <c r="AR984" i="4"/>
  <c r="AN938" i="4"/>
  <c r="AN980" i="4"/>
  <c r="AR769" i="4"/>
  <c r="AR972" i="4"/>
  <c r="AR917" i="4"/>
  <c r="AN939" i="4"/>
  <c r="AN725" i="4"/>
  <c r="AR916" i="4"/>
  <c r="AN673" i="4"/>
  <c r="AR945" i="4"/>
  <c r="AR931" i="4"/>
  <c r="AR781" i="4"/>
  <c r="AN686" i="4"/>
  <c r="AN891" i="4"/>
  <c r="AN840" i="4"/>
  <c r="AN896" i="4"/>
  <c r="AR789" i="4"/>
  <c r="AR746" i="4"/>
  <c r="AN875" i="4"/>
  <c r="AN767" i="4"/>
  <c r="AN702" i="4"/>
  <c r="AN774" i="4"/>
  <c r="AR796" i="4"/>
  <c r="AQ501" i="4"/>
  <c r="AN623" i="4"/>
  <c r="AW623" i="4" s="1"/>
  <c r="AR840" i="4"/>
  <c r="AR962" i="4"/>
  <c r="AR674" i="4"/>
  <c r="AR833" i="4"/>
  <c r="AN619" i="4"/>
  <c r="AW619" i="4" s="1"/>
  <c r="AR988" i="4"/>
  <c r="AN893" i="4"/>
  <c r="AN866" i="4"/>
  <c r="AR204" i="4"/>
  <c r="AR878" i="4"/>
  <c r="AN886" i="4"/>
  <c r="AN881" i="4"/>
  <c r="AR774" i="4"/>
  <c r="AP54" i="4"/>
  <c r="AL68" i="4"/>
  <c r="AL123" i="4"/>
  <c r="AM177" i="4"/>
  <c r="AM218" i="4"/>
  <c r="AM51" i="4"/>
  <c r="AL141" i="4"/>
  <c r="AL472" i="4"/>
  <c r="AL502" i="4"/>
  <c r="AP480" i="4"/>
  <c r="AR480" i="4" s="1"/>
  <c r="AL319" i="4"/>
  <c r="AM124" i="4"/>
  <c r="AM216" i="4"/>
  <c r="AP388" i="4"/>
  <c r="AQ334" i="4"/>
  <c r="AN810" i="4"/>
  <c r="AN884" i="4"/>
  <c r="AR943" i="4"/>
  <c r="AN711" i="4"/>
  <c r="AR759" i="4"/>
  <c r="AN655" i="4"/>
  <c r="AR676" i="4"/>
  <c r="AN924" i="4"/>
  <c r="AR915" i="4"/>
  <c r="AR798" i="4"/>
  <c r="AR953" i="4"/>
  <c r="AR708" i="4"/>
  <c r="AR824" i="4"/>
  <c r="AN712" i="4"/>
  <c r="AN905" i="4"/>
  <c r="AN743" i="4"/>
  <c r="AN724" i="4"/>
  <c r="AN888" i="4"/>
  <c r="AR848" i="4"/>
  <c r="AN766" i="4"/>
  <c r="AR671" i="4"/>
  <c r="AR955" i="4"/>
  <c r="AN941" i="4"/>
  <c r="AN853" i="4"/>
  <c r="AN751" i="4"/>
  <c r="AW25" i="4"/>
  <c r="AW313" i="4"/>
  <c r="AQ526" i="4"/>
  <c r="AP252" i="4"/>
  <c r="AQ589" i="4"/>
  <c r="AQ180" i="4"/>
  <c r="AP19" i="4"/>
  <c r="AQ96" i="4"/>
  <c r="AM126" i="4"/>
  <c r="AN126" i="4" s="1"/>
  <c r="AW126" i="4" s="1"/>
  <c r="AM143" i="4"/>
  <c r="AQ162" i="4"/>
  <c r="AM179" i="4"/>
  <c r="AM266" i="4"/>
  <c r="AL320" i="4"/>
  <c r="AM30" i="4"/>
  <c r="AP46" i="4"/>
  <c r="AM413" i="4"/>
  <c r="AL434" i="4"/>
  <c r="AQ458" i="4"/>
  <c r="AM491" i="4"/>
  <c r="AL531" i="4"/>
  <c r="AQ61" i="4"/>
  <c r="AQ217" i="4"/>
  <c r="AR891" i="4"/>
  <c r="AR862" i="4"/>
  <c r="AR711" i="4"/>
  <c r="AN952" i="4"/>
  <c r="AN841" i="4"/>
  <c r="AN798" i="4"/>
  <c r="AN675" i="4"/>
  <c r="AR716" i="4"/>
  <c r="AN799" i="4"/>
  <c r="AR896" i="4"/>
  <c r="AN852" i="4"/>
  <c r="AN859" i="4"/>
  <c r="AR752" i="4"/>
  <c r="AN800" i="4"/>
  <c r="AN942" i="4"/>
  <c r="AM321" i="4"/>
  <c r="AQ577" i="4"/>
  <c r="AM447" i="4"/>
  <c r="AL203" i="4"/>
  <c r="AP590" i="4"/>
  <c r="AP426" i="4"/>
  <c r="AR426" i="4" s="1"/>
  <c r="AR939" i="4"/>
  <c r="AR954" i="4"/>
  <c r="AR873" i="4"/>
  <c r="AR722" i="4"/>
  <c r="AR125" i="4"/>
  <c r="AR817" i="4"/>
  <c r="AR998" i="4"/>
  <c r="AN695" i="4"/>
  <c r="AN865" i="4"/>
  <c r="AR880" i="4"/>
  <c r="AR908" i="4"/>
  <c r="AR743" i="4"/>
  <c r="AR923" i="4"/>
  <c r="AR301" i="4"/>
  <c r="AN897" i="4"/>
  <c r="AN867" i="4"/>
  <c r="AN948" i="4"/>
  <c r="AN878" i="4"/>
  <c r="AN984" i="4"/>
  <c r="AN691" i="4"/>
  <c r="AN761" i="4"/>
  <c r="AN637" i="4"/>
  <c r="AW637" i="4" s="1"/>
  <c r="AM583" i="4"/>
  <c r="AL570" i="4"/>
  <c r="AP557" i="4"/>
  <c r="AL550" i="4"/>
  <c r="AW527" i="4"/>
  <c r="AL524" i="4"/>
  <c r="AM523" i="4"/>
  <c r="AQ492" i="4"/>
  <c r="AQ462" i="4"/>
  <c r="AR462" i="4" s="1"/>
  <c r="AP419" i="4"/>
  <c r="AR419" i="4" s="1"/>
  <c r="AM385" i="4"/>
  <c r="AM347" i="4"/>
  <c r="AN342" i="4"/>
  <c r="AW342" i="4"/>
  <c r="AL334" i="4"/>
  <c r="AP334" i="4"/>
  <c r="AP311" i="4"/>
  <c r="AR311" i="4" s="1"/>
  <c r="AL268" i="4"/>
  <c r="AN268" i="4" s="1"/>
  <c r="AW268" i="4" s="1"/>
  <c r="AP321" i="4"/>
  <c r="AQ321" i="4"/>
  <c r="AQ226" i="4"/>
  <c r="AR203" i="4"/>
  <c r="AQ367" i="4"/>
  <c r="AM170" i="4"/>
  <c r="AP143" i="4"/>
  <c r="AR143" i="4" s="1"/>
  <c r="AP142" i="4"/>
  <c r="AR142" i="4" s="1"/>
  <c r="AQ138" i="4"/>
  <c r="AP135" i="4"/>
  <c r="AP132" i="4"/>
  <c r="AQ131" i="4"/>
  <c r="AQ113" i="4"/>
  <c r="AQ111" i="4"/>
  <c r="AW87" i="4"/>
  <c r="AQ78" i="4"/>
  <c r="AL304" i="4"/>
  <c r="AM69" i="4"/>
  <c r="AP65" i="4"/>
  <c r="AP63" i="4"/>
  <c r="AN58" i="4"/>
  <c r="AW58" i="4" s="1"/>
  <c r="AQ45" i="4"/>
  <c r="AQ42" i="4"/>
  <c r="AR42" i="4" s="1"/>
  <c r="AM407" i="4"/>
  <c r="AM21" i="4"/>
  <c r="AQ19" i="4"/>
  <c r="AQ356" i="4"/>
  <c r="AQ18" i="4"/>
  <c r="AP9" i="4"/>
  <c r="AN663" i="4"/>
  <c r="AW663" i="4" s="1"/>
  <c r="AN636" i="4"/>
  <c r="AW636" i="4" s="1"/>
  <c r="AN621" i="4"/>
  <c r="AW621" i="4" s="1"/>
  <c r="AR606" i="4"/>
  <c r="AP589" i="4"/>
  <c r="AQ546" i="4"/>
  <c r="AP535" i="4"/>
  <c r="AQ535" i="4"/>
  <c r="AQ503" i="4"/>
  <c r="AP472" i="4"/>
  <c r="AQ472" i="4"/>
  <c r="AM472" i="4"/>
  <c r="AN472" i="4" s="1"/>
  <c r="AW472" i="4" s="1"/>
  <c r="AQ421" i="4"/>
  <c r="AP313" i="4"/>
  <c r="AQ313" i="4"/>
  <c r="AQ298" i="4"/>
  <c r="AL240" i="4"/>
  <c r="AN240" i="4" s="1"/>
  <c r="AW240" i="4" s="1"/>
  <c r="AP216" i="4"/>
  <c r="AQ216" i="4"/>
  <c r="AN212" i="4"/>
  <c r="AW212" i="4"/>
  <c r="AP195" i="4"/>
  <c r="AR183" i="4"/>
  <c r="AL177" i="4"/>
  <c r="AN177" i="4" s="1"/>
  <c r="AW177" i="4" s="1"/>
  <c r="AN484" i="4"/>
  <c r="AW484" i="4" s="1"/>
  <c r="AR454" i="4"/>
  <c r="AL393" i="4"/>
  <c r="AQ388" i="4"/>
  <c r="AM278" i="4"/>
  <c r="AL274" i="4"/>
  <c r="AQ166" i="4"/>
  <c r="AL166" i="4"/>
  <c r="AM166" i="4"/>
  <c r="AN166" i="4" s="1"/>
  <c r="AW166" i="4" s="1"/>
  <c r="AL147" i="4"/>
  <c r="AP130" i="4"/>
  <c r="AL129" i="4"/>
  <c r="AR604" i="4"/>
  <c r="AN584" i="4"/>
  <c r="AW584" i="4" s="1"/>
  <c r="AL583" i="4"/>
  <c r="AN583" i="4" s="1"/>
  <c r="AW583" i="4" s="1"/>
  <c r="AN577" i="4"/>
  <c r="AW577" i="4" s="1"/>
  <c r="AR577" i="4"/>
  <c r="AP565" i="4"/>
  <c r="AR553" i="4"/>
  <c r="AQ550" i="4"/>
  <c r="AM531" i="4"/>
  <c r="AN531" i="4" s="1"/>
  <c r="AW531" i="4" s="1"/>
  <c r="AQ443" i="4"/>
  <c r="AP443" i="4"/>
  <c r="AQ498" i="4"/>
  <c r="AP492" i="4"/>
  <c r="AL457" i="4"/>
  <c r="AP442" i="4"/>
  <c r="AN425" i="4"/>
  <c r="AW425" i="4" s="1"/>
  <c r="AN417" i="4"/>
  <c r="AW417" i="4" s="1"/>
  <c r="AN372" i="4"/>
  <c r="AW372" i="4" s="1"/>
  <c r="AM365" i="4"/>
  <c r="AN365" i="4" s="1"/>
  <c r="AW365" i="4" s="1"/>
  <c r="AQ341" i="4"/>
  <c r="AN320" i="4"/>
  <c r="AW320" i="4" s="1"/>
  <c r="AR283" i="4"/>
  <c r="AM268" i="4"/>
  <c r="AP268" i="4"/>
  <c r="AQ268" i="4"/>
  <c r="AP237" i="4"/>
  <c r="AR237" i="4" s="1"/>
  <c r="AQ618" i="4"/>
  <c r="AP217" i="4"/>
  <c r="AQ188" i="4"/>
  <c r="AN594" i="4"/>
  <c r="AW594" i="4" s="1"/>
  <c r="AP170" i="4"/>
  <c r="AQ170" i="4"/>
  <c r="AL170" i="4"/>
  <c r="AN170" i="4" s="1"/>
  <c r="AW170" i="4" s="1"/>
  <c r="AL142" i="4"/>
  <c r="AQ133" i="4"/>
  <c r="AP131" i="4"/>
  <c r="AP113" i="4"/>
  <c r="AL112" i="4"/>
  <c r="AM112" i="4"/>
  <c r="AN112" i="4" s="1"/>
  <c r="AW112" i="4" s="1"/>
  <c r="AQ112" i="4"/>
  <c r="AM96" i="4"/>
  <c r="AP96" i="4"/>
  <c r="AL96" i="4"/>
  <c r="AM95" i="4"/>
  <c r="AP95" i="4"/>
  <c r="AL95" i="4"/>
  <c r="AN89" i="4"/>
  <c r="AW89" i="4" s="1"/>
  <c r="AR85" i="4"/>
  <c r="AL78" i="4"/>
  <c r="AM78" i="4"/>
  <c r="AP78" i="4"/>
  <c r="AQ304" i="4"/>
  <c r="AP304" i="4"/>
  <c r="AM65" i="4"/>
  <c r="AL61" i="4"/>
  <c r="AP61" i="4"/>
  <c r="AR61" i="4" s="1"/>
  <c r="AR47" i="4"/>
  <c r="AL46" i="4"/>
  <c r="AM46" i="4"/>
  <c r="AQ46" i="4"/>
  <c r="AP45" i="4"/>
  <c r="AP42" i="4"/>
  <c r="AL42" i="4"/>
  <c r="AQ38" i="4"/>
  <c r="AR38" i="4" s="1"/>
  <c r="AL21" i="4"/>
  <c r="AN21" i="4" s="1"/>
  <c r="AW21" i="4" s="1"/>
  <c r="AP21" i="4"/>
  <c r="AL19" i="4"/>
  <c r="AP18" i="4"/>
  <c r="AQ9" i="4"/>
  <c r="AQ8" i="4"/>
  <c r="AL601" i="4"/>
  <c r="AN601" i="4" s="1"/>
  <c r="AW601" i="4" s="1"/>
  <c r="AP581" i="4"/>
  <c r="AR581" i="4" s="1"/>
  <c r="AR300" i="4"/>
  <c r="AR213" i="4"/>
  <c r="AN205" i="4"/>
  <c r="AW205" i="4" s="1"/>
  <c r="AP177" i="4"/>
  <c r="AQ164" i="4"/>
  <c r="AL60" i="4"/>
  <c r="AN60" i="4" s="1"/>
  <c r="AW60" i="4" s="1"/>
  <c r="AN622" i="4"/>
  <c r="AW622" i="4" s="1"/>
  <c r="AQ29" i="4"/>
  <c r="AR29" i="4" s="1"/>
  <c r="AQ23" i="4"/>
  <c r="AR664" i="4"/>
  <c r="AN661" i="4"/>
  <c r="AW661" i="4" s="1"/>
  <c r="AR661" i="4"/>
  <c r="AR657" i="4"/>
  <c r="AR652" i="4"/>
  <c r="AN651" i="4"/>
  <c r="AW651" i="4" s="1"/>
  <c r="AR651" i="4"/>
  <c r="AR645" i="4"/>
  <c r="AN642" i="4"/>
  <c r="AW642" i="4" s="1"/>
  <c r="AR636" i="4"/>
  <c r="AN634" i="4"/>
  <c r="AW634" i="4" s="1"/>
  <c r="AN633" i="4"/>
  <c r="AW633" i="4" s="1"/>
  <c r="AR627" i="4"/>
  <c r="AN627" i="4"/>
  <c r="AW627" i="4" s="1"/>
  <c r="AR619" i="4"/>
  <c r="AN616" i="4"/>
  <c r="AW616" i="4" s="1"/>
  <c r="AQ613" i="4"/>
  <c r="AM612" i="4"/>
  <c r="AQ611" i="4"/>
  <c r="AR608" i="4"/>
  <c r="AN607" i="4"/>
  <c r="AW607" i="4" s="1"/>
  <c r="AR605" i="4"/>
  <c r="AP601" i="4"/>
  <c r="AP600" i="4"/>
  <c r="AQ598" i="4"/>
  <c r="AP597" i="4"/>
  <c r="AR595" i="4"/>
  <c r="AN593" i="4"/>
  <c r="AW593" i="4" s="1"/>
  <c r="AN590" i="4"/>
  <c r="AR590" i="4"/>
  <c r="AR589" i="4"/>
  <c r="AQ585" i="4"/>
  <c r="AP583" i="4"/>
  <c r="AQ583" i="4"/>
  <c r="AL574" i="4"/>
  <c r="AM574" i="4"/>
  <c r="AN571" i="4"/>
  <c r="AQ571" i="4"/>
  <c r="AR571" i="4" s="1"/>
  <c r="AM570" i="4"/>
  <c r="AN570" i="4" s="1"/>
  <c r="AW570" i="4" s="1"/>
  <c r="AM568" i="4"/>
  <c r="AN558" i="4"/>
  <c r="AN556" i="4"/>
  <c r="AW556" i="4" s="1"/>
  <c r="AQ554" i="4"/>
  <c r="AQ551" i="4"/>
  <c r="AR551" i="4" s="1"/>
  <c r="AL545" i="4"/>
  <c r="AL543" i="4"/>
  <c r="AN543" i="4" s="1"/>
  <c r="AM540" i="4"/>
  <c r="AR540" i="4"/>
  <c r="AR535" i="4"/>
  <c r="AM534" i="4"/>
  <c r="AQ534" i="4"/>
  <c r="AQ528" i="4"/>
  <c r="AR527" i="4"/>
  <c r="AP526" i="4"/>
  <c r="AR526" i="4" s="1"/>
  <c r="AQ521" i="4"/>
  <c r="AN519" i="4"/>
  <c r="AR519" i="4"/>
  <c r="AN517" i="4"/>
  <c r="AW517" i="4" s="1"/>
  <c r="AR517" i="4"/>
  <c r="AM515" i="4"/>
  <c r="AR513" i="4"/>
  <c r="AR509" i="4"/>
  <c r="AN509" i="4"/>
  <c r="AL503" i="4"/>
  <c r="AM503" i="4"/>
  <c r="AP503" i="4"/>
  <c r="AQ497" i="4"/>
  <c r="AN495" i="4"/>
  <c r="AW495" i="4" s="1"/>
  <c r="AQ493" i="4"/>
  <c r="AR493" i="4" s="1"/>
  <c r="AP491" i="4"/>
  <c r="AR491" i="4" s="1"/>
  <c r="AQ489" i="4"/>
  <c r="AP489" i="4"/>
  <c r="AN488" i="4"/>
  <c r="AW488" i="4" s="1"/>
  <c r="AR487" i="4"/>
  <c r="AM482" i="4"/>
  <c r="AM480" i="4"/>
  <c r="AQ475" i="4"/>
  <c r="AR475" i="4" s="1"/>
  <c r="AM469" i="4"/>
  <c r="AM459" i="4"/>
  <c r="AN458" i="4"/>
  <c r="AW458" i="4" s="1"/>
  <c r="AN457" i="4"/>
  <c r="AW457" i="4" s="1"/>
  <c r="AL452" i="4"/>
  <c r="AL447" i="4"/>
  <c r="AN447" i="4" s="1"/>
  <c r="AW447" i="4" s="1"/>
  <c r="AM442" i="4"/>
  <c r="AQ442" i="4"/>
  <c r="AR442" i="4" s="1"/>
  <c r="AN441" i="4"/>
  <c r="AW441" i="4" s="1"/>
  <c r="AQ437" i="4"/>
  <c r="AP434" i="4"/>
  <c r="AP432" i="4"/>
  <c r="AN432" i="4"/>
  <c r="AW432" i="4" s="1"/>
  <c r="AN430" i="4"/>
  <c r="AW430" i="4" s="1"/>
  <c r="AP420" i="4"/>
  <c r="AM416" i="4"/>
  <c r="AL415" i="4"/>
  <c r="AN407" i="4"/>
  <c r="AW407" i="4" s="1"/>
  <c r="AN398" i="4"/>
  <c r="AN397" i="4"/>
  <c r="AW397" i="4" s="1"/>
  <c r="AN393" i="4"/>
  <c r="AW393" i="4" s="1"/>
  <c r="AP393" i="4"/>
  <c r="AQ393" i="4"/>
  <c r="AQ392" i="4"/>
  <c r="AR392" i="4" s="1"/>
  <c r="AL392" i="4"/>
  <c r="AM392" i="4"/>
  <c r="AR389" i="4"/>
  <c r="AP378" i="4"/>
  <c r="AQ376" i="4"/>
  <c r="AP376" i="4"/>
  <c r="AM374" i="4"/>
  <c r="AQ371" i="4"/>
  <c r="AR371" i="4" s="1"/>
  <c r="AP371" i="4"/>
  <c r="AL371" i="4"/>
  <c r="AL369" i="4"/>
  <c r="AP368" i="4"/>
  <c r="AM366" i="4"/>
  <c r="AL361" i="4"/>
  <c r="AN361" i="4" s="1"/>
  <c r="AW361" i="4" s="1"/>
  <c r="AM341" i="4"/>
  <c r="AN341" i="4" s="1"/>
  <c r="AW341" i="4" s="1"/>
  <c r="AL341" i="4"/>
  <c r="AR339" i="4"/>
  <c r="AP338" i="4"/>
  <c r="AR338" i="4" s="1"/>
  <c r="AP326" i="4"/>
  <c r="AQ325" i="4"/>
  <c r="AR325" i="4" s="1"/>
  <c r="AR323" i="4"/>
  <c r="AR313" i="4"/>
  <c r="AL307" i="4"/>
  <c r="AQ306" i="4"/>
  <c r="AN304" i="4"/>
  <c r="AW304" i="4" s="1"/>
  <c r="AN303" i="4"/>
  <c r="AW303" i="4" s="1"/>
  <c r="AR298" i="4"/>
  <c r="AM298" i="4"/>
  <c r="AR297" i="4"/>
  <c r="AP291" i="4"/>
  <c r="AR287" i="4"/>
  <c r="AP286" i="4"/>
  <c r="AM285" i="4"/>
  <c r="AR282" i="4"/>
  <c r="AN282" i="4"/>
  <c r="AW282" i="4" s="1"/>
  <c r="AP264" i="4"/>
  <c r="AQ262" i="4"/>
  <c r="AM261" i="4"/>
  <c r="AP260" i="4"/>
  <c r="AR260" i="4" s="1"/>
  <c r="AL260" i="4"/>
  <c r="AM260" i="4"/>
  <c r="AL257" i="4"/>
  <c r="AN257" i="4" s="1"/>
  <c r="AW257" i="4" s="1"/>
  <c r="AM256" i="4"/>
  <c r="AN247" i="4"/>
  <c r="AW247" i="4" s="1"/>
  <c r="AM239" i="4"/>
  <c r="AN233" i="4"/>
  <c r="AW233" i="4" s="1"/>
  <c r="AN226" i="4"/>
  <c r="AW226" i="4" s="1"/>
  <c r="AN211" i="4"/>
  <c r="AW211" i="4" s="1"/>
  <c r="AR209" i="4"/>
  <c r="AN203" i="4"/>
  <c r="AW203" i="4" s="1"/>
  <c r="AR202" i="4"/>
  <c r="AQ192" i="4"/>
  <c r="AR192" i="4" s="1"/>
  <c r="AN187" i="4"/>
  <c r="AW187" i="4" s="1"/>
  <c r="AP184" i="4"/>
  <c r="AR184" i="4" s="1"/>
  <c r="AN183" i="4"/>
  <c r="AW183" i="4" s="1"/>
  <c r="AN182" i="4"/>
  <c r="AW182" i="4" s="1"/>
  <c r="AR169" i="4"/>
  <c r="AN168" i="4"/>
  <c r="AP166" i="4"/>
  <c r="AQ161" i="4"/>
  <c r="AP158" i="4"/>
  <c r="AL154" i="4"/>
  <c r="AR152" i="4"/>
  <c r="AL152" i="4"/>
  <c r="AN152" i="4" s="1"/>
  <c r="AW152" i="4" s="1"/>
  <c r="AL143" i="4"/>
  <c r="AN143" i="4" s="1"/>
  <c r="AW143" i="4" s="1"/>
  <c r="AM134" i="4"/>
  <c r="AM132" i="4"/>
  <c r="AN132" i="4" s="1"/>
  <c r="AW132" i="4" s="1"/>
  <c r="AP128" i="4"/>
  <c r="AP126" i="4"/>
  <c r="AP120" i="4"/>
  <c r="AR120" i="4" s="1"/>
  <c r="AN120" i="4"/>
  <c r="AL119" i="4"/>
  <c r="AP118" i="4"/>
  <c r="AR109" i="4"/>
  <c r="AR108" i="4"/>
  <c r="AQ105" i="4"/>
  <c r="AL105" i="4"/>
  <c r="AM105" i="4"/>
  <c r="AN105" i="4" s="1"/>
  <c r="AW105" i="4" s="1"/>
  <c r="AL99" i="4"/>
  <c r="AN85" i="4"/>
  <c r="AW85" i="4" s="1"/>
  <c r="AM84" i="4"/>
  <c r="AR83" i="4"/>
  <c r="AQ82" i="4"/>
  <c r="AN81" i="4"/>
  <c r="AN74" i="4"/>
  <c r="AW74" i="4" s="1"/>
  <c r="AP73" i="4"/>
  <c r="AR73" i="4" s="1"/>
  <c r="AQ72" i="4"/>
  <c r="AL69" i="4"/>
  <c r="AM68" i="4"/>
  <c r="AM66" i="4"/>
  <c r="AQ64" i="4"/>
  <c r="AR58" i="4"/>
  <c r="AN56" i="4"/>
  <c r="AW56" i="4" s="1"/>
  <c r="AQ55" i="4"/>
  <c r="AR55" i="4" s="1"/>
  <c r="AM48" i="4"/>
  <c r="AN47" i="4"/>
  <c r="AW47" i="4" s="1"/>
  <c r="AN46" i="4"/>
  <c r="AW46" i="4" s="1"/>
  <c r="AQ44" i="4"/>
  <c r="AQ43" i="4"/>
  <c r="AM41" i="4"/>
  <c r="AQ35" i="4"/>
  <c r="AR35" i="4" s="1"/>
  <c r="AR33" i="4"/>
  <c r="AL29" i="4"/>
  <c r="AN29" i="4" s="1"/>
  <c r="AW29" i="4" s="1"/>
  <c r="AL25" i="4"/>
  <c r="AL15" i="4"/>
  <c r="AN15" i="4" s="1"/>
  <c r="AW15" i="4" s="1"/>
  <c r="AQ566" i="4"/>
  <c r="AM566" i="4"/>
  <c r="AP566" i="4"/>
  <c r="AL566" i="4"/>
  <c r="AQ592" i="4"/>
  <c r="AP592" i="4"/>
  <c r="AL592" i="4"/>
  <c r="AQ406" i="4"/>
  <c r="AP406" i="4"/>
  <c r="AQ53" i="4"/>
  <c r="AR53" i="4" s="1"/>
  <c r="AL53" i="4"/>
  <c r="AP23" i="4"/>
  <c r="AL23" i="4"/>
  <c r="AQ270" i="4"/>
  <c r="AP270" i="4"/>
  <c r="AM308" i="4"/>
  <c r="AL308" i="4"/>
  <c r="AQ324" i="4"/>
  <c r="AP324" i="4"/>
  <c r="AM324" i="4"/>
  <c r="AL324" i="4"/>
  <c r="AQ30" i="4"/>
  <c r="AP30" i="4"/>
  <c r="AM153" i="4"/>
  <c r="AL153" i="4"/>
  <c r="AQ176" i="4"/>
  <c r="AP176" i="4"/>
  <c r="AP295" i="4"/>
  <c r="AR295" i="4" s="1"/>
  <c r="AM295" i="4"/>
  <c r="AQ423" i="4"/>
  <c r="AP423" i="4"/>
  <c r="AQ451" i="4"/>
  <c r="AP451" i="4"/>
  <c r="AQ615" i="4"/>
  <c r="AP615" i="4"/>
  <c r="AM615" i="4"/>
  <c r="AL615" i="4"/>
  <c r="AQ494" i="4"/>
  <c r="AP494" i="4"/>
  <c r="AP32" i="4"/>
  <c r="AM32" i="4"/>
  <c r="AM185" i="4"/>
  <c r="AP185" i="4"/>
  <c r="AR185" i="4" s="1"/>
  <c r="AL185" i="4"/>
  <c r="AL114" i="4"/>
  <c r="AQ114" i="4"/>
  <c r="AP114" i="4"/>
  <c r="AM136" i="4"/>
  <c r="AL136" i="4"/>
  <c r="AM198" i="4"/>
  <c r="AL198" i="4"/>
  <c r="AM222" i="4"/>
  <c r="AL222" i="4"/>
  <c r="AQ236" i="4"/>
  <c r="AP236" i="4"/>
  <c r="AM349" i="4"/>
  <c r="AL349" i="4"/>
  <c r="AQ115" i="4"/>
  <c r="AP115" i="4"/>
  <c r="AR115" i="4" s="1"/>
  <c r="AL115" i="4"/>
  <c r="AN115" i="4" s="1"/>
  <c r="AW115" i="4" s="1"/>
  <c r="AM251" i="4"/>
  <c r="AL251" i="4"/>
  <c r="AQ401" i="4"/>
  <c r="AP401" i="4"/>
  <c r="AL401" i="4"/>
  <c r="AN401" i="4" s="1"/>
  <c r="AW401" i="4" s="1"/>
  <c r="AM428" i="4"/>
  <c r="AL428" i="4"/>
  <c r="AM460" i="4"/>
  <c r="AP460" i="4"/>
  <c r="AQ465" i="4"/>
  <c r="AP465" i="4"/>
  <c r="AL507" i="4"/>
  <c r="AQ507" i="4"/>
  <c r="AP507" i="4"/>
  <c r="AQ481" i="4"/>
  <c r="AP481" i="4"/>
  <c r="AL433" i="4"/>
  <c r="AQ433" i="4"/>
  <c r="AM569" i="4"/>
  <c r="AQ368" i="4"/>
  <c r="AR266" i="4"/>
  <c r="AR349" i="4"/>
  <c r="AR545" i="4"/>
  <c r="AM162" i="4"/>
  <c r="AN162" i="4" s="1"/>
  <c r="AW162" i="4" s="1"/>
  <c r="AL416" i="4"/>
  <c r="AR18" i="4"/>
  <c r="AQ239" i="4"/>
  <c r="AQ256" i="4"/>
  <c r="AQ153" i="4"/>
  <c r="AR153" i="4" s="1"/>
  <c r="AQ416" i="4"/>
  <c r="AQ252" i="4"/>
  <c r="AR252" i="4" s="1"/>
  <c r="AM236" i="4"/>
  <c r="AN236" i="4" s="1"/>
  <c r="AW236" i="4" s="1"/>
  <c r="AM364" i="4"/>
  <c r="AQ32" i="4"/>
  <c r="AP500" i="4"/>
  <c r="AR500" i="4" s="1"/>
  <c r="AL239" i="4"/>
  <c r="AR10" i="4"/>
  <c r="AP60" i="4"/>
  <c r="AR69" i="4"/>
  <c r="AP84" i="4"/>
  <c r="AR84" i="4" s="1"/>
  <c r="AP162" i="4"/>
  <c r="AR162" i="4" s="1"/>
  <c r="AR259" i="4"/>
  <c r="AP294" i="4"/>
  <c r="AR294" i="4" s="1"/>
  <c r="AQ65" i="4"/>
  <c r="AR65" i="4" s="1"/>
  <c r="AR81" i="4"/>
  <c r="AQ185" i="4"/>
  <c r="AR601" i="4"/>
  <c r="AL216" i="4"/>
  <c r="AN216" i="4" s="1"/>
  <c r="AW216" i="4" s="1"/>
  <c r="AL285" i="4"/>
  <c r="AL442" i="4"/>
  <c r="AL578" i="4"/>
  <c r="AM578" i="4"/>
  <c r="AQ586" i="4"/>
  <c r="AP586" i="4"/>
  <c r="AL600" i="4"/>
  <c r="AQ600" i="4"/>
  <c r="AP38" i="4"/>
  <c r="AM38" i="4"/>
  <c r="AL38" i="4"/>
  <c r="AM110" i="4"/>
  <c r="AL110" i="4"/>
  <c r="AQ129" i="4"/>
  <c r="AP129" i="4"/>
  <c r="AQ238" i="4"/>
  <c r="AP238" i="4"/>
  <c r="AM238" i="4"/>
  <c r="AL335" i="4"/>
  <c r="AQ335" i="4"/>
  <c r="AP335" i="4"/>
  <c r="AQ345" i="4"/>
  <c r="AP345" i="4"/>
  <c r="AN364" i="4"/>
  <c r="AW364" i="4" s="1"/>
  <c r="AL199" i="4"/>
  <c r="AQ199" i="4"/>
  <c r="AP199" i="4"/>
  <c r="AQ332" i="4"/>
  <c r="AP332" i="4"/>
  <c r="AM332" i="4"/>
  <c r="AN332" i="4" s="1"/>
  <c r="AW332" i="4" s="1"/>
  <c r="AQ410" i="4"/>
  <c r="AR410" i="4" s="1"/>
  <c r="AP410" i="4"/>
  <c r="AM421" i="4"/>
  <c r="AL421" i="4"/>
  <c r="AQ147" i="4"/>
  <c r="AP147" i="4"/>
  <c r="AM147" i="4"/>
  <c r="AN147" i="4" s="1"/>
  <c r="AW147" i="4" s="1"/>
  <c r="AM274" i="4"/>
  <c r="AN274" i="4" s="1"/>
  <c r="AW274" i="4" s="1"/>
  <c r="AQ274" i="4"/>
  <c r="AR274" i="4" s="1"/>
  <c r="AM561" i="4"/>
  <c r="AQ561" i="4"/>
  <c r="AL561" i="4"/>
  <c r="AP561" i="4"/>
  <c r="AM14" i="4"/>
  <c r="AL14" i="4"/>
  <c r="AM91" i="4"/>
  <c r="AQ91" i="4"/>
  <c r="AL91" i="4"/>
  <c r="AP91" i="4"/>
  <c r="AM172" i="4"/>
  <c r="AL172" i="4"/>
  <c r="AQ409" i="4"/>
  <c r="AP409" i="4"/>
  <c r="AM409" i="4"/>
  <c r="AL409" i="4"/>
  <c r="AQ293" i="4"/>
  <c r="AP293" i="4"/>
  <c r="AR597" i="4"/>
  <c r="AR315" i="4"/>
  <c r="AR367" i="4"/>
  <c r="AP180" i="4"/>
  <c r="AR180" i="4" s="1"/>
  <c r="AN189" i="4"/>
  <c r="AW189" i="4" s="1"/>
  <c r="AL65" i="4"/>
  <c r="AP578" i="4"/>
  <c r="AL84" i="4"/>
  <c r="AN84" i="4" s="1"/>
  <c r="AW84" i="4" s="1"/>
  <c r="AL266" i="4"/>
  <c r="AN266" i="4" s="1"/>
  <c r="AW266" i="4" s="1"/>
  <c r="AM199" i="4"/>
  <c r="AL491" i="4"/>
  <c r="AN491" i="4" s="1"/>
  <c r="AW491" i="4" s="1"/>
  <c r="AL32" i="4"/>
  <c r="AM592" i="4"/>
  <c r="AQ308" i="4"/>
  <c r="AR348" i="4"/>
  <c r="AQ578" i="4"/>
  <c r="AL238" i="4"/>
  <c r="AM335" i="4"/>
  <c r="AL30" i="4"/>
  <c r="AN30" i="4" s="1"/>
  <c r="AW30" i="4" s="1"/>
  <c r="AL295" i="4"/>
  <c r="AR544" i="4"/>
  <c r="AM325" i="4"/>
  <c r="AN325" i="4" s="1"/>
  <c r="AW325" i="4" s="1"/>
  <c r="AN95" i="4"/>
  <c r="AW95" i="4" s="1"/>
  <c r="AN635" i="4"/>
  <c r="AW635" i="4" s="1"/>
  <c r="AN396" i="4"/>
  <c r="AW396" i="4" s="1"/>
  <c r="AN606" i="4"/>
  <c r="AW606" i="4" s="1"/>
  <c r="AN650" i="4"/>
  <c r="AW650" i="4" s="1"/>
  <c r="AN399" i="4"/>
  <c r="AW399" i="4" s="1"/>
  <c r="AN179" i="4"/>
  <c r="AW179" i="4" s="1"/>
  <c r="AR485" i="4"/>
  <c r="AN533" i="4"/>
  <c r="AW533" i="4" s="1"/>
  <c r="AR668" i="4"/>
  <c r="AR397" i="4"/>
  <c r="AN321" i="4"/>
  <c r="AW321" i="4" s="1"/>
  <c r="AL66" i="4"/>
  <c r="AN66" i="4" s="1"/>
  <c r="AW66" i="4" s="1"/>
  <c r="AL146" i="4"/>
  <c r="AM291" i="4"/>
  <c r="AM412" i="4"/>
  <c r="AL390" i="4"/>
  <c r="AM465" i="4"/>
  <c r="AM481" i="4"/>
  <c r="AL528" i="4"/>
  <c r="AM283" i="4"/>
  <c r="AR275" i="4"/>
  <c r="AR623" i="4"/>
  <c r="AN27" i="4"/>
  <c r="AW27" i="4" s="1"/>
  <c r="AR650" i="4"/>
  <c r="AP603" i="4"/>
  <c r="AM135" i="4"/>
  <c r="AQ221" i="4"/>
  <c r="AM254" i="4"/>
  <c r="AQ337" i="4"/>
  <c r="AP400" i="4"/>
  <c r="AR400" i="4" s="1"/>
  <c r="AQ562" i="4"/>
  <c r="AN605" i="4"/>
  <c r="AW605" i="4" s="1"/>
  <c r="AN668" i="4"/>
  <c r="AN371" i="4"/>
  <c r="AW371" i="4" s="1"/>
  <c r="AN369" i="4"/>
  <c r="AW369" i="4" s="1"/>
  <c r="AR497" i="4"/>
  <c r="AM184" i="4"/>
  <c r="AM451" i="4"/>
  <c r="AM477" i="4"/>
  <c r="AL500" i="4"/>
  <c r="AQ26" i="4"/>
  <c r="AQ134" i="4"/>
  <c r="AP611" i="4"/>
  <c r="AR611" i="4" s="1"/>
  <c r="AP374" i="4"/>
  <c r="AQ307" i="4"/>
  <c r="AP325" i="4"/>
  <c r="AQ469" i="4"/>
  <c r="AR469" i="4" s="1"/>
  <c r="AP262" i="4"/>
  <c r="AQ482" i="4"/>
  <c r="AL41" i="4"/>
  <c r="AL526" i="4"/>
  <c r="AL482" i="4"/>
  <c r="AN434" i="4"/>
  <c r="AW434" i="4" s="1"/>
  <c r="AR576" i="4"/>
  <c r="AN204" i="4"/>
  <c r="AQ374" i="4"/>
  <c r="AP515" i="4"/>
  <c r="AP554" i="4"/>
  <c r="AR554" i="4" s="1"/>
  <c r="AP543" i="4"/>
  <c r="AR543" i="4" s="1"/>
  <c r="AL469" i="4"/>
  <c r="AN469" i="4" s="1"/>
  <c r="AL515" i="4"/>
  <c r="AN515" i="4" s="1"/>
  <c r="AW515" i="4" s="1"/>
  <c r="AL568" i="4"/>
  <c r="AN568" i="4" s="1"/>
  <c r="AL298" i="4"/>
  <c r="AP598" i="4"/>
  <c r="AR598" i="4" s="1"/>
  <c r="AR646" i="4"/>
  <c r="AN657" i="4"/>
  <c r="AW657" i="4" s="1"/>
  <c r="AP64" i="4"/>
  <c r="AR64" i="4" s="1"/>
  <c r="AR490" i="4"/>
  <c r="AQ515" i="4"/>
  <c r="AQ543" i="4"/>
  <c r="AL374" i="4"/>
  <c r="AR113" i="4"/>
  <c r="AP106" i="4"/>
  <c r="AL276" i="4"/>
  <c r="AN276" i="4" s="1"/>
  <c r="AW276" i="4" s="1"/>
  <c r="AM343" i="4"/>
  <c r="AN343" i="4" s="1"/>
  <c r="AW343" i="4" s="1"/>
  <c r="AQ436" i="4"/>
  <c r="AQ440" i="4"/>
  <c r="AQ511" i="4"/>
  <c r="AQ273" i="4"/>
  <c r="AR591" i="4"/>
  <c r="AN470" i="4"/>
  <c r="AW470" i="4" s="1"/>
  <c r="AN125" i="4"/>
  <c r="AN595" i="4"/>
  <c r="AW595" i="4" s="1"/>
  <c r="AR346" i="4"/>
  <c r="AR351" i="4"/>
  <c r="AL35" i="4"/>
  <c r="AM315" i="4"/>
  <c r="AM64" i="4"/>
  <c r="AN64" i="4" s="1"/>
  <c r="AW64" i="4" s="1"/>
  <c r="AL195" i="4"/>
  <c r="AL378" i="4"/>
  <c r="AM420" i="4"/>
  <c r="AP437" i="4"/>
  <c r="AM453" i="4"/>
  <c r="AP463" i="4"/>
  <c r="AR463" i="4" s="1"/>
  <c r="AL382" i="4"/>
  <c r="AN382" i="4" s="1"/>
  <c r="AW382" i="4" s="1"/>
  <c r="AL521" i="4"/>
  <c r="AL262" i="4"/>
  <c r="AR594" i="4"/>
  <c r="AN629" i="4"/>
  <c r="AW629" i="4" s="1"/>
  <c r="AR484" i="4"/>
  <c r="AN564" i="4"/>
  <c r="AW564" i="4" s="1"/>
  <c r="AN174" i="4"/>
  <c r="AW174" i="4" s="1"/>
  <c r="AN669" i="4"/>
  <c r="AR667" i="4"/>
  <c r="AR399" i="4"/>
  <c r="AR303" i="4"/>
  <c r="AR174" i="4"/>
  <c r="AR660" i="4"/>
  <c r="AR659" i="4"/>
  <c r="AR658" i="4"/>
  <c r="AR656" i="4"/>
  <c r="AN403" i="4"/>
  <c r="AW403" i="4" s="1"/>
  <c r="AN652" i="4"/>
  <c r="AW652" i="4" s="1"/>
  <c r="AR607" i="4"/>
  <c r="AN649" i="4"/>
  <c r="AW649" i="4" s="1"/>
  <c r="AR486" i="4"/>
  <c r="AN576" i="4"/>
  <c r="AW576" i="4" s="1"/>
  <c r="AR642" i="4"/>
  <c r="AR641" i="4"/>
  <c r="AN631" i="4"/>
  <c r="AW631" i="4" s="1"/>
  <c r="AR633" i="4"/>
  <c r="AR630" i="4"/>
  <c r="AR626" i="4"/>
  <c r="AR625" i="4"/>
  <c r="AR430" i="4"/>
  <c r="AR621" i="4"/>
  <c r="AR620" i="4"/>
  <c r="AR616" i="4"/>
  <c r="AR310" i="4"/>
  <c r="AR584" i="4"/>
  <c r="AM600" i="4"/>
  <c r="AM483" i="4"/>
  <c r="AM180" i="4"/>
  <c r="AM597" i="4"/>
  <c r="AP596" i="4"/>
  <c r="AM589" i="4"/>
  <c r="AM580" i="4"/>
  <c r="AM252" i="4"/>
  <c r="AL151" i="4"/>
  <c r="AM526" i="4"/>
  <c r="AM581" i="4"/>
  <c r="AM113" i="4"/>
  <c r="AN113" i="4" s="1"/>
  <c r="AW113" i="4" s="1"/>
  <c r="AP570" i="4"/>
  <c r="AR570" i="4" s="1"/>
  <c r="AP569" i="4"/>
  <c r="AQ569" i="4"/>
  <c r="AL569" i="4"/>
  <c r="AM297" i="4"/>
  <c r="AQ563" i="4"/>
  <c r="AP562" i="4"/>
  <c r="AR562" i="4" s="1"/>
  <c r="AM562" i="4"/>
  <c r="AQ200" i="4"/>
  <c r="AP446" i="4"/>
  <c r="AM613" i="4"/>
  <c r="AP613" i="4"/>
  <c r="AR613" i="4" s="1"/>
  <c r="AM557" i="4"/>
  <c r="AM554" i="4"/>
  <c r="AN554" i="4" s="1"/>
  <c r="AW554" i="4" s="1"/>
  <c r="AL553" i="4"/>
  <c r="AN553" i="4" s="1"/>
  <c r="AW553" i="4" s="1"/>
  <c r="AM547" i="4"/>
  <c r="AN547" i="4" s="1"/>
  <c r="AW547" i="4" s="1"/>
  <c r="AP546" i="4"/>
  <c r="AR546" i="4" s="1"/>
  <c r="AL544" i="4"/>
  <c r="AN544" i="4" s="1"/>
  <c r="AW544" i="4" s="1"/>
  <c r="AL134" i="4"/>
  <c r="AP134" i="4"/>
  <c r="AQ536" i="4"/>
  <c r="AM532" i="4"/>
  <c r="AP525" i="4"/>
  <c r="AR525" i="4" s="1"/>
  <c r="AR522" i="4"/>
  <c r="AM522" i="4"/>
  <c r="AM149" i="4"/>
  <c r="AL512" i="4"/>
  <c r="AP524" i="4"/>
  <c r="AR524" i="4" s="1"/>
  <c r="AN524" i="4"/>
  <c r="AW524" i="4" s="1"/>
  <c r="AQ444" i="4"/>
  <c r="AL202" i="4"/>
  <c r="AP511" i="4"/>
  <c r="AM511" i="4"/>
  <c r="AQ508" i="4"/>
  <c r="AQ506" i="4"/>
  <c r="AL479" i="4"/>
  <c r="AM505" i="4"/>
  <c r="AN497" i="4"/>
  <c r="AW497" i="4" s="1"/>
  <c r="AL493" i="4"/>
  <c r="AM492" i="4"/>
  <c r="AP382" i="4"/>
  <c r="AR330" i="4"/>
  <c r="AL489" i="4"/>
  <c r="AL283" i="4"/>
  <c r="AQ468" i="4"/>
  <c r="AR468" i="4" s="1"/>
  <c r="AL467" i="4"/>
  <c r="AR466" i="4"/>
  <c r="AM466" i="4"/>
  <c r="AQ464" i="4"/>
  <c r="AL463" i="4"/>
  <c r="AM462" i="4"/>
  <c r="AM438" i="4"/>
  <c r="AL394" i="4"/>
  <c r="AQ460" i="4"/>
  <c r="AR460" i="4" s="1"/>
  <c r="AL460" i="4"/>
  <c r="AL443" i="4"/>
  <c r="AM142" i="4"/>
  <c r="AQ459" i="4"/>
  <c r="AR457" i="4"/>
  <c r="AL454" i="4"/>
  <c r="AQ449" i="4"/>
  <c r="AL448" i="4"/>
  <c r="AM391" i="4"/>
  <c r="AP439" i="4"/>
  <c r="AR439" i="4" s="1"/>
  <c r="AL437" i="4"/>
  <c r="AM37" i="4"/>
  <c r="AM435" i="4"/>
  <c r="AL427" i="4"/>
  <c r="AM9" i="4"/>
  <c r="AM426" i="4"/>
  <c r="AL422" i="4"/>
  <c r="AM389" i="4"/>
  <c r="AN389" i="4" s="1"/>
  <c r="AW389" i="4" s="1"/>
  <c r="AQ144" i="4"/>
  <c r="AQ420" i="4"/>
  <c r="AQ419" i="4"/>
  <c r="AL418" i="4"/>
  <c r="AQ414" i="4"/>
  <c r="AL232" i="4"/>
  <c r="AP16" i="4"/>
  <c r="AM220" i="4"/>
  <c r="AP413" i="4"/>
  <c r="AQ413" i="4"/>
  <c r="AL413" i="4"/>
  <c r="AM121" i="4"/>
  <c r="AM408" i="4"/>
  <c r="AL22" i="4"/>
  <c r="AM388" i="4"/>
  <c r="AQ219" i="4"/>
  <c r="AR219" i="4" s="1"/>
  <c r="AL328" i="4"/>
  <c r="AM384" i="4"/>
  <c r="AQ378" i="4"/>
  <c r="AQ50" i="4"/>
  <c r="AR50" i="4" s="1"/>
  <c r="AM376" i="4"/>
  <c r="AP193" i="4"/>
  <c r="AR193" i="4" s="1"/>
  <c r="AM193" i="4"/>
  <c r="AP352" i="4"/>
  <c r="AR352" i="4" s="1"/>
  <c r="AN351" i="4"/>
  <c r="AW351" i="4" s="1"/>
  <c r="AM313" i="4"/>
  <c r="AN313" i="4" s="1"/>
  <c r="AL534" i="4"/>
  <c r="AN534" i="4" s="1"/>
  <c r="AW534" i="4" s="1"/>
  <c r="AM373" i="4"/>
  <c r="AR281" i="4"/>
  <c r="AL612" i="4"/>
  <c r="AN612" i="4" s="1"/>
  <c r="AM436" i="4"/>
  <c r="AR265" i="4"/>
  <c r="AQ245" i="4"/>
  <c r="AM244" i="4"/>
  <c r="AM237" i="4"/>
  <c r="AP369" i="4"/>
  <c r="AM215" i="4"/>
  <c r="AM207" i="4"/>
  <c r="AM176" i="4"/>
  <c r="AM173" i="4"/>
  <c r="AM159" i="4"/>
  <c r="AR158" i="4"/>
  <c r="AM158" i="4"/>
  <c r="AQ130" i="4"/>
  <c r="AR130" i="4" s="1"/>
  <c r="AM611" i="4"/>
  <c r="AM610" i="4"/>
  <c r="AN610" i="4" s="1"/>
  <c r="AQ609" i="4"/>
  <c r="AQ104" i="4"/>
  <c r="AR104" i="4" s="1"/>
  <c r="AM101" i="4"/>
  <c r="AM93" i="4"/>
  <c r="AM72" i="4"/>
  <c r="AL72" i="4"/>
  <c r="AP72" i="4"/>
  <c r="AR72" i="4" s="1"/>
  <c r="AM363" i="4"/>
  <c r="AM362" i="4"/>
  <c r="AM57" i="4"/>
  <c r="AP55" i="4"/>
  <c r="AM55" i="4"/>
  <c r="AQ39" i="4"/>
  <c r="AR39" i="4" s="1"/>
  <c r="AM36" i="4"/>
  <c r="AM358" i="4"/>
  <c r="AN358" i="4" s="1"/>
  <c r="AW358" i="4" s="1"/>
  <c r="AM357" i="4"/>
  <c r="AP356" i="4"/>
  <c r="AR356" i="4" s="1"/>
  <c r="AM355" i="4"/>
  <c r="AM346" i="4"/>
  <c r="AM345" i="4"/>
  <c r="AM344" i="4"/>
  <c r="AP341" i="4"/>
  <c r="AQ404" i="4"/>
  <c r="AR404" i="4" s="1"/>
  <c r="AM338" i="4"/>
  <c r="AP337" i="4"/>
  <c r="AM337" i="4"/>
  <c r="AQ336" i="4"/>
  <c r="AR333" i="4"/>
  <c r="AR327" i="4"/>
  <c r="AM326" i="4"/>
  <c r="AL315" i="4"/>
  <c r="AL311" i="4"/>
  <c r="AN311" i="4" s="1"/>
  <c r="AW311" i="4" s="1"/>
  <c r="AP306" i="4"/>
  <c r="AM293" i="4"/>
  <c r="AM292" i="4"/>
  <c r="AM279" i="4"/>
  <c r="AL278" i="4"/>
  <c r="AN278" i="4" s="1"/>
  <c r="AW278" i="4" s="1"/>
  <c r="AM269" i="4"/>
  <c r="AQ257" i="4"/>
  <c r="AL256" i="4"/>
  <c r="AP254" i="4"/>
  <c r="AQ254" i="4"/>
  <c r="AL254" i="4"/>
  <c r="AM248" i="4"/>
  <c r="AM243" i="4"/>
  <c r="AM230" i="4"/>
  <c r="AL229" i="4"/>
  <c r="AN229" i="4" s="1"/>
  <c r="AW229" i="4" s="1"/>
  <c r="AP221" i="4"/>
  <c r="AM217" i="4"/>
  <c r="AL197" i="4"/>
  <c r="AM186" i="4"/>
  <c r="AM167" i="4"/>
  <c r="AP161" i="4"/>
  <c r="AL156" i="4"/>
  <c r="AM154" i="4"/>
  <c r="AQ135" i="4"/>
  <c r="AR135" i="4" s="1"/>
  <c r="AL135" i="4"/>
  <c r="AM131" i="4"/>
  <c r="AM129" i="4"/>
  <c r="AN129" i="4" s="1"/>
  <c r="AW129" i="4" s="1"/>
  <c r="AM114" i="4"/>
  <c r="AL103" i="4"/>
  <c r="AM100" i="4"/>
  <c r="AQ99" i="4"/>
  <c r="AR99" i="4" s="1"/>
  <c r="AM99" i="4"/>
  <c r="AN99" i="4" s="1"/>
  <c r="AW99" i="4" s="1"/>
  <c r="AR88" i="4"/>
  <c r="AM88" i="4"/>
  <c r="AN88" i="4" s="1"/>
  <c r="AW88" i="4" s="1"/>
  <c r="AP82" i="4"/>
  <c r="AL76" i="4"/>
  <c r="AM75" i="4"/>
  <c r="AM71" i="4"/>
  <c r="AN71" i="4" s="1"/>
  <c r="AW71" i="4" s="1"/>
  <c r="AM61" i="4"/>
  <c r="AN61" i="4" s="1"/>
  <c r="AW61" i="4" s="1"/>
  <c r="AL44" i="4"/>
  <c r="AM43" i="4"/>
  <c r="AP43" i="4"/>
  <c r="AM42" i="4"/>
  <c r="AN42" i="4" s="1"/>
  <c r="AW42" i="4" s="1"/>
  <c r="AR25" i="4"/>
  <c r="AM25" i="4"/>
  <c r="AN25" i="4" s="1"/>
  <c r="AL12" i="4"/>
  <c r="AN12" i="4" s="1"/>
  <c r="AW12" i="4" s="1"/>
  <c r="AM10" i="4"/>
  <c r="AN961" i="4"/>
  <c r="AN999" i="4"/>
  <c r="AN310" i="4"/>
  <c r="AW310" i="4" s="1"/>
  <c r="AR935" i="4"/>
  <c r="AN708" i="4"/>
  <c r="AN694" i="4"/>
  <c r="AR957" i="4"/>
  <c r="AR973" i="4"/>
  <c r="AR403" i="4"/>
  <c r="AN903" i="4"/>
  <c r="AR754" i="4"/>
  <c r="AR634" i="4"/>
  <c r="AR396" i="4"/>
  <c r="AR850" i="4"/>
  <c r="AR712" i="4"/>
  <c r="AR649" i="4"/>
  <c r="AR673" i="4"/>
  <c r="AR829" i="4"/>
  <c r="AR732" i="4"/>
  <c r="AR887" i="4"/>
  <c r="AR723" i="4"/>
  <c r="AN723" i="4"/>
  <c r="AN940" i="4"/>
  <c r="AR802" i="4"/>
  <c r="AN818" i="4"/>
  <c r="AN647" i="4"/>
  <c r="AW647" i="4" s="1"/>
  <c r="AR749" i="4"/>
  <c r="AR533" i="4"/>
  <c r="AR877" i="4"/>
  <c r="AR832" i="4"/>
  <c r="AR950" i="4"/>
  <c r="AR876" i="4"/>
  <c r="AN812" i="4"/>
  <c r="AR470" i="4"/>
  <c r="AR845" i="4"/>
  <c r="AN832" i="4"/>
  <c r="AN950" i="4"/>
  <c r="AR807" i="4"/>
  <c r="AR841" i="4"/>
  <c r="AR864" i="4"/>
  <c r="AN855" i="4"/>
  <c r="AN698" i="4"/>
  <c r="AN736" i="4"/>
  <c r="AN690" i="4"/>
  <c r="AR721" i="4"/>
  <c r="AN951" i="4"/>
  <c r="AR854" i="4"/>
  <c r="AR965" i="4"/>
  <c r="AR976" i="4"/>
  <c r="AR731" i="4"/>
  <c r="AN721" i="4"/>
  <c r="AR725" i="4"/>
  <c r="AN747" i="4"/>
  <c r="AR806" i="4"/>
  <c r="AR694" i="4"/>
  <c r="AR701" i="4"/>
  <c r="AN976" i="4"/>
  <c r="AR679" i="4"/>
  <c r="AN773" i="4"/>
  <c r="AR622" i="4"/>
  <c r="AR756" i="4"/>
  <c r="AN679" i="4"/>
  <c r="AR27" i="4"/>
  <c r="AR980" i="4"/>
  <c r="AN944" i="4"/>
  <c r="AR760" i="4"/>
  <c r="AN641" i="4"/>
  <c r="AR727" i="4"/>
  <c r="AR821" i="4"/>
  <c r="AR942" i="4"/>
  <c r="AR647" i="4"/>
  <c r="AR662" i="4"/>
  <c r="AR768" i="4"/>
  <c r="AR757" i="4"/>
  <c r="AN846" i="4"/>
  <c r="AR776" i="4"/>
  <c r="AN968" i="4"/>
  <c r="AR688" i="4"/>
  <c r="AR780" i="4"/>
  <c r="AR839" i="4"/>
  <c r="AN639" i="4"/>
  <c r="AN991" i="4"/>
  <c r="AR614" i="4"/>
  <c r="AR168" i="4"/>
  <c r="AN688" i="4"/>
  <c r="AR868" i="4"/>
  <c r="AR663" i="4"/>
  <c r="AR994" i="4"/>
  <c r="AR835" i="4"/>
  <c r="AR728" i="4"/>
  <c r="AR677" i="4"/>
  <c r="AR865" i="4"/>
  <c r="AR946" i="4"/>
  <c r="AR964" i="4"/>
  <c r="AR979" i="4"/>
  <c r="AR665" i="4"/>
  <c r="AR648" i="4"/>
  <c r="AR89" i="4"/>
  <c r="AN880" i="4"/>
  <c r="AR828" i="4"/>
  <c r="AR710" i="4"/>
  <c r="AN899" i="4"/>
  <c r="AN710" i="4"/>
  <c r="AN665" i="4"/>
  <c r="AR631" i="4"/>
  <c r="AR929" i="4"/>
  <c r="AN931" i="4"/>
  <c r="AR928" i="4"/>
  <c r="AR629" i="4"/>
  <c r="AR683" i="4"/>
  <c r="AR787" i="4"/>
  <c r="AQ155" i="4"/>
  <c r="AM155" i="4"/>
  <c r="AQ224" i="4"/>
  <c r="AM224" i="4"/>
  <c r="AM227" i="4"/>
  <c r="AQ227" i="4"/>
  <c r="AR227" i="4" s="1"/>
  <c r="AQ381" i="4"/>
  <c r="AM381" i="4"/>
  <c r="AQ387" i="4"/>
  <c r="AR387" i="4" s="1"/>
  <c r="AM387" i="4"/>
  <c r="AM94" i="4"/>
  <c r="AQ94" i="4"/>
  <c r="AP94" i="4"/>
  <c r="AP52" i="4"/>
  <c r="AM52" i="4"/>
  <c r="AM450" i="4"/>
  <c r="AQ450" i="4"/>
  <c r="AP450" i="4"/>
  <c r="AM148" i="4"/>
  <c r="AQ148" i="4"/>
  <c r="AR148" i="4" s="1"/>
  <c r="AQ246" i="4"/>
  <c r="AP246" i="4"/>
  <c r="AQ473" i="4"/>
  <c r="AR473" i="4" s="1"/>
  <c r="AM473" i="4"/>
  <c r="AM117" i="4"/>
  <c r="AQ117" i="4"/>
  <c r="AP504" i="4"/>
  <c r="AR504" i="4" s="1"/>
  <c r="AM504" i="4"/>
  <c r="AQ510" i="4"/>
  <c r="AM510" i="4"/>
  <c r="AP510" i="4"/>
  <c r="AM383" i="4"/>
  <c r="AQ383" i="4"/>
  <c r="AP383" i="4"/>
  <c r="AM499" i="4"/>
  <c r="AQ499" i="4"/>
  <c r="AP499" i="4"/>
  <c r="AQ445" i="4"/>
  <c r="AM445" i="4"/>
  <c r="AP445" i="4"/>
  <c r="AM474" i="4"/>
  <c r="AQ474" i="4"/>
  <c r="AP474" i="4"/>
  <c r="AM552" i="4"/>
  <c r="AQ552" i="4"/>
  <c r="AP552" i="4"/>
  <c r="AQ150" i="4"/>
  <c r="AM150" i="4"/>
  <c r="AP150" i="4"/>
  <c r="AQ296" i="4"/>
  <c r="AP296" i="4"/>
  <c r="AQ572" i="4"/>
  <c r="AP572" i="4"/>
  <c r="AQ579" i="4"/>
  <c r="AP579" i="4"/>
  <c r="AQ284" i="4"/>
  <c r="AP284" i="4"/>
  <c r="AM28" i="4"/>
  <c r="AL28" i="4"/>
  <c r="AM63" i="4"/>
  <c r="AL63" i="4"/>
  <c r="AM90" i="4"/>
  <c r="AL90" i="4"/>
  <c r="AM118" i="4"/>
  <c r="AL118" i="4"/>
  <c r="AR201" i="4"/>
  <c r="AM352" i="4"/>
  <c r="AM144" i="4"/>
  <c r="AQ178" i="4"/>
  <c r="AP178" i="4"/>
  <c r="AQ496" i="4"/>
  <c r="AP496" i="4"/>
  <c r="AQ587" i="4"/>
  <c r="AP587" i="4"/>
  <c r="AL588" i="4"/>
  <c r="AQ588" i="4"/>
  <c r="AP588" i="4"/>
  <c r="AM618" i="4"/>
  <c r="AP618" i="4"/>
  <c r="AR618" i="4" s="1"/>
  <c r="AQ402" i="4"/>
  <c r="AP402" i="4"/>
  <c r="AL599" i="4"/>
  <c r="AQ599" i="4"/>
  <c r="AP599" i="4"/>
  <c r="AM599" i="4"/>
  <c r="AL603" i="4"/>
  <c r="AQ603" i="4"/>
  <c r="AR603" i="4" s="1"/>
  <c r="AM18" i="4"/>
  <c r="AL18" i="4"/>
  <c r="AM54" i="4"/>
  <c r="AL54" i="4"/>
  <c r="AM82" i="4"/>
  <c r="AL82" i="4"/>
  <c r="AM108" i="4"/>
  <c r="AL108" i="4"/>
  <c r="AM138" i="4"/>
  <c r="AL138" i="4"/>
  <c r="AM161" i="4"/>
  <c r="AL161" i="4"/>
  <c r="AM192" i="4"/>
  <c r="AL192" i="4"/>
  <c r="AM208" i="4"/>
  <c r="AL208" i="4"/>
  <c r="AM225" i="4"/>
  <c r="AL225" i="4"/>
  <c r="AM253" i="4"/>
  <c r="AL253" i="4"/>
  <c r="AM264" i="4"/>
  <c r="AL264" i="4"/>
  <c r="AM273" i="4"/>
  <c r="AL273" i="4"/>
  <c r="AM306" i="4"/>
  <c r="AL306" i="4"/>
  <c r="AM317" i="4"/>
  <c r="AL317" i="4"/>
  <c r="AM333" i="4"/>
  <c r="AL333" i="4"/>
  <c r="AM353" i="4"/>
  <c r="AL353" i="4"/>
  <c r="AM26" i="4"/>
  <c r="AL26" i="4"/>
  <c r="AM45" i="4"/>
  <c r="AL45" i="4"/>
  <c r="AM80" i="4"/>
  <c r="AL80" i="4"/>
  <c r="AR238" i="4"/>
  <c r="AP357" i="4"/>
  <c r="AR357" i="4" s="1"/>
  <c r="AQ48" i="4"/>
  <c r="AR48" i="4" s="1"/>
  <c r="AP609" i="4"/>
  <c r="AR609" i="4" s="1"/>
  <c r="AP173" i="4"/>
  <c r="AR173" i="4" s="1"/>
  <c r="AR328" i="4"/>
  <c r="AR423" i="4"/>
  <c r="AQ52" i="4"/>
  <c r="AP438" i="4"/>
  <c r="AR438" i="4" s="1"/>
  <c r="AR465" i="4"/>
  <c r="AR549" i="4"/>
  <c r="AQ557" i="4"/>
  <c r="AR557" i="4" s="1"/>
  <c r="AR592" i="4"/>
  <c r="AM35" i="4"/>
  <c r="AN35" i="4" s="1"/>
  <c r="AW35" i="4" s="1"/>
  <c r="AM103" i="4"/>
  <c r="AM609" i="4"/>
  <c r="AR270" i="4"/>
  <c r="AR573" i="4"/>
  <c r="AR612" i="4"/>
  <c r="AP220" i="4"/>
  <c r="AP144" i="4"/>
  <c r="AR458" i="4"/>
  <c r="AR171" i="4"/>
  <c r="AM76" i="4"/>
  <c r="AM123" i="4"/>
  <c r="AN123" i="4" s="1"/>
  <c r="AM246" i="4"/>
  <c r="AR13" i="4"/>
  <c r="AR57" i="4"/>
  <c r="AP93" i="4"/>
  <c r="AP224" i="4"/>
  <c r="AR261" i="4"/>
  <c r="AP373" i="4"/>
  <c r="AQ220" i="4"/>
  <c r="AP435" i="4"/>
  <c r="AP459" i="4"/>
  <c r="AR459" i="4" s="1"/>
  <c r="AP117" i="4"/>
  <c r="AP149" i="4"/>
  <c r="AR76" i="4"/>
  <c r="AR279" i="4"/>
  <c r="AR329" i="4"/>
  <c r="AQ93" i="4"/>
  <c r="AR93" i="4" s="1"/>
  <c r="AP155" i="4"/>
  <c r="AQ373" i="4"/>
  <c r="AQ435" i="4"/>
  <c r="AR456" i="4"/>
  <c r="AR518" i="4"/>
  <c r="AQ149" i="4"/>
  <c r="AM44" i="4"/>
  <c r="AN44" i="4" s="1"/>
  <c r="AW44" i="4" s="1"/>
  <c r="AR87" i="4"/>
  <c r="AP362" i="4"/>
  <c r="AP381" i="4"/>
  <c r="AR385" i="4"/>
  <c r="AP408" i="4"/>
  <c r="AR408" i="4" s="1"/>
  <c r="AR422" i="4"/>
  <c r="AR452" i="4"/>
  <c r="AN261" i="4"/>
  <c r="AW261" i="4" s="1"/>
  <c r="AN385" i="4"/>
  <c r="AW385" i="4" s="1"/>
  <c r="AN136" i="4"/>
  <c r="AW136" i="4" s="1"/>
  <c r="AL217" i="4"/>
  <c r="AL269" i="4"/>
  <c r="AL326" i="4"/>
  <c r="AN326" i="4" s="1"/>
  <c r="AW326" i="4" s="1"/>
  <c r="AL337" i="4"/>
  <c r="AL101" i="4"/>
  <c r="AN101" i="4" s="1"/>
  <c r="AW101" i="4" s="1"/>
  <c r="AM164" i="4"/>
  <c r="AN164" i="4" s="1"/>
  <c r="AW164" i="4" s="1"/>
  <c r="AL215" i="4"/>
  <c r="AN215" i="4" s="1"/>
  <c r="AW215" i="4" s="1"/>
  <c r="AL193" i="4"/>
  <c r="AM475" i="4"/>
  <c r="AN475" i="4" s="1"/>
  <c r="AL523" i="4"/>
  <c r="AN523" i="4" s="1"/>
  <c r="AW523" i="4" s="1"/>
  <c r="AL466" i="4"/>
  <c r="AL480" i="4"/>
  <c r="AN480" i="4" s="1"/>
  <c r="AW480" i="4" s="1"/>
  <c r="AL481" i="4"/>
  <c r="AN481" i="4" s="1"/>
  <c r="AW481" i="4" s="1"/>
  <c r="AR444" i="4"/>
  <c r="AL36" i="4"/>
  <c r="AL55" i="4"/>
  <c r="AN55" i="4" s="1"/>
  <c r="AW55" i="4" s="1"/>
  <c r="AL611" i="4"/>
  <c r="AL158" i="4"/>
  <c r="AN158" i="4" s="1"/>
  <c r="AW158" i="4" s="1"/>
  <c r="AL237" i="4"/>
  <c r="AN237" i="4" s="1"/>
  <c r="AW237" i="4" s="1"/>
  <c r="AL291" i="4"/>
  <c r="AN291" i="4" s="1"/>
  <c r="AW291" i="4" s="1"/>
  <c r="AL384" i="4"/>
  <c r="AL412" i="4"/>
  <c r="AL9" i="4"/>
  <c r="AL453" i="4"/>
  <c r="AM319" i="4"/>
  <c r="AN319" i="4" s="1"/>
  <c r="AL124" i="4"/>
  <c r="AN124" i="4" s="1"/>
  <c r="AL540" i="4"/>
  <c r="AN540" i="4" s="1"/>
  <c r="AW540" i="4" s="1"/>
  <c r="AM262" i="4"/>
  <c r="AL252" i="4"/>
  <c r="AL580" i="4"/>
  <c r="AN580" i="4" s="1"/>
  <c r="AW580" i="4" s="1"/>
  <c r="AL483" i="4"/>
  <c r="AR574" i="4"/>
  <c r="AR372" i="4"/>
  <c r="AQ347" i="4"/>
  <c r="AR347" i="4" s="1"/>
  <c r="AQ412" i="4"/>
  <c r="AR412" i="4" s="1"/>
  <c r="AP449" i="4"/>
  <c r="AQ394" i="4"/>
  <c r="AR394" i="4" s="1"/>
  <c r="AQ502" i="4"/>
  <c r="AR502" i="4" s="1"/>
  <c r="AP521" i="4"/>
  <c r="AR521" i="4" s="1"/>
  <c r="AP536" i="4"/>
  <c r="AR536" i="4" s="1"/>
  <c r="AP550" i="4"/>
  <c r="AR550" i="4" s="1"/>
  <c r="AP563" i="4"/>
  <c r="AL167" i="4"/>
  <c r="AL184" i="4"/>
  <c r="AN184" i="4" s="1"/>
  <c r="AW184" i="4" s="1"/>
  <c r="AL230" i="4"/>
  <c r="AL243" i="4"/>
  <c r="AL279" i="4"/>
  <c r="AL292" i="4"/>
  <c r="AL338" i="4"/>
  <c r="AL345" i="4"/>
  <c r="AN345" i="4" s="1"/>
  <c r="AW345" i="4" s="1"/>
  <c r="AM195" i="4"/>
  <c r="AL376" i="4"/>
  <c r="AL388" i="4"/>
  <c r="AL477" i="4"/>
  <c r="AM528" i="4"/>
  <c r="AN528" i="4" s="1"/>
  <c r="AW528" i="4" s="1"/>
  <c r="AP464" i="4"/>
  <c r="AR464" i="4" s="1"/>
  <c r="AP506" i="4"/>
  <c r="AL10" i="4"/>
  <c r="AL43" i="4"/>
  <c r="AL75" i="4"/>
  <c r="AN75" i="4" s="1"/>
  <c r="AW75" i="4" s="1"/>
  <c r="AL100" i="4"/>
  <c r="AL131" i="4"/>
  <c r="AL57" i="4"/>
  <c r="AL363" i="4"/>
  <c r="AL159" i="4"/>
  <c r="AL244" i="4"/>
  <c r="AL436" i="4"/>
  <c r="AL347" i="4"/>
  <c r="AN347" i="4" s="1"/>
  <c r="AW347" i="4" s="1"/>
  <c r="AL420" i="4"/>
  <c r="AL37" i="4"/>
  <c r="AL391" i="4"/>
  <c r="AM141" i="4"/>
  <c r="AN141" i="4" s="1"/>
  <c r="AW141" i="4" s="1"/>
  <c r="AL492" i="4"/>
  <c r="AL505" i="4"/>
  <c r="AN505" i="4" s="1"/>
  <c r="AQ291" i="4"/>
  <c r="AR291" i="4" s="1"/>
  <c r="AR307" i="4"/>
  <c r="AP51" i="4"/>
  <c r="AR51" i="4" s="1"/>
  <c r="AQ141" i="4"/>
  <c r="AR141" i="4" s="1"/>
  <c r="AQ382" i="4"/>
  <c r="AP319" i="4"/>
  <c r="AR319" i="4" s="1"/>
  <c r="AP528" i="4"/>
  <c r="AR528" i="4" s="1"/>
  <c r="AR556" i="4"/>
  <c r="AP200" i="4"/>
  <c r="AL186" i="4"/>
  <c r="AL248" i="4"/>
  <c r="AL293" i="4"/>
  <c r="AN293" i="4" s="1"/>
  <c r="AW293" i="4" s="1"/>
  <c r="AL346" i="4"/>
  <c r="AL355" i="4"/>
  <c r="AN366" i="4"/>
  <c r="AW366" i="4" s="1"/>
  <c r="AL176" i="4"/>
  <c r="AL218" i="4"/>
  <c r="AN218" i="4" s="1"/>
  <c r="AW218" i="4" s="1"/>
  <c r="AL121" i="4"/>
  <c r="AL51" i="4"/>
  <c r="AN51" i="4" s="1"/>
  <c r="AW51" i="4" s="1"/>
  <c r="AL451" i="4"/>
  <c r="AL465" i="4"/>
  <c r="AN465" i="4" s="1"/>
  <c r="AW465" i="4" s="1"/>
  <c r="AL511" i="4"/>
  <c r="AL522" i="4"/>
  <c r="AL589" i="4"/>
  <c r="AL180" i="4"/>
  <c r="AN180" i="4" s="1"/>
  <c r="AW180" i="4" s="1"/>
  <c r="AM296" i="4"/>
  <c r="AL406" i="4"/>
  <c r="AM53" i="4"/>
  <c r="AM146" i="4"/>
  <c r="AM512" i="4"/>
  <c r="AN512" i="4" s="1"/>
  <c r="AW512" i="4" s="1"/>
  <c r="AM500" i="4"/>
  <c r="AL532" i="4"/>
  <c r="AR232" i="4"/>
  <c r="AR390" i="4"/>
  <c r="AR505" i="4"/>
  <c r="AR514" i="4"/>
  <c r="AR542" i="4"/>
  <c r="AR151" i="4"/>
  <c r="AR593" i="4"/>
  <c r="AM119" i="4"/>
  <c r="AN119" i="4" s="1"/>
  <c r="AW119" i="4" s="1"/>
  <c r="AM378" i="4"/>
  <c r="AN378" i="4" s="1"/>
  <c r="AW378" i="4" s="1"/>
  <c r="AM415" i="4"/>
  <c r="AN415" i="4" s="1"/>
  <c r="AW415" i="4" s="1"/>
  <c r="AM390" i="4"/>
  <c r="AN390" i="4" s="1"/>
  <c r="AW390" i="4" s="1"/>
  <c r="AM394" i="4"/>
  <c r="AM502" i="4"/>
  <c r="AM521" i="4"/>
  <c r="AM550" i="4"/>
  <c r="AN550" i="4" s="1"/>
  <c r="AW550" i="4" s="1"/>
  <c r="AM406" i="4"/>
  <c r="AM603" i="4"/>
  <c r="AN603" i="4" s="1"/>
  <c r="AQ194" i="4"/>
  <c r="AP214" i="4"/>
  <c r="AM241" i="4"/>
  <c r="AL277" i="4"/>
  <c r="AL290" i="4"/>
  <c r="AL309" i="4"/>
  <c r="AL322" i="4"/>
  <c r="AL336" i="4"/>
  <c r="AL344" i="4"/>
  <c r="AN344" i="4" s="1"/>
  <c r="AW344" i="4" s="1"/>
  <c r="AL11" i="4"/>
  <c r="AL357" i="4"/>
  <c r="AL48" i="4"/>
  <c r="AN48" i="4" s="1"/>
  <c r="AW48" i="4" s="1"/>
  <c r="AL362" i="4"/>
  <c r="AL93" i="4"/>
  <c r="AL609" i="4"/>
  <c r="AL155" i="4"/>
  <c r="AN155" i="4" s="1"/>
  <c r="AW155" i="4" s="1"/>
  <c r="AL173" i="4"/>
  <c r="AL207" i="4"/>
  <c r="AN207" i="4" s="1"/>
  <c r="AW207" i="4" s="1"/>
  <c r="AL224" i="4"/>
  <c r="AL227" i="4"/>
  <c r="AN227" i="4" s="1"/>
  <c r="AW227" i="4" s="1"/>
  <c r="AL373" i="4"/>
  <c r="AL352" i="4"/>
  <c r="AL381" i="4"/>
  <c r="AL387" i="4"/>
  <c r="AL408" i="4"/>
  <c r="AN408" i="4" s="1"/>
  <c r="AL220" i="4"/>
  <c r="AL94" i="4"/>
  <c r="AL144" i="4"/>
  <c r="AL426" i="4"/>
  <c r="AN426" i="4" s="1"/>
  <c r="AL435" i="4"/>
  <c r="AN435" i="4" s="1"/>
  <c r="AL52" i="4"/>
  <c r="AN52" i="4" s="1"/>
  <c r="AW52" i="4" s="1"/>
  <c r="AL450" i="4"/>
  <c r="AL148" i="4"/>
  <c r="AL459" i="4"/>
  <c r="AN459" i="4" s="1"/>
  <c r="AW459" i="4" s="1"/>
  <c r="AL438" i="4"/>
  <c r="AL246" i="4"/>
  <c r="AL473" i="4"/>
  <c r="AL117" i="4"/>
  <c r="AL504" i="4"/>
  <c r="AL510" i="4"/>
  <c r="AN510" i="4" s="1"/>
  <c r="AL383" i="4"/>
  <c r="AN383" i="4" s="1"/>
  <c r="AW383" i="4" s="1"/>
  <c r="AL499" i="4"/>
  <c r="AL149" i="4"/>
  <c r="AN149" i="4" s="1"/>
  <c r="AL445" i="4"/>
  <c r="AL474" i="4"/>
  <c r="AL552" i="4"/>
  <c r="AL557" i="4"/>
  <c r="AN557" i="4" s="1"/>
  <c r="AW557" i="4" s="1"/>
  <c r="AL150" i="4"/>
  <c r="AL296" i="4"/>
  <c r="AM572" i="4"/>
  <c r="AM579" i="4"/>
  <c r="AM586" i="4"/>
  <c r="AM284" i="4"/>
  <c r="AQ596" i="4"/>
  <c r="AM13" i="4"/>
  <c r="AN13" i="4" s="1"/>
  <c r="AW13" i="4" s="1"/>
  <c r="AM156" i="4"/>
  <c r="AN156" i="4" s="1"/>
  <c r="AW156" i="4" s="1"/>
  <c r="AM169" i="4"/>
  <c r="AM188" i="4"/>
  <c r="AM201" i="4"/>
  <c r="AM221" i="4"/>
  <c r="AM231" i="4"/>
  <c r="AM249" i="4"/>
  <c r="AM259" i="4"/>
  <c r="AM270" i="4"/>
  <c r="AR63" i="4"/>
  <c r="AR105" i="4"/>
  <c r="AR216" i="4"/>
  <c r="AR225" i="4"/>
  <c r="AR231" i="4"/>
  <c r="AR253" i="4"/>
  <c r="AR341" i="4"/>
  <c r="AR354" i="4"/>
  <c r="AR21" i="4"/>
  <c r="AR366" i="4"/>
  <c r="AR251" i="4"/>
  <c r="AR492" i="4"/>
  <c r="AR433" i="4"/>
  <c r="AR531" i="4"/>
  <c r="AR156" i="4"/>
  <c r="AR226" i="4"/>
  <c r="AR276" i="4"/>
  <c r="AR355" i="4"/>
  <c r="AR36" i="4"/>
  <c r="AR427" i="4"/>
  <c r="AR393" i="4"/>
  <c r="AR477" i="4"/>
  <c r="AR100" i="4"/>
  <c r="AR177" i="4"/>
  <c r="AR360" i="4"/>
  <c r="AR364" i="4"/>
  <c r="AR244" i="4"/>
  <c r="AR453" i="4"/>
  <c r="AR31" i="4"/>
  <c r="AR494" i="4"/>
  <c r="AR60" i="4"/>
  <c r="AR95" i="4"/>
  <c r="AR101" i="4"/>
  <c r="AR195" i="4"/>
  <c r="AR215" i="4"/>
  <c r="AR245" i="4"/>
  <c r="AR121" i="4"/>
  <c r="AR418" i="4"/>
  <c r="AR532" i="4"/>
  <c r="AM280" i="4"/>
  <c r="AM294" i="4"/>
  <c r="AM312" i="4"/>
  <c r="AM327" i="4"/>
  <c r="AM404" i="4"/>
  <c r="AM348" i="4"/>
  <c r="AM356" i="4"/>
  <c r="AM39" i="4"/>
  <c r="AM360" i="4"/>
  <c r="AM73" i="4"/>
  <c r="AM104" i="4"/>
  <c r="AM130" i="4"/>
  <c r="AM573" i="4"/>
  <c r="AM367" i="4"/>
  <c r="AM368" i="4"/>
  <c r="AM245" i="4"/>
  <c r="AM281" i="4"/>
  <c r="AM323" i="4"/>
  <c r="AM50" i="4"/>
  <c r="AM219" i="4"/>
  <c r="AM400" i="4"/>
  <c r="AM410" i="4"/>
  <c r="AM414" i="4"/>
  <c r="AM419" i="4"/>
  <c r="AM423" i="4"/>
  <c r="AM380" i="4"/>
  <c r="AM439" i="4"/>
  <c r="AM449" i="4"/>
  <c r="AM98" i="4"/>
  <c r="AM456" i="4"/>
  <c r="AM31" i="4"/>
  <c r="AM464" i="4"/>
  <c r="AM468" i="4"/>
  <c r="AM330" i="4"/>
  <c r="AM494" i="4"/>
  <c r="AM506" i="4"/>
  <c r="AM444" i="4"/>
  <c r="AM514" i="4"/>
  <c r="AM518" i="4"/>
  <c r="AM525" i="4"/>
  <c r="AM536" i="4"/>
  <c r="AM546" i="4"/>
  <c r="AM549" i="4"/>
  <c r="AM200" i="4"/>
  <c r="AM563" i="4"/>
  <c r="AM178" i="4"/>
  <c r="AM598" i="4"/>
  <c r="AM496" i="4"/>
  <c r="AM587" i="4"/>
  <c r="AM588" i="4"/>
  <c r="AL618" i="4"/>
  <c r="AM402" i="4"/>
  <c r="AM328" i="4"/>
  <c r="AN328" i="4" s="1"/>
  <c r="AW328" i="4" s="1"/>
  <c r="AM22" i="4"/>
  <c r="AN22" i="4" s="1"/>
  <c r="AM307" i="4"/>
  <c r="AN307" i="4" s="1"/>
  <c r="AW307" i="4" s="1"/>
  <c r="AM232" i="4"/>
  <c r="AN232" i="4" s="1"/>
  <c r="AM418" i="4"/>
  <c r="AM422" i="4"/>
  <c r="AM427" i="4"/>
  <c r="AN427" i="4" s="1"/>
  <c r="AW427" i="4" s="1"/>
  <c r="AM437" i="4"/>
  <c r="AN437" i="4" s="1"/>
  <c r="AW437" i="4" s="1"/>
  <c r="AM448" i="4"/>
  <c r="AN448" i="4" s="1"/>
  <c r="AM452" i="4"/>
  <c r="AN452" i="4" s="1"/>
  <c r="AW452" i="4" s="1"/>
  <c r="AM454" i="4"/>
  <c r="AN454" i="4" s="1"/>
  <c r="AW454" i="4" s="1"/>
  <c r="AM443" i="4"/>
  <c r="AM463" i="4"/>
  <c r="AN463" i="4" s="1"/>
  <c r="AM467" i="4"/>
  <c r="AN467" i="4" s="1"/>
  <c r="AW467" i="4" s="1"/>
  <c r="AM489" i="4"/>
  <c r="AN489" i="4" s="1"/>
  <c r="AM493" i="4"/>
  <c r="AN493" i="4" s="1"/>
  <c r="AW493" i="4" s="1"/>
  <c r="AM479" i="4"/>
  <c r="AM202" i="4"/>
  <c r="AM513" i="4"/>
  <c r="AN513" i="4" s="1"/>
  <c r="AM128" i="4"/>
  <c r="AM433" i="4"/>
  <c r="AN433" i="4" s="1"/>
  <c r="AW433" i="4" s="1"/>
  <c r="AM535" i="4"/>
  <c r="AN535" i="4" s="1"/>
  <c r="AW535" i="4" s="1"/>
  <c r="AM545" i="4"/>
  <c r="AN545" i="4" s="1"/>
  <c r="AW545" i="4" s="1"/>
  <c r="AM529" i="4"/>
  <c r="AN529" i="4" s="1"/>
  <c r="AW529" i="4" s="1"/>
  <c r="AM446" i="4"/>
  <c r="AN446" i="4" s="1"/>
  <c r="AW446" i="4" s="1"/>
  <c r="AM551" i="4"/>
  <c r="AN551" i="4" s="1"/>
  <c r="AW551" i="4" s="1"/>
  <c r="AL613" i="4"/>
  <c r="AN613" i="4" s="1"/>
  <c r="AL562" i="4"/>
  <c r="AL297" i="4"/>
  <c r="AM537" i="4"/>
  <c r="AN537" i="4" s="1"/>
  <c r="AL581" i="4"/>
  <c r="AN581" i="4" s="1"/>
  <c r="AW581" i="4" s="1"/>
  <c r="AM151" i="4"/>
  <c r="AN151" i="4" s="1"/>
  <c r="AW151" i="4" s="1"/>
  <c r="AL597" i="4"/>
  <c r="AN597" i="4" s="1"/>
  <c r="AW597" i="4" s="1"/>
  <c r="AL582" i="4"/>
  <c r="AP582" i="4"/>
  <c r="AM582" i="4"/>
  <c r="AQ582" i="4"/>
  <c r="AL17" i="4"/>
  <c r="AQ17" i="4"/>
  <c r="AP17" i="4"/>
  <c r="AM17" i="4"/>
  <c r="AM137" i="4"/>
  <c r="AL137" i="4"/>
  <c r="AQ137" i="4"/>
  <c r="AP137" i="4"/>
  <c r="AM250" i="4"/>
  <c r="AL250" i="4"/>
  <c r="AQ250" i="4"/>
  <c r="AP250" i="4"/>
  <c r="AM331" i="4"/>
  <c r="AL331" i="4"/>
  <c r="AQ331" i="4"/>
  <c r="AP331" i="4"/>
  <c r="AM62" i="4"/>
  <c r="AL62" i="4"/>
  <c r="AQ62" i="4"/>
  <c r="AP62" i="4"/>
  <c r="AM191" i="4"/>
  <c r="AL191" i="4"/>
  <c r="AQ191" i="4"/>
  <c r="AP191" i="4"/>
  <c r="AM377" i="4"/>
  <c r="AL377" i="4"/>
  <c r="AQ377" i="4"/>
  <c r="AP377" i="4"/>
  <c r="AM314" i="4"/>
  <c r="AL314" i="4"/>
  <c r="AQ314" i="4"/>
  <c r="AP314" i="4"/>
  <c r="AM196" i="4"/>
  <c r="AL196" i="4"/>
  <c r="AP196" i="4"/>
  <c r="AM471" i="4"/>
  <c r="AL471" i="4"/>
  <c r="AP471" i="4"/>
  <c r="AM516" i="4"/>
  <c r="AL516" i="4"/>
  <c r="AP516" i="4"/>
  <c r="AM548" i="4"/>
  <c r="AL548" i="4"/>
  <c r="AQ548" i="4"/>
  <c r="AP548" i="4"/>
  <c r="AM8" i="4"/>
  <c r="AP8" i="4"/>
  <c r="AR8" i="4" s="1"/>
  <c r="AL8" i="4"/>
  <c r="AL20" i="4"/>
  <c r="AM20" i="4"/>
  <c r="AQ20" i="4"/>
  <c r="AL70" i="4"/>
  <c r="AQ70" i="4"/>
  <c r="AP70" i="4"/>
  <c r="AM70" i="4"/>
  <c r="AL86" i="4"/>
  <c r="AP86" i="4"/>
  <c r="AM86" i="4"/>
  <c r="AL97" i="4"/>
  <c r="AP97" i="4"/>
  <c r="AM97" i="4"/>
  <c r="AL111" i="4"/>
  <c r="AM111" i="4"/>
  <c r="AL127" i="4"/>
  <c r="AQ127" i="4"/>
  <c r="AL145" i="4"/>
  <c r="AM145" i="4"/>
  <c r="AQ145" i="4"/>
  <c r="AP145" i="4"/>
  <c r="AL165" i="4"/>
  <c r="AQ165" i="4"/>
  <c r="AP165" i="4"/>
  <c r="AM165" i="4"/>
  <c r="AL181" i="4"/>
  <c r="AQ181" i="4"/>
  <c r="AP181" i="4"/>
  <c r="AM181" i="4"/>
  <c r="AL228" i="4"/>
  <c r="AM228" i="4"/>
  <c r="AQ228" i="4"/>
  <c r="AP228" i="4"/>
  <c r="AL267" i="4"/>
  <c r="AM267" i="4"/>
  <c r="AQ267" i="4"/>
  <c r="AP267" i="4"/>
  <c r="AQ97" i="4"/>
  <c r="AL559" i="4"/>
  <c r="AP559" i="4"/>
  <c r="AM559" i="4"/>
  <c r="AQ559" i="4"/>
  <c r="AL602" i="4"/>
  <c r="AM602" i="4"/>
  <c r="AP602" i="4"/>
  <c r="AQ602" i="4"/>
  <c r="AM79" i="4"/>
  <c r="AL79" i="4"/>
  <c r="AM160" i="4"/>
  <c r="AL160" i="4"/>
  <c r="AQ160" i="4"/>
  <c r="AP160" i="4"/>
  <c r="AM223" i="4"/>
  <c r="AL223" i="4"/>
  <c r="AQ223" i="4"/>
  <c r="AP223" i="4"/>
  <c r="AM316" i="4"/>
  <c r="AL316" i="4"/>
  <c r="AM359" i="4"/>
  <c r="AL359" i="4"/>
  <c r="AQ359" i="4"/>
  <c r="AM163" i="4"/>
  <c r="AL163" i="4"/>
  <c r="AQ163" i="4"/>
  <c r="AP163" i="4"/>
  <c r="AM288" i="4"/>
  <c r="AL288" i="4"/>
  <c r="AQ288" i="4"/>
  <c r="AP288" i="4"/>
  <c r="AM405" i="4"/>
  <c r="AL405" i="4"/>
  <c r="AQ405" i="4"/>
  <c r="AP405" i="4"/>
  <c r="AM431" i="4"/>
  <c r="AL431" i="4"/>
  <c r="AP431" i="4"/>
  <c r="AM461" i="4"/>
  <c r="AL461" i="4"/>
  <c r="AP461" i="4"/>
  <c r="AM478" i="4"/>
  <c r="AL478" i="4"/>
  <c r="AP478" i="4"/>
  <c r="AM520" i="4"/>
  <c r="AL520" i="4"/>
  <c r="AP520" i="4"/>
  <c r="AM530" i="4"/>
  <c r="AL530" i="4"/>
  <c r="AP530" i="4"/>
  <c r="AL59" i="4"/>
  <c r="AM59" i="4"/>
  <c r="AQ59" i="4"/>
  <c r="AP59" i="4"/>
  <c r="AQ196" i="4"/>
  <c r="AL575" i="4"/>
  <c r="AM575" i="4"/>
  <c r="AP575" i="4"/>
  <c r="AQ575" i="4"/>
  <c r="AL299" i="4"/>
  <c r="AM299" i="4"/>
  <c r="AP299" i="4"/>
  <c r="AQ299" i="4"/>
  <c r="AM92" i="4"/>
  <c r="AL92" i="4"/>
  <c r="AQ92" i="4"/>
  <c r="AM175" i="4"/>
  <c r="AL175" i="4"/>
  <c r="AP175" i="4"/>
  <c r="AM234" i="4"/>
  <c r="AL234" i="4"/>
  <c r="AQ234" i="4"/>
  <c r="AP234" i="4"/>
  <c r="AM305" i="4"/>
  <c r="AL305" i="4"/>
  <c r="AQ305" i="4"/>
  <c r="AM24" i="4"/>
  <c r="AL24" i="4"/>
  <c r="AP24" i="4"/>
  <c r="AM116" i="4"/>
  <c r="AL116" i="4"/>
  <c r="AQ116" i="4"/>
  <c r="AP116" i="4"/>
  <c r="AM370" i="4"/>
  <c r="AL370" i="4"/>
  <c r="AQ370" i="4"/>
  <c r="AP370" i="4"/>
  <c r="AM235" i="4"/>
  <c r="AL235" i="4"/>
  <c r="AQ235" i="4"/>
  <c r="AP235" i="4"/>
  <c r="AM424" i="4"/>
  <c r="AL424" i="4"/>
  <c r="AQ424" i="4"/>
  <c r="AP424" i="4"/>
  <c r="AM476" i="4"/>
  <c r="AL476" i="4"/>
  <c r="AP476" i="4"/>
  <c r="AM501" i="4"/>
  <c r="AL501" i="4"/>
  <c r="AP501" i="4"/>
  <c r="AR501" i="4" s="1"/>
  <c r="AM539" i="4"/>
  <c r="AL539" i="4"/>
  <c r="AQ539" i="4"/>
  <c r="AP539" i="4"/>
  <c r="AL40" i="4"/>
  <c r="AQ40" i="4"/>
  <c r="AM40" i="4"/>
  <c r="AP40" i="4"/>
  <c r="AL255" i="4"/>
  <c r="AQ255" i="4"/>
  <c r="AP255" i="4"/>
  <c r="AM255" i="4"/>
  <c r="AR28" i="4"/>
  <c r="AR54" i="4"/>
  <c r="AQ86" i="4"/>
  <c r="AR126" i="4"/>
  <c r="AQ24" i="4"/>
  <c r="AP359" i="4"/>
  <c r="AQ431" i="4"/>
  <c r="AQ478" i="4"/>
  <c r="AL617" i="4"/>
  <c r="AM617" i="4"/>
  <c r="AP617" i="4"/>
  <c r="AQ617" i="4"/>
  <c r="AM49" i="4"/>
  <c r="AL49" i="4"/>
  <c r="AQ49" i="4"/>
  <c r="AP49" i="4"/>
  <c r="AM122" i="4"/>
  <c r="AL122" i="4"/>
  <c r="AQ122" i="4"/>
  <c r="AP122" i="4"/>
  <c r="AM190" i="4"/>
  <c r="AL190" i="4"/>
  <c r="AM272" i="4"/>
  <c r="AL272" i="4"/>
  <c r="AP272" i="4"/>
  <c r="AM340" i="4"/>
  <c r="AL340" i="4"/>
  <c r="AQ340" i="4"/>
  <c r="AP340" i="4"/>
  <c r="AM77" i="4"/>
  <c r="AL77" i="4"/>
  <c r="AQ77" i="4"/>
  <c r="AP77" i="4"/>
  <c r="AM258" i="4"/>
  <c r="AL258" i="4"/>
  <c r="AQ258" i="4"/>
  <c r="AP258" i="4"/>
  <c r="AM379" i="4"/>
  <c r="AL379" i="4"/>
  <c r="AQ379" i="4"/>
  <c r="AP379" i="4"/>
  <c r="AM133" i="4"/>
  <c r="AL133" i="4"/>
  <c r="AP133" i="4"/>
  <c r="AR133" i="4" s="1"/>
  <c r="AM508" i="4"/>
  <c r="AL508" i="4"/>
  <c r="AP508" i="4"/>
  <c r="AR508" i="4" s="1"/>
  <c r="AM555" i="4"/>
  <c r="AL555" i="4"/>
  <c r="AQ555" i="4"/>
  <c r="AP555" i="4"/>
  <c r="AL214" i="4"/>
  <c r="AM214" i="4"/>
  <c r="AQ214" i="4"/>
  <c r="AP92" i="4"/>
  <c r="AP190" i="4"/>
  <c r="AQ272" i="4"/>
  <c r="AP316" i="4"/>
  <c r="AQ471" i="4"/>
  <c r="AL194" i="4"/>
  <c r="AM194" i="4"/>
  <c r="AP194" i="4"/>
  <c r="AP127" i="4"/>
  <c r="AQ190" i="4"/>
  <c r="AQ316" i="4"/>
  <c r="AQ476" i="4"/>
  <c r="AQ530" i="4"/>
  <c r="AL395" i="4"/>
  <c r="AM395" i="4"/>
  <c r="AP395" i="4"/>
  <c r="AQ395" i="4"/>
  <c r="AM67" i="4"/>
  <c r="AL67" i="4"/>
  <c r="AP67" i="4"/>
  <c r="AM263" i="4"/>
  <c r="AL263" i="4"/>
  <c r="AP263" i="4"/>
  <c r="AM140" i="4"/>
  <c r="AL140" i="4"/>
  <c r="AP140" i="4"/>
  <c r="AP20" i="4"/>
  <c r="AP79" i="4"/>
  <c r="AQ79" i="4"/>
  <c r="AQ461" i="4"/>
  <c r="AQ520" i="4"/>
  <c r="AL567" i="4"/>
  <c r="AM567" i="4"/>
  <c r="AP567" i="4"/>
  <c r="AQ567" i="4"/>
  <c r="AL429" i="4"/>
  <c r="AM429" i="4"/>
  <c r="AP429" i="4"/>
  <c r="AQ429" i="4"/>
  <c r="AM34" i="4"/>
  <c r="AL34" i="4"/>
  <c r="AQ34" i="4"/>
  <c r="AP34" i="4"/>
  <c r="AM106" i="4"/>
  <c r="AL106" i="4"/>
  <c r="AQ106" i="4"/>
  <c r="AR106" i="4" s="1"/>
  <c r="AM206" i="4"/>
  <c r="AL206" i="4"/>
  <c r="AQ206" i="4"/>
  <c r="AP206" i="4"/>
  <c r="AM286" i="4"/>
  <c r="AL286" i="4"/>
  <c r="AQ286" i="4"/>
  <c r="AR286" i="4" s="1"/>
  <c r="AM350" i="4"/>
  <c r="AL350" i="4"/>
  <c r="AQ350" i="4"/>
  <c r="AP350" i="4"/>
  <c r="AM139" i="4"/>
  <c r="AL139" i="4"/>
  <c r="AQ139" i="4"/>
  <c r="AP139" i="4"/>
  <c r="AM375" i="4"/>
  <c r="AL375" i="4"/>
  <c r="AQ375" i="4"/>
  <c r="AP375" i="4"/>
  <c r="AM411" i="4"/>
  <c r="AL411" i="4"/>
  <c r="AQ411" i="4"/>
  <c r="AP411" i="4"/>
  <c r="AM440" i="4"/>
  <c r="AL440" i="4"/>
  <c r="AP440" i="4"/>
  <c r="AM498" i="4"/>
  <c r="AL498" i="4"/>
  <c r="AP498" i="4"/>
  <c r="AR498" i="4" s="1"/>
  <c r="AM560" i="4"/>
  <c r="AL560" i="4"/>
  <c r="AQ560" i="4"/>
  <c r="AP560" i="4"/>
  <c r="AL241" i="4"/>
  <c r="AQ241" i="4"/>
  <c r="AP241" i="4"/>
  <c r="AR14" i="4"/>
  <c r="AR44" i="4"/>
  <c r="AQ67" i="4"/>
  <c r="AP111" i="4"/>
  <c r="AR111" i="4" s="1"/>
  <c r="AQ175" i="4"/>
  <c r="AR175" i="4" s="1"/>
  <c r="AQ263" i="4"/>
  <c r="AP305" i="4"/>
  <c r="AQ140" i="4"/>
  <c r="AQ516" i="4"/>
  <c r="AM127" i="4"/>
  <c r="AP344" i="4"/>
  <c r="AM277" i="4"/>
  <c r="AR68" i="4"/>
  <c r="AR112" i="4"/>
  <c r="AR239" i="4"/>
  <c r="AR249" i="4"/>
  <c r="AR240" i="4"/>
  <c r="AR326" i="4"/>
  <c r="AQ344" i="4"/>
  <c r="AR45" i="4"/>
  <c r="AR436" i="4"/>
  <c r="AR534" i="4"/>
  <c r="AR384" i="4"/>
  <c r="AR388" i="4"/>
  <c r="AM322" i="4"/>
  <c r="AP11" i="4"/>
  <c r="AM11" i="4"/>
  <c r="AR123" i="4"/>
  <c r="AR179" i="4"/>
  <c r="AR188" i="4"/>
  <c r="AR208" i="4"/>
  <c r="AR280" i="4"/>
  <c r="AR308" i="4"/>
  <c r="AR312" i="4"/>
  <c r="AQ11" i="4"/>
  <c r="AR46" i="4"/>
  <c r="AR146" i="4"/>
  <c r="AR159" i="4"/>
  <c r="AR416" i="4"/>
  <c r="AR318" i="4"/>
  <c r="AR380" i="4"/>
  <c r="AR449" i="4"/>
  <c r="AR585" i="4"/>
  <c r="AM290" i="4"/>
  <c r="AP277" i="4"/>
  <c r="AM336" i="4"/>
  <c r="AR90" i="4"/>
  <c r="AR96" i="4"/>
  <c r="AR103" i="4"/>
  <c r="AR110" i="4"/>
  <c r="AR118" i="4"/>
  <c r="AR138" i="4"/>
  <c r="AR243" i="4"/>
  <c r="AQ277" i="4"/>
  <c r="AR285" i="4"/>
  <c r="AP290" i="4"/>
  <c r="AR304" i="4"/>
  <c r="AP309" i="4"/>
  <c r="AP322" i="4"/>
  <c r="AR41" i="4"/>
  <c r="AR495" i="4"/>
  <c r="AR71" i="4"/>
  <c r="AR161" i="4"/>
  <c r="AQ290" i="4"/>
  <c r="AQ309" i="4"/>
  <c r="AQ322" i="4"/>
  <c r="AP336" i="4"/>
  <c r="AR353" i="4"/>
  <c r="AR361" i="4"/>
  <c r="AR362" i="4"/>
  <c r="AR74" i="4"/>
  <c r="AR187" i="4"/>
  <c r="AR207" i="4"/>
  <c r="AR369" i="4"/>
  <c r="AR401" i="4"/>
  <c r="AR242" i="4"/>
  <c r="AR9" i="4"/>
  <c r="AR37" i="4"/>
  <c r="AR391" i="4"/>
  <c r="AR561" i="4"/>
  <c r="AR568" i="4"/>
  <c r="AM309" i="4"/>
  <c r="AN309" i="4" s="1"/>
  <c r="AW309" i="4" s="1"/>
  <c r="AR321" i="4"/>
  <c r="AR447" i="4"/>
  <c r="AR580" i="4"/>
  <c r="AR483" i="4"/>
  <c r="AL587" i="4"/>
  <c r="AR529" i="4"/>
  <c r="AR446" i="4"/>
  <c r="AR578" i="4"/>
  <c r="AR482" i="4"/>
  <c r="AL496" i="4"/>
  <c r="AL596" i="4"/>
  <c r="AL598" i="4"/>
  <c r="AL284" i="4"/>
  <c r="AN284" i="4" s="1"/>
  <c r="AW284" i="4" s="1"/>
  <c r="AM596" i="4"/>
  <c r="AL178" i="4"/>
  <c r="AL586" i="4"/>
  <c r="AN586" i="4" s="1"/>
  <c r="AW586" i="4" s="1"/>
  <c r="AL169" i="4"/>
  <c r="AL188" i="4"/>
  <c r="AN188" i="4" s="1"/>
  <c r="AW188" i="4" s="1"/>
  <c r="AL201" i="4"/>
  <c r="AL221" i="4"/>
  <c r="AL231" i="4"/>
  <c r="AL249" i="4"/>
  <c r="AL259" i="4"/>
  <c r="AL270" i="4"/>
  <c r="AL280" i="4"/>
  <c r="AL294" i="4"/>
  <c r="AN294" i="4" s="1"/>
  <c r="AW294" i="4" s="1"/>
  <c r="AL312" i="4"/>
  <c r="AL327" i="4"/>
  <c r="AL404" i="4"/>
  <c r="AL348" i="4"/>
  <c r="AL356" i="4"/>
  <c r="AL39" i="4"/>
  <c r="AL360" i="4"/>
  <c r="AL73" i="4"/>
  <c r="AL104" i="4"/>
  <c r="AL130" i="4"/>
  <c r="AL573" i="4"/>
  <c r="AL367" i="4"/>
  <c r="AL368" i="4"/>
  <c r="AL245" i="4"/>
  <c r="AL281" i="4"/>
  <c r="AL323" i="4"/>
  <c r="AL50" i="4"/>
  <c r="AL219" i="4"/>
  <c r="AL400" i="4"/>
  <c r="AL410" i="4"/>
  <c r="AL414" i="4"/>
  <c r="AN414" i="4" s="1"/>
  <c r="AW414" i="4" s="1"/>
  <c r="AL419" i="4"/>
  <c r="AL423" i="4"/>
  <c r="AL380" i="4"/>
  <c r="AL439" i="4"/>
  <c r="AL449" i="4"/>
  <c r="AL98" i="4"/>
  <c r="AL456" i="4"/>
  <c r="AL31" i="4"/>
  <c r="AL464" i="4"/>
  <c r="AL468" i="4"/>
  <c r="AL330" i="4"/>
  <c r="AL494" i="4"/>
  <c r="AL506" i="4"/>
  <c r="AL444" i="4"/>
  <c r="AL514" i="4"/>
  <c r="AL518" i="4"/>
  <c r="AN518" i="4" s="1"/>
  <c r="AL525" i="4"/>
  <c r="AL536" i="4"/>
  <c r="AL546" i="4"/>
  <c r="AL549" i="4"/>
  <c r="AL200" i="4"/>
  <c r="AL563" i="4"/>
  <c r="AL579" i="4"/>
  <c r="AN579" i="4" s="1"/>
  <c r="AW579" i="4" s="1"/>
  <c r="AL402" i="4"/>
  <c r="AL572" i="4"/>
  <c r="AN572" i="4" s="1"/>
  <c r="AW572" i="4" s="1"/>
  <c r="AR131" i="4"/>
  <c r="AR157" i="4"/>
  <c r="AR167" i="4"/>
  <c r="AR189" i="4"/>
  <c r="AR198" i="4"/>
  <c r="AR222" i="4"/>
  <c r="AR409" i="4"/>
  <c r="AR264" i="4"/>
  <c r="AR269" i="4"/>
  <c r="AR273" i="4"/>
  <c r="AR292" i="4"/>
  <c r="AR317" i="4"/>
  <c r="AR343" i="4"/>
  <c r="AR363" i="4"/>
  <c r="AR119" i="4"/>
  <c r="AR182" i="4"/>
  <c r="AR414" i="4"/>
  <c r="AR434" i="4"/>
  <c r="AR132" i="4"/>
  <c r="AR19" i="4"/>
  <c r="AR320" i="4"/>
  <c r="AR358" i="4"/>
  <c r="AR421" i="4"/>
  <c r="AR428" i="4"/>
  <c r="AR98" i="4"/>
  <c r="AR136" i="4"/>
  <c r="AR154" i="4"/>
  <c r="AR172" i="4"/>
  <c r="AR186" i="4"/>
  <c r="AR205" i="4"/>
  <c r="AR217" i="4"/>
  <c r="AR233" i="4"/>
  <c r="AR248" i="4"/>
  <c r="AR289" i="4"/>
  <c r="AR26" i="4"/>
  <c r="AR413" i="4"/>
  <c r="AR334" i="4"/>
  <c r="AR523" i="4"/>
  <c r="AR12" i="4"/>
  <c r="AR75" i="4"/>
  <c r="AR166" i="4"/>
  <c r="AR229" i="4"/>
  <c r="AR256" i="4"/>
  <c r="AR268" i="4"/>
  <c r="AR278" i="4"/>
  <c r="AR335" i="4"/>
  <c r="AR80" i="4"/>
  <c r="AR415" i="4"/>
  <c r="AR425" i="4"/>
  <c r="AR441" i="4"/>
  <c r="AR440" i="4"/>
  <c r="AR432" i="4"/>
  <c r="AR417" i="4"/>
  <c r="AM19" i="4"/>
  <c r="AN19" i="4" s="1"/>
  <c r="AW19" i="4" s="1"/>
  <c r="AR16" i="4" l="1"/>
  <c r="AR92" i="4"/>
  <c r="AN422" i="4"/>
  <c r="AR596" i="4"/>
  <c r="AN352" i="4"/>
  <c r="AW352" i="4" s="1"/>
  <c r="AR200" i="4"/>
  <c r="AN388" i="4"/>
  <c r="AW388" i="4" s="1"/>
  <c r="AR257" i="4"/>
  <c r="AN271" i="4"/>
  <c r="AW271" i="4" s="1"/>
  <c r="AN362" i="4"/>
  <c r="AW362" i="4" s="1"/>
  <c r="AN521" i="4"/>
  <c r="AW521" i="4" s="1"/>
  <c r="AN589" i="4"/>
  <c r="AW589" i="4" s="1"/>
  <c r="AN337" i="4"/>
  <c r="AW337" i="4" s="1"/>
  <c r="AN157" i="4"/>
  <c r="AW157" i="4" s="1"/>
  <c r="AN200" i="4"/>
  <c r="AN449" i="4"/>
  <c r="AN336" i="4"/>
  <c r="AW336" i="4" s="1"/>
  <c r="AN322" i="4"/>
  <c r="AW322" i="4" s="1"/>
  <c r="AN128" i="4"/>
  <c r="AW128" i="4" s="1"/>
  <c r="AN443" i="4"/>
  <c r="AW443" i="4" s="1"/>
  <c r="AN246" i="4"/>
  <c r="AW246" i="4" s="1"/>
  <c r="AN502" i="4"/>
  <c r="AW502" i="4" s="1"/>
  <c r="AN522" i="4"/>
  <c r="AW522" i="4" s="1"/>
  <c r="AN507" i="4"/>
  <c r="AW507" i="4" s="1"/>
  <c r="AR503" i="4"/>
  <c r="AN549" i="4"/>
  <c r="AN494" i="4"/>
  <c r="AW494" i="4" s="1"/>
  <c r="AN439" i="4"/>
  <c r="AN50" i="4"/>
  <c r="AW50" i="4" s="1"/>
  <c r="AN312" i="4"/>
  <c r="AW312" i="4" s="1"/>
  <c r="AN596" i="4"/>
  <c r="AW596" i="4" s="1"/>
  <c r="AN413" i="4"/>
  <c r="AW413" i="4" s="1"/>
  <c r="AN462" i="4"/>
  <c r="AW462" i="4" s="1"/>
  <c r="AN442" i="4"/>
  <c r="AW442" i="4" s="1"/>
  <c r="AN68" i="4"/>
  <c r="AW68" i="4" s="1"/>
  <c r="AR530" i="4"/>
  <c r="AN499" i="4"/>
  <c r="AW499" i="4" s="1"/>
  <c r="AN146" i="4"/>
  <c r="AW146" i="4" s="1"/>
  <c r="AN492" i="4"/>
  <c r="AW492" i="4" s="1"/>
  <c r="AR420" i="4"/>
  <c r="AR569" i="4"/>
  <c r="AR78" i="4"/>
  <c r="AN354" i="4"/>
  <c r="AN53" i="4"/>
  <c r="AW53" i="4" s="1"/>
  <c r="AN193" i="4"/>
  <c r="AW193" i="4" s="1"/>
  <c r="AN197" i="4"/>
  <c r="AW197" i="4" s="1"/>
  <c r="AN142" i="4"/>
  <c r="AW142" i="4" s="1"/>
  <c r="AR22" i="4"/>
  <c r="AN265" i="4"/>
  <c r="AN532" i="4"/>
  <c r="AW532" i="4" s="1"/>
  <c r="AN496" i="4"/>
  <c r="AW496" i="4" s="1"/>
  <c r="AN473" i="4"/>
  <c r="AW473" i="4" s="1"/>
  <c r="AN460" i="4"/>
  <c r="AW460" i="4" s="1"/>
  <c r="AR431" i="4"/>
  <c r="AN416" i="4"/>
  <c r="AW416" i="4" s="1"/>
  <c r="AN412" i="4"/>
  <c r="AW412" i="4" s="1"/>
  <c r="AN402" i="4"/>
  <c r="AW402" i="4" s="1"/>
  <c r="AR381" i="4"/>
  <c r="AR374" i="4"/>
  <c r="AN357" i="4"/>
  <c r="AW357" i="4" s="1"/>
  <c r="AN355" i="4"/>
  <c r="AW355" i="4" s="1"/>
  <c r="AN348" i="4"/>
  <c r="AW348" i="4" s="1"/>
  <c r="AN346" i="4"/>
  <c r="AW346" i="4" s="1"/>
  <c r="AR306" i="4"/>
  <c r="AN269" i="4"/>
  <c r="AW269" i="4" s="1"/>
  <c r="AR254" i="4"/>
  <c r="AN252" i="4"/>
  <c r="AW252" i="4" s="1"/>
  <c r="AN248" i="4"/>
  <c r="AW248" i="4" s="1"/>
  <c r="AN230" i="4"/>
  <c r="AW230" i="4" s="1"/>
  <c r="AR220" i="4"/>
  <c r="AN199" i="4"/>
  <c r="AW199" i="4" s="1"/>
  <c r="AR170" i="4"/>
  <c r="AN154" i="4"/>
  <c r="AW154" i="4" s="1"/>
  <c r="AN117" i="4"/>
  <c r="AW117" i="4" s="1"/>
  <c r="AN96" i="4"/>
  <c r="AW96" i="4" s="1"/>
  <c r="AR82" i="4"/>
  <c r="AN78" i="4"/>
  <c r="AW78" i="4" s="1"/>
  <c r="AN69" i="4"/>
  <c r="AW69" i="4" s="1"/>
  <c r="AN65" i="4"/>
  <c r="AW65" i="4" s="1"/>
  <c r="AN57" i="4"/>
  <c r="AW57" i="4" s="1"/>
  <c r="AR43" i="4"/>
  <c r="AN511" i="4"/>
  <c r="AW511" i="4" s="1"/>
  <c r="AR472" i="4"/>
  <c r="AN418" i="4"/>
  <c r="AW418" i="4" s="1"/>
  <c r="AR378" i="4"/>
  <c r="AR336" i="4"/>
  <c r="AN298" i="4"/>
  <c r="AW298" i="4" s="1"/>
  <c r="AN290" i="4"/>
  <c r="AW290" i="4" s="1"/>
  <c r="AN239" i="4"/>
  <c r="AW239" i="4" s="1"/>
  <c r="AN195" i="4"/>
  <c r="AW195" i="4" s="1"/>
  <c r="AN93" i="4"/>
  <c r="AW93" i="4" s="1"/>
  <c r="AN562" i="4"/>
  <c r="AW562" i="4" s="1"/>
  <c r="AN482" i="4"/>
  <c r="AW482" i="4" s="1"/>
  <c r="AN479" i="4"/>
  <c r="AW479" i="4" s="1"/>
  <c r="AN477" i="4"/>
  <c r="AW477" i="4" s="1"/>
  <c r="AN453" i="4"/>
  <c r="AW453" i="4" s="1"/>
  <c r="AR150" i="4"/>
  <c r="AR127" i="4"/>
  <c r="AR600" i="4"/>
  <c r="AN600" i="4"/>
  <c r="AW600" i="4" s="1"/>
  <c r="AN592" i="4"/>
  <c r="AW592" i="4" s="1"/>
  <c r="AN587" i="4"/>
  <c r="AW587" i="4" s="1"/>
  <c r="AR443" i="4"/>
  <c r="AN500" i="4"/>
  <c r="AW500" i="4" s="1"/>
  <c r="AR437" i="4"/>
  <c r="AR405" i="4"/>
  <c r="AN404" i="4"/>
  <c r="AW404" i="4" s="1"/>
  <c r="AN374" i="4"/>
  <c r="AW374" i="4" s="1"/>
  <c r="AN373" i="4"/>
  <c r="AW373" i="4" s="1"/>
  <c r="AN363" i="4"/>
  <c r="AW363" i="4" s="1"/>
  <c r="AN315" i="4"/>
  <c r="AW315" i="4" s="1"/>
  <c r="AN285" i="4"/>
  <c r="AW285" i="4" s="1"/>
  <c r="AN410" i="4"/>
  <c r="AW410" i="4" s="1"/>
  <c r="AR272" i="4"/>
  <c r="AN256" i="4"/>
  <c r="AW256" i="4" s="1"/>
  <c r="AN254" i="4"/>
  <c r="AW254" i="4" s="1"/>
  <c r="AN249" i="4"/>
  <c r="AW249" i="4" s="1"/>
  <c r="AR221" i="4"/>
  <c r="AN220" i="4"/>
  <c r="AW220" i="4" s="1"/>
  <c r="AN202" i="4"/>
  <c r="AW202" i="4" s="1"/>
  <c r="AN201" i="4"/>
  <c r="AW201" i="4" s="1"/>
  <c r="AR199" i="4"/>
  <c r="AN173" i="4"/>
  <c r="AW173" i="4" s="1"/>
  <c r="AN169" i="4"/>
  <c r="AW169" i="4" s="1"/>
  <c r="AN134" i="4"/>
  <c r="AW134" i="4" s="1"/>
  <c r="AN131" i="4"/>
  <c r="AW131" i="4" s="1"/>
  <c r="AR117" i="4"/>
  <c r="AR91" i="4"/>
  <c r="AR62" i="4"/>
  <c r="AN43" i="4"/>
  <c r="AW43" i="4" s="1"/>
  <c r="AN41" i="4"/>
  <c r="AW41" i="4" s="1"/>
  <c r="AN37" i="4"/>
  <c r="AW37" i="4" s="1"/>
  <c r="AN36" i="4"/>
  <c r="AW36" i="4" s="1"/>
  <c r="AN9" i="4"/>
  <c r="AW9" i="4" s="1"/>
  <c r="AN552" i="4"/>
  <c r="AW552" i="4" s="1"/>
  <c r="AR515" i="4"/>
  <c r="AN296" i="4"/>
  <c r="AW296" i="4" s="1"/>
  <c r="AR262" i="4"/>
  <c r="AN76" i="4"/>
  <c r="AW76" i="4" s="1"/>
  <c r="AN11" i="4"/>
  <c r="AW11" i="4" s="1"/>
  <c r="AN574" i="4"/>
  <c r="AW574" i="4" s="1"/>
  <c r="AN130" i="4"/>
  <c r="AW130" i="4" s="1"/>
  <c r="AN32" i="4"/>
  <c r="AW32" i="4" s="1"/>
  <c r="AM670" i="4"/>
  <c r="AQ670" i="4"/>
  <c r="AN23" i="4"/>
  <c r="AW23" i="4" s="1"/>
  <c r="AL670" i="4"/>
  <c r="AR23" i="4"/>
  <c r="AP670" i="4"/>
  <c r="AR615" i="4"/>
  <c r="AN609" i="4"/>
  <c r="AN602" i="4"/>
  <c r="AW602" i="4" s="1"/>
  <c r="AN598" i="4"/>
  <c r="AW598" i="4" s="1"/>
  <c r="AN588" i="4"/>
  <c r="AW588" i="4" s="1"/>
  <c r="AR588" i="4"/>
  <c r="AR586" i="4"/>
  <c r="AR583" i="4"/>
  <c r="AN573" i="4"/>
  <c r="AW573" i="4" s="1"/>
  <c r="AN569" i="4"/>
  <c r="AW569" i="4" s="1"/>
  <c r="AR566" i="4"/>
  <c r="AN566" i="4"/>
  <c r="AW566" i="4" s="1"/>
  <c r="AR548" i="4"/>
  <c r="AN546" i="4"/>
  <c r="AW546" i="4" s="1"/>
  <c r="AN526" i="4"/>
  <c r="AW526" i="4" s="1"/>
  <c r="AR511" i="4"/>
  <c r="AR507" i="4"/>
  <c r="AN503" i="4"/>
  <c r="AW503" i="4" s="1"/>
  <c r="AR496" i="4"/>
  <c r="AR489" i="4"/>
  <c r="AR481" i="4"/>
  <c r="AR474" i="4"/>
  <c r="AN474" i="4"/>
  <c r="AW474" i="4" s="1"/>
  <c r="AN464" i="4"/>
  <c r="AR461" i="4"/>
  <c r="AR451" i="4"/>
  <c r="AR450" i="4"/>
  <c r="AN450" i="4"/>
  <c r="AN445" i="4"/>
  <c r="AW445" i="4" s="1"/>
  <c r="AN444" i="4"/>
  <c r="AW444" i="4" s="1"/>
  <c r="AN438" i="4"/>
  <c r="AW438" i="4" s="1"/>
  <c r="AN421" i="4"/>
  <c r="AW421" i="4" s="1"/>
  <c r="AN419" i="4"/>
  <c r="AW419" i="4" s="1"/>
  <c r="AN409" i="4"/>
  <c r="AW409" i="4" s="1"/>
  <c r="AN392" i="4"/>
  <c r="AW392" i="4" s="1"/>
  <c r="AN387" i="4"/>
  <c r="AW387" i="4" s="1"/>
  <c r="AN384" i="4"/>
  <c r="AW384" i="4" s="1"/>
  <c r="AR382" i="4"/>
  <c r="AN381" i="4"/>
  <c r="AW381" i="4" s="1"/>
  <c r="AN380" i="4"/>
  <c r="AW380" i="4" s="1"/>
  <c r="AR377" i="4"/>
  <c r="AR376" i="4"/>
  <c r="AR368" i="4"/>
  <c r="AN368" i="4"/>
  <c r="AW368" i="4" s="1"/>
  <c r="AN367" i="4"/>
  <c r="AW367" i="4" s="1"/>
  <c r="AN360" i="4"/>
  <c r="AW360" i="4" s="1"/>
  <c r="AR359" i="4"/>
  <c r="AN356" i="4"/>
  <c r="AW356" i="4" s="1"/>
  <c r="AR345" i="4"/>
  <c r="AR340" i="4"/>
  <c r="AR337" i="4"/>
  <c r="AN333" i="4"/>
  <c r="AW333" i="4" s="1"/>
  <c r="AR332" i="4"/>
  <c r="AN330" i="4"/>
  <c r="AW330" i="4" s="1"/>
  <c r="AN327" i="4"/>
  <c r="AW327" i="4" s="1"/>
  <c r="AR324" i="4"/>
  <c r="AN323" i="4"/>
  <c r="AW323" i="4" s="1"/>
  <c r="AR314" i="4"/>
  <c r="AN308" i="4"/>
  <c r="AW308" i="4" s="1"/>
  <c r="AN306" i="4"/>
  <c r="AW306" i="4" s="1"/>
  <c r="AN297" i="4"/>
  <c r="AW297" i="4" s="1"/>
  <c r="AN295" i="4"/>
  <c r="AW295" i="4" s="1"/>
  <c r="AR293" i="4"/>
  <c r="AN292" i="4"/>
  <c r="AW292" i="4" s="1"/>
  <c r="AR284" i="4"/>
  <c r="AN279" i="4"/>
  <c r="AW279" i="4" s="1"/>
  <c r="AR267" i="4"/>
  <c r="AN264" i="4"/>
  <c r="AW264" i="4" s="1"/>
  <c r="AN262" i="4"/>
  <c r="AW262" i="4" s="1"/>
  <c r="AN260" i="4"/>
  <c r="AW260" i="4" s="1"/>
  <c r="AN259" i="4"/>
  <c r="AW259" i="4" s="1"/>
  <c r="AR250" i="4"/>
  <c r="AN250" i="4"/>
  <c r="AW250" i="4" s="1"/>
  <c r="AR246" i="4"/>
  <c r="AN245" i="4"/>
  <c r="AW245" i="4" s="1"/>
  <c r="AN244" i="4"/>
  <c r="AW244" i="4" s="1"/>
  <c r="AN243" i="4"/>
  <c r="AW243" i="4" s="1"/>
  <c r="AN238" i="4"/>
  <c r="AW238" i="4" s="1"/>
  <c r="AR236" i="4"/>
  <c r="AN231" i="4"/>
  <c r="AN224" i="4"/>
  <c r="AW224" i="4" s="1"/>
  <c r="AR224" i="4"/>
  <c r="AN221" i="4"/>
  <c r="AW221" i="4" s="1"/>
  <c r="AN217" i="4"/>
  <c r="AW217" i="4" s="1"/>
  <c r="AR194" i="4"/>
  <c r="AR190" i="4"/>
  <c r="AN185" i="4"/>
  <c r="AW185" i="4" s="1"/>
  <c r="AR176" i="4"/>
  <c r="AN176" i="4"/>
  <c r="AW176" i="4" s="1"/>
  <c r="AN172" i="4"/>
  <c r="AW172" i="4" s="1"/>
  <c r="AN159" i="4"/>
  <c r="AW159" i="4" s="1"/>
  <c r="AN153" i="4"/>
  <c r="AW153" i="4" s="1"/>
  <c r="AR147" i="4"/>
  <c r="AN139" i="4"/>
  <c r="AW139" i="4" s="1"/>
  <c r="AN138" i="4"/>
  <c r="AW138" i="4" s="1"/>
  <c r="AN135" i="4"/>
  <c r="AW135" i="4" s="1"/>
  <c r="AR129" i="4"/>
  <c r="AN122" i="4"/>
  <c r="AW122" i="4" s="1"/>
  <c r="AR116" i="4"/>
  <c r="AR114" i="4"/>
  <c r="AN98" i="4"/>
  <c r="AW98" i="4" s="1"/>
  <c r="AR94" i="4"/>
  <c r="AN94" i="4"/>
  <c r="AW94" i="4" s="1"/>
  <c r="AR70" i="4"/>
  <c r="AN39" i="4"/>
  <c r="AW39" i="4" s="1"/>
  <c r="AN38" i="4"/>
  <c r="AW38" i="4" s="1"/>
  <c r="AR34" i="4"/>
  <c r="AR30" i="4"/>
  <c r="AN28" i="4"/>
  <c r="AW28" i="4" s="1"/>
  <c r="AN18" i="4"/>
  <c r="AW18" i="4" s="1"/>
  <c r="AN14" i="4"/>
  <c r="AW14" i="4" s="1"/>
  <c r="AN121" i="4"/>
  <c r="AN283" i="4"/>
  <c r="AW283" i="4" s="1"/>
  <c r="AN277" i="4"/>
  <c r="AN167" i="4"/>
  <c r="AN114" i="4"/>
  <c r="AW114" i="4" s="1"/>
  <c r="AN299" i="4"/>
  <c r="AW299" i="4" s="1"/>
  <c r="AN376" i="4"/>
  <c r="AR563" i="4"/>
  <c r="AR552" i="4"/>
  <c r="AN110" i="4"/>
  <c r="AW110" i="4" s="1"/>
  <c r="AN578" i="4"/>
  <c r="AW578" i="4" s="1"/>
  <c r="AR59" i="4"/>
  <c r="AN148" i="4"/>
  <c r="AW148" i="4" s="1"/>
  <c r="AN62" i="4"/>
  <c r="AW62" i="4" s="1"/>
  <c r="AN391" i="4"/>
  <c r="AW391" i="4" s="1"/>
  <c r="AN100" i="4"/>
  <c r="AW100" i="4" s="1"/>
  <c r="AN483" i="4"/>
  <c r="AW483" i="4" s="1"/>
  <c r="AN466" i="4"/>
  <c r="AW466" i="4" s="1"/>
  <c r="AN103" i="4"/>
  <c r="AW103" i="4" s="1"/>
  <c r="AN118" i="4"/>
  <c r="AW118" i="4" s="1"/>
  <c r="AR579" i="4"/>
  <c r="AN561" i="4"/>
  <c r="AW561" i="4" s="1"/>
  <c r="AN251" i="4"/>
  <c r="AW251" i="4" s="1"/>
  <c r="AN222" i="4"/>
  <c r="AW222" i="4" s="1"/>
  <c r="AN504" i="4"/>
  <c r="AW504" i="4" s="1"/>
  <c r="AR599" i="4"/>
  <c r="AR587" i="4"/>
  <c r="AR383" i="4"/>
  <c r="AN198" i="4"/>
  <c r="AW198" i="4" s="1"/>
  <c r="AN150" i="4"/>
  <c r="AW150" i="4" s="1"/>
  <c r="AN144" i="4"/>
  <c r="AW144" i="4" s="1"/>
  <c r="AN420" i="4"/>
  <c r="AW420" i="4" s="1"/>
  <c r="AN338" i="4"/>
  <c r="AW338" i="4" s="1"/>
  <c r="AR32" i="4"/>
  <c r="AN10" i="4"/>
  <c r="AW10" i="4" s="1"/>
  <c r="AR134" i="4"/>
  <c r="AN335" i="4"/>
  <c r="AW335" i="4" s="1"/>
  <c r="AN324" i="4"/>
  <c r="AW324" i="4" s="1"/>
  <c r="AN31" i="4"/>
  <c r="AW31" i="4" s="1"/>
  <c r="AN400" i="4"/>
  <c r="AW400" i="4" s="1"/>
  <c r="AN104" i="4"/>
  <c r="AW104" i="4" s="1"/>
  <c r="AN280" i="4"/>
  <c r="AW280" i="4" s="1"/>
  <c r="AR560" i="4"/>
  <c r="AR429" i="4"/>
  <c r="AN305" i="4"/>
  <c r="AW305" i="4" s="1"/>
  <c r="AN196" i="4"/>
  <c r="AW196" i="4" s="1"/>
  <c r="AN436" i="4"/>
  <c r="AW436" i="4" s="1"/>
  <c r="AR506" i="4"/>
  <c r="AN611" i="4"/>
  <c r="AR144" i="4"/>
  <c r="AN192" i="4"/>
  <c r="AW192" i="4" s="1"/>
  <c r="AR402" i="4"/>
  <c r="AN63" i="4"/>
  <c r="AW63" i="4" s="1"/>
  <c r="AR296" i="4"/>
  <c r="AR510" i="4"/>
  <c r="AN91" i="4"/>
  <c r="AW91" i="4" s="1"/>
  <c r="AN241" i="4"/>
  <c r="AW241" i="4" s="1"/>
  <c r="AN525" i="4"/>
  <c r="AW525" i="4" s="1"/>
  <c r="AN456" i="4"/>
  <c r="AW456" i="4" s="1"/>
  <c r="AN219" i="4"/>
  <c r="AW219" i="4" s="1"/>
  <c r="AN73" i="4"/>
  <c r="AW73" i="4" s="1"/>
  <c r="AN270" i="4"/>
  <c r="AW270" i="4" s="1"/>
  <c r="AN411" i="4"/>
  <c r="AW411" i="4" s="1"/>
  <c r="AN394" i="4"/>
  <c r="AW394" i="4" s="1"/>
  <c r="AN451" i="4"/>
  <c r="AN186" i="4"/>
  <c r="AW186" i="4" s="1"/>
  <c r="AN353" i="4"/>
  <c r="AW353" i="4" s="1"/>
  <c r="AR178" i="4"/>
  <c r="AN428" i="4"/>
  <c r="AW428" i="4" s="1"/>
  <c r="AN349" i="4"/>
  <c r="AW349" i="4" s="1"/>
  <c r="AN615" i="4"/>
  <c r="AW615" i="4" s="1"/>
  <c r="AR406" i="4"/>
  <c r="AN406" i="4"/>
  <c r="AW406" i="4" s="1"/>
  <c r="AN599" i="4"/>
  <c r="AW599" i="4" s="1"/>
  <c r="AN618" i="4"/>
  <c r="AW618" i="4" s="1"/>
  <c r="AR617" i="4"/>
  <c r="AR572" i="4"/>
  <c r="AN563" i="4"/>
  <c r="AW563" i="4" s="1"/>
  <c r="AN514" i="4"/>
  <c r="AW514" i="4" s="1"/>
  <c r="AN506" i="4"/>
  <c r="AW506" i="4" s="1"/>
  <c r="AN471" i="4"/>
  <c r="AN377" i="4"/>
  <c r="AW377" i="4" s="1"/>
  <c r="AR373" i="4"/>
  <c r="AR288" i="4"/>
  <c r="AN72" i="4"/>
  <c r="AR24" i="4"/>
  <c r="AR344" i="4"/>
  <c r="AR322" i="4"/>
  <c r="AR263" i="4"/>
  <c r="AN228" i="4"/>
  <c r="AW228" i="4" s="1"/>
  <c r="AN225" i="4"/>
  <c r="AN206" i="4"/>
  <c r="AW206" i="4" s="1"/>
  <c r="AR160" i="4"/>
  <c r="AR145" i="4"/>
  <c r="AR122" i="4"/>
  <c r="AN111" i="4"/>
  <c r="AW111" i="4" s="1"/>
  <c r="AN90" i="4"/>
  <c r="AW90" i="4" s="1"/>
  <c r="AN82" i="4"/>
  <c r="AW82" i="4" s="1"/>
  <c r="AR40" i="4"/>
  <c r="AR370" i="4"/>
  <c r="AR299" i="4"/>
  <c r="AR97" i="4"/>
  <c r="AR52" i="4"/>
  <c r="AR149" i="4"/>
  <c r="AN45" i="4"/>
  <c r="AW45" i="4" s="1"/>
  <c r="AN317" i="4"/>
  <c r="AN253" i="4"/>
  <c r="AW253" i="4" s="1"/>
  <c r="AN161" i="4"/>
  <c r="AW161" i="4" s="1"/>
  <c r="AN54" i="4"/>
  <c r="AW54" i="4" s="1"/>
  <c r="AR499" i="4"/>
  <c r="AR11" i="4"/>
  <c r="AR411" i="4"/>
  <c r="AN429" i="4"/>
  <c r="AW429" i="4" s="1"/>
  <c r="AR79" i="4"/>
  <c r="AR316" i="4"/>
  <c r="AN26" i="4"/>
  <c r="AW26" i="4" s="1"/>
  <c r="AN267" i="4"/>
  <c r="AW267" i="4" s="1"/>
  <c r="AN145" i="4"/>
  <c r="AW145" i="4" s="1"/>
  <c r="AR435" i="4"/>
  <c r="AR155" i="4"/>
  <c r="AN536" i="4"/>
  <c r="AW536" i="4" s="1"/>
  <c r="AN468" i="4"/>
  <c r="AW468" i="4" s="1"/>
  <c r="AN423" i="4"/>
  <c r="AN281" i="4"/>
  <c r="AW281" i="4" s="1"/>
  <c r="AN140" i="4"/>
  <c r="AW140" i="4" s="1"/>
  <c r="AN379" i="4"/>
  <c r="AW379" i="4" s="1"/>
  <c r="AN77" i="4"/>
  <c r="AW77" i="4" s="1"/>
  <c r="AR255" i="4"/>
  <c r="AR223" i="4"/>
  <c r="AN80" i="4"/>
  <c r="AW80" i="4" s="1"/>
  <c r="AN273" i="4"/>
  <c r="AW273" i="4" s="1"/>
  <c r="AN208" i="4"/>
  <c r="AW208" i="4" s="1"/>
  <c r="AN108" i="4"/>
  <c r="AW108" i="4" s="1"/>
  <c r="AR445" i="4"/>
  <c r="AR67" i="4"/>
  <c r="AR305" i="4"/>
  <c r="AR350" i="4"/>
  <c r="AN34" i="4"/>
  <c r="AW34" i="4" s="1"/>
  <c r="AN272" i="4"/>
  <c r="AW272" i="4" s="1"/>
  <c r="AR49" i="4"/>
  <c r="AN476" i="4"/>
  <c r="AW476" i="4" s="1"/>
  <c r="AN235" i="4"/>
  <c r="AW235" i="4" s="1"/>
  <c r="AN116" i="4"/>
  <c r="AW116" i="4" s="1"/>
  <c r="AR234" i="4"/>
  <c r="AN92" i="4"/>
  <c r="AW92" i="4" s="1"/>
  <c r="AN79" i="4"/>
  <c r="AN97" i="4"/>
  <c r="AW97" i="4" s="1"/>
  <c r="AR20" i="4"/>
  <c r="AR196" i="4"/>
  <c r="AN181" i="4"/>
  <c r="AW181" i="4" s="1"/>
  <c r="AN178" i="4"/>
  <c r="AW178" i="4" s="1"/>
  <c r="AR214" i="4"/>
  <c r="AN461" i="4"/>
  <c r="AW461" i="4" s="1"/>
  <c r="AN223" i="4"/>
  <c r="AW223" i="4" s="1"/>
  <c r="AN17" i="4"/>
  <c r="AW17" i="4" s="1"/>
  <c r="AN24" i="4"/>
  <c r="AW24" i="4" s="1"/>
  <c r="AR165" i="4"/>
  <c r="AN8" i="4"/>
  <c r="AW8" i="4" s="1"/>
  <c r="AN516" i="4"/>
  <c r="AW516" i="4" s="1"/>
  <c r="AR191" i="4"/>
  <c r="AR331" i="4"/>
  <c r="AR137" i="4"/>
  <c r="AR277" i="4"/>
  <c r="AN431" i="4"/>
  <c r="AW431" i="4" s="1"/>
  <c r="AN288" i="4"/>
  <c r="AN314" i="4"/>
  <c r="AW314" i="4" s="1"/>
  <c r="AN59" i="4"/>
  <c r="AW59" i="4" s="1"/>
  <c r="AN478" i="4"/>
  <c r="AW478" i="4" s="1"/>
  <c r="AR163" i="4"/>
  <c r="AR140" i="4"/>
  <c r="AR241" i="4"/>
  <c r="AN498" i="4"/>
  <c r="AW498" i="4" s="1"/>
  <c r="AR206" i="4"/>
  <c r="AR567" i="4"/>
  <c r="AN67" i="4"/>
  <c r="AW67" i="4" s="1"/>
  <c r="AN555" i="4"/>
  <c r="AW555" i="4" s="1"/>
  <c r="AR379" i="4"/>
  <c r="AR77" i="4"/>
  <c r="AN617" i="4"/>
  <c r="AW617" i="4" s="1"/>
  <c r="AN40" i="4"/>
  <c r="AW40" i="4" s="1"/>
  <c r="AR476" i="4"/>
  <c r="AR235" i="4"/>
  <c r="AR575" i="4"/>
  <c r="AR478" i="4"/>
  <c r="AN316" i="4"/>
  <c r="AW316" i="4" s="1"/>
  <c r="AN160" i="4"/>
  <c r="AW160" i="4" s="1"/>
  <c r="AR228" i="4"/>
  <c r="AR86" i="4"/>
  <c r="AN20" i="4"/>
  <c r="AW20" i="4" s="1"/>
  <c r="AR516" i="4"/>
  <c r="AN127" i="4"/>
  <c r="AW127" i="4" s="1"/>
  <c r="AN86" i="4"/>
  <c r="AW86" i="4" s="1"/>
  <c r="AR309" i="4"/>
  <c r="AR375" i="4"/>
  <c r="AN567" i="4"/>
  <c r="AW567" i="4" s="1"/>
  <c r="AR539" i="4"/>
  <c r="AN575" i="4"/>
  <c r="AW575" i="4" s="1"/>
  <c r="AR559" i="4"/>
  <c r="AR290" i="4"/>
  <c r="AN440" i="4"/>
  <c r="AN375" i="4"/>
  <c r="AW375" i="4" s="1"/>
  <c r="AN350" i="4"/>
  <c r="AW350" i="4" s="1"/>
  <c r="AR395" i="4"/>
  <c r="AN508" i="4"/>
  <c r="AW508" i="4" s="1"/>
  <c r="AN190" i="4"/>
  <c r="AW190" i="4" s="1"/>
  <c r="AN49" i="4"/>
  <c r="AW49" i="4" s="1"/>
  <c r="AN539" i="4"/>
  <c r="AW539" i="4" s="1"/>
  <c r="AR424" i="4"/>
  <c r="AN234" i="4"/>
  <c r="AW234" i="4" s="1"/>
  <c r="AN530" i="4"/>
  <c r="AW530" i="4" s="1"/>
  <c r="AN405" i="4"/>
  <c r="AW405" i="4" s="1"/>
  <c r="AN163" i="4"/>
  <c r="AN559" i="4"/>
  <c r="AN165" i="4"/>
  <c r="AW165" i="4" s="1"/>
  <c r="AR471" i="4"/>
  <c r="AN191" i="4"/>
  <c r="AW191" i="4" s="1"/>
  <c r="AN331" i="4"/>
  <c r="AW331" i="4" s="1"/>
  <c r="AN137" i="4"/>
  <c r="AR582" i="4"/>
  <c r="AN255" i="4"/>
  <c r="AW255" i="4" s="1"/>
  <c r="AN582" i="4"/>
  <c r="AW582" i="4" s="1"/>
  <c r="AN560" i="4"/>
  <c r="AW560" i="4" s="1"/>
  <c r="AR139" i="4"/>
  <c r="AN106" i="4"/>
  <c r="AW106" i="4" s="1"/>
  <c r="AN263" i="4"/>
  <c r="AW263" i="4" s="1"/>
  <c r="AN395" i="4"/>
  <c r="AW395" i="4" s="1"/>
  <c r="AN194" i="4"/>
  <c r="AW194" i="4" s="1"/>
  <c r="AN214" i="4"/>
  <c r="AW214" i="4" s="1"/>
  <c r="AR258" i="4"/>
  <c r="AN424" i="4"/>
  <c r="AW424" i="4" s="1"/>
  <c r="AN370" i="4"/>
  <c r="AW370" i="4" s="1"/>
  <c r="AR520" i="4"/>
  <c r="AR602" i="4"/>
  <c r="AR181" i="4"/>
  <c r="AN70" i="4"/>
  <c r="AW70" i="4" s="1"/>
  <c r="AN286" i="4"/>
  <c r="AW286" i="4" s="1"/>
  <c r="AR555" i="4"/>
  <c r="AN133" i="4"/>
  <c r="AW133" i="4" s="1"/>
  <c r="AN258" i="4"/>
  <c r="AW258" i="4" s="1"/>
  <c r="AN340" i="4"/>
  <c r="AW340" i="4" s="1"/>
  <c r="AN501" i="4"/>
  <c r="AW501" i="4" s="1"/>
  <c r="AN175" i="4"/>
  <c r="AW175" i="4" s="1"/>
  <c r="AN520" i="4"/>
  <c r="AN359" i="4"/>
  <c r="AW359" i="4" s="1"/>
  <c r="AN548" i="4"/>
  <c r="AW548" i="4" s="1"/>
  <c r="AR17" i="4"/>
  <c r="AN670" i="4" l="1"/>
  <c r="AW670" i="4" s="1"/>
  <c r="AR670" i="4"/>
</calcChain>
</file>

<file path=xl/sharedStrings.xml><?xml version="1.0" encoding="utf-8"?>
<sst xmlns="http://schemas.openxmlformats.org/spreadsheetml/2006/main" count="18093" uniqueCount="1809">
  <si>
    <t>Week 1</t>
  </si>
  <si>
    <t>Week 2</t>
  </si>
  <si>
    <t>Week 3</t>
  </si>
  <si>
    <t>Week 4</t>
  </si>
  <si>
    <t>Week 5</t>
  </si>
  <si>
    <t>Start Date</t>
  </si>
  <si>
    <t>End Date</t>
  </si>
  <si>
    <t>Gross Sales</t>
  </si>
  <si>
    <t>Total Sales</t>
  </si>
  <si>
    <t>Bread</t>
  </si>
  <si>
    <t>Non-Bread</t>
  </si>
  <si>
    <t>Both</t>
  </si>
  <si>
    <t>Branch Name</t>
  </si>
  <si>
    <t>Region</t>
  </si>
  <si>
    <t>Franch Code</t>
  </si>
  <si>
    <t>Franchisee Name</t>
  </si>
  <si>
    <t>TOTALS FROM WEEKLY  ACTUAL REPORTS</t>
  </si>
  <si>
    <t>TOTALS FROM WEEKLY ESTIMATED SALES</t>
  </si>
  <si>
    <t>TOTALS FROM MONTHLY ACTUAL SALES</t>
  </si>
  <si>
    <t>Fran Cell Phone Nbr</t>
  </si>
  <si>
    <t>Franchisee Email Address</t>
  </si>
  <si>
    <t>District</t>
  </si>
  <si>
    <t>Days in Wk:</t>
  </si>
  <si>
    <t>E/A</t>
  </si>
  <si>
    <t>Open</t>
  </si>
  <si>
    <t>Close</t>
  </si>
  <si>
    <t>Date</t>
  </si>
  <si>
    <t>Comment</t>
  </si>
  <si>
    <t>Estimated Bread Sales</t>
  </si>
  <si>
    <t>Week1</t>
  </si>
  <si>
    <t>Week2</t>
  </si>
  <si>
    <t>JBS Reports Submitted On-Tme</t>
  </si>
  <si>
    <t>Royalty Data</t>
  </si>
  <si>
    <t>Old Percent</t>
  </si>
  <si>
    <t>New Percent</t>
  </si>
  <si>
    <t>Effect Dt.</t>
  </si>
  <si>
    <t>Geography</t>
  </si>
  <si>
    <t>Cluster Code</t>
  </si>
  <si>
    <t>N</t>
  </si>
  <si>
    <t>A</t>
  </si>
  <si>
    <t>District Name</t>
  </si>
  <si>
    <t>Store Code</t>
  </si>
  <si>
    <t>Company</t>
  </si>
  <si>
    <t>Temp Closure &amp; Re-Opening</t>
  </si>
  <si>
    <t>Temp. Closure</t>
  </si>
  <si>
    <t>Re-
Opening</t>
  </si>
  <si>
    <t>Projected Sales</t>
  </si>
  <si>
    <t>Peso Sales Bread</t>
  </si>
  <si>
    <t>Peso Sales NonBread</t>
  </si>
  <si>
    <t>Warehouse Code</t>
  </si>
  <si>
    <t>B10013</t>
  </si>
  <si>
    <t>Wireless, Mandaue</t>
  </si>
  <si>
    <t>F12258</t>
  </si>
  <si>
    <t>ZZZ</t>
  </si>
  <si>
    <t>RMG</t>
  </si>
  <si>
    <t>RMG Management Corp</t>
  </si>
  <si>
    <t>MDE</t>
  </si>
  <si>
    <t>VIS</t>
  </si>
  <si>
    <t>DVSY12</t>
  </si>
  <si>
    <t>Mandaue City Consolacion District</t>
  </si>
  <si>
    <t>B10049</t>
  </si>
  <si>
    <t>Gorordo, Cebu</t>
  </si>
  <si>
    <t>F13349</t>
  </si>
  <si>
    <t>RJ and Sons Enterprises, Inc.</t>
  </si>
  <si>
    <t>V04</t>
  </si>
  <si>
    <t>B10052</t>
  </si>
  <si>
    <t>Banawa, Cebu</t>
  </si>
  <si>
    <t/>
  </si>
  <si>
    <t>DVSY07</t>
  </si>
  <si>
    <t>Cebu City South District</t>
  </si>
  <si>
    <t>B10114</t>
  </si>
  <si>
    <t>Ompad, Lapulapu</t>
  </si>
  <si>
    <t>DVSY11</t>
  </si>
  <si>
    <t xml:space="preserve">Lapulapu City District </t>
  </si>
  <si>
    <t>B10138</t>
  </si>
  <si>
    <t>Minglanilla I (Public Market)</t>
  </si>
  <si>
    <t>F12261</t>
  </si>
  <si>
    <t>BMI</t>
  </si>
  <si>
    <t>Bread and More, Inc</t>
  </si>
  <si>
    <t>DVSY09</t>
  </si>
  <si>
    <t>Cebu Province Southwest District</t>
  </si>
  <si>
    <t>B10153</t>
  </si>
  <si>
    <t>Sanciangco, Cebu City</t>
  </si>
  <si>
    <t>DVSY05</t>
  </si>
  <si>
    <t>Cebu City Central District  - 1</t>
  </si>
  <si>
    <t>B10192</t>
  </si>
  <si>
    <t>San Fernando, Cebu</t>
  </si>
  <si>
    <t>DVSY10</t>
  </si>
  <si>
    <t>Cebu Province Southeast District</t>
  </si>
  <si>
    <t>B10203</t>
  </si>
  <si>
    <t>C. Padilla, Cebu City</t>
  </si>
  <si>
    <t>B10281</t>
  </si>
  <si>
    <t>Dalaguete, Cebu</t>
  </si>
  <si>
    <t>B10304</t>
  </si>
  <si>
    <t>Villilia, Novaliches</t>
  </si>
  <si>
    <t>F13414</t>
  </si>
  <si>
    <t>Paunlagui, Petronela</t>
  </si>
  <si>
    <t>PSG</t>
  </si>
  <si>
    <t>LUZ</t>
  </si>
  <si>
    <t>L04</t>
  </si>
  <si>
    <t>B10379</t>
  </si>
  <si>
    <t>Laviña, Valencia, Bukidnon</t>
  </si>
  <si>
    <t>F12588</t>
  </si>
  <si>
    <t>Bukidnon Bread Delights, Inc.</t>
  </si>
  <si>
    <t>CGY</t>
  </si>
  <si>
    <t>MIN</t>
  </si>
  <si>
    <t>M04</t>
  </si>
  <si>
    <t>B10394</t>
  </si>
  <si>
    <t>Gen. Aguinaldo, Iligan</t>
  </si>
  <si>
    <t>F12917</t>
  </si>
  <si>
    <t>KKM</t>
  </si>
  <si>
    <t>Kool Kitchen Management Corporation</t>
  </si>
  <si>
    <t>DMND05</t>
  </si>
  <si>
    <t>North Mindanao District</t>
  </si>
  <si>
    <t>B10405</t>
  </si>
  <si>
    <t>Lopez Ave., Sucat, Parañaque City</t>
  </si>
  <si>
    <t>F10343</t>
  </si>
  <si>
    <t>Cablitas, Yolanda</t>
  </si>
  <si>
    <t>L05</t>
  </si>
  <si>
    <t>B10417</t>
  </si>
  <si>
    <t>Cabreros, Cebu City</t>
  </si>
  <si>
    <t>B10468</t>
  </si>
  <si>
    <t>Minglanilla II (Ward 3 Nat'l Hiway)</t>
  </si>
  <si>
    <t>B10495</t>
  </si>
  <si>
    <t xml:space="preserve">Ibabao, Mandaue </t>
  </si>
  <si>
    <t>B10518</t>
  </si>
  <si>
    <t>Pagsabungan, Mandaue</t>
  </si>
  <si>
    <t>B10545</t>
  </si>
  <si>
    <t xml:space="preserve">Mustang, Lapulapu </t>
  </si>
  <si>
    <t>B10673</t>
  </si>
  <si>
    <t>T. Padilla, Cebu City</t>
  </si>
  <si>
    <t>DVSY06</t>
  </si>
  <si>
    <t>Cebu City Central District - 2</t>
  </si>
  <si>
    <t>B10851</t>
  </si>
  <si>
    <t>Basak I (Pardo-USJR), Cebu City</t>
  </si>
  <si>
    <t>DVSY08</t>
  </si>
  <si>
    <t>Talisay Cebu City District</t>
  </si>
  <si>
    <t>B10887</t>
  </si>
  <si>
    <t xml:space="preserve">Maguikay, Mandaue </t>
  </si>
  <si>
    <t>DVSY03</t>
  </si>
  <si>
    <t>Cebu City North District</t>
  </si>
  <si>
    <t>B10925</t>
  </si>
  <si>
    <t>Jamisola, Pagadian City</t>
  </si>
  <si>
    <t>F13212</t>
  </si>
  <si>
    <t>Francisco, Dolores</t>
  </si>
  <si>
    <t>M06</t>
  </si>
  <si>
    <t>B10952</t>
  </si>
  <si>
    <t>Bulacao, Pardo, Cebu City</t>
  </si>
  <si>
    <t>B10964</t>
  </si>
  <si>
    <t>Cogon, Pardo, Cebu City</t>
  </si>
  <si>
    <t>B11078</t>
  </si>
  <si>
    <t xml:space="preserve">Maribago, Lapulapu </t>
  </si>
  <si>
    <t>B11128</t>
  </si>
  <si>
    <t>Oslob, Cebu</t>
  </si>
  <si>
    <t>F12398</t>
  </si>
  <si>
    <t>Cebu Prime Foods Inc.</t>
  </si>
  <si>
    <t>V01</t>
  </si>
  <si>
    <t>B11155</t>
  </si>
  <si>
    <t>Simala, Sibonga, Cebu</t>
  </si>
  <si>
    <t>B11256</t>
  </si>
  <si>
    <t>Argao, Cebu</t>
  </si>
  <si>
    <t>B11271</t>
  </si>
  <si>
    <t>Marigondon, Lapulapu</t>
  </si>
  <si>
    <t>B11283</t>
  </si>
  <si>
    <t>Sunny Hills, Talamban, Cebu City</t>
  </si>
  <si>
    <t>B11321</t>
  </si>
  <si>
    <t>Fatima, Cebu City</t>
  </si>
  <si>
    <t>B11369</t>
  </si>
  <si>
    <t>Mambaling, Cebu City</t>
  </si>
  <si>
    <t>B11458</t>
  </si>
  <si>
    <t>Tubod, Lanao del Norte</t>
  </si>
  <si>
    <t>F10848</t>
  </si>
  <si>
    <t>Cuadro Hornero Company</t>
  </si>
  <si>
    <t>B11511</t>
  </si>
  <si>
    <t>Lutopan, Toledo City</t>
  </si>
  <si>
    <t>B11559</t>
  </si>
  <si>
    <t>Sugbuanon, Colon</t>
  </si>
  <si>
    <t>B11562</t>
  </si>
  <si>
    <t>Boljo-on, Cebu</t>
  </si>
  <si>
    <t>B11586</t>
  </si>
  <si>
    <t>Terminal I (So. Terminal), Cebu City</t>
  </si>
  <si>
    <t>B11651</t>
  </si>
  <si>
    <t>Quezon, Valencia</t>
  </si>
  <si>
    <t>B11663</t>
  </si>
  <si>
    <t>Lipata, Minglanilla</t>
  </si>
  <si>
    <t>B11675</t>
  </si>
  <si>
    <t>Carmen, Cebu</t>
  </si>
  <si>
    <t>F12463</t>
  </si>
  <si>
    <t>ESC</t>
  </si>
  <si>
    <t>Econostar Corporation</t>
  </si>
  <si>
    <t>DVSY01</t>
  </si>
  <si>
    <t xml:space="preserve">Cebu Province North Lower District </t>
  </si>
  <si>
    <t>B11713</t>
  </si>
  <si>
    <t>Sangi, Lapulapu</t>
  </si>
  <si>
    <t>B11725</t>
  </si>
  <si>
    <t>V. Rama-Tres, Cebu City</t>
  </si>
  <si>
    <t xml:space="preserve">Cebu City South District </t>
  </si>
  <si>
    <t>B11737</t>
  </si>
  <si>
    <t>Naga, Cebu</t>
  </si>
  <si>
    <t>B11776</t>
  </si>
  <si>
    <t>Tanjay, Negros Oriental</t>
  </si>
  <si>
    <t>F11609</t>
  </si>
  <si>
    <t>Montenegro, Maria Ana</t>
  </si>
  <si>
    <t>B11814</t>
  </si>
  <si>
    <t>Pit-os, Cebu City</t>
  </si>
  <si>
    <t>B11877</t>
  </si>
  <si>
    <t>Maranding, Lanao del Norte</t>
  </si>
  <si>
    <t>B11889</t>
  </si>
  <si>
    <t>Aznar, Cebu City</t>
  </si>
  <si>
    <t>B11892</t>
  </si>
  <si>
    <t>V. Rama-Calamba, Cebu City</t>
  </si>
  <si>
    <t>B11903</t>
  </si>
  <si>
    <t>Tungkop, Minglanilla</t>
  </si>
  <si>
    <t>B12044</t>
  </si>
  <si>
    <t>Bais, Negros Oriental</t>
  </si>
  <si>
    <t>B12056</t>
  </si>
  <si>
    <t>Maramag, Bukidnon</t>
  </si>
  <si>
    <t>F13616</t>
  </si>
  <si>
    <t>Artnen Food Corporation</t>
  </si>
  <si>
    <t>DVO</t>
  </si>
  <si>
    <t>B12068</t>
  </si>
  <si>
    <t>Biñan, Laguna</t>
  </si>
  <si>
    <t>F10809</t>
  </si>
  <si>
    <t>Farcon, Teodora</t>
  </si>
  <si>
    <t>L07</t>
  </si>
  <si>
    <t>B12095</t>
  </si>
  <si>
    <t>Mango, Cebu City</t>
  </si>
  <si>
    <t>B12121</t>
  </si>
  <si>
    <t>Polomolok, South Cotabato</t>
  </si>
  <si>
    <t>DMND03</t>
  </si>
  <si>
    <t>South Mindanao District</t>
  </si>
  <si>
    <t>B12133</t>
  </si>
  <si>
    <t>Salinas, Lahug</t>
  </si>
  <si>
    <t>B12362</t>
  </si>
  <si>
    <t>Rajah Soliman, Baguio City</t>
  </si>
  <si>
    <t>F11559</t>
  </si>
  <si>
    <t>Mesina, Anthony</t>
  </si>
  <si>
    <t>PAM</t>
  </si>
  <si>
    <t>L02</t>
  </si>
  <si>
    <t>B12436</t>
  </si>
  <si>
    <t>Colon, Cebu City</t>
  </si>
  <si>
    <t>B12549</t>
  </si>
  <si>
    <t>Lipa, Batangas</t>
  </si>
  <si>
    <t>F12804</t>
  </si>
  <si>
    <t>COM</t>
  </si>
  <si>
    <t>Cebu Oven Magic Corporation</t>
  </si>
  <si>
    <t>DLZN05</t>
  </si>
  <si>
    <t xml:space="preserve">South Luzon District </t>
  </si>
  <si>
    <t>B12591</t>
  </si>
  <si>
    <t>Talamban Proper, Cebu City</t>
  </si>
  <si>
    <t>B12614</t>
  </si>
  <si>
    <t>Pateros, Manila</t>
  </si>
  <si>
    <t>F10798</t>
  </si>
  <si>
    <t>Farcon, Mario Lorenzo</t>
  </si>
  <si>
    <t>B12653</t>
  </si>
  <si>
    <t>Kauswagan, Cagayan de Oro</t>
  </si>
  <si>
    <t>F13492</t>
  </si>
  <si>
    <t>Arquisola, Ray</t>
  </si>
  <si>
    <t>M05</t>
  </si>
  <si>
    <t>B12727</t>
  </si>
  <si>
    <t>Don Jose Avila, Cebu City</t>
  </si>
  <si>
    <t>B12754</t>
  </si>
  <si>
    <t>Buendia, Pasay City</t>
  </si>
  <si>
    <t>F12362</t>
  </si>
  <si>
    <t>Villanueva, Liza</t>
  </si>
  <si>
    <t>L06</t>
  </si>
  <si>
    <t>B12793</t>
  </si>
  <si>
    <t>Siniloan, Laguna</t>
  </si>
  <si>
    <t>F12335</t>
  </si>
  <si>
    <t>Velasco, Guillermo</t>
  </si>
  <si>
    <t>B12894</t>
  </si>
  <si>
    <t>San Fernando City, La Union</t>
  </si>
  <si>
    <t>F12169</t>
  </si>
  <si>
    <t>Tanyao, Jason</t>
  </si>
  <si>
    <t>B12932</t>
  </si>
  <si>
    <t>Hilltop Market, Baguio City</t>
  </si>
  <si>
    <t>B12944</t>
  </si>
  <si>
    <t>Mindanao Ave-Tandang Sora, Quezon City</t>
  </si>
  <si>
    <t>DLZN01</t>
  </si>
  <si>
    <t>National Capital Region District</t>
  </si>
  <si>
    <t>B12956</t>
  </si>
  <si>
    <t>Banilad, Cebu City</t>
  </si>
  <si>
    <t>B13147</t>
  </si>
  <si>
    <t>B. Rodriguez, Cebu City</t>
  </si>
  <si>
    <t>B13301</t>
  </si>
  <si>
    <t>Laoag City, Ilocos Norte</t>
  </si>
  <si>
    <t>DLZN03</t>
  </si>
  <si>
    <t xml:space="preserve">North Luzon District </t>
  </si>
  <si>
    <t>B13414</t>
  </si>
  <si>
    <t>A. Rodriguez, Rosario, Pasig</t>
  </si>
  <si>
    <t>B13492</t>
  </si>
  <si>
    <t>Barili, Cebu</t>
  </si>
  <si>
    <t>B13593</t>
  </si>
  <si>
    <t>Pacita Complex, San Pedro, Laguna</t>
  </si>
  <si>
    <t>F10863</t>
  </si>
  <si>
    <t>Rayjobel Corp.</t>
  </si>
  <si>
    <t>L01</t>
  </si>
  <si>
    <t>B13756</t>
  </si>
  <si>
    <t>Magsaysay, Baguio City</t>
  </si>
  <si>
    <t>B13845</t>
  </si>
  <si>
    <t>Sudlon, Lahug, Cebu City</t>
  </si>
  <si>
    <t>B14036</t>
  </si>
  <si>
    <t>San Pedro Town Center, Laguna</t>
  </si>
  <si>
    <t>B14137</t>
  </si>
  <si>
    <t>Olongapo City, Zambales</t>
  </si>
  <si>
    <t>F12781</t>
  </si>
  <si>
    <t>JJ Palms Baking Corporation</t>
  </si>
  <si>
    <t>B14303</t>
  </si>
  <si>
    <t>Ipil, Zamboanga Sibugay</t>
  </si>
  <si>
    <t>F13453</t>
  </si>
  <si>
    <t>Acasio, Angeli Marie</t>
  </si>
  <si>
    <t>DPL</t>
  </si>
  <si>
    <t>M07</t>
  </si>
  <si>
    <t>B14378</t>
  </si>
  <si>
    <t>Ginatilan, Cebu</t>
  </si>
  <si>
    <t>B14393</t>
  </si>
  <si>
    <t>Cordova, Mactan</t>
  </si>
  <si>
    <t>F12564</t>
  </si>
  <si>
    <t>Arquisola, Jason Charles</t>
  </si>
  <si>
    <t>V05</t>
  </si>
  <si>
    <t>B14404</t>
  </si>
  <si>
    <t>Mabolo, Cebu City</t>
  </si>
  <si>
    <t>B14428</t>
  </si>
  <si>
    <t>Sucat Road, Parañaque</t>
  </si>
  <si>
    <t>F10545</t>
  </si>
  <si>
    <t>De Jesus, Jennifer</t>
  </si>
  <si>
    <t>B14482</t>
  </si>
  <si>
    <t>Calamba, Misamis Occidental</t>
  </si>
  <si>
    <t>F13554</t>
  </si>
  <si>
    <t>Sulasula, Kylie Mae</t>
  </si>
  <si>
    <t>B14532</t>
  </si>
  <si>
    <t>Bacayan, Cebu City</t>
  </si>
  <si>
    <t>B14556</t>
  </si>
  <si>
    <t>Matina Shrine, Davao City</t>
  </si>
  <si>
    <t>DMND01</t>
  </si>
  <si>
    <t>South East Mindanao District</t>
  </si>
  <si>
    <t>B14595</t>
  </si>
  <si>
    <t>Hagnaya, Cebu</t>
  </si>
  <si>
    <t>DVSY02</t>
  </si>
  <si>
    <t xml:space="preserve">Cebu Province North Upper District </t>
  </si>
  <si>
    <t>B14669</t>
  </si>
  <si>
    <t>Sibonga, Cebu</t>
  </si>
  <si>
    <t>F12386</t>
  </si>
  <si>
    <t>Villarin, Roel</t>
  </si>
  <si>
    <t>B14823</t>
  </si>
  <si>
    <t>Don Carlos, Bukidnon</t>
  </si>
  <si>
    <t>B14898</t>
  </si>
  <si>
    <t>Panabo, Davao</t>
  </si>
  <si>
    <t>F10189</t>
  </si>
  <si>
    <t>Arquisola, Stephen Philip</t>
  </si>
  <si>
    <t>M02</t>
  </si>
  <si>
    <t>B14963</t>
  </si>
  <si>
    <t>Skyline, Davao</t>
  </si>
  <si>
    <t>B15139</t>
  </si>
  <si>
    <t>Mantalungon, Dalaguete (2)</t>
  </si>
  <si>
    <t>B15154</t>
  </si>
  <si>
    <t>Jungquera cor. R. R. Landon, Cebu</t>
  </si>
  <si>
    <t>B15216</t>
  </si>
  <si>
    <t>Fatima, Gen. Santos City</t>
  </si>
  <si>
    <t>B15228</t>
  </si>
  <si>
    <t>Kawit, Medellin, Cebu</t>
  </si>
  <si>
    <t>B15231</t>
  </si>
  <si>
    <t>Daanbantayan, Cebu</t>
  </si>
  <si>
    <t>B16129</t>
  </si>
  <si>
    <t>B15243</t>
  </si>
  <si>
    <t>Gov. Lim, Zamboanga</t>
  </si>
  <si>
    <t>F11966</t>
  </si>
  <si>
    <t>Ruiz, John</t>
  </si>
  <si>
    <t>B15282</t>
  </si>
  <si>
    <t>Siquijor, Siquijor</t>
  </si>
  <si>
    <t>F10278</t>
  </si>
  <si>
    <t>Bonilla, Lydia</t>
  </si>
  <si>
    <t>B15294</t>
  </si>
  <si>
    <t>Bangued, Abra</t>
  </si>
  <si>
    <t>F11232</t>
  </si>
  <si>
    <t>Go, Christopher</t>
  </si>
  <si>
    <t>B15406</t>
  </si>
  <si>
    <t>Centro, Mandaue</t>
  </si>
  <si>
    <t>B15418</t>
  </si>
  <si>
    <t>Olympus Arcade, Novaliches</t>
  </si>
  <si>
    <t>B15484</t>
  </si>
  <si>
    <t>Divisoria Dry, Cawayan, Masbate</t>
  </si>
  <si>
    <t>F10331</t>
  </si>
  <si>
    <t>Cabatingan, Gloria</t>
  </si>
  <si>
    <t>V06</t>
  </si>
  <si>
    <t>B15496</t>
  </si>
  <si>
    <t>Sangi, Toledo</t>
  </si>
  <si>
    <t>V02</t>
  </si>
  <si>
    <t>B15507</t>
  </si>
  <si>
    <t>P. Montoya, Silang, Cavite</t>
  </si>
  <si>
    <t>F12591</t>
  </si>
  <si>
    <t>Lualhati, Carlito</t>
  </si>
  <si>
    <t>B15519</t>
  </si>
  <si>
    <t>Sogod, Leyte</t>
  </si>
  <si>
    <t>F11586</t>
  </si>
  <si>
    <t>Mobe, Victoria</t>
  </si>
  <si>
    <t>TAC</t>
  </si>
  <si>
    <t>V07</t>
  </si>
  <si>
    <t>B15558</t>
  </si>
  <si>
    <t>Tangub, Mis. Occidental</t>
  </si>
  <si>
    <t>B15597</t>
  </si>
  <si>
    <t>Larena, Siquijor</t>
  </si>
  <si>
    <t>B15623</t>
  </si>
  <si>
    <t>Ancajas, Medellin</t>
  </si>
  <si>
    <t>B15662</t>
  </si>
  <si>
    <t>Agora, Lapasan, Cagayan de Oro</t>
  </si>
  <si>
    <t>B15698</t>
  </si>
  <si>
    <t>S. Osmeña, Lapu-lapu</t>
  </si>
  <si>
    <t>B15712</t>
  </si>
  <si>
    <t>Poblacion Muntinlupa Market, Muntinlupa</t>
  </si>
  <si>
    <t>F12487</t>
  </si>
  <si>
    <t>Caroramo Corporation</t>
  </si>
  <si>
    <t>B15724</t>
  </si>
  <si>
    <t>Galas, Dipolog</t>
  </si>
  <si>
    <t>F12285</t>
  </si>
  <si>
    <t>Uy, Michelle</t>
  </si>
  <si>
    <t>B15775</t>
  </si>
  <si>
    <t>Yati, Liloan</t>
  </si>
  <si>
    <t>B15801</t>
  </si>
  <si>
    <t>Mambajao, Camiguin</t>
  </si>
  <si>
    <t>DMND04</t>
  </si>
  <si>
    <t>B15849</t>
  </si>
  <si>
    <t>Turno, Dipolog</t>
  </si>
  <si>
    <t>F12499</t>
  </si>
  <si>
    <t>Uy, Charmae</t>
  </si>
  <si>
    <t>B15888</t>
  </si>
  <si>
    <t>Canjulao, Lapulapu</t>
  </si>
  <si>
    <t>B15902</t>
  </si>
  <si>
    <t>Sindangan, Zamboanga del Norte</t>
  </si>
  <si>
    <t>B15914</t>
  </si>
  <si>
    <t>Hinunangan, Southern Leyte</t>
  </si>
  <si>
    <t>F12576</t>
  </si>
  <si>
    <t>Tan, Imelda</t>
  </si>
  <si>
    <t>B16004</t>
  </si>
  <si>
    <t>Bungtod, Bogo</t>
  </si>
  <si>
    <t>B16105</t>
  </si>
  <si>
    <t>Damolog, Sogod</t>
  </si>
  <si>
    <t>P. Lorenzo, Zamboanga</t>
  </si>
  <si>
    <t>B16156</t>
  </si>
  <si>
    <t>Minaog, Dipolog</t>
  </si>
  <si>
    <t>B16183</t>
  </si>
  <si>
    <t>Tandang Sora, Quezon City</t>
  </si>
  <si>
    <t>F12703</t>
  </si>
  <si>
    <t>Chiu, Lakambini</t>
  </si>
  <si>
    <t>B16218</t>
  </si>
  <si>
    <t>Bogo Market, Cebu</t>
  </si>
  <si>
    <t>B16307</t>
  </si>
  <si>
    <t>Mintal, Davao</t>
  </si>
  <si>
    <t>B21334</t>
  </si>
  <si>
    <t>B16346</t>
  </si>
  <si>
    <t>Kapalong, Davao Del Norte</t>
  </si>
  <si>
    <t>DMND07</t>
  </si>
  <si>
    <t>B16361</t>
  </si>
  <si>
    <t>Pitogo, Consolacion</t>
  </si>
  <si>
    <t>B16408</t>
  </si>
  <si>
    <t xml:space="preserve">Lanang, Davao City </t>
  </si>
  <si>
    <t>F13402</t>
  </si>
  <si>
    <t>Navarro, Angelie</t>
  </si>
  <si>
    <t>B16423</t>
  </si>
  <si>
    <t>Dumaguete, Negros Oriental</t>
  </si>
  <si>
    <t>DVSY15</t>
  </si>
  <si>
    <t>Negros District</t>
  </si>
  <si>
    <t>B16435</t>
  </si>
  <si>
    <t xml:space="preserve">Bayawan, Negros Oriental </t>
  </si>
  <si>
    <t>B16447</t>
  </si>
  <si>
    <t>Balamban, Cebu</t>
  </si>
  <si>
    <t>B16459</t>
  </si>
  <si>
    <t>Cabancalan, Mandaue City</t>
  </si>
  <si>
    <t>B16462</t>
  </si>
  <si>
    <t>V. Gullas - P. Burgos, Cebu City</t>
  </si>
  <si>
    <t>B16474</t>
  </si>
  <si>
    <t>Tuburan, Cebu</t>
  </si>
  <si>
    <t>B16524</t>
  </si>
  <si>
    <t>Gen. Luis, Novaliches</t>
  </si>
  <si>
    <t>B16587</t>
  </si>
  <si>
    <t>San Francisco, Camotes</t>
  </si>
  <si>
    <t>B16691</t>
  </si>
  <si>
    <t>Calbayog, Samar</t>
  </si>
  <si>
    <t>DVSY13</t>
  </si>
  <si>
    <t>Leyte Samar District</t>
  </si>
  <si>
    <t>B16738</t>
  </si>
  <si>
    <t>Kabankalan, Negros Occidental</t>
  </si>
  <si>
    <t>B16792</t>
  </si>
  <si>
    <t>Bantayan, Cebu</t>
  </si>
  <si>
    <t>B16815</t>
  </si>
  <si>
    <t>Tubigon, Bohol</t>
  </si>
  <si>
    <t>DVSY14</t>
  </si>
  <si>
    <t>Bohol District</t>
  </si>
  <si>
    <t>B16827</t>
  </si>
  <si>
    <t>Solano, Nueva Vizcaya</t>
  </si>
  <si>
    <t>B16854</t>
  </si>
  <si>
    <t>Moalboal, Cebu</t>
  </si>
  <si>
    <t>F13073</t>
  </si>
  <si>
    <t>Alquizola, Jonnette Caroie</t>
  </si>
  <si>
    <t>B16893</t>
  </si>
  <si>
    <t>Borongan, Samar</t>
  </si>
  <si>
    <t>B16904</t>
  </si>
  <si>
    <t>Balibago, Sta. Rosa</t>
  </si>
  <si>
    <t>B16928</t>
  </si>
  <si>
    <t>Vigan, Ilocos Sur</t>
  </si>
  <si>
    <t>B16943</t>
  </si>
  <si>
    <t>Ilaya, Cagayan de Oro</t>
  </si>
  <si>
    <t>F10177</t>
  </si>
  <si>
    <t>Arquisola, Charissa</t>
  </si>
  <si>
    <t>B17021</t>
  </si>
  <si>
    <t>Pico, La Trinidad</t>
  </si>
  <si>
    <t>B17107</t>
  </si>
  <si>
    <t>Prince Mall Guiuan, Samar</t>
  </si>
  <si>
    <t>B17161</t>
  </si>
  <si>
    <t>San Roque, Marikina</t>
  </si>
  <si>
    <t>B17173</t>
  </si>
  <si>
    <t>G.Y. dela Serna, Lapulapu City</t>
  </si>
  <si>
    <t>B17197</t>
  </si>
  <si>
    <t>Polanco, Zamboanga</t>
  </si>
  <si>
    <t>B17259</t>
  </si>
  <si>
    <t>Tres de Abril, Labangon</t>
  </si>
  <si>
    <t>F13085</t>
  </si>
  <si>
    <t>Dy Teves, Aileen</t>
  </si>
  <si>
    <t>B17274</t>
  </si>
  <si>
    <t>Baybay, Leyte</t>
  </si>
  <si>
    <t>B17312</t>
  </si>
  <si>
    <t>Marawi, Lanao del Sur</t>
  </si>
  <si>
    <t>F13111</t>
  </si>
  <si>
    <t>Caperig, Ida Mel</t>
  </si>
  <si>
    <t>B17387</t>
  </si>
  <si>
    <t>Tisa, Cebu City</t>
  </si>
  <si>
    <t>F13159</t>
  </si>
  <si>
    <t>Acedillo, Fritz Gerald</t>
  </si>
  <si>
    <t>B17425</t>
  </si>
  <si>
    <t>Miputak, Dipolog City</t>
  </si>
  <si>
    <t>B17452</t>
  </si>
  <si>
    <t>Pating, Masbate City</t>
  </si>
  <si>
    <t>F13198</t>
  </si>
  <si>
    <t>Altarejos, Kristine Kate</t>
  </si>
  <si>
    <t>B17464</t>
  </si>
  <si>
    <t>F. Llamas, Punta Princesa</t>
  </si>
  <si>
    <t>B17514</t>
  </si>
  <si>
    <t>Panganiban, Cebu City</t>
  </si>
  <si>
    <t>B17526</t>
  </si>
  <si>
    <t>Lamacan, Argao</t>
  </si>
  <si>
    <t>B17538</t>
  </si>
  <si>
    <t>Inoburan, Naga</t>
  </si>
  <si>
    <t>B17565</t>
  </si>
  <si>
    <t>Quezon Blvd., Kidapawan City</t>
  </si>
  <si>
    <t>DMND02</t>
  </si>
  <si>
    <t>B17603</t>
  </si>
  <si>
    <t xml:space="preserve">Pusok, Lapulapu City </t>
  </si>
  <si>
    <t>B17642</t>
  </si>
  <si>
    <t>Veterans Ave., Zamboanga City</t>
  </si>
  <si>
    <t>B17654</t>
  </si>
  <si>
    <t>Impalambong, Malaybalay</t>
  </si>
  <si>
    <t>F14036</t>
  </si>
  <si>
    <t>CHDS Foods, Inc.</t>
  </si>
  <si>
    <t>B17716</t>
  </si>
  <si>
    <t>Bogo North Town Ctr., Bogo</t>
  </si>
  <si>
    <t>B17728</t>
  </si>
  <si>
    <t>Guadalupe, Cebu City</t>
  </si>
  <si>
    <t>B17731</t>
  </si>
  <si>
    <t>Liloy, Zamboanga del Norte</t>
  </si>
  <si>
    <t>B17743</t>
  </si>
  <si>
    <t>Olivar, Danao City</t>
  </si>
  <si>
    <t>B17779</t>
  </si>
  <si>
    <t>Pakigne, Minglanilla</t>
  </si>
  <si>
    <t>B17782</t>
  </si>
  <si>
    <t>Dulag, Leyte</t>
  </si>
  <si>
    <t>B17805</t>
  </si>
  <si>
    <t>Happy Homes, Magsaysay, Baguio</t>
  </si>
  <si>
    <t>B17832</t>
  </si>
  <si>
    <t>Tayud, Consolacion</t>
  </si>
  <si>
    <t>B17844</t>
  </si>
  <si>
    <t>Imelda, Zamboanga Sibugay</t>
  </si>
  <si>
    <t>B17868</t>
  </si>
  <si>
    <t>Tibanban, Davao Oriental</t>
  </si>
  <si>
    <t>DMND08</t>
  </si>
  <si>
    <t>B17883</t>
  </si>
  <si>
    <t>Balirong, Naga</t>
  </si>
  <si>
    <t>B17945</t>
  </si>
  <si>
    <t>Bolinao, Pangasinan</t>
  </si>
  <si>
    <t>B18008</t>
  </si>
  <si>
    <t>Dumlog, Talisay</t>
  </si>
  <si>
    <t>B18011</t>
  </si>
  <si>
    <t>Mauban, Quezon</t>
  </si>
  <si>
    <t>F13352</t>
  </si>
  <si>
    <t>Yu, Casey Keane</t>
  </si>
  <si>
    <t>B18074</t>
  </si>
  <si>
    <t>Babag II, Lapulapu City</t>
  </si>
  <si>
    <t>B21156</t>
  </si>
  <si>
    <t>B18109</t>
  </si>
  <si>
    <t>Biasong, Merida</t>
  </si>
  <si>
    <t>B18112</t>
  </si>
  <si>
    <t>Maningcol, Ozamiz City</t>
  </si>
  <si>
    <t>B18136</t>
  </si>
  <si>
    <t>Ayungon, Negros Oriental</t>
  </si>
  <si>
    <t>B18151</t>
  </si>
  <si>
    <t>Madang, Mati, Davao</t>
  </si>
  <si>
    <t>B18225</t>
  </si>
  <si>
    <t>Gaisano Capital San Carlos, Negros Occidental</t>
  </si>
  <si>
    <t>B18237</t>
  </si>
  <si>
    <t>Panubigan, Canlaon City, Negros Oriental</t>
  </si>
  <si>
    <t>B18249</t>
  </si>
  <si>
    <t>Mawab, Compostela Valley</t>
  </si>
  <si>
    <t>B18276</t>
  </si>
  <si>
    <t>Tapilon, Daanbantayan, Cebu</t>
  </si>
  <si>
    <t>B18377</t>
  </si>
  <si>
    <t>Singao, Kidapawan City</t>
  </si>
  <si>
    <t>B18415</t>
  </si>
  <si>
    <t>Ilagan Public Market, Ilagan City</t>
  </si>
  <si>
    <t>F12816</t>
  </si>
  <si>
    <t xml:space="preserve">Alburo, Maria Monette </t>
  </si>
  <si>
    <t>L03</t>
  </si>
  <si>
    <t>B18427</t>
  </si>
  <si>
    <t>Mohon, Talisay</t>
  </si>
  <si>
    <t>B18442</t>
  </si>
  <si>
    <t>Cabantan, Cebu City</t>
  </si>
  <si>
    <t>B18466</t>
  </si>
  <si>
    <t>Maigo, Lanao del Norte</t>
  </si>
  <si>
    <t>B18481</t>
  </si>
  <si>
    <t>Camputhaw, Cebu City</t>
  </si>
  <si>
    <t>B18493</t>
  </si>
  <si>
    <t>Pajo, Lapulapu City</t>
  </si>
  <si>
    <t>DVSY17</t>
  </si>
  <si>
    <t xml:space="preserve">Lapulapu Express District </t>
  </si>
  <si>
    <t>B18504</t>
  </si>
  <si>
    <t>Bacay, Minglanilla</t>
  </si>
  <si>
    <t>B18516</t>
  </si>
  <si>
    <t>Sangat, San Fernando</t>
  </si>
  <si>
    <t>B18531</t>
  </si>
  <si>
    <t>Dalaguete Market, Dalaguete</t>
  </si>
  <si>
    <t>B18543</t>
  </si>
  <si>
    <t>Quirino Highway, Talipapa</t>
  </si>
  <si>
    <t>B18582</t>
  </si>
  <si>
    <t>Bonifacio, Bukidnon</t>
  </si>
  <si>
    <t>B18617</t>
  </si>
  <si>
    <t>UPS-5, Parañaque</t>
  </si>
  <si>
    <t>B18629</t>
  </si>
  <si>
    <t>Tagunol, Mambaling</t>
  </si>
  <si>
    <t>DVSY16</t>
  </si>
  <si>
    <t xml:space="preserve">Cebu Central Express District </t>
  </si>
  <si>
    <t>B18632</t>
  </si>
  <si>
    <t>Cabreros, Cebu City 2</t>
  </si>
  <si>
    <t>B18668</t>
  </si>
  <si>
    <t>Vito, Minglanilla</t>
  </si>
  <si>
    <t>B18671</t>
  </si>
  <si>
    <t>Cortes, Mandaue</t>
  </si>
  <si>
    <t>B18695</t>
  </si>
  <si>
    <t>P. Sanchez, Pagsabungan</t>
  </si>
  <si>
    <t>B18706</t>
  </si>
  <si>
    <t>Sewage, Lapulapu</t>
  </si>
  <si>
    <t>B18721</t>
  </si>
  <si>
    <t>Bontores, San Nicolas</t>
  </si>
  <si>
    <t>B18733</t>
  </si>
  <si>
    <t>Holy Cross, Basak, Pardo</t>
  </si>
  <si>
    <t>B18745</t>
  </si>
  <si>
    <t>Casuntingan, Mandaue</t>
  </si>
  <si>
    <t>B18772</t>
  </si>
  <si>
    <t>Poblacion, Pardo, Cebu City</t>
  </si>
  <si>
    <t>B18784</t>
  </si>
  <si>
    <t xml:space="preserve">Laray, San Roque, Talisay </t>
  </si>
  <si>
    <t>B18796</t>
  </si>
  <si>
    <t>H. Mall Mactan, Cebu</t>
  </si>
  <si>
    <t>B18807</t>
  </si>
  <si>
    <t>Taloot, Argao</t>
  </si>
  <si>
    <t>B18819</t>
  </si>
  <si>
    <t>Simala (Monghe), Cebu</t>
  </si>
  <si>
    <t>B18822</t>
  </si>
  <si>
    <t>Prince Warehouse Argao, Cebu</t>
  </si>
  <si>
    <t>B18834</t>
  </si>
  <si>
    <t xml:space="preserve">Argao 2, Cebu </t>
  </si>
  <si>
    <t>B18846</t>
  </si>
  <si>
    <t>Grand Mall, Lapulapu</t>
  </si>
  <si>
    <t>B18861</t>
  </si>
  <si>
    <t>San Roque, Mambaling, Cebu City</t>
  </si>
  <si>
    <t>B18885</t>
  </si>
  <si>
    <t>Lutopan 2, Toledo City</t>
  </si>
  <si>
    <t>B18897</t>
  </si>
  <si>
    <t>Cantabaco, Toledo City</t>
  </si>
  <si>
    <t>B18908</t>
  </si>
  <si>
    <t>Das Market, Lutopan</t>
  </si>
  <si>
    <t>B18911</t>
  </si>
  <si>
    <t>Alcoy, Cebu</t>
  </si>
  <si>
    <t>B18935</t>
  </si>
  <si>
    <t>Roxas, Valencia</t>
  </si>
  <si>
    <t>B18947</t>
  </si>
  <si>
    <t>Magsaysay, Valencia</t>
  </si>
  <si>
    <t>B18974</t>
  </si>
  <si>
    <t>Kapatagan, Lanao del Norte</t>
  </si>
  <si>
    <t>B18998</t>
  </si>
  <si>
    <t>Inayagan, Naga</t>
  </si>
  <si>
    <t>B19013</t>
  </si>
  <si>
    <t>Quezon Avenue, Bukidnon</t>
  </si>
  <si>
    <t>B19025</t>
  </si>
  <si>
    <t>BMP, Laguna</t>
  </si>
  <si>
    <t>B19076</t>
  </si>
  <si>
    <t>Tintay, Talamban, Cebu City</t>
  </si>
  <si>
    <t>B19088</t>
  </si>
  <si>
    <t>Kauswagan, Talamban</t>
  </si>
  <si>
    <t>B19091</t>
  </si>
  <si>
    <t>Pasig Market, Manila</t>
  </si>
  <si>
    <t>B19126</t>
  </si>
  <si>
    <t>Capitol, Cebu City</t>
  </si>
  <si>
    <t>B25508</t>
  </si>
  <si>
    <t>B19138</t>
  </si>
  <si>
    <t>SM Mall of Asia, Pasay City</t>
  </si>
  <si>
    <t>B19141</t>
  </si>
  <si>
    <t>Mapua, Intramuros</t>
  </si>
  <si>
    <t>B19153</t>
  </si>
  <si>
    <t>Adamson University, Manila</t>
  </si>
  <si>
    <t>B19203</t>
  </si>
  <si>
    <t>Kayang, Baguio City</t>
  </si>
  <si>
    <t>B19227</t>
  </si>
  <si>
    <t>Anagan, Apas</t>
  </si>
  <si>
    <t>B19304</t>
  </si>
  <si>
    <t>B19331</t>
  </si>
  <si>
    <t>Landayan, San Pedro, Laguna</t>
  </si>
  <si>
    <t>B19405</t>
  </si>
  <si>
    <t>New Lucban, Baguio</t>
  </si>
  <si>
    <t>B19417</t>
  </si>
  <si>
    <t>Purok 8, Kamputhaw</t>
  </si>
  <si>
    <t>B19432</t>
  </si>
  <si>
    <t>Gordon, Pag-asa, Olongapo</t>
  </si>
  <si>
    <t>B19444</t>
  </si>
  <si>
    <t>SBMA, Olongapo City</t>
  </si>
  <si>
    <t>B24557</t>
  </si>
  <si>
    <t>B19456</t>
  </si>
  <si>
    <t>Rizal Triangle, Olongapo</t>
  </si>
  <si>
    <t>B19468</t>
  </si>
  <si>
    <t>Rizal Avenue, Olongapo</t>
  </si>
  <si>
    <t>B19495</t>
  </si>
  <si>
    <t>Pilipog, Cordova</t>
  </si>
  <si>
    <t>B19506</t>
  </si>
  <si>
    <t>Gabi, Cordova</t>
  </si>
  <si>
    <t>B19518</t>
  </si>
  <si>
    <t>Huyong-huyong, Bacayan</t>
  </si>
  <si>
    <t>B19521</t>
  </si>
  <si>
    <t>Lapulapu, Davao City</t>
  </si>
  <si>
    <t>B19545</t>
  </si>
  <si>
    <t>San Remegio, Cebu</t>
  </si>
  <si>
    <t>B19596</t>
  </si>
  <si>
    <t>Carmen, Davao 2</t>
  </si>
  <si>
    <t>B19619</t>
  </si>
  <si>
    <t>Guadalupe (Fooda), Cebu City</t>
  </si>
  <si>
    <t>B19622</t>
  </si>
  <si>
    <t>Caleriohan, Dalaguete</t>
  </si>
  <si>
    <t>B19634</t>
  </si>
  <si>
    <t>Mahawak, Medellin, Cebu</t>
  </si>
  <si>
    <t>B19646</t>
  </si>
  <si>
    <t>Lazi, Siquijor</t>
  </si>
  <si>
    <t>B19658</t>
  </si>
  <si>
    <t>Mabini-Plaridel</t>
  </si>
  <si>
    <t>B19685</t>
  </si>
  <si>
    <t>Magdugo, Toledo</t>
  </si>
  <si>
    <t>B19697</t>
  </si>
  <si>
    <t>Gaisano Capital Sogod, Sogod</t>
  </si>
  <si>
    <t>B19711</t>
  </si>
  <si>
    <t>Courtyard, Tangub City</t>
  </si>
  <si>
    <t>B19723</t>
  </si>
  <si>
    <t>Paknaan, Mandaue</t>
  </si>
  <si>
    <t>B19735</t>
  </si>
  <si>
    <t>Paknaan 2, Mandaue</t>
  </si>
  <si>
    <t>B19747</t>
  </si>
  <si>
    <t>Paknaan Satellite Market, Mandaue</t>
  </si>
  <si>
    <t>B19759</t>
  </si>
  <si>
    <t>Medellin Public Market, Cebu</t>
  </si>
  <si>
    <t>B19762</t>
  </si>
  <si>
    <t>Rizal, Lapulapu</t>
  </si>
  <si>
    <t>B19798</t>
  </si>
  <si>
    <t>Putatan, Muntinlupa</t>
  </si>
  <si>
    <t>B19863</t>
  </si>
  <si>
    <t>Sogod, Cebu</t>
  </si>
  <si>
    <t>B19887</t>
  </si>
  <si>
    <t>UP Technohub, Quezon City</t>
  </si>
  <si>
    <t>B19899</t>
  </si>
  <si>
    <t>TriNoma Mall, Quezon City</t>
  </si>
  <si>
    <t>B19952</t>
  </si>
  <si>
    <t>Consolacion, Cebu</t>
  </si>
  <si>
    <t>B19976</t>
  </si>
  <si>
    <t>Cabancalan 2, Mandaue City</t>
  </si>
  <si>
    <t>B19988</t>
  </si>
  <si>
    <t>Tuburan Public Market, Cebu</t>
  </si>
  <si>
    <t>B19991</t>
  </si>
  <si>
    <t>Poro, Camotes</t>
  </si>
  <si>
    <t>B20041</t>
  </si>
  <si>
    <t>San Vicente, Yati</t>
  </si>
  <si>
    <t>B22286</t>
  </si>
  <si>
    <t>B20053</t>
  </si>
  <si>
    <t>Kabuloy, Catarman</t>
  </si>
  <si>
    <t>B20142</t>
  </si>
  <si>
    <t>Empire Centre Mall, Pasay</t>
  </si>
  <si>
    <t>B20216</t>
  </si>
  <si>
    <t>Marcos Highway, Pasig City</t>
  </si>
  <si>
    <t>B20228</t>
  </si>
  <si>
    <t>Gun-ob, Lapu-lapu</t>
  </si>
  <si>
    <t>B20243</t>
  </si>
  <si>
    <t>Tres de Abril 2, Punta Princesa</t>
  </si>
  <si>
    <t>B20267</t>
  </si>
  <si>
    <t>Marawi 2, Lanao del Sur</t>
  </si>
  <si>
    <t>B20282</t>
  </si>
  <si>
    <t>Aroroy, Masbate City</t>
  </si>
  <si>
    <t>B20294</t>
  </si>
  <si>
    <t>Punta Princesa, Cebu City</t>
  </si>
  <si>
    <t>B23998</t>
  </si>
  <si>
    <t>B20317</t>
  </si>
  <si>
    <t>Damilag, Bukidnon</t>
  </si>
  <si>
    <t>F13919</t>
  </si>
  <si>
    <t>DRZ Enterprise OPC</t>
  </si>
  <si>
    <t>B20368</t>
  </si>
  <si>
    <t>Fortich, Malaybalay</t>
  </si>
  <si>
    <t>B20395</t>
  </si>
  <si>
    <t>Calajoan, Minglanilla</t>
  </si>
  <si>
    <t>B20406</t>
  </si>
  <si>
    <t>Tabada, Basak San Nicolas</t>
  </si>
  <si>
    <t>B20421</t>
  </si>
  <si>
    <t>Matiao Highway, Mati</t>
  </si>
  <si>
    <t>B20445</t>
  </si>
  <si>
    <t>Maya, Daanbantayan</t>
  </si>
  <si>
    <t>B20472</t>
  </si>
  <si>
    <t>Mohon 2, Talisay</t>
  </si>
  <si>
    <t>B20484</t>
  </si>
  <si>
    <t>Pooc, Talisay</t>
  </si>
  <si>
    <t>B20546</t>
  </si>
  <si>
    <t>Malinao, Daanbantayan</t>
  </si>
  <si>
    <t>B20558</t>
  </si>
  <si>
    <t>Labason, Zamboanga del Norte</t>
  </si>
  <si>
    <t>B20561</t>
  </si>
  <si>
    <t>Upper Pulacan, Zamboanga del Sur</t>
  </si>
  <si>
    <t>B24052</t>
  </si>
  <si>
    <t>B20573</t>
  </si>
  <si>
    <t>Naga City People's Mall, Camarines Sur</t>
  </si>
  <si>
    <t>F10141</t>
  </si>
  <si>
    <t>Antonio, Antonio</t>
  </si>
  <si>
    <t>L08</t>
  </si>
  <si>
    <t>B20623</t>
  </si>
  <si>
    <t>Mahayag, Zamboanga del Sur</t>
  </si>
  <si>
    <t>B20647</t>
  </si>
  <si>
    <t>Poblacion, Borbon, Cebu</t>
  </si>
  <si>
    <t>F13391</t>
  </si>
  <si>
    <t>Cabello, Carlota</t>
  </si>
  <si>
    <t>B20709</t>
  </si>
  <si>
    <t>Tibanban-Lavigan, Davao Oriental</t>
  </si>
  <si>
    <t>B20712</t>
  </si>
  <si>
    <t>Pan-Philippine Hiway, Tacloban City</t>
  </si>
  <si>
    <t>B20748</t>
  </si>
  <si>
    <t>Rizal Avenue, Basak San Nicolas</t>
  </si>
  <si>
    <t>B20775</t>
  </si>
  <si>
    <t>Capulay, Tayud</t>
  </si>
  <si>
    <t>B20787</t>
  </si>
  <si>
    <t>Curva, Medellin</t>
  </si>
  <si>
    <t>B20813</t>
  </si>
  <si>
    <t>Busay, Nivel Hills</t>
  </si>
  <si>
    <t>B20837</t>
  </si>
  <si>
    <t>Seaoil (Cogon) Taytayan, Bogo City</t>
  </si>
  <si>
    <t>B20876</t>
  </si>
  <si>
    <t>Pier 3, Tinago, Cebu City</t>
  </si>
  <si>
    <t>B20891</t>
  </si>
  <si>
    <t>Torres, Tacloban City</t>
  </si>
  <si>
    <t>B20902</t>
  </si>
  <si>
    <t>Cagodoy, Lapulapu City</t>
  </si>
  <si>
    <t>B21004</t>
  </si>
  <si>
    <t>Molino 3, Bacoor, Cavite</t>
  </si>
  <si>
    <t>F13123</t>
  </si>
  <si>
    <t>King, Jesse</t>
  </si>
  <si>
    <t>B21055</t>
  </si>
  <si>
    <t>San Guillermo, Dalaguete</t>
  </si>
  <si>
    <t>B21094</t>
  </si>
  <si>
    <t>Mercato de Mactan, Cebu</t>
  </si>
  <si>
    <t>B21132</t>
  </si>
  <si>
    <t>Poblacion 3, Tagbilaran City</t>
  </si>
  <si>
    <t>San Isidro, Ormoc City</t>
  </si>
  <si>
    <t>B23163</t>
  </si>
  <si>
    <t>B21195</t>
  </si>
  <si>
    <t>SM City Rosario, Cavite</t>
  </si>
  <si>
    <t>B21233</t>
  </si>
  <si>
    <t>Estancia, Mandaue City</t>
  </si>
  <si>
    <t>B21269</t>
  </si>
  <si>
    <t>Gutalac, Zamboanga del Norte</t>
  </si>
  <si>
    <t>B21296</t>
  </si>
  <si>
    <t>Patag, Cagayan de Oro</t>
  </si>
  <si>
    <t>B21322</t>
  </si>
  <si>
    <t>Argao Public Market, Cebu</t>
  </si>
  <si>
    <t>R. Magsaysay, Sto. Tomas, Davao Del Norte</t>
  </si>
  <si>
    <t>B21346</t>
  </si>
  <si>
    <t>Rizal, Mati, Davao Oriental</t>
  </si>
  <si>
    <t>B21358</t>
  </si>
  <si>
    <t>Carajay, Lapulapu City</t>
  </si>
  <si>
    <t>B21373</t>
  </si>
  <si>
    <t>Jasaan, Misamis Oriental</t>
  </si>
  <si>
    <t>B21385</t>
  </si>
  <si>
    <t>Nabunturan, Compostela Valley</t>
  </si>
  <si>
    <t>F13806</t>
  </si>
  <si>
    <t>Layug, Rowena</t>
  </si>
  <si>
    <t>B21435</t>
  </si>
  <si>
    <t>Poblacion Medellin, Cebu (across Prince)</t>
  </si>
  <si>
    <t>B21447</t>
  </si>
  <si>
    <t>Prince Hypermart Minglanilla, Cebu</t>
  </si>
  <si>
    <t>B21459</t>
  </si>
  <si>
    <t>Sindangan Public Market, Zamboanga del Norte</t>
  </si>
  <si>
    <t>B21512</t>
  </si>
  <si>
    <t>Andres Abellana, Guadalupe</t>
  </si>
  <si>
    <t>B21524</t>
  </si>
  <si>
    <t>Prince Hypermart Dulag, Leyte</t>
  </si>
  <si>
    <t>B21548</t>
  </si>
  <si>
    <t>Poblacion, Tabogon, Cebu</t>
  </si>
  <si>
    <t>B21575</t>
  </si>
  <si>
    <t>Dumanjug Public Market, Poblacion, Dumanjug</t>
  </si>
  <si>
    <t>F10976</t>
  </si>
  <si>
    <t>JFC</t>
  </si>
  <si>
    <t>Julie's Franchise Corporation</t>
  </si>
  <si>
    <t>B21625</t>
  </si>
  <si>
    <t>Poblacion, Manukan, Zamboanga del Norte</t>
  </si>
  <si>
    <t>B21637</t>
  </si>
  <si>
    <t>Kapatagan 2, Lanao del Norte</t>
  </si>
  <si>
    <t>B21649</t>
  </si>
  <si>
    <t>Trece Public Market, Trece Martires, Cavite</t>
  </si>
  <si>
    <t>B21688</t>
  </si>
  <si>
    <t>Piao, Manuel A. Roxas, Zamboanga del Norte</t>
  </si>
  <si>
    <t>B21702</t>
  </si>
  <si>
    <t>Go Mart Soong, Maribago, Lapulapu City</t>
  </si>
  <si>
    <t>B21789</t>
  </si>
  <si>
    <t>Lutac, Naga City, Cebu</t>
  </si>
  <si>
    <t>B21803</t>
  </si>
  <si>
    <t>Casisang, Malaybalay, Bukidnon</t>
  </si>
  <si>
    <t>B21815</t>
  </si>
  <si>
    <t>Poblacion 2, Oroquieta, Misamis Occidental</t>
  </si>
  <si>
    <t>B21827</t>
  </si>
  <si>
    <t>Lam an, Ozamis, Misamis Occidental</t>
  </si>
  <si>
    <t>B21839</t>
  </si>
  <si>
    <t>L. Abad, Barili, Cebu</t>
  </si>
  <si>
    <t>B21854</t>
  </si>
  <si>
    <t>RFC, Molino II, Cavite</t>
  </si>
  <si>
    <t>B21866</t>
  </si>
  <si>
    <t>Apitong, Maranding, Lanao del Norte</t>
  </si>
  <si>
    <t>B21878</t>
  </si>
  <si>
    <t>Salug, Poblacion, Zamboanga del Norte</t>
  </si>
  <si>
    <t>B21881</t>
  </si>
  <si>
    <t>Fatima, Liloy, Zamboanga del Norte</t>
  </si>
  <si>
    <t>B21893</t>
  </si>
  <si>
    <t>San Jose, Montevista, Davao de Oro</t>
  </si>
  <si>
    <t>B21916</t>
  </si>
  <si>
    <t>Balangasan, Pagadian City</t>
  </si>
  <si>
    <t>B21943</t>
  </si>
  <si>
    <t>Juana Osmena, Cebu City</t>
  </si>
  <si>
    <t>B21982</t>
  </si>
  <si>
    <t>San Jose, Goa, Camarines Sur</t>
  </si>
  <si>
    <t>B21994</t>
  </si>
  <si>
    <t>Hernan Cortes, Subangdaku, Mandaue City</t>
  </si>
  <si>
    <t>B22057</t>
  </si>
  <si>
    <t>Ylaya, Tondo, Manila</t>
  </si>
  <si>
    <t>F13503</t>
  </si>
  <si>
    <t>Brobio, Ramon Jose</t>
  </si>
  <si>
    <t>B22069</t>
  </si>
  <si>
    <t>Ilihan, Tabogon, Cebu</t>
  </si>
  <si>
    <t>B22096</t>
  </si>
  <si>
    <t>BF Resort, Talon 2, Las Pinas City</t>
  </si>
  <si>
    <t>F13946</t>
  </si>
  <si>
    <t>Big Flour Food Corp</t>
  </si>
  <si>
    <t>B22134</t>
  </si>
  <si>
    <t>B22122</t>
  </si>
  <si>
    <t>Rafael Rabaya, Cansojong, Talisay</t>
  </si>
  <si>
    <t>San Isidro Village, Talisay</t>
  </si>
  <si>
    <t>B22185</t>
  </si>
  <si>
    <t>Poblacion, Pinan, Zamboanga del Norte</t>
  </si>
  <si>
    <t>B22262</t>
  </si>
  <si>
    <t>Poblacion, Katipunan, Zamboanga del Norte</t>
  </si>
  <si>
    <t>B22274</t>
  </si>
  <si>
    <t>Gaisano Grand Mall Minglanilla, Cebu</t>
  </si>
  <si>
    <t>Catarman, Liloan, Cebu</t>
  </si>
  <si>
    <t>B22298</t>
  </si>
  <si>
    <t>Moonwalk, Paranaque City</t>
  </si>
  <si>
    <t>B22309</t>
  </si>
  <si>
    <t>Cabel, Lagao, Gensan City</t>
  </si>
  <si>
    <t>B22324</t>
  </si>
  <si>
    <t>Poblacion, San Juan, Siquijor</t>
  </si>
  <si>
    <t>B22336</t>
  </si>
  <si>
    <t>Central Mall, Dasmarinas, Cavite</t>
  </si>
  <si>
    <t>B22348</t>
  </si>
  <si>
    <t>Blumentritt, Sta. Cruz, Manila</t>
  </si>
  <si>
    <t>B22363</t>
  </si>
  <si>
    <t>B. Aquino, San Jose, Pagadian City</t>
  </si>
  <si>
    <t>B22401</t>
  </si>
  <si>
    <t>District Mall, Dasmarinas, Cavite</t>
  </si>
  <si>
    <t>B22425</t>
  </si>
  <si>
    <t>Poblacion, Tampilisan, Zamboanga del Norte</t>
  </si>
  <si>
    <t>B22437</t>
  </si>
  <si>
    <t>Sergio Osmena, Zamboanga del Norte</t>
  </si>
  <si>
    <t>B22449</t>
  </si>
  <si>
    <t>Ever Gotesco, Commonwealth, Quezon City</t>
  </si>
  <si>
    <t>B22452</t>
  </si>
  <si>
    <t>Waltermart North Edsa, Quezon City</t>
  </si>
  <si>
    <t>B23885</t>
  </si>
  <si>
    <t>B22464</t>
  </si>
  <si>
    <t>Waltermart E. Rodriguez, Quezon City</t>
  </si>
  <si>
    <t>B22476</t>
  </si>
  <si>
    <t>Waltermart Trece Martires, Cavite</t>
  </si>
  <si>
    <t>B22514</t>
  </si>
  <si>
    <t>South Mapang, Rizal, Zamboanga del Norte</t>
  </si>
  <si>
    <t>B22526</t>
  </si>
  <si>
    <t>Poblacion, Sapang Dalaga, Misamis Occidental</t>
  </si>
  <si>
    <t>B22538</t>
  </si>
  <si>
    <t>Sebac, Tudela, Misamis Occidental</t>
  </si>
  <si>
    <t>B22541</t>
  </si>
  <si>
    <t>Proper Tunghaan, Minglanilla, Cebu</t>
  </si>
  <si>
    <t>B22553</t>
  </si>
  <si>
    <t>Waltermart Dasmarinas, Cavite</t>
  </si>
  <si>
    <t>B22589</t>
  </si>
  <si>
    <t>Waltermart Bicutan, Paranaque City</t>
  </si>
  <si>
    <t>B22592</t>
  </si>
  <si>
    <t>Pittland, Cabuyao, Laguna</t>
  </si>
  <si>
    <t>F13631</t>
  </si>
  <si>
    <t>Poinciana Ventures OPC</t>
  </si>
  <si>
    <t>B22603</t>
  </si>
  <si>
    <t>Central Mall, Binan, Laguna</t>
  </si>
  <si>
    <t>B22615</t>
  </si>
  <si>
    <t>Waltermart Carmona, Cavite</t>
  </si>
  <si>
    <t>B22627</t>
  </si>
  <si>
    <t>Puregold Anabu, Cavite</t>
  </si>
  <si>
    <t>B22639</t>
  </si>
  <si>
    <t>MacArthur, Marulas, Valenzuela City</t>
  </si>
  <si>
    <t>F13869</t>
  </si>
  <si>
    <t>MTF Stores Incorporated</t>
  </si>
  <si>
    <t>B22654</t>
  </si>
  <si>
    <t>Galvan, Dagupan City</t>
  </si>
  <si>
    <t>B22666</t>
  </si>
  <si>
    <t>Island Central Mactan, Lapulapu City</t>
  </si>
  <si>
    <t>B22678</t>
  </si>
  <si>
    <t>Waltermart Taytay, Rizal</t>
  </si>
  <si>
    <t>B22681</t>
  </si>
  <si>
    <t>Waltermart Antipolo, Rizal</t>
  </si>
  <si>
    <t>B22693</t>
  </si>
  <si>
    <t>Palaris, San Carlos City, Pangasinan</t>
  </si>
  <si>
    <t>B22728</t>
  </si>
  <si>
    <t>V. Albano, Maguikay, Mandaue City</t>
  </si>
  <si>
    <t>F13604</t>
  </si>
  <si>
    <t>Rosal, Jean Elrose</t>
  </si>
  <si>
    <t>B22743</t>
  </si>
  <si>
    <t>Napico Manggahan, Pasig City</t>
  </si>
  <si>
    <t>B22755</t>
  </si>
  <si>
    <t>Trabajo Market, Sampaloc, Manila</t>
  </si>
  <si>
    <t>B22782</t>
  </si>
  <si>
    <t>Waltermart Sucat, Paranaque City</t>
  </si>
  <si>
    <t>B22794</t>
  </si>
  <si>
    <t>Oppra, Kalunasan, Cebu City</t>
  </si>
  <si>
    <t>B22805</t>
  </si>
  <si>
    <t>Mactan Breeze Center, Mactan, Lapulapu City</t>
  </si>
  <si>
    <t>F13694</t>
  </si>
  <si>
    <t>Mei Hao Urban Essential OPC</t>
  </si>
  <si>
    <t>B22817</t>
  </si>
  <si>
    <t>Waltermart Bacoor, Cavite</t>
  </si>
  <si>
    <t>B22829</t>
  </si>
  <si>
    <t>Karangalan Village, Manggahan, Pasig City</t>
  </si>
  <si>
    <t>B22832</t>
  </si>
  <si>
    <t>Tayud, Liloan, Cebu</t>
  </si>
  <si>
    <t>B22844</t>
  </si>
  <si>
    <t>BF Homes, Buhisan, Cebu City</t>
  </si>
  <si>
    <t>B22868</t>
  </si>
  <si>
    <t>Poblacion, Margosatubig, Zamboanga del Sur</t>
  </si>
  <si>
    <t>B22871</t>
  </si>
  <si>
    <t>Poblacion, Leon Postigo, Zamboanga del Norte</t>
  </si>
  <si>
    <t>B22895</t>
  </si>
  <si>
    <t>A. Gabuya, Cogon Pardo, Cebu City</t>
  </si>
  <si>
    <t>B22918</t>
  </si>
  <si>
    <t>Puregold Tanza, Cavite</t>
  </si>
  <si>
    <t>B22921</t>
  </si>
  <si>
    <t>Lucky, Lemery, Batangas</t>
  </si>
  <si>
    <t>B25511</t>
  </si>
  <si>
    <t>B22972</t>
  </si>
  <si>
    <t>Harmony Hills, San Jose Del Monte, Bulacan</t>
  </si>
  <si>
    <t>B22996</t>
  </si>
  <si>
    <t>SM North Edsa Bus Terminal, Quezon City</t>
  </si>
  <si>
    <t>B23008</t>
  </si>
  <si>
    <t>Gaisano Mactan Island Mall, Lapulapu City</t>
  </si>
  <si>
    <t>B23023</t>
  </si>
  <si>
    <t>Lower Camparang, Kalunasan, Cebu City</t>
  </si>
  <si>
    <t>B23035</t>
  </si>
  <si>
    <t>Caasinan, Cabadbaran City</t>
  </si>
  <si>
    <t>M01</t>
  </si>
  <si>
    <t>B23047</t>
  </si>
  <si>
    <t>San Nicolas, Washington, Surigao City</t>
  </si>
  <si>
    <t>F13655</t>
  </si>
  <si>
    <t>Parrucho, Geja Lilia</t>
  </si>
  <si>
    <t>B23074</t>
  </si>
  <si>
    <t>Talakag, Bukidnon</t>
  </si>
  <si>
    <t>B23086</t>
  </si>
  <si>
    <t>Poblacion, Buenavista, Agusan del Norte</t>
  </si>
  <si>
    <t>F13667</t>
  </si>
  <si>
    <t>Arquisola, Franz Josef</t>
  </si>
  <si>
    <t>B23098</t>
  </si>
  <si>
    <t>Marc Square, Taytay, Rizal</t>
  </si>
  <si>
    <t>B23124</t>
  </si>
  <si>
    <t>Ocana, Carcar, Cebu</t>
  </si>
  <si>
    <t>Paliparan, Salawag, Dasmarinas City</t>
  </si>
  <si>
    <t>B23175</t>
  </si>
  <si>
    <t>Poblacion East, Milagros, Masbate</t>
  </si>
  <si>
    <t>F13679</t>
  </si>
  <si>
    <t>Bulandra, Ma. Ana</t>
  </si>
  <si>
    <t>B23187</t>
  </si>
  <si>
    <t>Alicia, Zamboanga Sibugay</t>
  </si>
  <si>
    <t>B23199</t>
  </si>
  <si>
    <t>Mabuhay, Zamboanga Sibugay</t>
  </si>
  <si>
    <t>B23213</t>
  </si>
  <si>
    <t>Waltermart Gen. Trias, Cavite</t>
  </si>
  <si>
    <t>B23237</t>
  </si>
  <si>
    <t>Robinsons Place Terminal, Tacloban</t>
  </si>
  <si>
    <t>B23252</t>
  </si>
  <si>
    <t>New Paco Market, Manila</t>
  </si>
  <si>
    <t>B23264</t>
  </si>
  <si>
    <t>San Jose, Cebu City</t>
  </si>
  <si>
    <t>B23288</t>
  </si>
  <si>
    <t>Gaisano Saversmart, Basak, Lapulapu City</t>
  </si>
  <si>
    <t>B23291</t>
  </si>
  <si>
    <t>Graceland 1, Buaya, Lapulapu City</t>
  </si>
  <si>
    <t>B23314</t>
  </si>
  <si>
    <t>P. Tuazon, Project 4, Quezon City</t>
  </si>
  <si>
    <t>B23326</t>
  </si>
  <si>
    <t>Kalentong, Mandaluyong City</t>
  </si>
  <si>
    <t>B23365</t>
  </si>
  <si>
    <t>Halapitan, San Fernando, Bukidnon</t>
  </si>
  <si>
    <t>B23377</t>
  </si>
  <si>
    <t>Tubod, Iligan City</t>
  </si>
  <si>
    <t>F13818</t>
  </si>
  <si>
    <t>Das &amp; Co Ventures Inc.</t>
  </si>
  <si>
    <t>B23389</t>
  </si>
  <si>
    <t>Suarez, Iligan City</t>
  </si>
  <si>
    <t>B23392</t>
  </si>
  <si>
    <t>Consunji, Iligan City</t>
  </si>
  <si>
    <t>B23403</t>
  </si>
  <si>
    <t>Tambo Public Market, Iligan City</t>
  </si>
  <si>
    <t>B23427</t>
  </si>
  <si>
    <t>SM Hypermarket Kadiwa, Cavite</t>
  </si>
  <si>
    <t>B23481</t>
  </si>
  <si>
    <t>Poblacion, Tabuelan, Cebu</t>
  </si>
  <si>
    <t>B23493</t>
  </si>
  <si>
    <t>Urgello-Uytengsu, Cebu City</t>
  </si>
  <si>
    <t>B23504</t>
  </si>
  <si>
    <t>Candon, Ilocos Sur</t>
  </si>
  <si>
    <t>B23516</t>
  </si>
  <si>
    <t>SM Supermarket Tanza, Cavite</t>
  </si>
  <si>
    <t>B23531</t>
  </si>
  <si>
    <t>Polo, Dapitan, Zamboanga del Norte</t>
  </si>
  <si>
    <t>B23543</t>
  </si>
  <si>
    <t>Plaridel, Misamis Occidental</t>
  </si>
  <si>
    <t>B23555</t>
  </si>
  <si>
    <t>Tamontaka, Maguindanao</t>
  </si>
  <si>
    <t>B23579</t>
  </si>
  <si>
    <t>SM Hypermarket Fairview, Quezon City</t>
  </si>
  <si>
    <t>B23582</t>
  </si>
  <si>
    <t>SM Hypermarket Deca Mall, Manila</t>
  </si>
  <si>
    <t>B23594</t>
  </si>
  <si>
    <t>SM Hypermarket Sun Residences, Quezon City</t>
  </si>
  <si>
    <t>B23605</t>
  </si>
  <si>
    <t>SM Hypermarket Mandaluyong, Metro Manila</t>
  </si>
  <si>
    <t>B23617</t>
  </si>
  <si>
    <t>Robinsons Place Dasmarinas, Cavite</t>
  </si>
  <si>
    <t>B23629</t>
  </si>
  <si>
    <t>Festival Mall Alabang, Muntinlupa</t>
  </si>
  <si>
    <t>B23632</t>
  </si>
  <si>
    <t>SM Savemore Tacloban, Leyte</t>
  </si>
  <si>
    <t>B23656</t>
  </si>
  <si>
    <t>Rizal, Don Carlos, Bukidnon</t>
  </si>
  <si>
    <t>B23668</t>
  </si>
  <si>
    <t>Poblacion, Guipos, Zamboanga del Sur</t>
  </si>
  <si>
    <t>B23683</t>
  </si>
  <si>
    <t>Bagumbayan 2, Maribago, Lapulapu City</t>
  </si>
  <si>
    <t>B23695</t>
  </si>
  <si>
    <t>St. Joseph Center, San Jose de Buenavista, Antique</t>
  </si>
  <si>
    <t>F13744</t>
  </si>
  <si>
    <t>Classic Bakery Corporation</t>
  </si>
  <si>
    <t>V09</t>
  </si>
  <si>
    <t>B23706</t>
  </si>
  <si>
    <t>Esprutingkle Bus. Hotel, San Jose de Buenavista, Antique</t>
  </si>
  <si>
    <t>B23718</t>
  </si>
  <si>
    <t>Baybay, Liloy, Zamboanga del Norte</t>
  </si>
  <si>
    <t>B23721</t>
  </si>
  <si>
    <t>Burgos, Rodriguez, Rizal</t>
  </si>
  <si>
    <t>B23745</t>
  </si>
  <si>
    <t>SM Cherry Shaw, Mandaluyong City</t>
  </si>
  <si>
    <t>B23757</t>
  </si>
  <si>
    <t>SM Megamall Bus Terminal, Mandaluyong City</t>
  </si>
  <si>
    <t>B23769</t>
  </si>
  <si>
    <t>Manna Mall, San Fernando, La Union</t>
  </si>
  <si>
    <t>B23772</t>
  </si>
  <si>
    <t>Visayan Village, Tagum City, Davao del Norte</t>
  </si>
  <si>
    <t>F13768</t>
  </si>
  <si>
    <t>Maderazo, Carmelo</t>
  </si>
  <si>
    <t>B23807</t>
  </si>
  <si>
    <t>Poblacion, Kabasalan, Zamboanga Sibugay</t>
  </si>
  <si>
    <t>B23819</t>
  </si>
  <si>
    <t>RT Lim, Zamboanga Sibugay</t>
  </si>
  <si>
    <t>B23834</t>
  </si>
  <si>
    <t>Poblacion, San Pablo, Laguna</t>
  </si>
  <si>
    <t>B23846</t>
  </si>
  <si>
    <t>Garden Villas, Sta. Rosa, Laguna</t>
  </si>
  <si>
    <t>B23858</t>
  </si>
  <si>
    <t>Sanjos Market, San Pedro, Laguna</t>
  </si>
  <si>
    <t>B23861</t>
  </si>
  <si>
    <t>Aglayan, Malaybalay, Bukidnon</t>
  </si>
  <si>
    <t>B23873</t>
  </si>
  <si>
    <t>VH Garces, Tangke, Talisay</t>
  </si>
  <si>
    <t>Balic-Balic, Sampaloc, Manila</t>
  </si>
  <si>
    <t>B23908</t>
  </si>
  <si>
    <t>Sta. Cruz, Laguna</t>
  </si>
  <si>
    <t>B23923</t>
  </si>
  <si>
    <t>National Highway, Tibungco, Davao City</t>
  </si>
  <si>
    <t>DMND06</t>
  </si>
  <si>
    <t>B23947</t>
  </si>
  <si>
    <t>One Ayala Mall Bus Terminal, Makati City</t>
  </si>
  <si>
    <t>B23962</t>
  </si>
  <si>
    <t>Quirino Avenue, Baclaran, Paranaque</t>
  </si>
  <si>
    <t>B23974</t>
  </si>
  <si>
    <t>Gagalangin, Tondo</t>
  </si>
  <si>
    <t>B23986</t>
  </si>
  <si>
    <t>Cogon, Tagbilaran, Bohol</t>
  </si>
  <si>
    <t>Tankulan, Manolo Fortich, Bukidnon</t>
  </si>
  <si>
    <t>B24013</t>
  </si>
  <si>
    <t>Mabitangen, Coron, Palawan</t>
  </si>
  <si>
    <t>F12689</t>
  </si>
  <si>
    <t>Leagogo, Wilma</t>
  </si>
  <si>
    <t>B24025</t>
  </si>
  <si>
    <t>Wilcon City Center, Quezon City</t>
  </si>
  <si>
    <t>B24037</t>
  </si>
  <si>
    <t>Jagna, Bohol</t>
  </si>
  <si>
    <t>B24049</t>
  </si>
  <si>
    <t>UB, Tagbilaran, Bohol</t>
  </si>
  <si>
    <t>Dayangdang, Naga City, Camarines Sur</t>
  </si>
  <si>
    <t>B24064</t>
  </si>
  <si>
    <t>Savemore Carcar, Cebu</t>
  </si>
  <si>
    <t>B24076</t>
  </si>
  <si>
    <t>San Vicente, Carcar, Cebu</t>
  </si>
  <si>
    <t>B24091</t>
  </si>
  <si>
    <t>Rizal, Bukidnon</t>
  </si>
  <si>
    <t>B24102</t>
  </si>
  <si>
    <t>Quezon, Bukidnon</t>
  </si>
  <si>
    <t>B24126</t>
  </si>
  <si>
    <t>B24114</t>
  </si>
  <si>
    <t>SM Megacenter, Cabanatuan City</t>
  </si>
  <si>
    <t>Cabanatuan Central Terminal, Cabanatuan City</t>
  </si>
  <si>
    <t>B24138</t>
  </si>
  <si>
    <t>Sun Star Mall, Sta. Cruz, Laguna</t>
  </si>
  <si>
    <t>B24153</t>
  </si>
  <si>
    <t>Ulha Village, Talomo, Davao City</t>
  </si>
  <si>
    <t>B24177</t>
  </si>
  <si>
    <t>Principe, San Jose de Buenavista, Antique</t>
  </si>
  <si>
    <t>B24189</t>
  </si>
  <si>
    <t>Ligtasan, Tarlac</t>
  </si>
  <si>
    <t>B24203</t>
  </si>
  <si>
    <t>Metro Central Mall, Sta. Cruz, Laguna</t>
  </si>
  <si>
    <t>B24215</t>
  </si>
  <si>
    <t>NE Pacific Mall, Cabanatuan City</t>
  </si>
  <si>
    <t xml:space="preserve">PAM </t>
  </si>
  <si>
    <t>B24227</t>
  </si>
  <si>
    <t>My Metro Town Mall, Tarlac City</t>
  </si>
  <si>
    <t>B24239</t>
  </si>
  <si>
    <t>Market City, Tarlac City</t>
  </si>
  <si>
    <t>B24242</t>
  </si>
  <si>
    <t>Waltermart Cabanatuan, Cabanatuan City</t>
  </si>
  <si>
    <t>B24254</t>
  </si>
  <si>
    <t>Poblacion Sur, Rizal, Nueva Ecija</t>
  </si>
  <si>
    <t>B24266</t>
  </si>
  <si>
    <t>C. Padilla - T. Abella, Cebu City</t>
  </si>
  <si>
    <t>B24278</t>
  </si>
  <si>
    <t>Halina Hotel, Pasay City</t>
  </si>
  <si>
    <t>B24281</t>
  </si>
  <si>
    <t>SM Supermarket Sangandaan, Caloocan City</t>
  </si>
  <si>
    <t>B24293</t>
  </si>
  <si>
    <t>P. Ouano, Alang-alang, Mandaue</t>
  </si>
  <si>
    <t>B24304</t>
  </si>
  <si>
    <t>Iba, Meycauayan City</t>
  </si>
  <si>
    <t>F13821</t>
  </si>
  <si>
    <t>Almora, Alvin</t>
  </si>
  <si>
    <t>B24316</t>
  </si>
  <si>
    <t>Litex, Commonwealth, Quezon City</t>
  </si>
  <si>
    <t>F13833</t>
  </si>
  <si>
    <t xml:space="preserve">Dalisay, Uriel Vito </t>
  </si>
  <si>
    <t>B24328</t>
  </si>
  <si>
    <t>Tuburan New Public Market, Cebu</t>
  </si>
  <si>
    <t>B24331</t>
  </si>
  <si>
    <t>Olutanga, Zamboanga Sibugay</t>
  </si>
  <si>
    <t>B24343</t>
  </si>
  <si>
    <t>Ayala South Park, Alabang</t>
  </si>
  <si>
    <t>B24355</t>
  </si>
  <si>
    <t>Poblacion, Marilao, Bulacan</t>
  </si>
  <si>
    <t>B24379</t>
  </si>
  <si>
    <t>SM Supermarket Cabanatuan, Nueva Ecija</t>
  </si>
  <si>
    <t>B24382</t>
  </si>
  <si>
    <t>J. A. Santos, Digos City</t>
  </si>
  <si>
    <t>B24394</t>
  </si>
  <si>
    <t>Tambongon, San Remigio, Cebu</t>
  </si>
  <si>
    <t>B24405</t>
  </si>
  <si>
    <t>Guinsay, Danao City, Cebu</t>
  </si>
  <si>
    <t>B24417</t>
  </si>
  <si>
    <t>Sto. Nino, Gapan, Nueva Ecija</t>
  </si>
  <si>
    <t>B24432</t>
  </si>
  <si>
    <t>San Pedro, Pagadian City</t>
  </si>
  <si>
    <t>B24444</t>
  </si>
  <si>
    <t>Bagumbayan, Masbate City</t>
  </si>
  <si>
    <t>B24456</t>
  </si>
  <si>
    <t>Nursery, Masbate City</t>
  </si>
  <si>
    <t>B24468</t>
  </si>
  <si>
    <t>Waltermart Gapan, Gapan City</t>
  </si>
  <si>
    <t>B24483</t>
  </si>
  <si>
    <t>N. Bacalso, Sibonga, Cebu</t>
  </si>
  <si>
    <t>B24495</t>
  </si>
  <si>
    <t>Centro Sur, Culasi, Antique</t>
  </si>
  <si>
    <t>B24506</t>
  </si>
  <si>
    <t>Ubay, Bohol</t>
  </si>
  <si>
    <t>B24518</t>
  </si>
  <si>
    <t>Claveria, Misamis Oriental</t>
  </si>
  <si>
    <t>B24521</t>
  </si>
  <si>
    <t>SM Supermarket North Edsa, Quezon City</t>
  </si>
  <si>
    <t>B24533</t>
  </si>
  <si>
    <t>Lower Ipil Heights, Zamboanga Sibugay</t>
  </si>
  <si>
    <t>B24545</t>
  </si>
  <si>
    <t>Sinamay, Coron, Palawan</t>
  </si>
  <si>
    <t>New Cabalan, Olongapo City</t>
  </si>
  <si>
    <t>B25131</t>
  </si>
  <si>
    <t>B24569</t>
  </si>
  <si>
    <t>CLA Town Center Mall, Pagsanjan</t>
  </si>
  <si>
    <t>B24572</t>
  </si>
  <si>
    <t>SM City Lipa Grand Terminal, Batangas</t>
  </si>
  <si>
    <t>B24584</t>
  </si>
  <si>
    <t>Carbon Market Interim, Cebu City</t>
  </si>
  <si>
    <t>B24596</t>
  </si>
  <si>
    <t>Freedom Park, Carbon, Cebu</t>
  </si>
  <si>
    <t>B24619</t>
  </si>
  <si>
    <t>Bacayan 2, Cebu City</t>
  </si>
  <si>
    <t>B24622</t>
  </si>
  <si>
    <t>Lopez Jaena Sur, Jaro, Iloilo City</t>
  </si>
  <si>
    <t>B24658</t>
  </si>
  <si>
    <t>Poblacion 2, Hamtic, Antique</t>
  </si>
  <si>
    <t>B24673</t>
  </si>
  <si>
    <t>Project 6, Quezon City</t>
  </si>
  <si>
    <t>F13857</t>
  </si>
  <si>
    <t>Carmelo Enterprising Services Corp.</t>
  </si>
  <si>
    <t>B24685</t>
  </si>
  <si>
    <t>Savemore Market, P. Tuazon, Quezon City</t>
  </si>
  <si>
    <t>B24711</t>
  </si>
  <si>
    <t>SM Supermarket Manila, Manila</t>
  </si>
  <si>
    <t>B24723</t>
  </si>
  <si>
    <t>Waltermart Caloocan, Caloocan City</t>
  </si>
  <si>
    <t>B24735</t>
  </si>
  <si>
    <t>Rosario Public Market, Batangas</t>
  </si>
  <si>
    <t>B24747</t>
  </si>
  <si>
    <t>Purok Bombshell, Lapulapu City</t>
  </si>
  <si>
    <t>B24759</t>
  </si>
  <si>
    <t>Lopez Jaena, Lapulapu City</t>
  </si>
  <si>
    <t>B24762</t>
  </si>
  <si>
    <t>Waltermart Cabuyao, Laguna</t>
  </si>
  <si>
    <t>B24786</t>
  </si>
  <si>
    <t>El Camino Real, Meycauayan City</t>
  </si>
  <si>
    <t>B24809</t>
  </si>
  <si>
    <t>Poblacion 5, Balayan, Batangas</t>
  </si>
  <si>
    <t>B24812</t>
  </si>
  <si>
    <t>Pitogo, Consolacion 2</t>
  </si>
  <si>
    <t>B24836</t>
  </si>
  <si>
    <t>Robinsons Novaliches, Quezon City</t>
  </si>
  <si>
    <t>B24848</t>
  </si>
  <si>
    <t>Puregold GMA, Cavite</t>
  </si>
  <si>
    <t>B24851</t>
  </si>
  <si>
    <t>Nagaland E-Mall, Naga City, Camarines Sur</t>
  </si>
  <si>
    <t>B24899</t>
  </si>
  <si>
    <t>Graceland Plaza Marikina, Metro Manila</t>
  </si>
  <si>
    <t>B24913</t>
  </si>
  <si>
    <t>SM Hypermarket Jaro, Iloilo City</t>
  </si>
  <si>
    <t>B24976</t>
  </si>
  <si>
    <t>Robinsons Imus, Cavite</t>
  </si>
  <si>
    <t>B24991</t>
  </si>
  <si>
    <t>Sibulan, Negros Oriental</t>
  </si>
  <si>
    <t>F13872</t>
  </si>
  <si>
    <t>Paras, Blanche</t>
  </si>
  <si>
    <t>B25003</t>
  </si>
  <si>
    <t>Laray, Inayawan, Cebu City</t>
  </si>
  <si>
    <t>F13884</t>
  </si>
  <si>
    <t>Villarin, Keith John</t>
  </si>
  <si>
    <t>B25027</t>
  </si>
  <si>
    <t>Lawaan Banonong, Dapitan City</t>
  </si>
  <si>
    <t>B25039</t>
  </si>
  <si>
    <t>Milan Buhangin, Davao City</t>
  </si>
  <si>
    <t>B25042</t>
  </si>
  <si>
    <t>NCCC Mall Buhangin, Davao City</t>
  </si>
  <si>
    <t>B25054</t>
  </si>
  <si>
    <t>Recodo, Zamboanga City</t>
  </si>
  <si>
    <t>B25066</t>
  </si>
  <si>
    <t>Pendatun Avenue, Gensan City</t>
  </si>
  <si>
    <t>B25523</t>
  </si>
  <si>
    <t>B25078</t>
  </si>
  <si>
    <t>Ororama Supercenter Cogon, Cagayan de Oro</t>
  </si>
  <si>
    <t>B25081</t>
  </si>
  <si>
    <t>Ororama Supercenter Carmen, Cagayan de Oro</t>
  </si>
  <si>
    <t>B25093</t>
  </si>
  <si>
    <t>Don Carlos Public Market, Bukidnon</t>
  </si>
  <si>
    <t>B25116</t>
  </si>
  <si>
    <t>Zurbito, Pating, Masbate</t>
  </si>
  <si>
    <t>B25128</t>
  </si>
  <si>
    <t>Calumpang, Malinta, Masbate</t>
  </si>
  <si>
    <t>Poblacion, Pagsanjan</t>
  </si>
  <si>
    <t>B25143</t>
  </si>
  <si>
    <t>SM Center Ormoc, Leyte</t>
  </si>
  <si>
    <t>B25194</t>
  </si>
  <si>
    <t>Divimart Supermarket, Gen. Trias, Cavite</t>
  </si>
  <si>
    <t>B25217</t>
  </si>
  <si>
    <t>SM Southmall Terminal, Las Pinas City</t>
  </si>
  <si>
    <t>B25229</t>
  </si>
  <si>
    <t>Bantol, Dampas, Tagbilaran City</t>
  </si>
  <si>
    <t>B25232</t>
  </si>
  <si>
    <t>Totolan, Dauis, Bohol</t>
  </si>
  <si>
    <t>B25244</t>
  </si>
  <si>
    <t>Legaspi, Roxas City, Capiz</t>
  </si>
  <si>
    <t>B25271</t>
  </si>
  <si>
    <t>Poblacion Ilaya, Passi, Iloilo</t>
  </si>
  <si>
    <t>V10</t>
  </si>
  <si>
    <t>B25283</t>
  </si>
  <si>
    <t>Siayan, Zamboanga Del Norte</t>
  </si>
  <si>
    <t>B25295</t>
  </si>
  <si>
    <t>Tiguma 2, Pagadian City</t>
  </si>
  <si>
    <t>B25318</t>
  </si>
  <si>
    <t>NCCC Mall Bajada, Davao City</t>
  </si>
  <si>
    <t>B25321</t>
  </si>
  <si>
    <t>Gaisano Grand Mall Polomolok, South Cotabato</t>
  </si>
  <si>
    <t>B25333</t>
  </si>
  <si>
    <t>Gaisano Grand Mall Digos, Davao del Sur</t>
  </si>
  <si>
    <t>B25345</t>
  </si>
  <si>
    <t>Laguindingan, Misamis Oriental</t>
  </si>
  <si>
    <t>B25357</t>
  </si>
  <si>
    <t>Balingasag, Misamis Oriental</t>
  </si>
  <si>
    <t>B25372</t>
  </si>
  <si>
    <t>SM Hypermarket Rosario Batangas, Batangas</t>
  </si>
  <si>
    <t>B25396</t>
  </si>
  <si>
    <t>Rosillos, Nasipit, Talamban</t>
  </si>
  <si>
    <t>F13907</t>
  </si>
  <si>
    <t>Yee, Arnold</t>
  </si>
  <si>
    <t>B25419</t>
  </si>
  <si>
    <t>Naga, Zamboanga Sibugay</t>
  </si>
  <si>
    <t>F13922</t>
  </si>
  <si>
    <t>Rancho Hornero OPC</t>
  </si>
  <si>
    <t>B25422</t>
  </si>
  <si>
    <t>Gaisano Grand Mall Kidapawan, Cotabato</t>
  </si>
  <si>
    <t>Buendia - Taft, Pasay City</t>
  </si>
  <si>
    <t>Buenamar, Novaliches</t>
  </si>
  <si>
    <t>Upper Balulang, Cagayan de Oro</t>
  </si>
  <si>
    <t>B25535</t>
  </si>
  <si>
    <t>Waltermart Lotus Mall, Cavite</t>
  </si>
  <si>
    <t>B25559</t>
  </si>
  <si>
    <t>Catmon, Cebu</t>
  </si>
  <si>
    <t>F13958</t>
  </si>
  <si>
    <t>Flores, Sopriana</t>
  </si>
  <si>
    <t>B25562</t>
  </si>
  <si>
    <t>Catmondaan, Catmon, Cebu</t>
  </si>
  <si>
    <t>B25574</t>
  </si>
  <si>
    <t>SM City Fairview Terminal, Quezon City</t>
  </si>
  <si>
    <t>B25598</t>
  </si>
  <si>
    <t>Robinsons Gen. Trias, Cavite</t>
  </si>
  <si>
    <t>B25609</t>
  </si>
  <si>
    <t>SM Center Las Pinas, Metro Manila</t>
  </si>
  <si>
    <t>B25624</t>
  </si>
  <si>
    <t>North Poblacion, Calamba, Misamis Occidental</t>
  </si>
  <si>
    <t>B25636</t>
  </si>
  <si>
    <t>Campo Filipino, Baguio City</t>
  </si>
  <si>
    <t>B25648</t>
  </si>
  <si>
    <t>Poblacion, Santander, Cebu</t>
  </si>
  <si>
    <t>B25651</t>
  </si>
  <si>
    <t>Bagting, Dapitan City</t>
  </si>
  <si>
    <t>B25663</t>
  </si>
  <si>
    <t>KM 4, Luna, Surigao City</t>
  </si>
  <si>
    <t>B25675</t>
  </si>
  <si>
    <t>Sarvida, Taft, Surigao City</t>
  </si>
  <si>
    <t>B25687</t>
  </si>
  <si>
    <t>C. Tirona, Poblacion, Batangas City</t>
  </si>
  <si>
    <t>F13961</t>
  </si>
  <si>
    <t>Espeleta, Jherald</t>
  </si>
  <si>
    <t>B25699</t>
  </si>
  <si>
    <t>Waltermart Batangas, Batangas City</t>
  </si>
  <si>
    <t>B25701</t>
  </si>
  <si>
    <t>Waltermart San Pascual, Batangas</t>
  </si>
  <si>
    <t>B25713</t>
  </si>
  <si>
    <t>Mabalacat, Pampanga</t>
  </si>
  <si>
    <t>North Luzon District</t>
  </si>
  <si>
    <t>B25725</t>
  </si>
  <si>
    <t>SM Hypermarket Imus, Cavite</t>
  </si>
  <si>
    <t>B25749</t>
  </si>
  <si>
    <t>Rosary Heights XII, Cotabato City</t>
  </si>
  <si>
    <t>B25752</t>
  </si>
  <si>
    <t>The Cabanas, Malolos, Bulacan</t>
  </si>
  <si>
    <t>F13973</t>
  </si>
  <si>
    <t>Wildcard Ventures OPC</t>
  </si>
  <si>
    <t>B25788</t>
  </si>
  <si>
    <t>Gaisano Grand Mall Panabo, Davao del Norte</t>
  </si>
  <si>
    <t>B25791</t>
  </si>
  <si>
    <t>Poblacion, Tagoloan, Misamis Oriental</t>
  </si>
  <si>
    <t>B25802</t>
  </si>
  <si>
    <t>Puregold Sogod, Leyte</t>
  </si>
  <si>
    <t>B25814</t>
  </si>
  <si>
    <t>Notre Dame, Cotabato City</t>
  </si>
  <si>
    <t>B25838</t>
  </si>
  <si>
    <t>Deca Homes, Tungkil</t>
  </si>
  <si>
    <t>B25877</t>
  </si>
  <si>
    <t>Nuciti Central Mall, Batangas</t>
  </si>
  <si>
    <t>B25889</t>
  </si>
  <si>
    <t>Alphaland Southgate Mall, Makati City</t>
  </si>
  <si>
    <t>B25892</t>
  </si>
  <si>
    <t>Balagtas, Bulacan</t>
  </si>
  <si>
    <t>F13985</t>
  </si>
  <si>
    <t>Bocalan, Harris</t>
  </si>
  <si>
    <t>B25903</t>
  </si>
  <si>
    <t>Bagontaas, Valencia, Bukidnon</t>
  </si>
  <si>
    <t>B25915</t>
  </si>
  <si>
    <t>Batangan, Valencia, Bukidnon</t>
  </si>
  <si>
    <t>B25927</t>
  </si>
  <si>
    <t>Globalport Bohol, Tagbilaran City</t>
  </si>
  <si>
    <t>B25939</t>
  </si>
  <si>
    <t>Opao, Mandaue City</t>
  </si>
  <si>
    <t>B25942</t>
  </si>
  <si>
    <t>Delpan, Tondo, Manila</t>
  </si>
  <si>
    <t>B25954</t>
  </si>
  <si>
    <t>Panglao, Bohol</t>
  </si>
  <si>
    <t>F13997</t>
  </si>
  <si>
    <t>Culinary Fusion Food Corp</t>
  </si>
  <si>
    <t>B25978</t>
  </si>
  <si>
    <t>Marcelo Dablo, Pagadian City</t>
  </si>
  <si>
    <t>B25981</t>
  </si>
  <si>
    <t>Poblacion, Asturias, Cebu</t>
  </si>
  <si>
    <t>B25993</t>
  </si>
  <si>
    <t>Kalapati, New Cabalan, Olongapo</t>
  </si>
  <si>
    <t>B26005</t>
  </si>
  <si>
    <t>Poblacion 3, Coron, Palawan</t>
  </si>
  <si>
    <t>B26017</t>
  </si>
  <si>
    <t>Deca Indangan, Davao City</t>
  </si>
  <si>
    <t>F14009</t>
  </si>
  <si>
    <t>Templado, Franz Josef</t>
  </si>
  <si>
    <t>B26032</t>
  </si>
  <si>
    <t>Waltermart Silang, Cavite</t>
  </si>
  <si>
    <t>B26044</t>
  </si>
  <si>
    <t>Waltermart Naic, Cavite</t>
  </si>
  <si>
    <t>B26056</t>
  </si>
  <si>
    <t>QQ Mall Quiapo, Manila</t>
  </si>
  <si>
    <t>B26068</t>
  </si>
  <si>
    <t>Unitown Center, Sta. Rosa, Laguna</t>
  </si>
  <si>
    <t>B26071</t>
  </si>
  <si>
    <t>Iyam, Lucena City</t>
  </si>
  <si>
    <t>F14012</t>
  </si>
  <si>
    <t>Zera Zoe Foods, Inc.</t>
  </si>
  <si>
    <t>B26083</t>
  </si>
  <si>
    <t>Manulife, Quezon City</t>
  </si>
  <si>
    <t>B26095</t>
  </si>
  <si>
    <t>Bogo (Main), Cebu</t>
  </si>
  <si>
    <t>B26106</t>
  </si>
  <si>
    <t>Poblacion Mother, Cotabato City</t>
  </si>
  <si>
    <t>B26118</t>
  </si>
  <si>
    <t>Lyceum, Gen. Luis, Cavite</t>
  </si>
  <si>
    <t>B26121</t>
  </si>
  <si>
    <t>Poblacion, Carmen, Cebu</t>
  </si>
  <si>
    <t>B26133</t>
  </si>
  <si>
    <t>Lucky Homes, Handumanan, Bacolod City</t>
  </si>
  <si>
    <t>B26145</t>
  </si>
  <si>
    <t>Felisa Handumanan, Bacolod City</t>
  </si>
  <si>
    <t xml:space="preserve">                                                     </t>
  </si>
  <si>
    <t>B26157</t>
  </si>
  <si>
    <t>SM Hypermarket Handumanan, Bacolod City</t>
  </si>
  <si>
    <t>B26169</t>
  </si>
  <si>
    <t>Ibingay, Masbate</t>
  </si>
  <si>
    <t>B26172</t>
  </si>
  <si>
    <t>Sto. Nino Village, Banilad</t>
  </si>
  <si>
    <t>B26184</t>
  </si>
  <si>
    <t>Punta, Calamba, Laguna</t>
  </si>
  <si>
    <t>F13845</t>
  </si>
  <si>
    <t>Francisco Patisserie Corp.</t>
  </si>
  <si>
    <t>B26196</t>
  </si>
  <si>
    <t>Naga City People's Market, Cebu</t>
  </si>
  <si>
    <t>B26207</t>
  </si>
  <si>
    <t>Poblacion 1, Villanueva, Misamis Oriental</t>
  </si>
  <si>
    <t>B26219</t>
  </si>
  <si>
    <t>Quiot, Pardo, Cebu City</t>
  </si>
  <si>
    <t>B26234</t>
  </si>
  <si>
    <t>NCCC Mall R. Magsaysay, Davao City</t>
  </si>
  <si>
    <t>B26246</t>
  </si>
  <si>
    <t>Poblacion District 1, Mobo, Masbate</t>
  </si>
  <si>
    <t>B26258</t>
  </si>
  <si>
    <t>JA Clarin, Poblacion 1, Tagbilaran</t>
  </si>
  <si>
    <t>B26261</t>
  </si>
  <si>
    <t>De La Salle University, Dasmarinas, Cavite</t>
  </si>
  <si>
    <t>B26273</t>
  </si>
  <si>
    <t>Pres. Quezon, Liloan, Southern Leyte</t>
  </si>
  <si>
    <t>B26285</t>
  </si>
  <si>
    <t>Estaka, Dipolog City</t>
  </si>
  <si>
    <t>B26297</t>
  </si>
  <si>
    <t>Bogo City Centrum, Cebu</t>
  </si>
  <si>
    <t>B26308</t>
  </si>
  <si>
    <t>Fortune King Mall, Naic, Cavite</t>
  </si>
  <si>
    <t>B26311</t>
  </si>
  <si>
    <t>Sogo Banawe, Quezon City</t>
  </si>
  <si>
    <t>F14024</t>
  </si>
  <si>
    <t>Eggyolk Food Corp.</t>
  </si>
  <si>
    <t>B26323</t>
  </si>
  <si>
    <t>Pitogo, Zamboanga del Sur</t>
  </si>
  <si>
    <t>B26335</t>
  </si>
  <si>
    <t>Centro Mall, Maramag, Bukidnon</t>
  </si>
  <si>
    <t>B26347</t>
  </si>
  <si>
    <t>Great Wall Supermarket, Agdao, Davao City</t>
  </si>
  <si>
    <t>B26359</t>
  </si>
  <si>
    <t>Prince Hypermart Placer, Masbate</t>
  </si>
  <si>
    <t>B26362</t>
  </si>
  <si>
    <t>Aroroy Market, Masbate</t>
  </si>
  <si>
    <t>B26374</t>
  </si>
  <si>
    <t>Puregold Sucat, Paranaque</t>
  </si>
  <si>
    <t>B26386</t>
  </si>
  <si>
    <t>BACEMCO, Bacoor, Cavite</t>
  </si>
  <si>
    <t>B26398</t>
  </si>
  <si>
    <t>Cityking Town Center, Naic, Cavite</t>
  </si>
  <si>
    <t>B26409</t>
  </si>
  <si>
    <t xml:space="preserve">Gen. T. de Leon, Valenzuela </t>
  </si>
  <si>
    <t>B26412</t>
  </si>
  <si>
    <t>Mano, San Remigio, Cebu</t>
  </si>
  <si>
    <t>Cebu Provincial North Upper District</t>
  </si>
  <si>
    <t>B26424</t>
  </si>
  <si>
    <t>Poblacion, San Remigio, Cebu</t>
  </si>
  <si>
    <t>B26436</t>
  </si>
  <si>
    <t>Pandac, Pavia, Iloilo</t>
  </si>
  <si>
    <t>B26448</t>
  </si>
  <si>
    <t>Deca Homes, Pavia, Iloilo</t>
  </si>
  <si>
    <t>B26451</t>
  </si>
  <si>
    <t>Mandug, Davao City</t>
  </si>
  <si>
    <t>B26463</t>
  </si>
  <si>
    <t>Premier Plaza, Silang, Cavite</t>
  </si>
  <si>
    <t>B26475</t>
  </si>
  <si>
    <t>Libjo, Batangas City</t>
  </si>
  <si>
    <t>B26487</t>
  </si>
  <si>
    <t>Inosloban, Lipa City</t>
  </si>
  <si>
    <t>B26499</t>
  </si>
  <si>
    <t>Damolog, Sogod 2</t>
  </si>
  <si>
    <t>B26501</t>
  </si>
  <si>
    <t>Cabana, Lucena City</t>
  </si>
  <si>
    <t>B26513</t>
  </si>
  <si>
    <t>Waltermart Makiling, Laguna</t>
  </si>
  <si>
    <t>B26525</t>
  </si>
  <si>
    <t>V03</t>
  </si>
  <si>
    <t>B26537</t>
  </si>
  <si>
    <t>Kawasan, Badian, Cebu</t>
  </si>
  <si>
    <t>B26549</t>
  </si>
  <si>
    <t>Ardi Mall Cainta, Rizal</t>
  </si>
  <si>
    <t>F14048</t>
  </si>
  <si>
    <t xml:space="preserve">Diccion-Recto, Mary Ann </t>
  </si>
  <si>
    <t>0977 823 0323</t>
  </si>
  <si>
    <t>ping.flores@juliesbakeshop.com.ph</t>
  </si>
  <si>
    <t>0917-630-0168 - Sir Bobby</t>
  </si>
  <si>
    <t>lisa.doblas@juliesbakeshop.com.ph / bobby_gandionco@yahoo.com</t>
  </si>
  <si>
    <t>0917 856 2131</t>
  </si>
  <si>
    <t>tron.up@gmail.com</t>
  </si>
  <si>
    <t>0906 252 0889 Joy Alkuino / 0906 252 0889; 09061370650; 09185736837</t>
  </si>
  <si>
    <t>jbsvalenciacity@yahoo.com</t>
  </si>
  <si>
    <t>0917 308 5423</t>
  </si>
  <si>
    <t>0917 526 4128</t>
  </si>
  <si>
    <t>ycablitas@yahoo.com</t>
  </si>
  <si>
    <t>0920 381 2590</t>
  </si>
  <si>
    <t>bebethfrancisco@yahoo.com</t>
  </si>
  <si>
    <t>Niño- 514-3722/0927-729-8135</t>
  </si>
  <si>
    <t>roy.villarin@gmail.com; ninorossvillariin@gmail.com</t>
  </si>
  <si>
    <t>Sir Mario - 09999922450; 09177040557, Jun2x 09362075242</t>
  </si>
  <si>
    <t>marfranz_2006@yahoo.com.ph, mar_franz15@yahoo.com</t>
  </si>
  <si>
    <t>Ana - 09175326823, Mary Jane - 09058156779, Jona - 09056530285</t>
  </si>
  <si>
    <t>montenegro_maria_ana@yahoo.com.ph</t>
  </si>
  <si>
    <t>0917 705-6246</t>
  </si>
  <si>
    <t>ddmche@gmail.com</t>
  </si>
  <si>
    <t>0917 544 2838; 09176209232 c/o Larry Farcon</t>
  </si>
  <si>
    <t>jbsbinan@yahoo.com; stphalvarez@gmail.com</t>
  </si>
  <si>
    <t>0918 918 8894</t>
  </si>
  <si>
    <t>jbsbaguio@yahoo.com</t>
  </si>
  <si>
    <t>0917 320 9921</t>
  </si>
  <si>
    <t>mario.farcon@juliesbakeshop.com.ph</t>
  </si>
  <si>
    <t>0917 885 6416</t>
  </si>
  <si>
    <t>rayarq1960@gmail.com</t>
  </si>
  <si>
    <t>0917 836 9434; 0925 812 3510</t>
  </si>
  <si>
    <t>lizatvillanueva@yahoo.com</t>
  </si>
  <si>
    <t>0977 817 4565; 0945 401 9075; 09272740208</t>
  </si>
  <si>
    <t>juliesbakeshop_siniloan@yahoo.com.ph</t>
  </si>
  <si>
    <t>09228211185 / 09175200888 - Paula tanyao</t>
  </si>
  <si>
    <t>frogsoup123@yahoo.com</t>
  </si>
  <si>
    <t>0917 881 2818</t>
  </si>
  <si>
    <t>csfrancis_62@yahoo.com</t>
  </si>
  <si>
    <t>0918 927 1042</t>
  </si>
  <si>
    <t>jayframos@gmail.com</t>
  </si>
  <si>
    <t>0908 929 2998</t>
  </si>
  <si>
    <t>angeliacasio@yahoo.com</t>
  </si>
  <si>
    <t>0917 3282195; carol 0977 1218918</t>
  </si>
  <si>
    <t>jamscog@yahoo.com</t>
  </si>
  <si>
    <t>0917 859 7050</t>
  </si>
  <si>
    <t>jennyodejesus@gmail.com</t>
  </si>
  <si>
    <t>0950 341 5371</t>
  </si>
  <si>
    <t>bryliesulasula@gmail.com</t>
  </si>
  <si>
    <t>0917 312 2656</t>
  </si>
  <si>
    <t>roel.villarin@juliesbakeshop.com.ph</t>
  </si>
  <si>
    <t>0917 703 1741</t>
  </si>
  <si>
    <t>sparquisola@yahoo.com</t>
  </si>
  <si>
    <t>JF - 09177144574, John Ruiz - 09154071145, Perla - 09197472544</t>
  </si>
  <si>
    <t>jfruiz_pfi@yahoo.com.ph, pearlpruiz@yahoo.com.ph</t>
  </si>
  <si>
    <t>09776776331/09064798337</t>
  </si>
  <si>
    <t xml:space="preserve">lydia_bon25@yahoo.com; </t>
  </si>
  <si>
    <t>0917 799 7799</t>
  </si>
  <si>
    <t>chris2crv@yahoo.com</t>
  </si>
  <si>
    <t>0966-631-7986 - gloria</t>
  </si>
  <si>
    <t>joanneriacabatingan@yahoo.com; bern_bab@yahoo.com</t>
  </si>
  <si>
    <t>0961 873 8604; 0961 518 4744</t>
  </si>
  <si>
    <t>cslualhati@yahoo.com</t>
  </si>
  <si>
    <t>0929 611 6286 / 09165239274 Donna</t>
  </si>
  <si>
    <t>kmuytan16@yahoo.com</t>
  </si>
  <si>
    <t>0917 822 9388; 0917 866 6086</t>
  </si>
  <si>
    <t>0917 705 2505</t>
  </si>
  <si>
    <t>micayuy_2001@yahoo.com</t>
  </si>
  <si>
    <t>09234316655; 09235911164; 09331772388</t>
  </si>
  <si>
    <t>charasiana@yahoo.com</t>
  </si>
  <si>
    <t>0917 720 6452 / 0916-523-9274 c/o Dona</t>
  </si>
  <si>
    <t>kmuytan16@yahoo.com; imelda.tan@gmail.com</t>
  </si>
  <si>
    <t>0917 301 6000; 0917 791 2255</t>
  </si>
  <si>
    <t>chiulakam@yahoo.com</t>
  </si>
  <si>
    <t>0917 708 1123</t>
  </si>
  <si>
    <t>angeliebaite@yahoo.com</t>
  </si>
  <si>
    <t>0917 621 8621; miriam 0922 2193117</t>
  </si>
  <si>
    <t>jcla@allurehotel.com.ph</t>
  </si>
  <si>
    <t>0917 718 3818</t>
  </si>
  <si>
    <t>charisseca@yahoo.com</t>
  </si>
  <si>
    <t>0917 624 5550</t>
  </si>
  <si>
    <t>aileenchan16@yahoo.com</t>
  </si>
  <si>
    <t>0905 345 1887</t>
  </si>
  <si>
    <t>cali_examiner@yahoo.com</t>
  </si>
  <si>
    <t>(0917) 5638649</t>
  </si>
  <si>
    <t>fritzacedillo@gmail.com</t>
  </si>
  <si>
    <t>0998 9995283; 0917 893 3511; 0939 9225644 Mads</t>
  </si>
  <si>
    <t>kristine_altarejos@dlsu.edu.ph; kristinekatealtarejos@gmail.com</t>
  </si>
  <si>
    <t>0917-705-6246</t>
  </si>
  <si>
    <t>0917 836 0920</t>
  </si>
  <si>
    <t>caseyu@gmail.com</t>
  </si>
  <si>
    <t>0932 880 2018</t>
  </si>
  <si>
    <t>hildaestorquia@yahoo.com</t>
  </si>
  <si>
    <t>0917 311 5285</t>
  </si>
  <si>
    <t>danarquisola@gmail.com</t>
  </si>
  <si>
    <t>0919 632 6505; 0917 582 5945; 0998 561 5895</t>
  </si>
  <si>
    <t>aaantonio2000@yahoo.com</t>
  </si>
  <si>
    <t>0923-570-8023</t>
  </si>
  <si>
    <t>njdfoodhaus11320@gmail.com</t>
  </si>
  <si>
    <t>(0917) 672 9890</t>
  </si>
  <si>
    <t>jking.julies@gmail.com</t>
  </si>
  <si>
    <t>0915-281-5335</t>
  </si>
  <si>
    <t>rowenalayug123@yahoo.com</t>
  </si>
  <si>
    <t>0917 629 1856</t>
  </si>
  <si>
    <t>opep.gandionco@juliesbakeshop.com.ph</t>
  </si>
  <si>
    <t>0915 966 9667</t>
  </si>
  <si>
    <t>rmbrobio@yahoo.com</t>
  </si>
  <si>
    <t>0918-908-9745</t>
  </si>
  <si>
    <t>jppaguia@gmail.com</t>
  </si>
  <si>
    <t>0919 998 5530</t>
  </si>
  <si>
    <t>poincianaventuresopc@gmail.com</t>
  </si>
  <si>
    <t>0917 800 1707</t>
  </si>
  <si>
    <t>enca77@hotmail.com</t>
  </si>
  <si>
    <t>0977 325 1701</t>
  </si>
  <si>
    <t>jean.rosal19@gmail.com</t>
  </si>
  <si>
    <t>0917 627 7722</t>
  </si>
  <si>
    <t>ericlasala@yahoo.com</t>
  </si>
  <si>
    <t>0917 688 0280</t>
  </si>
  <si>
    <t>mrs.canedo@gmail.com</t>
  </si>
  <si>
    <t>0917 677 8330</t>
  </si>
  <si>
    <t>franzjosefarquisola@yahoo.com</t>
  </si>
  <si>
    <t>0920 573 8624 / 0960 248 0333</t>
  </si>
  <si>
    <t>anabulandra18@gmail.com</t>
  </si>
  <si>
    <t>0917-716-2410</t>
  </si>
  <si>
    <t>atimla@yahoo.com</t>
  </si>
  <si>
    <t>0998-534-1584</t>
  </si>
  <si>
    <t>mikeltsai@gmail.com</t>
  </si>
  <si>
    <t>0917-717-7876</t>
  </si>
  <si>
    <t>mmadz16@yahoo.com</t>
  </si>
  <si>
    <t>0917-563-6363</t>
  </si>
  <si>
    <t>wleagogo@gmail.com</t>
  </si>
  <si>
    <t>0917-508-6130</t>
  </si>
  <si>
    <t>ventrix09@gmail.com</t>
  </si>
  <si>
    <t>0916-586-6365</t>
  </si>
  <si>
    <t>leirudalisay@gmail.com</t>
  </si>
  <si>
    <t>0927 523 7150</t>
  </si>
  <si>
    <t>diksajona@yahoo.com</t>
  </si>
  <si>
    <t>0916-461-5177</t>
  </si>
  <si>
    <t>rudpaconstruction@yahoo.com</t>
  </si>
  <si>
    <t>0917 773-1585</t>
  </si>
  <si>
    <t>keithjohn1017@gmail.com</t>
  </si>
  <si>
    <t>0917 549 1308</t>
  </si>
  <si>
    <t>arnoldtyee@gmail.com</t>
  </si>
  <si>
    <t>0905-345-1887</t>
  </si>
  <si>
    <t>0917-629-7721</t>
  </si>
  <si>
    <t>ping.flores@julies.com.ph</t>
  </si>
  <si>
    <t>0945-756-2514</t>
  </si>
  <si>
    <t>jheraldespeleta07@gmail.com</t>
  </si>
  <si>
    <t>0927-155-0397</t>
  </si>
  <si>
    <t>regrodrigo@gmail.com</t>
  </si>
  <si>
    <t>0968-619-0170</t>
  </si>
  <si>
    <t>harris.bocalan3@gmail.com</t>
  </si>
  <si>
    <t>0917-306-0014</t>
  </si>
  <si>
    <t>uca.tr@yahoo.com</t>
  </si>
  <si>
    <t>0917-126-7205</t>
  </si>
  <si>
    <t>harleylovetemplado@yahoo.com</t>
  </si>
  <si>
    <t>0917-801-64-34</t>
  </si>
  <si>
    <t>arlenetanyoung@yahoo.com</t>
  </si>
  <si>
    <t>0917 822 9388</t>
  </si>
  <si>
    <t>0998-991-9660</t>
  </si>
  <si>
    <t>mym@globalcomfortgroup.com</t>
  </si>
  <si>
    <t>0917-852-1010</t>
  </si>
  <si>
    <t>maryanndiccion@yahoo.com</t>
  </si>
  <si>
    <t>T O T A L S</t>
  </si>
  <si>
    <t>Y</t>
  </si>
  <si>
    <t xml:space="preserve"> T H E S E   A M O U N T S   W E R E</t>
  </si>
  <si>
    <t xml:space="preserve"> P R O C E S S E D   O N: 7/7/2025 2:00:57 PM</t>
  </si>
  <si>
    <t xml:space="preserve"> T H I S   S H E E T   I S   C L O S E D</t>
  </si>
  <si>
    <t>T H E S E   A M O U N T S   W E R E</t>
  </si>
  <si>
    <t>A D D E D   T O   C L U S T E R   H I S T O RY   ON</t>
  </si>
  <si>
    <t>T H I S   S H E E T   I S   C L O S E D</t>
  </si>
  <si>
    <t>A D D E D   T O   S T O R E   H I S T  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</si>
</sst>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\ ;&quot; (&quot;#,##0.00\);&quot; -&quot;#\ ;@\ "/>
    <numFmt numFmtId="165" formatCode="[$-409]d\-mmm\-yy;@"/>
    <numFmt numFmtId="166" formatCode="_(* #,##0_);_(* \(#,##0\);_(* &quot;-&quot;??_);_(@_)"/>
    <numFmt numFmtId="167" formatCode="_(* #,##0.000_);_(* \(#,##0.000\);_(* &quot;-&quot;??_);_(@_)"/>
  </numFmts>
  <fonts count="11" x14ac:knownFonts="1">
    <font>
      <sz val="10"/>
      <name val="Arial"/>
    </font>
    <font>
      <sz val="10"/>
      <name val="Arial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8"/>
      <color rgb="FFFF0000"/>
      <name val="Century Gothic"/>
      <family val="2"/>
    </font>
    <font>
      <b/>
      <sz val="10"/>
      <color rgb="FFFF0000"/>
      <name val="Arial"/>
      <family val="2"/>
    </font>
    <font>
      <sz val="8"/>
      <color rgb="FFFF0000"/>
      <name val="Century Gothic"/>
      <family val="2"/>
    </font>
    <font>
      <sz val="10"/>
      <color rgb="FFFF0000"/>
      <name val="Arial"/>
      <family val="2"/>
    </font>
    <font>
      <b/>
      <i/>
      <sz val="8"/>
      <name val="Century Gothic"/>
      <family val="2"/>
    </font>
    <font>
      <b/>
      <sz val="8"/>
      <color rgb="FFFF0000"/>
      <name val="Castellar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hair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ill="0" applyBorder="0" applyAlignment="0" applyProtection="0"/>
  </cellStyleXfs>
  <cellXfs count="152">
    <xf numFmtId="0" fontId="0" fillId="0" borderId="0" xfId="0"/>
    <xf numFmtId="0" fontId="2" fillId="0" borderId="1" xfId="0" applyFont="1" applyBorder="1" applyAlignment="1" applyProtection="1">
      <alignment horizontal="center"/>
      <protection hidden="1"/>
    </xf>
    <xf numFmtId="0" fontId="2" fillId="0" borderId="1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43" fontId="2" fillId="0" borderId="1" xfId="1" applyFont="1" applyFill="1" applyBorder="1" applyProtection="1">
      <protection hidden="1"/>
    </xf>
    <xf numFmtId="0" fontId="3" fillId="0" borderId="1" xfId="0" applyFont="1" applyBorder="1" applyProtection="1">
      <protection hidden="1"/>
    </xf>
    <xf numFmtId="164" fontId="3" fillId="0" borderId="1" xfId="3" applyFont="1" applyFill="1" applyBorder="1" applyAlignment="1" applyProtection="1">
      <alignment horizontal="center"/>
      <protection hidden="1"/>
    </xf>
    <xf numFmtId="43" fontId="3" fillId="0" borderId="1" xfId="1" applyFont="1" applyFill="1" applyBorder="1" applyAlignment="1" applyProtection="1">
      <alignment horizontal="center"/>
      <protection hidden="1"/>
    </xf>
    <xf numFmtId="43" fontId="2" fillId="0" borderId="1" xfId="2" applyFont="1" applyFill="1" applyBorder="1" applyProtection="1"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49" fontId="2" fillId="0" borderId="1" xfId="0" applyNumberFormat="1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165" fontId="2" fillId="0" borderId="1" xfId="0" applyNumberFormat="1" applyFont="1" applyBorder="1" applyAlignment="1" applyProtection="1">
      <alignment horizontal="center"/>
      <protection hidden="1"/>
    </xf>
    <xf numFmtId="165" fontId="2" fillId="0" borderId="1" xfId="0" applyNumberFormat="1" applyFont="1" applyBorder="1" applyProtection="1">
      <protection hidden="1"/>
    </xf>
    <xf numFmtId="165" fontId="0" fillId="0" borderId="0" xfId="0" applyNumberFormat="1" applyProtection="1">
      <protection hidden="1"/>
    </xf>
    <xf numFmtId="165" fontId="0" fillId="0" borderId="0" xfId="0" applyNumberFormat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8" fillId="0" borderId="1" xfId="0" applyFont="1" applyBorder="1" applyAlignment="1" applyProtection="1">
      <alignment horizontal="right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49" fontId="4" fillId="2" borderId="1" xfId="0" applyNumberFormat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/>
      <protection hidden="1"/>
    </xf>
    <xf numFmtId="0" fontId="3" fillId="2" borderId="5" xfId="0" applyFont="1" applyFill="1" applyBorder="1" applyAlignment="1" applyProtection="1">
      <alignment horizontal="center"/>
      <protection hidden="1"/>
    </xf>
    <xf numFmtId="15" fontId="3" fillId="2" borderId="1" xfId="0" applyNumberFormat="1" applyFont="1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8" fillId="2" borderId="3" xfId="0" applyFont="1" applyFill="1" applyBorder="1" applyAlignment="1" applyProtection="1">
      <alignment horizontal="center"/>
      <protection hidden="1"/>
    </xf>
    <xf numFmtId="164" fontId="3" fillId="2" borderId="6" xfId="3" applyFont="1" applyFill="1" applyBorder="1" applyAlignment="1" applyProtection="1">
      <alignment horizontal="center"/>
      <protection hidden="1"/>
    </xf>
    <xf numFmtId="43" fontId="2" fillId="2" borderId="1" xfId="1" applyFont="1" applyFill="1" applyBorder="1" applyProtection="1">
      <protection hidden="1"/>
    </xf>
    <xf numFmtId="0" fontId="0" fillId="2" borderId="0" xfId="0" applyFill="1" applyProtection="1"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43" fontId="3" fillId="2" borderId="6" xfId="1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Protection="1">
      <protection hidden="1"/>
    </xf>
    <xf numFmtId="0" fontId="5" fillId="2" borderId="0" xfId="0" applyFont="1" applyFill="1" applyProtection="1">
      <protection hidden="1"/>
    </xf>
    <xf numFmtId="0" fontId="2" fillId="2" borderId="1" xfId="0" applyFont="1" applyFill="1" applyBorder="1" applyProtection="1">
      <protection hidden="1"/>
    </xf>
    <xf numFmtId="0" fontId="3" fillId="2" borderId="1" xfId="0" applyFont="1" applyFill="1" applyBorder="1" applyProtection="1">
      <protection hidden="1"/>
    </xf>
    <xf numFmtId="0" fontId="2" fillId="2" borderId="2" xfId="0" applyFont="1" applyFill="1" applyBorder="1" applyProtection="1">
      <protection hidden="1"/>
    </xf>
    <xf numFmtId="43" fontId="3" fillId="2" borderId="1" xfId="2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Protection="1">
      <protection hidden="1"/>
    </xf>
    <xf numFmtId="0" fontId="7" fillId="2" borderId="0" xfId="0" applyFont="1" applyFill="1" applyProtection="1">
      <protection hidden="1"/>
    </xf>
    <xf numFmtId="43" fontId="2" fillId="2" borderId="1" xfId="2" applyFont="1" applyFill="1" applyBorder="1" applyAlignment="1" applyProtection="1">
      <alignment horizontal="center" vertical="center"/>
      <protection hidden="1"/>
    </xf>
    <xf numFmtId="165" fontId="3" fillId="0" borderId="6" xfId="0" applyNumberFormat="1" applyFont="1" applyBorder="1" applyAlignment="1" applyProtection="1">
      <alignment horizontal="center"/>
      <protection hidden="1"/>
    </xf>
    <xf numFmtId="165" fontId="3" fillId="0" borderId="1" xfId="0" applyNumberFormat="1" applyFont="1" applyBorder="1" applyAlignment="1" applyProtection="1">
      <alignment horizontal="center"/>
      <protection hidden="1"/>
    </xf>
    <xf numFmtId="1" fontId="3" fillId="0" borderId="1" xfId="0" applyNumberFormat="1" applyFont="1" applyBorder="1" applyAlignment="1" applyProtection="1">
      <alignment horizontal="center"/>
      <protection hidden="1"/>
    </xf>
    <xf numFmtId="43" fontId="2" fillId="0" borderId="1" xfId="1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center"/>
      <protection hidden="1"/>
    </xf>
    <xf numFmtId="43" fontId="2" fillId="2" borderId="1" xfId="2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164" fontId="3" fillId="0" borderId="6" xfId="3" applyFont="1" applyFill="1" applyBorder="1" applyAlignment="1" applyProtection="1">
      <alignment horizontal="center"/>
      <protection hidden="1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2" borderId="5" xfId="0" applyFont="1" applyFill="1" applyBorder="1" applyProtection="1">
      <protection hidden="1"/>
    </xf>
    <xf numFmtId="0" fontId="2" fillId="0" borderId="1" xfId="0" applyFont="1" applyBorder="1" applyProtection="1">
      <protection locked="0"/>
    </xf>
    <xf numFmtId="0" fontId="10" fillId="0" borderId="0" xfId="0" applyFont="1" applyProtection="1">
      <protection hidden="1"/>
    </xf>
    <xf numFmtId="0" fontId="3" fillId="0" borderId="3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2" fillId="0" borderId="1" xfId="0" applyFont="1" applyBorder="1" applyAlignment="1" applyProtection="1">
      <alignment horizontal="left"/>
      <protection hidden="1"/>
    </xf>
    <xf numFmtId="49" fontId="2" fillId="0" borderId="1" xfId="0" applyNumberFormat="1" applyFont="1" applyBorder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center" vertical="center"/>
      <protection hidden="1"/>
    </xf>
    <xf numFmtId="14" fontId="3" fillId="0" borderId="1" xfId="0" applyNumberFormat="1" applyFont="1" applyBorder="1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167" fontId="2" fillId="0" borderId="1" xfId="1" applyNumberFormat="1" applyFont="1" applyFill="1" applyBorder="1" applyAlignment="1" applyProtection="1">
      <alignment horizontal="center" vertical="center"/>
      <protection hidden="1"/>
    </xf>
    <xf numFmtId="167" fontId="3" fillId="0" borderId="1" xfId="1" applyNumberFormat="1" applyFont="1" applyFill="1" applyBorder="1" applyAlignment="1" applyProtection="1">
      <alignment horizontal="center" vertical="center"/>
      <protection hidden="1"/>
    </xf>
    <xf numFmtId="167" fontId="0" fillId="0" borderId="0" xfId="1" applyNumberFormat="1" applyFont="1" applyAlignment="1" applyProtection="1">
      <alignment horizontal="center" vertical="center"/>
      <protection hidden="1"/>
    </xf>
    <xf numFmtId="165" fontId="2" fillId="0" borderId="7" xfId="0" applyNumberFormat="1" applyFont="1" applyBorder="1" applyProtection="1">
      <protection hidden="1"/>
    </xf>
    <xf numFmtId="165" fontId="2" fillId="0" borderId="12" xfId="0" applyNumberFormat="1" applyFont="1" applyBorder="1" applyProtection="1">
      <protection hidden="1"/>
    </xf>
    <xf numFmtId="165" fontId="2" fillId="0" borderId="8" xfId="0" applyNumberFormat="1" applyFont="1" applyBorder="1" applyProtection="1"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15" fontId="2" fillId="0" borderId="1" xfId="0" applyNumberFormat="1" applyFont="1" applyBorder="1" applyProtection="1">
      <protection hidden="1"/>
    </xf>
    <xf numFmtId="49" fontId="2" fillId="0" borderId="3" xfId="0" applyNumberFormat="1" applyFont="1" applyBorder="1" applyAlignment="1" applyProtection="1">
      <alignment horizontal="center" vertical="center"/>
      <protection hidden="1"/>
    </xf>
    <xf numFmtId="49" fontId="2" fillId="0" borderId="3" xfId="0" applyNumberFormat="1" applyFont="1" applyBorder="1" applyAlignment="1" applyProtection="1">
      <alignment horizontal="left" vertical="center"/>
      <protection hidden="1"/>
    </xf>
    <xf numFmtId="0" fontId="3" fillId="0" borderId="0" xfId="0" applyFont="1" applyProtection="1"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43" fontId="3" fillId="0" borderId="1" xfId="2" applyFont="1" applyFill="1" applyBorder="1" applyAlignment="1" applyProtection="1">
      <alignment horizontal="center" vertical="center"/>
      <protection hidden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3" fontId="2" fillId="0" borderId="1" xfId="1" applyFont="1" applyFill="1" applyBorder="1" applyProtection="1"/>
    <xf numFmtId="0" fontId="3" fillId="0" borderId="2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13" xfId="0" applyFont="1" applyBorder="1" applyAlignment="1" applyProtection="1">
      <alignment horizontal="center"/>
      <protection hidden="1"/>
    </xf>
    <xf numFmtId="22" fontId="4" fillId="0" borderId="0" xfId="0" applyNumberFormat="1" applyFont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4" fillId="0" borderId="14" xfId="0" applyFont="1" applyBorder="1" applyAlignment="1" applyProtection="1">
      <alignment horizontal="center"/>
      <protection hidden="1"/>
    </xf>
    <xf numFmtId="0" fontId="4" fillId="0" borderId="15" xfId="0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 textRotation="255"/>
      <protection hidden="1"/>
    </xf>
    <xf numFmtId="0" fontId="3" fillId="0" borderId="10" xfId="0" applyFont="1" applyBorder="1" applyAlignment="1" applyProtection="1">
      <alignment horizontal="center" textRotation="255"/>
      <protection hidden="1"/>
    </xf>
    <xf numFmtId="0" fontId="3" fillId="0" borderId="6" xfId="0" applyFont="1" applyBorder="1" applyAlignment="1" applyProtection="1">
      <alignment horizontal="center" textRotation="255"/>
      <protection hidden="1"/>
    </xf>
    <xf numFmtId="0" fontId="8" fillId="0" borderId="3" xfId="0" applyFont="1" applyBorder="1" applyAlignment="1" applyProtection="1">
      <alignment horizontal="center"/>
      <protection hidden="1"/>
    </xf>
    <xf numFmtId="0" fontId="8" fillId="0" borderId="10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165" fontId="3" fillId="0" borderId="3" xfId="0" applyNumberFormat="1" applyFont="1" applyBorder="1" applyAlignment="1" applyProtection="1">
      <alignment horizontal="center"/>
      <protection hidden="1"/>
    </xf>
    <xf numFmtId="165" fontId="3" fillId="0" borderId="10" xfId="0" applyNumberFormat="1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 wrapText="1"/>
      <protection hidden="1"/>
    </xf>
    <xf numFmtId="0" fontId="3" fillId="0" borderId="10" xfId="0" applyFont="1" applyBorder="1" applyAlignment="1" applyProtection="1">
      <alignment horizontal="center" wrapText="1"/>
      <protection hidden="1"/>
    </xf>
    <xf numFmtId="0" fontId="3" fillId="0" borderId="6" xfId="0" applyFont="1" applyBorder="1" applyAlignment="1" applyProtection="1">
      <alignment horizontal="center" wrapText="1"/>
      <protection hidden="1"/>
    </xf>
    <xf numFmtId="43" fontId="3" fillId="0" borderId="1" xfId="2" applyFont="1" applyFill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/>
      <protection hidden="1"/>
    </xf>
    <xf numFmtId="0" fontId="3" fillId="0" borderId="11" xfId="0" applyFont="1" applyBorder="1" applyAlignment="1" applyProtection="1">
      <alignment horizontal="center"/>
      <protection hidden="1"/>
    </xf>
    <xf numFmtId="0" fontId="3" fillId="0" borderId="9" xfId="0" applyFont="1" applyBorder="1" applyAlignment="1" applyProtection="1">
      <alignment horizontal="center"/>
      <protection hidden="1"/>
    </xf>
    <xf numFmtId="0" fontId="3" fillId="0" borderId="12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13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/>
      <protection hidden="1"/>
    </xf>
    <xf numFmtId="0" fontId="3" fillId="0" borderId="14" xfId="0" applyFont="1" applyBorder="1" applyAlignment="1" applyProtection="1">
      <alignment horizontal="center"/>
      <protection hidden="1"/>
    </xf>
    <xf numFmtId="0" fontId="3" fillId="0" borderId="15" xfId="0" applyFont="1" applyBorder="1" applyAlignment="1" applyProtection="1">
      <alignment horizontal="center"/>
      <protection hidden="1"/>
    </xf>
    <xf numFmtId="0" fontId="9" fillId="0" borderId="7" xfId="0" applyFont="1" applyBorder="1" applyAlignment="1" applyProtection="1">
      <alignment horizontal="center"/>
      <protection hidden="1"/>
    </xf>
    <xf numFmtId="0" fontId="9" fillId="0" borderId="11" xfId="0" applyFont="1" applyBorder="1" applyAlignment="1" applyProtection="1">
      <alignment horizontal="center"/>
      <protection hidden="1"/>
    </xf>
    <xf numFmtId="0" fontId="9" fillId="0" borderId="9" xfId="0" applyFont="1" applyBorder="1" applyAlignment="1" applyProtection="1">
      <alignment horizontal="center"/>
      <protection hidden="1"/>
    </xf>
    <xf numFmtId="0" fontId="9" fillId="0" borderId="12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9" fillId="0" borderId="13" xfId="0" applyFont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165" fontId="4" fillId="0" borderId="16" xfId="0" applyNumberFormat="1" applyFont="1" applyBorder="1" applyAlignment="1" applyProtection="1">
      <alignment horizontal="center"/>
      <protection hidden="1"/>
    </xf>
    <xf numFmtId="165" fontId="4" fillId="0" borderId="17" xfId="0" applyNumberFormat="1" applyFont="1" applyBorder="1" applyAlignment="1" applyProtection="1">
      <alignment horizontal="center"/>
      <protection hidden="1"/>
    </xf>
    <xf numFmtId="165" fontId="4" fillId="0" borderId="18" xfId="0" applyNumberFormat="1" applyFont="1" applyBorder="1" applyAlignment="1" applyProtection="1">
      <alignment horizontal="center"/>
      <protection hidden="1"/>
    </xf>
    <xf numFmtId="165" fontId="4" fillId="0" borderId="19" xfId="0" applyNumberFormat="1" applyFont="1" applyBorder="1" applyAlignment="1" applyProtection="1">
      <alignment horizontal="center"/>
      <protection hidden="1"/>
    </xf>
    <xf numFmtId="165" fontId="4" fillId="0" borderId="13" xfId="0" applyNumberFormat="1" applyFont="1" applyBorder="1" applyAlignment="1" applyProtection="1">
      <alignment horizontal="center"/>
      <protection hidden="1"/>
    </xf>
    <xf numFmtId="165" fontId="4" fillId="0" borderId="20" xfId="0" applyNumberFormat="1" applyFont="1" applyBorder="1" applyAlignment="1" applyProtection="1">
      <alignment horizontal="center"/>
      <protection hidden="1"/>
    </xf>
    <xf numFmtId="165" fontId="4" fillId="0" borderId="21" xfId="0" applyNumberFormat="1" applyFont="1" applyBorder="1" applyAlignment="1" applyProtection="1">
      <alignment horizontal="center"/>
      <protection hidden="1"/>
    </xf>
    <xf numFmtId="165" fontId="4" fillId="0" borderId="22" xfId="0" applyNumberFormat="1" applyFont="1" applyBorder="1" applyAlignment="1" applyProtection="1">
      <alignment horizontal="center"/>
      <protection hidden="1"/>
    </xf>
    <xf numFmtId="165" fontId="4" fillId="0" borderId="23" xfId="0" applyNumberFormat="1" applyFont="1" applyBorder="1" applyAlignment="1" applyProtection="1">
      <alignment horizontal="center"/>
      <protection hidden="1"/>
    </xf>
    <xf numFmtId="0" fontId="9" fillId="0" borderId="8" xfId="0" applyFont="1" applyBorder="1" applyAlignment="1" applyProtection="1">
      <alignment horizontal="center"/>
      <protection hidden="1"/>
    </xf>
    <xf numFmtId="0" fontId="9" fillId="0" borderId="14" xfId="0" applyFont="1" applyBorder="1" applyAlignment="1" applyProtection="1">
      <alignment horizontal="center"/>
      <protection hidden="1"/>
    </xf>
    <xf numFmtId="0" fontId="9" fillId="0" borderId="15" xfId="0" applyFont="1" applyBorder="1" applyAlignment="1" applyProtection="1">
      <alignment horizontal="center"/>
      <protection hidden="1"/>
    </xf>
    <xf numFmtId="165" fontId="3" fillId="0" borderId="7" xfId="0" applyNumberFormat="1" applyFont="1" applyBorder="1" applyAlignment="1" applyProtection="1">
      <alignment horizontal="center"/>
      <protection hidden="1"/>
    </xf>
    <xf numFmtId="165" fontId="3" fillId="0" borderId="13" xfId="0" applyNumberFormat="1" applyFont="1" applyBorder="1" applyAlignment="1" applyProtection="1">
      <alignment horizontal="center"/>
      <protection hidden="1"/>
    </xf>
    <xf numFmtId="0" fontId="3" fillId="0" borderId="10" xfId="0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166" fontId="3" fillId="0" borderId="2" xfId="1" applyNumberFormat="1" applyFont="1" applyFill="1" applyBorder="1" applyAlignment="1" applyProtection="1">
      <alignment horizontal="center" vertical="center"/>
      <protection hidden="1"/>
    </xf>
    <xf numFmtId="166" fontId="3" fillId="0" borderId="5" xfId="1" applyNumberFormat="1" applyFont="1" applyFill="1" applyBorder="1" applyAlignment="1" applyProtection="1">
      <alignment horizontal="center" vertical="center"/>
      <protection hidden="1"/>
    </xf>
    <xf numFmtId="166" fontId="3" fillId="0" borderId="4" xfId="1" applyNumberFormat="1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/>
      <protection hidden="1"/>
    </xf>
  </cellXfs>
  <cellStyles count="4">
    <cellStyle name="Comma" xfId="1" builtinId="3"/>
    <cellStyle name="Comma_new clustering" xfId="2" xr:uid="{00000000-0005-0000-0000-000001000000}"/>
    <cellStyle name="Comma_Sheet1" xfId="3" xr:uid="{00000000-0005-0000-0000-000002000000}"/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L999"/>
  <sheetViews>
    <sheetView topLeftCell="A2" workbookViewId="0">
      <pane xSplit="3" ySplit="6" topLeftCell="BE885" activePane="bottomRight" state="frozenSplit"/>
      <selection activeCell="A2" sqref="A2"/>
      <selection pane="topRight" activeCell="M2" sqref="M2"/>
      <selection pane="bottomLeft" activeCell="A8" sqref="A8"/>
      <selection pane="bottomRight" activeCell="A886" sqref="A886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" si="0">A1+1</f>
        <v>2</v>
      </c>
      <c r="C1" s="1">
        <f t="shared" ref="C1" si="1">B1+1</f>
        <v>3</v>
      </c>
      <c r="D1" s="1">
        <f t="shared" ref="D1" si="2">C1+1</f>
        <v>4</v>
      </c>
      <c r="E1" s="9">
        <f t="shared" ref="E1" si="3">D1+1</f>
        <v>5</v>
      </c>
      <c r="F1" s="9">
        <f t="shared" ref="F1" si="4">E1+1</f>
        <v>6</v>
      </c>
      <c r="G1" s="9">
        <f t="shared" ref="G1" si="5">F1+1</f>
        <v>7</v>
      </c>
      <c r="H1" s="1">
        <f t="shared" ref="H1" si="6">G1+1</f>
        <v>8</v>
      </c>
      <c r="I1" s="1">
        <f t="shared" ref="I1" si="7">H1+1</f>
        <v>9</v>
      </c>
      <c r="J1" s="1">
        <f t="shared" ref="J1" si="8">I1+1</f>
        <v>10</v>
      </c>
      <c r="K1" s="60">
        <f t="shared" ref="K1" si="9">J1+1</f>
        <v>11</v>
      </c>
      <c r="L1" s="1">
        <f t="shared" ref="L1" si="10">K1+1</f>
        <v>12</v>
      </c>
      <c r="M1" s="1">
        <f t="shared" ref="M1" si="11">L1+1</f>
        <v>13</v>
      </c>
      <c r="N1" s="1">
        <f t="shared" ref="N1" si="12">M1+1</f>
        <v>14</v>
      </c>
      <c r="O1" s="1">
        <f t="shared" ref="O1" si="13">N1+1</f>
        <v>15</v>
      </c>
      <c r="P1" s="1">
        <f t="shared" ref="P1" si="14">O1+1</f>
        <v>16</v>
      </c>
      <c r="Q1" s="1">
        <f t="shared" ref="Q1" si="15">P1+1</f>
        <v>17</v>
      </c>
      <c r="R1" s="1">
        <f t="shared" ref="R1" si="16">Q1+1</f>
        <v>18</v>
      </c>
      <c r="S1" s="1">
        <f t="shared" ref="S1" si="17">R1+1</f>
        <v>19</v>
      </c>
      <c r="T1" s="1">
        <f t="shared" ref="T1" si="18">S1+1</f>
        <v>20</v>
      </c>
      <c r="U1" s="1">
        <f t="shared" ref="U1" si="19">T1+1</f>
        <v>21</v>
      </c>
      <c r="V1" s="1">
        <f t="shared" ref="V1" si="20">U1+1</f>
        <v>22</v>
      </c>
      <c r="W1" s="1">
        <f t="shared" ref="W1" si="21">V1+1</f>
        <v>23</v>
      </c>
      <c r="X1" s="1">
        <f t="shared" ref="X1" si="22">W1+1</f>
        <v>24</v>
      </c>
      <c r="Y1" s="1">
        <f t="shared" ref="Y1" si="23">X1+1</f>
        <v>25</v>
      </c>
      <c r="Z1" s="1">
        <f t="shared" ref="Z1" si="24">Y1+1</f>
        <v>26</v>
      </c>
      <c r="AA1" s="1">
        <f t="shared" ref="AA1" si="25">Z1+1</f>
        <v>27</v>
      </c>
      <c r="AB1" s="1">
        <f t="shared" ref="AB1" si="26">AA1+1</f>
        <v>28</v>
      </c>
      <c r="AC1" s="1">
        <f t="shared" ref="AC1" si="27">AB1+1</f>
        <v>29</v>
      </c>
      <c r="AD1" s="1">
        <f t="shared" ref="AD1" si="28">AC1+1</f>
        <v>30</v>
      </c>
      <c r="AE1" s="1">
        <f t="shared" ref="AE1" si="29">AD1+1</f>
        <v>31</v>
      </c>
      <c r="AF1" s="1">
        <f t="shared" ref="AF1" si="30">AE1+1</f>
        <v>32</v>
      </c>
      <c r="AG1" s="1">
        <f t="shared" ref="AG1" si="31">AF1+1</f>
        <v>33</v>
      </c>
      <c r="AH1" s="1">
        <f t="shared" ref="AH1" si="32">AG1+1</f>
        <v>34</v>
      </c>
      <c r="AI1" s="1">
        <f t="shared" ref="AI1" si="33">AH1+1</f>
        <v>35</v>
      </c>
      <c r="AJ1" s="79">
        <f t="shared" ref="AJ1" si="34">AI1+1</f>
        <v>36</v>
      </c>
      <c r="AK1" s="1">
        <f t="shared" ref="AK1" si="35">AJ1+1</f>
        <v>37</v>
      </c>
      <c r="AL1" s="1">
        <f t="shared" ref="AL1" si="36">AK1+1</f>
        <v>38</v>
      </c>
      <c r="AM1" s="1">
        <f t="shared" ref="AM1" si="37">AL1+1</f>
        <v>39</v>
      </c>
      <c r="AN1" s="1">
        <f t="shared" ref="AN1" si="38">AM1+1</f>
        <v>40</v>
      </c>
      <c r="AO1" s="1">
        <f t="shared" ref="AO1" si="39">AN1+1</f>
        <v>41</v>
      </c>
      <c r="AP1" s="1">
        <f t="shared" ref="AP1" si="40">AO1+1</f>
        <v>42</v>
      </c>
      <c r="AQ1" s="1">
        <f t="shared" ref="AQ1" si="41">AP1+1</f>
        <v>43</v>
      </c>
      <c r="AR1" s="1">
        <f t="shared" ref="AR1" si="42">AQ1+1</f>
        <v>44</v>
      </c>
      <c r="AS1" s="1">
        <f t="shared" ref="AS1" si="43">AR1+1</f>
        <v>45</v>
      </c>
      <c r="AT1" s="1">
        <f t="shared" ref="AT1" si="44">AS1+1</f>
        <v>46</v>
      </c>
      <c r="AU1" s="1">
        <f t="shared" ref="AU1" si="45">AT1+1</f>
        <v>47</v>
      </c>
      <c r="AV1" s="1">
        <f t="shared" ref="AV1" si="46">AU1+1</f>
        <v>48</v>
      </c>
      <c r="AW1" s="1">
        <f t="shared" ref="AW1" si="47">AV1+1</f>
        <v>49</v>
      </c>
      <c r="AX1" s="1">
        <f t="shared" ref="AX1" si="48">AW1+1</f>
        <v>50</v>
      </c>
      <c r="AY1" s="1">
        <f t="shared" ref="AY1" si="49">AX1+1</f>
        <v>51</v>
      </c>
      <c r="AZ1" s="1">
        <f t="shared" ref="AZ1" si="50">AY1+1</f>
        <v>52</v>
      </c>
      <c r="BA1" s="1">
        <f t="shared" ref="BA1" si="51">AZ1+1</f>
        <v>53</v>
      </c>
      <c r="BB1" s="1">
        <f t="shared" ref="BB1" si="52">BA1+1</f>
        <v>54</v>
      </c>
      <c r="BC1" s="1">
        <f t="shared" ref="BC1" si="53">BB1+1</f>
        <v>55</v>
      </c>
      <c r="BD1" s="1">
        <f t="shared" ref="BD1" si="54">BC1+1</f>
        <v>56</v>
      </c>
      <c r="BE1" s="66"/>
      <c r="BF1" s="66"/>
      <c r="BG1" s="63"/>
    </row>
    <row r="2" spans="1:64" s="2" customFormat="1" ht="14.25" customHeight="1" x14ac:dyDescent="0.25">
      <c r="A2" s="124" t="s">
        <v>1802</v>
      </c>
      <c r="B2" s="125"/>
      <c r="C2" s="126"/>
      <c r="D2" s="69"/>
      <c r="E2" s="132" t="s">
        <v>1805</v>
      </c>
      <c r="F2" s="133"/>
      <c r="G2" s="134"/>
      <c r="H2" s="130" t="s">
        <v>1805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1803</v>
      </c>
      <c r="B3" s="128"/>
      <c r="C3" s="129"/>
      <c r="D3" s="70"/>
      <c r="E3" s="135" t="s">
        <v>1808</v>
      </c>
      <c r="F3" s="136"/>
      <c r="G3" s="137"/>
      <c r="H3" s="87" t="s">
        <v>1806</v>
      </c>
      <c r="I3" s="87"/>
      <c r="J3" s="87"/>
      <c r="K3" s="87"/>
      <c r="L3" s="88"/>
      <c r="M3" s="23"/>
      <c r="N3" s="106"/>
      <c r="O3" s="103" t="s">
        <v>23</v>
      </c>
      <c r="P3" s="78" t="s">
        <v>5</v>
      </c>
      <c r="Q3" s="46">
        <v>45809</v>
      </c>
      <c r="R3" s="28"/>
      <c r="S3" s="103" t="s">
        <v>23</v>
      </c>
      <c r="T3" s="78" t="s">
        <v>5</v>
      </c>
      <c r="U3" s="46">
        <v>45817</v>
      </c>
      <c r="V3" s="28"/>
      <c r="W3" s="103" t="s">
        <v>23</v>
      </c>
      <c r="X3" s="78" t="s">
        <v>5</v>
      </c>
      <c r="Y3" s="46">
        <v>45824</v>
      </c>
      <c r="Z3" s="29"/>
      <c r="AA3" s="103" t="s">
        <v>23</v>
      </c>
      <c r="AB3" s="78" t="s">
        <v>5</v>
      </c>
      <c r="AC3" s="46">
        <v>45831</v>
      </c>
      <c r="AD3" s="36"/>
      <c r="AE3" s="109"/>
      <c r="AF3" s="103" t="s">
        <v>23</v>
      </c>
      <c r="AG3" s="78" t="s">
        <v>5</v>
      </c>
      <c r="AH3" s="46"/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1804</v>
      </c>
      <c r="B4" s="128"/>
      <c r="C4" s="129"/>
      <c r="D4" s="70"/>
      <c r="E4" s="135">
        <v>45845.641030092593</v>
      </c>
      <c r="F4" s="136"/>
      <c r="G4" s="137"/>
      <c r="H4" s="89">
        <v>45845.61996527778</v>
      </c>
      <c r="I4" s="87"/>
      <c r="J4" s="87"/>
      <c r="K4" s="87"/>
      <c r="L4" s="88"/>
      <c r="M4" s="23"/>
      <c r="N4" s="107"/>
      <c r="O4" s="104"/>
      <c r="P4" s="78" t="s">
        <v>6</v>
      </c>
      <c r="Q4" s="46">
        <v>45816</v>
      </c>
      <c r="R4" s="28"/>
      <c r="S4" s="104"/>
      <c r="T4" s="78" t="s">
        <v>6</v>
      </c>
      <c r="U4" s="46">
        <v>45823</v>
      </c>
      <c r="V4" s="28"/>
      <c r="W4" s="104"/>
      <c r="X4" s="78" t="s">
        <v>6</v>
      </c>
      <c r="Y4" s="46">
        <v>45830</v>
      </c>
      <c r="Z4" s="29"/>
      <c r="AA4" s="104"/>
      <c r="AB4" s="78" t="s">
        <v>6</v>
      </c>
      <c r="AC4" s="46">
        <v>45838</v>
      </c>
      <c r="AD4" s="36"/>
      <c r="AE4" s="110"/>
      <c r="AF4" s="104"/>
      <c r="AG4" s="78" t="s">
        <v>6</v>
      </c>
      <c r="AH4" s="46"/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1807</v>
      </c>
      <c r="F5" s="139"/>
      <c r="G5" s="140"/>
      <c r="H5" s="99" t="s">
        <v>1807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8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8</v>
      </c>
      <c r="AD5" s="36"/>
      <c r="AE5" s="110"/>
      <c r="AF5" s="104"/>
      <c r="AG5" s="21" t="s">
        <v>22</v>
      </c>
      <c r="AH5" s="47"/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80" t="s">
        <v>8</v>
      </c>
      <c r="AO6" s="41"/>
      <c r="AP6" s="114" t="s">
        <v>8</v>
      </c>
      <c r="AQ6" s="114"/>
      <c r="AR6" s="80" t="s">
        <v>8</v>
      </c>
      <c r="AS6" s="23"/>
      <c r="AT6" s="85" t="s">
        <v>8</v>
      </c>
      <c r="AU6" s="86"/>
      <c r="AV6" s="80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80" t="s">
        <v>9</v>
      </c>
      <c r="AM7" s="80" t="s">
        <v>10</v>
      </c>
      <c r="AN7" s="80" t="s">
        <v>11</v>
      </c>
      <c r="AO7" s="41"/>
      <c r="AP7" s="80" t="s">
        <v>9</v>
      </c>
      <c r="AQ7" s="80" t="s">
        <v>10</v>
      </c>
      <c r="AR7" s="80" t="s">
        <v>11</v>
      </c>
      <c r="AS7" s="23"/>
      <c r="AT7" s="79" t="s">
        <v>9</v>
      </c>
      <c r="AU7" s="79" t="s">
        <v>10</v>
      </c>
      <c r="AV7" s="80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55">IF($A8="","",IF(P8=0,"A",IF(P8=AZ8,"E","A")))</f>
        <v>A</v>
      </c>
      <c r="P8" s="84">
        <v>106708.82</v>
      </c>
      <c r="Q8" s="84">
        <v>24173</v>
      </c>
      <c r="R8" s="32"/>
      <c r="S8" s="3" t="str">
        <f t="shared" ref="S8:S26" si="56">IF($A8="","",IF(T8=0,"A",IF(T8=BA8,"E","A")))</f>
        <v>A</v>
      </c>
      <c r="T8" s="84">
        <v>93054.37</v>
      </c>
      <c r="U8" s="84">
        <v>21680.22</v>
      </c>
      <c r="V8" s="32"/>
      <c r="W8" s="3" t="str">
        <f t="shared" ref="W8:W71" si="57">IF($A8="","",IF(X8=0,"A",IF(X8=BB8,"E","A")))</f>
        <v>A</v>
      </c>
      <c r="X8" s="84">
        <v>91871.61</v>
      </c>
      <c r="Y8" s="84">
        <v>25308</v>
      </c>
      <c r="Z8" s="32"/>
      <c r="AA8" s="3" t="str">
        <f t="shared" ref="AA8:AA71" si="58">IF($A8="","",IF(AB8=0,"A",IF(AB8=BC8,"E","A")))</f>
        <v>A</v>
      </c>
      <c r="AB8" s="84">
        <v>100272.76000000001</v>
      </c>
      <c r="AC8" s="84">
        <v>23435.839999999997</v>
      </c>
      <c r="AD8" s="36"/>
      <c r="AE8" s="82"/>
      <c r="AF8" s="3" t="str">
        <f t="shared" ref="AF8:AF71" si="59">IF($A8="","",IF(AG8=0,"A",IF(AG8=BD8,"E","A")))</f>
        <v>A</v>
      </c>
      <c r="AG8" s="84">
        <v>0</v>
      </c>
      <c r="AH8" s="84">
        <v>0</v>
      </c>
      <c r="AI8" s="38"/>
      <c r="AJ8" s="79" t="s">
        <v>1801</v>
      </c>
      <c r="AK8" s="38"/>
      <c r="AL8" s="8">
        <f t="shared" ref="AL8" si="60">IF($O8="A",P8,0)+IF($S8="A",T8,0)+IF($W8="A",X8,0)+IF($AA8="A",AB8,0)+IF($AF8="A",AG8,0)</f>
        <v>391907.56</v>
      </c>
      <c r="AM8" s="8">
        <f t="shared" ref="AM8" si="61">IF($O8="A",Q8,0)+IF($S8="A",U8,0)+IF($W8="A",Y8,0)+IF($AA8="A",AC8,0)+IF($AF8="A",AH8,0)</f>
        <v>94597.06</v>
      </c>
      <c r="AN8" s="4">
        <f t="shared" ref="AN8:AN71" si="62">SUM(AL8:AM8)</f>
        <v>486504.62</v>
      </c>
      <c r="AO8" s="38"/>
      <c r="AP8" s="8">
        <f t="shared" ref="AP8" si="63">IF($O8="E",P8,0)+IF($S8="E",T8,0)+IF($W8="E",X8,0)+IF($AA8="E",AB8,0)+IF($AF8="E",AG8,0)</f>
        <v>0</v>
      </c>
      <c r="AQ8" s="8">
        <f t="shared" ref="AQ8" si="64">IF($O8="E",Q8,0)+IF($S8="E",U8,0)+IF($W8="E",Y8,0)+IF($AA8="E",AC8,0)+IF($AF8="E",AH8,0)</f>
        <v>0</v>
      </c>
      <c r="AR8" s="8">
        <f t="shared" ref="AR8:AR71" si="65">SUM(AP8:AQ8)</f>
        <v>0</v>
      </c>
      <c r="AS8" s="42"/>
      <c r="AT8" s="84">
        <v>391907.56000000006</v>
      </c>
      <c r="AU8" s="84">
        <v>94597.06</v>
      </c>
      <c r="AV8" s="4">
        <f t="shared" ref="AV8:AV71" si="66">SUM(AT8:AU8)</f>
        <v>486504.62000000005</v>
      </c>
      <c r="AW8" s="50" t="str">
        <f t="shared" ref="AW8:AW71" si="67">IF(AV8=0,"",IF(AN8=AV8,"","W"))</f>
        <v/>
      </c>
      <c r="AX8" s="1" t="s">
        <v>1639</v>
      </c>
      <c r="AY8" s="2" t="s">
        <v>1640</v>
      </c>
      <c r="AZ8" s="2">
        <v>122072.64</v>
      </c>
      <c r="BA8" s="2">
        <v>106813.56</v>
      </c>
      <c r="BB8" s="2">
        <v>106813.56</v>
      </c>
      <c r="BC8" s="2">
        <v>122072.64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943</v>
      </c>
      <c r="C9" s="81" t="s">
        <v>944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55"/>
        <v>A</v>
      </c>
      <c r="P9" s="84">
        <v>75587</v>
      </c>
      <c r="Q9" s="84">
        <v>8696</v>
      </c>
      <c r="R9" s="32"/>
      <c r="S9" s="3" t="str">
        <f t="shared" si="56"/>
        <v>A</v>
      </c>
      <c r="T9" s="84">
        <v>73664</v>
      </c>
      <c r="U9" s="84">
        <v>11288</v>
      </c>
      <c r="V9" s="32"/>
      <c r="W9" s="3" t="str">
        <f t="shared" si="57"/>
        <v>A</v>
      </c>
      <c r="X9" s="84">
        <v>78219</v>
      </c>
      <c r="Y9" s="84">
        <v>7496</v>
      </c>
      <c r="Z9" s="32"/>
      <c r="AA9" s="3" t="str">
        <f t="shared" si="58"/>
        <v>A</v>
      </c>
      <c r="AB9" s="84">
        <v>90263</v>
      </c>
      <c r="AC9" s="84">
        <v>8569</v>
      </c>
      <c r="AD9" s="36"/>
      <c r="AE9" s="82"/>
      <c r="AF9" s="3" t="str">
        <f t="shared" si="59"/>
        <v>A</v>
      </c>
      <c r="AG9" s="84">
        <v>0</v>
      </c>
      <c r="AH9" s="84">
        <v>0</v>
      </c>
      <c r="AI9" s="39"/>
      <c r="AJ9" s="79" t="s">
        <v>1801</v>
      </c>
      <c r="AK9" s="39"/>
      <c r="AL9" s="4">
        <f t="shared" ref="AL9:AL72" si="68">IF($O9="A",P9,0)+IF($S9="A",T9,0)+IF($W9="A",X9,0)+IF($AA9="A",AB9,0)+IF($AF9="A",AG9,0)</f>
        <v>317733</v>
      </c>
      <c r="AM9" s="4">
        <f t="shared" ref="AM9:AM72" si="69">IF($O9="A",Q9,0)+IF($S9="A",U9,0)+IF($W9="A",Y9,0)+IF($AA9="A",AC9,0)+IF($AF9="A",AH9,0)</f>
        <v>36049</v>
      </c>
      <c r="AN9" s="4">
        <f t="shared" si="62"/>
        <v>353782</v>
      </c>
      <c r="AO9" s="39"/>
      <c r="AP9" s="8">
        <f t="shared" ref="AP9:AP72" si="70">IF($O9="E",P9,0)+IF($S9="E",T9,0)+IF($W9="E",X9,0)+IF($AA9="E",AB9,0)+IF($AF9="E",AG9,0)</f>
        <v>0</v>
      </c>
      <c r="AQ9" s="8">
        <f t="shared" ref="AQ9:AQ72" si="71">IF($O9="E",Q9,0)+IF($S9="E",U9,0)+IF($W9="E",Y9,0)+IF($AA9="E",AC9,0)+IF($AF9="E",AH9,0)</f>
        <v>0</v>
      </c>
      <c r="AR9" s="8">
        <f t="shared" si="65"/>
        <v>0</v>
      </c>
      <c r="AS9" s="42"/>
      <c r="AT9" s="84">
        <v>317733</v>
      </c>
      <c r="AU9" s="84">
        <v>36049</v>
      </c>
      <c r="AV9" s="4">
        <f t="shared" si="66"/>
        <v>353782</v>
      </c>
      <c r="AW9" s="50" t="str">
        <f t="shared" si="67"/>
        <v/>
      </c>
      <c r="AX9" s="1" t="s">
        <v>1639</v>
      </c>
      <c r="AY9" s="2" t="s">
        <v>1640</v>
      </c>
      <c r="AZ9" s="2">
        <v>377501.44</v>
      </c>
      <c r="BA9" s="2">
        <v>330313.76</v>
      </c>
      <c r="BB9" s="2">
        <v>330313.76</v>
      </c>
      <c r="BC9" s="2">
        <v>377501.44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55"/>
        <v>A</v>
      </c>
      <c r="P10" s="84">
        <v>192684</v>
      </c>
      <c r="Q10" s="84">
        <v>21634</v>
      </c>
      <c r="R10" s="32"/>
      <c r="S10" s="3" t="str">
        <f t="shared" si="56"/>
        <v>A</v>
      </c>
      <c r="T10" s="84">
        <v>172461</v>
      </c>
      <c r="U10" s="84">
        <v>20087</v>
      </c>
      <c r="V10" s="32"/>
      <c r="W10" s="3" t="str">
        <f t="shared" si="57"/>
        <v>A</v>
      </c>
      <c r="X10" s="84">
        <v>167648</v>
      </c>
      <c r="Y10" s="84">
        <v>19220</v>
      </c>
      <c r="Z10" s="32"/>
      <c r="AA10" s="3" t="str">
        <f t="shared" si="58"/>
        <v>A</v>
      </c>
      <c r="AB10" s="84">
        <v>176795</v>
      </c>
      <c r="AC10" s="84">
        <v>19317</v>
      </c>
      <c r="AD10" s="36"/>
      <c r="AE10" s="82"/>
      <c r="AF10" s="3" t="str">
        <f t="shared" si="59"/>
        <v>A</v>
      </c>
      <c r="AG10" s="84">
        <v>0</v>
      </c>
      <c r="AH10" s="84">
        <v>0</v>
      </c>
      <c r="AI10" s="38"/>
      <c r="AJ10" s="79" t="s">
        <v>1801</v>
      </c>
      <c r="AK10" s="38"/>
      <c r="AL10" s="4">
        <f t="shared" si="68"/>
        <v>709588</v>
      </c>
      <c r="AM10" s="4">
        <f t="shared" si="69"/>
        <v>80258</v>
      </c>
      <c r="AN10" s="4">
        <f t="shared" si="62"/>
        <v>789846</v>
      </c>
      <c r="AO10" s="38"/>
      <c r="AP10" s="8">
        <f t="shared" si="70"/>
        <v>0</v>
      </c>
      <c r="AQ10" s="8">
        <f t="shared" si="71"/>
        <v>0</v>
      </c>
      <c r="AR10" s="8">
        <f t="shared" si="65"/>
        <v>0</v>
      </c>
      <c r="AS10" s="42"/>
      <c r="AT10" s="84">
        <v>709588</v>
      </c>
      <c r="AU10" s="84">
        <v>80258</v>
      </c>
      <c r="AV10" s="4">
        <f t="shared" si="66"/>
        <v>789846</v>
      </c>
      <c r="AW10" s="50" t="str">
        <f t="shared" si="67"/>
        <v/>
      </c>
      <c r="AX10" s="1" t="s">
        <v>1641</v>
      </c>
      <c r="AY10" s="2" t="s">
        <v>1642</v>
      </c>
      <c r="AZ10" s="2">
        <v>179400.64</v>
      </c>
      <c r="BA10" s="2">
        <v>156975.56</v>
      </c>
      <c r="BB10" s="2">
        <v>156975.56</v>
      </c>
      <c r="BC10" s="2">
        <v>179400.64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616</v>
      </c>
      <c r="C11" s="81" t="s">
        <v>617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55"/>
        <v>A</v>
      </c>
      <c r="P11" s="84">
        <v>20672</v>
      </c>
      <c r="Q11" s="84">
        <v>4172</v>
      </c>
      <c r="R11" s="32"/>
      <c r="S11" s="3" t="str">
        <f t="shared" si="56"/>
        <v>A</v>
      </c>
      <c r="T11" s="84">
        <v>16268</v>
      </c>
      <c r="U11" s="84">
        <v>3914</v>
      </c>
      <c r="V11" s="32"/>
      <c r="W11" s="3" t="str">
        <f t="shared" si="57"/>
        <v>A</v>
      </c>
      <c r="X11" s="84">
        <v>17115</v>
      </c>
      <c r="Y11" s="84">
        <v>3930</v>
      </c>
      <c r="Z11" s="32"/>
      <c r="AA11" s="3" t="str">
        <f t="shared" si="58"/>
        <v>A</v>
      </c>
      <c r="AB11" s="84">
        <v>18405</v>
      </c>
      <c r="AC11" s="84">
        <v>3692</v>
      </c>
      <c r="AD11" s="36"/>
      <c r="AE11" s="82"/>
      <c r="AF11" s="3" t="str">
        <f t="shared" si="59"/>
        <v>A</v>
      </c>
      <c r="AG11" s="84">
        <v>0</v>
      </c>
      <c r="AH11" s="84">
        <v>0</v>
      </c>
      <c r="AI11" s="39"/>
      <c r="AJ11" s="79" t="s">
        <v>1801</v>
      </c>
      <c r="AK11" s="39"/>
      <c r="AL11" s="4">
        <f t="shared" si="68"/>
        <v>72460</v>
      </c>
      <c r="AM11" s="4">
        <f t="shared" si="69"/>
        <v>15708</v>
      </c>
      <c r="AN11" s="4">
        <f t="shared" si="62"/>
        <v>88168</v>
      </c>
      <c r="AO11" s="39"/>
      <c r="AP11" s="8">
        <f t="shared" si="70"/>
        <v>0</v>
      </c>
      <c r="AQ11" s="8">
        <f t="shared" si="71"/>
        <v>0</v>
      </c>
      <c r="AR11" s="8">
        <f t="shared" si="65"/>
        <v>0</v>
      </c>
      <c r="AS11" s="42"/>
      <c r="AT11" s="84">
        <v>72460</v>
      </c>
      <c r="AU11" s="84">
        <v>15708</v>
      </c>
      <c r="AV11" s="4">
        <f t="shared" si="66"/>
        <v>88168</v>
      </c>
      <c r="AW11" s="50" t="str">
        <f t="shared" si="67"/>
        <v/>
      </c>
      <c r="AX11" s="1" t="s">
        <v>1641</v>
      </c>
      <c r="AY11" s="2" t="s">
        <v>1642</v>
      </c>
      <c r="AZ11" s="2">
        <v>32811.68</v>
      </c>
      <c r="BA11" s="2">
        <v>28710.22</v>
      </c>
      <c r="BB11" s="2">
        <v>28710.22</v>
      </c>
      <c r="BC11" s="2">
        <v>32811.68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/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55"/>
        <v>A</v>
      </c>
      <c r="P12" s="84">
        <v>184378.7</v>
      </c>
      <c r="Q12" s="84">
        <v>40142</v>
      </c>
      <c r="R12" s="32"/>
      <c r="S12" s="3" t="str">
        <f t="shared" si="56"/>
        <v>A</v>
      </c>
      <c r="T12" s="84">
        <v>162974</v>
      </c>
      <c r="U12" s="84">
        <v>37865</v>
      </c>
      <c r="V12" s="32"/>
      <c r="W12" s="3" t="str">
        <f t="shared" si="57"/>
        <v>A</v>
      </c>
      <c r="X12" s="84">
        <v>155902.82</v>
      </c>
      <c r="Y12" s="84">
        <v>28577</v>
      </c>
      <c r="Z12" s="32"/>
      <c r="AA12" s="3" t="str">
        <f t="shared" si="58"/>
        <v>A</v>
      </c>
      <c r="AB12" s="84">
        <v>167776.75</v>
      </c>
      <c r="AC12" s="84">
        <v>36007</v>
      </c>
      <c r="AD12" s="36"/>
      <c r="AE12" s="82"/>
      <c r="AF12" s="3" t="str">
        <f t="shared" si="59"/>
        <v>A</v>
      </c>
      <c r="AG12" s="84">
        <v>0</v>
      </c>
      <c r="AH12" s="84">
        <v>0</v>
      </c>
      <c r="AI12" s="38"/>
      <c r="AJ12" s="79" t="s">
        <v>1801</v>
      </c>
      <c r="AK12" s="38"/>
      <c r="AL12" s="4">
        <f t="shared" si="68"/>
        <v>671032.27</v>
      </c>
      <c r="AM12" s="4">
        <f t="shared" si="69"/>
        <v>142591</v>
      </c>
      <c r="AN12" s="4">
        <f t="shared" si="62"/>
        <v>813623.27</v>
      </c>
      <c r="AO12" s="38"/>
      <c r="AP12" s="8">
        <f t="shared" si="70"/>
        <v>0</v>
      </c>
      <c r="AQ12" s="8">
        <f t="shared" si="71"/>
        <v>0</v>
      </c>
      <c r="AR12" s="8">
        <f t="shared" si="65"/>
        <v>0</v>
      </c>
      <c r="AS12" s="42"/>
      <c r="AT12" s="84">
        <v>671032.27</v>
      </c>
      <c r="AU12" s="84">
        <v>142591</v>
      </c>
      <c r="AV12" s="4">
        <f t="shared" si="66"/>
        <v>813623.27</v>
      </c>
      <c r="AW12" s="50" t="str">
        <f t="shared" si="67"/>
        <v/>
      </c>
      <c r="AX12" s="1" t="s">
        <v>1639</v>
      </c>
      <c r="AY12" s="2" t="s">
        <v>1640</v>
      </c>
      <c r="AZ12" s="2">
        <v>192090.08</v>
      </c>
      <c r="BA12" s="2">
        <v>168078.82</v>
      </c>
      <c r="BB12" s="2">
        <v>168078.82</v>
      </c>
      <c r="BC12" s="2">
        <v>192090.08</v>
      </c>
      <c r="BE12" s="66">
        <v>2.5000000000000001E-2</v>
      </c>
      <c r="BF12" s="66">
        <v>0.02</v>
      </c>
      <c r="BG12" s="63">
        <v>45725</v>
      </c>
      <c r="BH12" s="74">
        <v>45691</v>
      </c>
      <c r="BI12" s="74">
        <v>45778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55"/>
        <v>A</v>
      </c>
      <c r="P13" s="84">
        <v>142936.79999999999</v>
      </c>
      <c r="Q13" s="84">
        <v>40130</v>
      </c>
      <c r="R13" s="32"/>
      <c r="S13" s="3" t="str">
        <f t="shared" si="56"/>
        <v>A</v>
      </c>
      <c r="T13" s="84">
        <v>146722</v>
      </c>
      <c r="U13" s="84">
        <v>39150</v>
      </c>
      <c r="V13" s="32"/>
      <c r="W13" s="3" t="str">
        <f t="shared" si="57"/>
        <v>A</v>
      </c>
      <c r="X13" s="84">
        <v>123168.5</v>
      </c>
      <c r="Y13" s="84">
        <v>33514</v>
      </c>
      <c r="Z13" s="32"/>
      <c r="AA13" s="3" t="str">
        <f t="shared" si="58"/>
        <v>A</v>
      </c>
      <c r="AB13" s="84">
        <v>134404</v>
      </c>
      <c r="AC13" s="84">
        <v>34485</v>
      </c>
      <c r="AD13" s="36"/>
      <c r="AE13" s="82"/>
      <c r="AF13" s="3" t="str">
        <f t="shared" si="59"/>
        <v>A</v>
      </c>
      <c r="AG13" s="84">
        <v>0</v>
      </c>
      <c r="AH13" s="84">
        <v>0</v>
      </c>
      <c r="AI13" s="38"/>
      <c r="AJ13" s="79" t="s">
        <v>1801</v>
      </c>
      <c r="AK13" s="38"/>
      <c r="AL13" s="4">
        <f t="shared" si="68"/>
        <v>547231.30000000005</v>
      </c>
      <c r="AM13" s="4">
        <f t="shared" si="69"/>
        <v>147279</v>
      </c>
      <c r="AN13" s="4">
        <f t="shared" si="62"/>
        <v>694510.3</v>
      </c>
      <c r="AO13" s="38"/>
      <c r="AP13" s="8">
        <f t="shared" si="70"/>
        <v>0</v>
      </c>
      <c r="AQ13" s="8">
        <f t="shared" si="71"/>
        <v>0</v>
      </c>
      <c r="AR13" s="8">
        <f t="shared" si="65"/>
        <v>0</v>
      </c>
      <c r="AS13" s="42"/>
      <c r="AT13" s="84">
        <v>547231.30000000005</v>
      </c>
      <c r="AU13" s="84">
        <v>147279</v>
      </c>
      <c r="AV13" s="4">
        <f t="shared" si="66"/>
        <v>694510.3</v>
      </c>
      <c r="AW13" s="50" t="str">
        <f t="shared" si="67"/>
        <v/>
      </c>
      <c r="AX13" s="1" t="s">
        <v>1639</v>
      </c>
      <c r="AY13" s="2" t="s">
        <v>1640</v>
      </c>
      <c r="AZ13" s="2">
        <v>180742.16</v>
      </c>
      <c r="BA13" s="2">
        <v>158149.39000000001</v>
      </c>
      <c r="BB13" s="2">
        <v>158149.39000000001</v>
      </c>
      <c r="BC13" s="2">
        <v>180742.16</v>
      </c>
      <c r="BE13" s="66">
        <v>2.5000000000000001E-2</v>
      </c>
      <c r="BF13" s="66">
        <v>0.02</v>
      </c>
      <c r="BG13" s="63">
        <v>45835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55"/>
        <v>A</v>
      </c>
      <c r="P14" s="84">
        <v>155012.55000000002</v>
      </c>
      <c r="Q14" s="84">
        <v>50701</v>
      </c>
      <c r="R14" s="32"/>
      <c r="S14" s="3" t="str">
        <f t="shared" si="56"/>
        <v>A</v>
      </c>
      <c r="T14" s="84">
        <v>129047.3</v>
      </c>
      <c r="U14" s="84">
        <v>51799</v>
      </c>
      <c r="V14" s="32"/>
      <c r="W14" s="3" t="str">
        <f t="shared" si="57"/>
        <v>A</v>
      </c>
      <c r="X14" s="84">
        <v>126071.59</v>
      </c>
      <c r="Y14" s="84">
        <v>44308.76</v>
      </c>
      <c r="Z14" s="32"/>
      <c r="AA14" s="3" t="str">
        <f t="shared" si="58"/>
        <v>A</v>
      </c>
      <c r="AB14" s="84">
        <v>134942.45000000001</v>
      </c>
      <c r="AC14" s="84">
        <v>37591</v>
      </c>
      <c r="AD14" s="36"/>
      <c r="AE14" s="82"/>
      <c r="AF14" s="3" t="str">
        <f t="shared" si="59"/>
        <v>A</v>
      </c>
      <c r="AG14" s="84">
        <v>0</v>
      </c>
      <c r="AH14" s="84">
        <v>0</v>
      </c>
      <c r="AI14" s="38"/>
      <c r="AJ14" s="79" t="s">
        <v>1801</v>
      </c>
      <c r="AK14" s="38"/>
      <c r="AL14" s="4">
        <f t="shared" si="68"/>
        <v>545073.89000000013</v>
      </c>
      <c r="AM14" s="4">
        <f t="shared" si="69"/>
        <v>184399.76</v>
      </c>
      <c r="AN14" s="4">
        <f t="shared" si="62"/>
        <v>729473.65000000014</v>
      </c>
      <c r="AO14" s="38"/>
      <c r="AP14" s="8">
        <f t="shared" si="70"/>
        <v>0</v>
      </c>
      <c r="AQ14" s="8">
        <f t="shared" si="71"/>
        <v>0</v>
      </c>
      <c r="AR14" s="8">
        <f t="shared" si="65"/>
        <v>0</v>
      </c>
      <c r="AS14" s="42"/>
      <c r="AT14" s="84">
        <v>545073.89</v>
      </c>
      <c r="AU14" s="84">
        <v>184399.76</v>
      </c>
      <c r="AV14" s="4">
        <f t="shared" si="66"/>
        <v>729473.65</v>
      </c>
      <c r="AW14" s="50" t="str">
        <f t="shared" si="67"/>
        <v/>
      </c>
      <c r="AX14" s="1" t="s">
        <v>1639</v>
      </c>
      <c r="AY14" s="2" t="s">
        <v>1640</v>
      </c>
      <c r="AZ14" s="2">
        <v>218976.88</v>
      </c>
      <c r="BA14" s="2">
        <v>191604.77</v>
      </c>
      <c r="BB14" s="2">
        <v>191604.77</v>
      </c>
      <c r="BC14" s="2">
        <v>218976.88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622</v>
      </c>
      <c r="C15" s="81" t="s">
        <v>623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55"/>
        <v>A</v>
      </c>
      <c r="P15" s="84">
        <v>30002</v>
      </c>
      <c r="Q15" s="84">
        <v>13121</v>
      </c>
      <c r="R15" s="32"/>
      <c r="S15" s="3" t="str">
        <f t="shared" si="56"/>
        <v>A</v>
      </c>
      <c r="T15" s="84">
        <v>27605</v>
      </c>
      <c r="U15" s="84">
        <v>14209</v>
      </c>
      <c r="V15" s="32"/>
      <c r="W15" s="3" t="str">
        <f t="shared" si="57"/>
        <v>A</v>
      </c>
      <c r="X15" s="84">
        <v>26894</v>
      </c>
      <c r="Y15" s="84">
        <v>9586</v>
      </c>
      <c r="Z15" s="32"/>
      <c r="AA15" s="3" t="str">
        <f t="shared" si="58"/>
        <v>A</v>
      </c>
      <c r="AB15" s="84">
        <v>27469</v>
      </c>
      <c r="AC15" s="84">
        <v>13582</v>
      </c>
      <c r="AD15" s="36"/>
      <c r="AE15" s="82"/>
      <c r="AF15" s="3" t="str">
        <f t="shared" si="59"/>
        <v>A</v>
      </c>
      <c r="AG15" s="84">
        <v>0</v>
      </c>
      <c r="AH15" s="84">
        <v>0</v>
      </c>
      <c r="AI15" s="39"/>
      <c r="AJ15" s="79" t="s">
        <v>1801</v>
      </c>
      <c r="AK15" s="39"/>
      <c r="AL15" s="4">
        <f t="shared" si="68"/>
        <v>111970</v>
      </c>
      <c r="AM15" s="4">
        <f t="shared" si="69"/>
        <v>50498</v>
      </c>
      <c r="AN15" s="4">
        <f t="shared" si="62"/>
        <v>162468</v>
      </c>
      <c r="AO15" s="39"/>
      <c r="AP15" s="8">
        <f t="shared" si="70"/>
        <v>0</v>
      </c>
      <c r="AQ15" s="8">
        <f t="shared" si="71"/>
        <v>0</v>
      </c>
      <c r="AR15" s="8">
        <f t="shared" si="65"/>
        <v>0</v>
      </c>
      <c r="AS15" s="42"/>
      <c r="AT15" s="84">
        <v>111970</v>
      </c>
      <c r="AU15" s="84">
        <v>50498</v>
      </c>
      <c r="AV15" s="4">
        <f t="shared" si="66"/>
        <v>162468</v>
      </c>
      <c r="AW15" s="50" t="str">
        <f t="shared" si="67"/>
        <v/>
      </c>
      <c r="AX15" s="1" t="s">
        <v>1639</v>
      </c>
      <c r="AY15" s="2" t="s">
        <v>1640</v>
      </c>
      <c r="AZ15" s="2">
        <v>77600.240000000005</v>
      </c>
      <c r="BA15" s="2">
        <v>67900.210000000006</v>
      </c>
      <c r="BB15" s="2">
        <v>67900.210000000006</v>
      </c>
      <c r="BC15" s="2">
        <v>77600.240000000005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892</v>
      </c>
      <c r="C16" s="81" t="s">
        <v>893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55"/>
        <v>A</v>
      </c>
      <c r="P16" s="84">
        <v>80312</v>
      </c>
      <c r="Q16" s="84">
        <v>20158</v>
      </c>
      <c r="R16" s="32"/>
      <c r="S16" s="3" t="str">
        <f t="shared" si="56"/>
        <v>A</v>
      </c>
      <c r="T16" s="84">
        <v>68172</v>
      </c>
      <c r="U16" s="84">
        <v>17242</v>
      </c>
      <c r="V16" s="32"/>
      <c r="W16" s="3" t="str">
        <f t="shared" si="57"/>
        <v>A</v>
      </c>
      <c r="X16" s="84">
        <v>67418</v>
      </c>
      <c r="Y16" s="84">
        <v>16667</v>
      </c>
      <c r="Z16" s="32"/>
      <c r="AA16" s="3" t="str">
        <f t="shared" si="58"/>
        <v>A</v>
      </c>
      <c r="AB16" s="84">
        <v>74840</v>
      </c>
      <c r="AC16" s="84">
        <v>16948</v>
      </c>
      <c r="AD16" s="36"/>
      <c r="AE16" s="82"/>
      <c r="AF16" s="3" t="str">
        <f t="shared" si="59"/>
        <v>A</v>
      </c>
      <c r="AG16" s="84">
        <v>0</v>
      </c>
      <c r="AH16" s="84">
        <v>0</v>
      </c>
      <c r="AI16" s="39"/>
      <c r="AJ16" s="79" t="s">
        <v>1801</v>
      </c>
      <c r="AK16" s="39"/>
      <c r="AL16" s="4">
        <f t="shared" si="68"/>
        <v>290742</v>
      </c>
      <c r="AM16" s="4">
        <f t="shared" si="69"/>
        <v>71015</v>
      </c>
      <c r="AN16" s="4">
        <f t="shared" si="62"/>
        <v>361757</v>
      </c>
      <c r="AO16" s="39"/>
      <c r="AP16" s="8">
        <f t="shared" si="70"/>
        <v>0</v>
      </c>
      <c r="AQ16" s="8">
        <f t="shared" si="71"/>
        <v>0</v>
      </c>
      <c r="AR16" s="8">
        <f t="shared" si="65"/>
        <v>0</v>
      </c>
      <c r="AS16" s="42"/>
      <c r="AT16" s="84">
        <v>290742</v>
      </c>
      <c r="AU16" s="84">
        <v>71015</v>
      </c>
      <c r="AV16" s="4">
        <f t="shared" si="66"/>
        <v>361757</v>
      </c>
      <c r="AW16" s="50" t="str">
        <f t="shared" si="67"/>
        <v/>
      </c>
      <c r="AX16" s="1" t="s">
        <v>1639</v>
      </c>
      <c r="AY16" s="2" t="s">
        <v>1640</v>
      </c>
      <c r="AZ16" s="2">
        <v>69808.08</v>
      </c>
      <c r="BA16" s="2">
        <v>61082.07</v>
      </c>
      <c r="BB16" s="2">
        <v>61082.07</v>
      </c>
      <c r="BC16" s="2">
        <v>69808.08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55"/>
        <v>A</v>
      </c>
      <c r="P17" s="84">
        <v>119187.44</v>
      </c>
      <c r="Q17" s="84">
        <v>27479.8</v>
      </c>
      <c r="R17" s="32"/>
      <c r="S17" s="3" t="str">
        <f t="shared" si="56"/>
        <v>A</v>
      </c>
      <c r="T17" s="84">
        <v>106399.2</v>
      </c>
      <c r="U17" s="84">
        <v>25075.4</v>
      </c>
      <c r="V17" s="32"/>
      <c r="W17" s="3" t="str">
        <f t="shared" si="57"/>
        <v>A</v>
      </c>
      <c r="X17" s="84">
        <v>106182</v>
      </c>
      <c r="Y17" s="84">
        <v>23980</v>
      </c>
      <c r="Z17" s="32"/>
      <c r="AA17" s="3" t="str">
        <f t="shared" si="58"/>
        <v>A</v>
      </c>
      <c r="AB17" s="84">
        <v>112580.2</v>
      </c>
      <c r="AC17" s="84">
        <v>28533</v>
      </c>
      <c r="AD17" s="36"/>
      <c r="AE17" s="82"/>
      <c r="AF17" s="3" t="str">
        <f t="shared" si="59"/>
        <v>A</v>
      </c>
      <c r="AG17" s="84">
        <v>0</v>
      </c>
      <c r="AH17" s="84">
        <v>0</v>
      </c>
      <c r="AI17" s="38"/>
      <c r="AJ17" s="79" t="s">
        <v>1801</v>
      </c>
      <c r="AK17" s="38"/>
      <c r="AL17" s="4">
        <f t="shared" si="68"/>
        <v>444348.84</v>
      </c>
      <c r="AM17" s="4">
        <f t="shared" si="69"/>
        <v>105068.2</v>
      </c>
      <c r="AN17" s="4">
        <f t="shared" si="62"/>
        <v>549417.04</v>
      </c>
      <c r="AO17" s="38"/>
      <c r="AP17" s="8">
        <f t="shared" si="70"/>
        <v>0</v>
      </c>
      <c r="AQ17" s="8">
        <f t="shared" si="71"/>
        <v>0</v>
      </c>
      <c r="AR17" s="8">
        <f t="shared" si="65"/>
        <v>0</v>
      </c>
      <c r="AS17" s="42"/>
      <c r="AT17" s="84">
        <v>444348.83999999997</v>
      </c>
      <c r="AU17" s="84">
        <v>105068.2</v>
      </c>
      <c r="AV17" s="4">
        <f t="shared" si="66"/>
        <v>549417.03999999992</v>
      </c>
      <c r="AW17" s="50" t="str">
        <f t="shared" si="67"/>
        <v/>
      </c>
      <c r="AX17" s="1" t="s">
        <v>1639</v>
      </c>
      <c r="AY17" s="2" t="s">
        <v>1640</v>
      </c>
      <c r="AZ17" s="2">
        <v>106217.92</v>
      </c>
      <c r="BA17" s="2">
        <v>92940.68</v>
      </c>
      <c r="BB17" s="2">
        <v>92940.68</v>
      </c>
      <c r="BC17" s="2">
        <v>106217.92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55"/>
        <v>A</v>
      </c>
      <c r="P18" s="84">
        <v>236427.90000000002</v>
      </c>
      <c r="Q18" s="84">
        <v>38441.5</v>
      </c>
      <c r="R18" s="32"/>
      <c r="S18" s="3" t="str">
        <f t="shared" si="56"/>
        <v>A</v>
      </c>
      <c r="T18" s="84">
        <v>212379.8</v>
      </c>
      <c r="U18" s="84">
        <v>27724</v>
      </c>
      <c r="V18" s="32"/>
      <c r="W18" s="3" t="str">
        <f t="shared" si="57"/>
        <v>A</v>
      </c>
      <c r="X18" s="84">
        <v>194003</v>
      </c>
      <c r="Y18" s="84">
        <v>27906</v>
      </c>
      <c r="Z18" s="32"/>
      <c r="AA18" s="3" t="str">
        <f t="shared" si="58"/>
        <v>A</v>
      </c>
      <c r="AB18" s="84">
        <v>222211.20000000001</v>
      </c>
      <c r="AC18" s="84">
        <v>30698</v>
      </c>
      <c r="AD18" s="36"/>
      <c r="AE18" s="82"/>
      <c r="AF18" s="3" t="str">
        <f t="shared" si="59"/>
        <v>A</v>
      </c>
      <c r="AG18" s="84">
        <v>0</v>
      </c>
      <c r="AH18" s="84">
        <v>0</v>
      </c>
      <c r="AI18" s="38"/>
      <c r="AJ18" s="79" t="s">
        <v>1801</v>
      </c>
      <c r="AK18" s="38"/>
      <c r="AL18" s="4">
        <f t="shared" si="68"/>
        <v>865021.89999999991</v>
      </c>
      <c r="AM18" s="4">
        <f t="shared" si="69"/>
        <v>124769.5</v>
      </c>
      <c r="AN18" s="4">
        <f t="shared" si="62"/>
        <v>989791.39999999991</v>
      </c>
      <c r="AO18" s="38"/>
      <c r="AP18" s="8">
        <f t="shared" si="70"/>
        <v>0</v>
      </c>
      <c r="AQ18" s="8">
        <f t="shared" si="71"/>
        <v>0</v>
      </c>
      <c r="AR18" s="8">
        <f t="shared" si="65"/>
        <v>0</v>
      </c>
      <c r="AS18" s="42"/>
      <c r="AT18" s="84">
        <v>865021.9</v>
      </c>
      <c r="AU18" s="84">
        <v>124769.5</v>
      </c>
      <c r="AV18" s="4">
        <f t="shared" si="66"/>
        <v>989791.4</v>
      </c>
      <c r="AW18" s="50" t="str">
        <f t="shared" si="67"/>
        <v/>
      </c>
      <c r="AX18" s="1" t="s">
        <v>1639</v>
      </c>
      <c r="AY18" s="2" t="s">
        <v>1640</v>
      </c>
      <c r="AZ18" s="2">
        <v>295319.2</v>
      </c>
      <c r="BA18" s="2">
        <v>258404.3</v>
      </c>
      <c r="BB18" s="2">
        <v>258404.3</v>
      </c>
      <c r="BC18" s="2">
        <v>295319.2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55"/>
        <v>A</v>
      </c>
      <c r="P19" s="84">
        <v>201867.40000000002</v>
      </c>
      <c r="Q19" s="84">
        <v>34620</v>
      </c>
      <c r="R19" s="32"/>
      <c r="S19" s="3" t="str">
        <f t="shared" si="56"/>
        <v>A</v>
      </c>
      <c r="T19" s="84">
        <v>176718</v>
      </c>
      <c r="U19" s="84">
        <v>31320</v>
      </c>
      <c r="V19" s="32"/>
      <c r="W19" s="3" t="str">
        <f t="shared" si="57"/>
        <v>A</v>
      </c>
      <c r="X19" s="84">
        <v>161256.4</v>
      </c>
      <c r="Y19" s="84">
        <v>27307</v>
      </c>
      <c r="Z19" s="32"/>
      <c r="AA19" s="3" t="str">
        <f t="shared" si="58"/>
        <v>A</v>
      </c>
      <c r="AB19" s="84">
        <v>186543.4</v>
      </c>
      <c r="AC19" s="84">
        <v>30762</v>
      </c>
      <c r="AD19" s="36"/>
      <c r="AE19" s="82"/>
      <c r="AF19" s="3" t="str">
        <f t="shared" si="59"/>
        <v>A</v>
      </c>
      <c r="AG19" s="84">
        <v>0</v>
      </c>
      <c r="AH19" s="84">
        <v>0</v>
      </c>
      <c r="AI19" s="38"/>
      <c r="AJ19" s="79" t="s">
        <v>1801</v>
      </c>
      <c r="AK19" s="38"/>
      <c r="AL19" s="4">
        <f t="shared" si="68"/>
        <v>726385.20000000007</v>
      </c>
      <c r="AM19" s="4">
        <f t="shared" si="69"/>
        <v>124009</v>
      </c>
      <c r="AN19" s="4">
        <f t="shared" si="62"/>
        <v>850394.20000000007</v>
      </c>
      <c r="AO19" s="38"/>
      <c r="AP19" s="8">
        <f t="shared" si="70"/>
        <v>0</v>
      </c>
      <c r="AQ19" s="8">
        <f t="shared" si="71"/>
        <v>0</v>
      </c>
      <c r="AR19" s="8">
        <f t="shared" si="65"/>
        <v>0</v>
      </c>
      <c r="AS19" s="42"/>
      <c r="AT19" s="84">
        <v>726385.20000000019</v>
      </c>
      <c r="AU19" s="84">
        <v>124009</v>
      </c>
      <c r="AV19" s="4">
        <f t="shared" si="66"/>
        <v>850394.20000000019</v>
      </c>
      <c r="AW19" s="50" t="str">
        <f t="shared" si="67"/>
        <v/>
      </c>
      <c r="AX19" s="1" t="s">
        <v>1639</v>
      </c>
      <c r="AY19" s="2" t="s">
        <v>1640</v>
      </c>
      <c r="AZ19" s="2">
        <v>223949.52</v>
      </c>
      <c r="BA19" s="2">
        <v>195955.83</v>
      </c>
      <c r="BB19" s="2">
        <v>195955.83</v>
      </c>
      <c r="BC19" s="2">
        <v>223949.52</v>
      </c>
      <c r="BE19" s="66">
        <v>2.5000000000000001E-2</v>
      </c>
      <c r="BF19" s="66">
        <v>0.02</v>
      </c>
      <c r="BG19" s="63">
        <v>45835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55"/>
        <v>A</v>
      </c>
      <c r="P20" s="84">
        <v>215223.8</v>
      </c>
      <c r="Q20" s="84">
        <v>54296</v>
      </c>
      <c r="R20" s="32"/>
      <c r="S20" s="3" t="str">
        <f t="shared" si="56"/>
        <v>A</v>
      </c>
      <c r="T20" s="84">
        <v>165682</v>
      </c>
      <c r="U20" s="84">
        <v>45591</v>
      </c>
      <c r="V20" s="32"/>
      <c r="W20" s="3" t="str">
        <f t="shared" si="57"/>
        <v>A</v>
      </c>
      <c r="X20" s="84">
        <v>160602</v>
      </c>
      <c r="Y20" s="84">
        <v>42579</v>
      </c>
      <c r="Z20" s="32"/>
      <c r="AA20" s="3" t="str">
        <f t="shared" si="58"/>
        <v>A</v>
      </c>
      <c r="AB20" s="84">
        <v>183820</v>
      </c>
      <c r="AC20" s="84">
        <v>49595</v>
      </c>
      <c r="AD20" s="36"/>
      <c r="AE20" s="82"/>
      <c r="AF20" s="3" t="str">
        <f t="shared" si="59"/>
        <v>A</v>
      </c>
      <c r="AG20" s="84">
        <v>0</v>
      </c>
      <c r="AH20" s="84">
        <v>0</v>
      </c>
      <c r="AI20" s="38"/>
      <c r="AJ20" s="79" t="s">
        <v>1801</v>
      </c>
      <c r="AK20" s="38"/>
      <c r="AL20" s="4">
        <f t="shared" si="68"/>
        <v>725327.8</v>
      </c>
      <c r="AM20" s="4">
        <f t="shared" si="69"/>
        <v>192061</v>
      </c>
      <c r="AN20" s="4">
        <f t="shared" si="62"/>
        <v>917388.80000000005</v>
      </c>
      <c r="AO20" s="38"/>
      <c r="AP20" s="8">
        <f t="shared" si="70"/>
        <v>0</v>
      </c>
      <c r="AQ20" s="8">
        <f t="shared" si="71"/>
        <v>0</v>
      </c>
      <c r="AR20" s="8">
        <f t="shared" si="65"/>
        <v>0</v>
      </c>
      <c r="AS20" s="42"/>
      <c r="AT20" s="84">
        <v>725327.8</v>
      </c>
      <c r="AU20" s="84">
        <v>192061</v>
      </c>
      <c r="AV20" s="4">
        <f t="shared" si="66"/>
        <v>917388.80000000005</v>
      </c>
      <c r="AW20" s="50" t="str">
        <f t="shared" si="67"/>
        <v/>
      </c>
      <c r="AX20" s="1" t="s">
        <v>1639</v>
      </c>
      <c r="AY20" s="2" t="s">
        <v>1640</v>
      </c>
      <c r="AZ20" s="2">
        <v>263500.56</v>
      </c>
      <c r="BA20" s="2">
        <v>230562.99</v>
      </c>
      <c r="BB20" s="2">
        <v>230562.99</v>
      </c>
      <c r="BC20" s="2">
        <v>263500.56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626</v>
      </c>
      <c r="C21" s="81" t="s">
        <v>627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55"/>
        <v>A</v>
      </c>
      <c r="P21" s="84">
        <v>161149</v>
      </c>
      <c r="Q21" s="84">
        <v>40900</v>
      </c>
      <c r="R21" s="32"/>
      <c r="S21" s="3" t="str">
        <f t="shared" si="56"/>
        <v>A</v>
      </c>
      <c r="T21" s="84">
        <v>126431</v>
      </c>
      <c r="U21" s="84">
        <v>33891</v>
      </c>
      <c r="V21" s="32"/>
      <c r="W21" s="3" t="str">
        <f t="shared" si="57"/>
        <v>A</v>
      </c>
      <c r="X21" s="84">
        <v>118397</v>
      </c>
      <c r="Y21" s="84">
        <v>30969</v>
      </c>
      <c r="Z21" s="32"/>
      <c r="AA21" s="3" t="str">
        <f t="shared" si="58"/>
        <v>A</v>
      </c>
      <c r="AB21" s="84">
        <v>139201</v>
      </c>
      <c r="AC21" s="84">
        <v>28672</v>
      </c>
      <c r="AD21" s="36"/>
      <c r="AE21" s="82"/>
      <c r="AF21" s="3" t="str">
        <f t="shared" si="59"/>
        <v>A</v>
      </c>
      <c r="AG21" s="84">
        <v>0</v>
      </c>
      <c r="AH21" s="84">
        <v>0</v>
      </c>
      <c r="AI21" s="39"/>
      <c r="AJ21" s="79" t="s">
        <v>1801</v>
      </c>
      <c r="AK21" s="39"/>
      <c r="AL21" s="4">
        <f t="shared" si="68"/>
        <v>545178</v>
      </c>
      <c r="AM21" s="4">
        <f t="shared" si="69"/>
        <v>134432</v>
      </c>
      <c r="AN21" s="4">
        <f t="shared" si="62"/>
        <v>679610</v>
      </c>
      <c r="AO21" s="39"/>
      <c r="AP21" s="8">
        <f t="shared" si="70"/>
        <v>0</v>
      </c>
      <c r="AQ21" s="8">
        <f t="shared" si="71"/>
        <v>0</v>
      </c>
      <c r="AR21" s="8">
        <f t="shared" si="65"/>
        <v>0</v>
      </c>
      <c r="AS21" s="42"/>
      <c r="AT21" s="84">
        <v>545178</v>
      </c>
      <c r="AU21" s="84">
        <v>134432</v>
      </c>
      <c r="AV21" s="4">
        <f t="shared" si="66"/>
        <v>679610</v>
      </c>
      <c r="AW21" s="50" t="str">
        <f t="shared" si="67"/>
        <v/>
      </c>
      <c r="AX21" s="1" t="s">
        <v>1639</v>
      </c>
      <c r="AY21" s="2" t="s">
        <v>1640</v>
      </c>
      <c r="AZ21" s="2">
        <v>156292.32</v>
      </c>
      <c r="BA21" s="2">
        <v>136755.78</v>
      </c>
      <c r="BB21" s="2">
        <v>136755.78</v>
      </c>
      <c r="BC21" s="2">
        <v>156292.32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861</v>
      </c>
      <c r="C22" s="81" t="s">
        <v>862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55"/>
        <v>E</v>
      </c>
      <c r="P22" s="84">
        <v>19630.48</v>
      </c>
      <c r="Q22" s="84">
        <v>4926.72</v>
      </c>
      <c r="R22" s="32"/>
      <c r="S22" s="3" t="str">
        <f t="shared" si="56"/>
        <v>E</v>
      </c>
      <c r="T22" s="84">
        <v>17176.669999999998</v>
      </c>
      <c r="U22" s="84">
        <v>4310.88</v>
      </c>
      <c r="V22" s="32"/>
      <c r="W22" s="3" t="str">
        <f t="shared" si="57"/>
        <v>E</v>
      </c>
      <c r="X22" s="84">
        <v>17176.669999999998</v>
      </c>
      <c r="Y22" s="84">
        <v>4310.88</v>
      </c>
      <c r="Z22" s="32"/>
      <c r="AA22" s="3" t="str">
        <f t="shared" si="58"/>
        <v>E</v>
      </c>
      <c r="AB22" s="84">
        <v>19630.48</v>
      </c>
      <c r="AC22" s="84">
        <v>4926.72</v>
      </c>
      <c r="AD22" s="36"/>
      <c r="AE22" s="82"/>
      <c r="AF22" s="3" t="str">
        <f t="shared" si="59"/>
        <v>A</v>
      </c>
      <c r="AG22" s="84"/>
      <c r="AH22" s="84"/>
      <c r="AI22" s="39"/>
      <c r="AJ22" s="79" t="s">
        <v>38</v>
      </c>
      <c r="AK22" s="39"/>
      <c r="AL22" s="4">
        <f t="shared" si="68"/>
        <v>0</v>
      </c>
      <c r="AM22" s="4">
        <f t="shared" si="69"/>
        <v>0</v>
      </c>
      <c r="AN22" s="4">
        <f t="shared" si="62"/>
        <v>0</v>
      </c>
      <c r="AO22" s="39"/>
      <c r="AP22" s="8">
        <f t="shared" si="70"/>
        <v>73614.299999999988</v>
      </c>
      <c r="AQ22" s="8">
        <f t="shared" si="71"/>
        <v>18475.2</v>
      </c>
      <c r="AR22" s="8">
        <f t="shared" si="65"/>
        <v>92089.499999999985</v>
      </c>
      <c r="AS22" s="42"/>
      <c r="AT22" s="84"/>
      <c r="AU22" s="84"/>
      <c r="AV22" s="4">
        <f t="shared" si="66"/>
        <v>0</v>
      </c>
      <c r="AW22" s="50" t="str">
        <f t="shared" si="67"/>
        <v/>
      </c>
      <c r="AX22" s="1" t="s">
        <v>1639</v>
      </c>
      <c r="AY22" s="2" t="s">
        <v>1640</v>
      </c>
      <c r="AZ22" s="2">
        <v>19630.48</v>
      </c>
      <c r="BA22" s="2">
        <v>17176.669999999998</v>
      </c>
      <c r="BB22" s="2">
        <v>17176.669999999998</v>
      </c>
      <c r="BC22" s="2">
        <v>19630.48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55"/>
        <v>A</v>
      </c>
      <c r="P23" s="84">
        <v>96812</v>
      </c>
      <c r="Q23" s="84">
        <v>7793</v>
      </c>
      <c r="R23" s="32"/>
      <c r="S23" s="3" t="str">
        <f t="shared" si="56"/>
        <v>A</v>
      </c>
      <c r="T23" s="84">
        <v>85315</v>
      </c>
      <c r="U23" s="84">
        <v>6046</v>
      </c>
      <c r="V23" s="32"/>
      <c r="W23" s="3" t="str">
        <f t="shared" si="57"/>
        <v>A</v>
      </c>
      <c r="X23" s="84">
        <v>79537</v>
      </c>
      <c r="Y23" s="84">
        <v>6452</v>
      </c>
      <c r="Z23" s="32"/>
      <c r="AA23" s="3" t="str">
        <f t="shared" si="58"/>
        <v>A</v>
      </c>
      <c r="AB23" s="84">
        <v>100246</v>
      </c>
      <c r="AC23" s="84">
        <v>6943</v>
      </c>
      <c r="AD23" s="36"/>
      <c r="AE23" s="82"/>
      <c r="AF23" s="3" t="str">
        <f t="shared" si="59"/>
        <v>A</v>
      </c>
      <c r="AG23" s="84">
        <v>0</v>
      </c>
      <c r="AH23" s="84">
        <v>0</v>
      </c>
      <c r="AI23" s="38"/>
      <c r="AJ23" s="79" t="s">
        <v>1801</v>
      </c>
      <c r="AK23" s="38"/>
      <c r="AL23" s="4">
        <f t="shared" si="68"/>
        <v>361910</v>
      </c>
      <c r="AM23" s="4">
        <f t="shared" si="69"/>
        <v>27234</v>
      </c>
      <c r="AN23" s="4">
        <f t="shared" si="62"/>
        <v>389144</v>
      </c>
      <c r="AO23" s="38"/>
      <c r="AP23" s="8">
        <f t="shared" si="70"/>
        <v>0</v>
      </c>
      <c r="AQ23" s="8">
        <f t="shared" si="71"/>
        <v>0</v>
      </c>
      <c r="AR23" s="8">
        <f t="shared" si="65"/>
        <v>0</v>
      </c>
      <c r="AS23" s="42"/>
      <c r="AT23" s="84">
        <v>361910</v>
      </c>
      <c r="AU23" s="84">
        <v>27234</v>
      </c>
      <c r="AV23" s="4">
        <f t="shared" si="66"/>
        <v>389144</v>
      </c>
      <c r="AW23" s="50" t="str">
        <f t="shared" si="67"/>
        <v/>
      </c>
      <c r="AX23" s="1" t="s">
        <v>1643</v>
      </c>
      <c r="AY23" s="2" t="s">
        <v>1644</v>
      </c>
      <c r="AZ23" s="2">
        <v>164483.6</v>
      </c>
      <c r="BA23" s="2">
        <v>143923.15</v>
      </c>
      <c r="BB23" s="2">
        <v>143923.15</v>
      </c>
      <c r="BC23" s="2">
        <v>164483.6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628</v>
      </c>
      <c r="C24" s="81" t="s">
        <v>629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55"/>
        <v>A</v>
      </c>
      <c r="P24" s="84">
        <v>125560</v>
      </c>
      <c r="Q24" s="84">
        <v>10609</v>
      </c>
      <c r="R24" s="32"/>
      <c r="S24" s="3" t="str">
        <f t="shared" si="56"/>
        <v>A</v>
      </c>
      <c r="T24" s="84">
        <v>126633</v>
      </c>
      <c r="U24" s="84">
        <v>12473</v>
      </c>
      <c r="V24" s="32"/>
      <c r="W24" s="3" t="str">
        <f t="shared" si="57"/>
        <v>A</v>
      </c>
      <c r="X24" s="84">
        <v>119951</v>
      </c>
      <c r="Y24" s="84">
        <v>9243</v>
      </c>
      <c r="Z24" s="32"/>
      <c r="AA24" s="3" t="str">
        <f t="shared" si="58"/>
        <v>A</v>
      </c>
      <c r="AB24" s="84">
        <v>137718</v>
      </c>
      <c r="AC24" s="84">
        <v>11364</v>
      </c>
      <c r="AD24" s="36"/>
      <c r="AE24" s="82"/>
      <c r="AF24" s="3" t="str">
        <f t="shared" si="59"/>
        <v>A</v>
      </c>
      <c r="AG24" s="84">
        <v>0</v>
      </c>
      <c r="AH24" s="84">
        <v>0</v>
      </c>
      <c r="AI24" s="39"/>
      <c r="AJ24" s="79" t="s">
        <v>1801</v>
      </c>
      <c r="AK24" s="39"/>
      <c r="AL24" s="4">
        <f t="shared" si="68"/>
        <v>509862</v>
      </c>
      <c r="AM24" s="4">
        <f t="shared" si="69"/>
        <v>43689</v>
      </c>
      <c r="AN24" s="4">
        <f t="shared" si="62"/>
        <v>553551</v>
      </c>
      <c r="AO24" s="39"/>
      <c r="AP24" s="8">
        <f t="shared" si="70"/>
        <v>0</v>
      </c>
      <c r="AQ24" s="8">
        <f t="shared" si="71"/>
        <v>0</v>
      </c>
      <c r="AR24" s="8">
        <f t="shared" si="65"/>
        <v>0</v>
      </c>
      <c r="AS24" s="42"/>
      <c r="AT24" s="84">
        <v>509862</v>
      </c>
      <c r="AU24" s="84">
        <v>43689</v>
      </c>
      <c r="AV24" s="4">
        <f t="shared" si="66"/>
        <v>553551</v>
      </c>
      <c r="AW24" s="50" t="str">
        <f t="shared" si="67"/>
        <v/>
      </c>
      <c r="AX24" s="1" t="s">
        <v>1643</v>
      </c>
      <c r="AY24" s="2" t="s">
        <v>1644</v>
      </c>
      <c r="AZ24" s="2">
        <v>120648.88</v>
      </c>
      <c r="BA24" s="2">
        <v>105567.77</v>
      </c>
      <c r="BB24" s="2">
        <v>105567.77</v>
      </c>
      <c r="BC24" s="2">
        <v>120648.88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55"/>
        <v>A</v>
      </c>
      <c r="P25" s="84">
        <v>201281</v>
      </c>
      <c r="Q25" s="84">
        <v>39707</v>
      </c>
      <c r="R25" s="32"/>
      <c r="S25" s="3" t="str">
        <f t="shared" si="56"/>
        <v>A</v>
      </c>
      <c r="T25" s="84">
        <v>172120</v>
      </c>
      <c r="U25" s="84">
        <v>38770</v>
      </c>
      <c r="V25" s="32"/>
      <c r="W25" s="3" t="str">
        <f t="shared" si="57"/>
        <v>A</v>
      </c>
      <c r="X25" s="84">
        <v>155664</v>
      </c>
      <c r="Y25" s="84">
        <v>28872</v>
      </c>
      <c r="Z25" s="32"/>
      <c r="AA25" s="3" t="str">
        <f t="shared" si="58"/>
        <v>A</v>
      </c>
      <c r="AB25" s="84">
        <v>167849</v>
      </c>
      <c r="AC25" s="84">
        <v>29231</v>
      </c>
      <c r="AD25" s="36"/>
      <c r="AE25" s="82"/>
      <c r="AF25" s="3" t="str">
        <f t="shared" si="59"/>
        <v>A</v>
      </c>
      <c r="AG25" s="84">
        <v>0</v>
      </c>
      <c r="AH25" s="84">
        <v>0</v>
      </c>
      <c r="AI25" s="38"/>
      <c r="AJ25" s="79" t="s">
        <v>1801</v>
      </c>
      <c r="AK25" s="38"/>
      <c r="AL25" s="4">
        <f t="shared" si="68"/>
        <v>696914</v>
      </c>
      <c r="AM25" s="4">
        <f t="shared" si="69"/>
        <v>136580</v>
      </c>
      <c r="AN25" s="4">
        <f t="shared" si="62"/>
        <v>833494</v>
      </c>
      <c r="AO25" s="38"/>
      <c r="AP25" s="8">
        <f t="shared" si="70"/>
        <v>0</v>
      </c>
      <c r="AQ25" s="8">
        <f t="shared" si="71"/>
        <v>0</v>
      </c>
      <c r="AR25" s="8">
        <f t="shared" si="65"/>
        <v>0</v>
      </c>
      <c r="AS25" s="42"/>
      <c r="AT25" s="84">
        <v>696914</v>
      </c>
      <c r="AU25" s="84">
        <v>136580</v>
      </c>
      <c r="AV25" s="4">
        <f t="shared" si="66"/>
        <v>833494</v>
      </c>
      <c r="AW25" s="50" t="str">
        <f t="shared" si="67"/>
        <v/>
      </c>
      <c r="AX25" s="1" t="s">
        <v>1645</v>
      </c>
      <c r="AY25" s="2" t="s">
        <v>1646</v>
      </c>
      <c r="AZ25" s="2">
        <v>169749.6</v>
      </c>
      <c r="BA25" s="2">
        <v>148530.9</v>
      </c>
      <c r="BB25" s="2">
        <v>148530.9</v>
      </c>
      <c r="BC25" s="2">
        <v>169749.6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630</v>
      </c>
      <c r="C26" s="81" t="s">
        <v>631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55"/>
        <v>A</v>
      </c>
      <c r="P26" s="84">
        <v>117211</v>
      </c>
      <c r="Q26" s="84">
        <v>24012</v>
      </c>
      <c r="R26" s="32"/>
      <c r="S26" s="3" t="str">
        <f t="shared" si="56"/>
        <v>A</v>
      </c>
      <c r="T26" s="84">
        <v>101324</v>
      </c>
      <c r="U26" s="84">
        <v>20390</v>
      </c>
      <c r="V26" s="32"/>
      <c r="W26" s="3" t="str">
        <f t="shared" si="57"/>
        <v>A</v>
      </c>
      <c r="X26" s="84">
        <v>88234</v>
      </c>
      <c r="Y26" s="84">
        <v>15160</v>
      </c>
      <c r="Z26" s="32"/>
      <c r="AA26" s="3" t="str">
        <f t="shared" si="58"/>
        <v>A</v>
      </c>
      <c r="AB26" s="84">
        <v>99223</v>
      </c>
      <c r="AC26" s="84">
        <v>16620</v>
      </c>
      <c r="AD26" s="36"/>
      <c r="AE26" s="82"/>
      <c r="AF26" s="3" t="str">
        <f t="shared" si="59"/>
        <v>A</v>
      </c>
      <c r="AG26" s="84">
        <v>0</v>
      </c>
      <c r="AH26" s="84">
        <v>0</v>
      </c>
      <c r="AI26" s="39"/>
      <c r="AJ26" s="79" t="s">
        <v>1801</v>
      </c>
      <c r="AK26" s="39"/>
      <c r="AL26" s="4">
        <f t="shared" si="68"/>
        <v>405992</v>
      </c>
      <c r="AM26" s="4">
        <f t="shared" si="69"/>
        <v>76182</v>
      </c>
      <c r="AN26" s="4">
        <f t="shared" si="62"/>
        <v>482174</v>
      </c>
      <c r="AO26" s="39"/>
      <c r="AP26" s="8">
        <f t="shared" si="70"/>
        <v>0</v>
      </c>
      <c r="AQ26" s="8">
        <f t="shared" si="71"/>
        <v>0</v>
      </c>
      <c r="AR26" s="8">
        <f t="shared" si="65"/>
        <v>0</v>
      </c>
      <c r="AS26" s="42"/>
      <c r="AT26" s="84">
        <v>405992</v>
      </c>
      <c r="AU26" s="84">
        <v>76182</v>
      </c>
      <c r="AV26" s="4">
        <f t="shared" si="66"/>
        <v>482174</v>
      </c>
      <c r="AW26" s="50" t="str">
        <f t="shared" si="67"/>
        <v/>
      </c>
      <c r="AX26" s="1" t="s">
        <v>1645</v>
      </c>
      <c r="AY26" s="2" t="s">
        <v>1646</v>
      </c>
      <c r="AZ26" s="2">
        <v>131743.67999999999</v>
      </c>
      <c r="BA26" s="2">
        <v>115275.72</v>
      </c>
      <c r="BB26" s="2">
        <v>115275.72</v>
      </c>
      <c r="BC26" s="2">
        <v>131743.67999999999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1503</v>
      </c>
      <c r="C27" s="81" t="s">
        <v>1504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A</v>
      </c>
      <c r="P27" s="84">
        <v>237590</v>
      </c>
      <c r="Q27" s="84">
        <v>25635</v>
      </c>
      <c r="R27" s="32"/>
      <c r="S27" s="3" t="str">
        <f>IF($A27="","",IF(T27=BA27,"E","A"))</f>
        <v>A</v>
      </c>
      <c r="T27" s="84">
        <v>205538</v>
      </c>
      <c r="U27" s="84">
        <v>20658</v>
      </c>
      <c r="V27" s="32"/>
      <c r="W27" s="3" t="str">
        <f t="shared" si="57"/>
        <v>A</v>
      </c>
      <c r="X27" s="84">
        <v>190976</v>
      </c>
      <c r="Y27" s="84">
        <v>17383</v>
      </c>
      <c r="Z27" s="32"/>
      <c r="AA27" s="3" t="str">
        <f t="shared" si="58"/>
        <v>A</v>
      </c>
      <c r="AB27" s="84">
        <v>207822</v>
      </c>
      <c r="AC27" s="84">
        <v>18331</v>
      </c>
      <c r="AD27" s="36"/>
      <c r="AE27" s="82"/>
      <c r="AF27" s="3" t="str">
        <f t="shared" si="59"/>
        <v>A</v>
      </c>
      <c r="AG27" s="84">
        <v>0</v>
      </c>
      <c r="AH27" s="84">
        <v>0</v>
      </c>
      <c r="AI27" s="39"/>
      <c r="AJ27" s="79" t="s">
        <v>1801</v>
      </c>
      <c r="AK27" s="39"/>
      <c r="AL27" s="4">
        <f t="shared" si="68"/>
        <v>841926</v>
      </c>
      <c r="AM27" s="4">
        <f t="shared" si="69"/>
        <v>82007</v>
      </c>
      <c r="AN27" s="4">
        <f t="shared" si="62"/>
        <v>923933</v>
      </c>
      <c r="AO27" s="39"/>
      <c r="AP27" s="8">
        <f t="shared" si="70"/>
        <v>0</v>
      </c>
      <c r="AQ27" s="8">
        <f t="shared" si="71"/>
        <v>0</v>
      </c>
      <c r="AR27" s="8">
        <f t="shared" si="65"/>
        <v>0</v>
      </c>
      <c r="AS27" s="42"/>
      <c r="AT27" s="84">
        <v>841926</v>
      </c>
      <c r="AU27" s="84">
        <v>82007</v>
      </c>
      <c r="AV27" s="4">
        <f t="shared" si="66"/>
        <v>923933</v>
      </c>
      <c r="AW27" s="50" t="str">
        <f t="shared" si="67"/>
        <v/>
      </c>
      <c r="AX27" s="1" t="s">
        <v>1645</v>
      </c>
      <c r="AY27" s="2" t="s">
        <v>1646</v>
      </c>
      <c r="AZ27" s="2">
        <v>93029.440000000002</v>
      </c>
      <c r="BA27" s="2">
        <v>81400.759999999995</v>
      </c>
      <c r="BB27" s="2">
        <v>81400.759999999995</v>
      </c>
      <c r="BC27" s="2">
        <v>93029.440000000002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>IF($A28="","",IF(P28=0,"A",IF(P28=AZ28,"E","A")))</f>
        <v>A</v>
      </c>
      <c r="P28" s="84">
        <v>239966.75</v>
      </c>
      <c r="Q28" s="84">
        <v>40141</v>
      </c>
      <c r="R28" s="32"/>
      <c r="S28" s="3" t="str">
        <f>IF($A28="","",IF(T28=0,"A",IF(T28=BA28,"E","A")))</f>
        <v>A</v>
      </c>
      <c r="T28" s="84">
        <v>217439.56</v>
      </c>
      <c r="U28" s="84">
        <v>44480.479999999996</v>
      </c>
      <c r="V28" s="32"/>
      <c r="W28" s="3" t="str">
        <f t="shared" si="57"/>
        <v>A</v>
      </c>
      <c r="X28" s="84">
        <v>212016.25999999998</v>
      </c>
      <c r="Y28" s="84">
        <v>35933</v>
      </c>
      <c r="Z28" s="32"/>
      <c r="AA28" s="3" t="str">
        <f t="shared" si="58"/>
        <v>A</v>
      </c>
      <c r="AB28" s="84">
        <v>206993.22999999998</v>
      </c>
      <c r="AC28" s="84">
        <v>34478.129999999997</v>
      </c>
      <c r="AD28" s="36"/>
      <c r="AE28" s="82"/>
      <c r="AF28" s="3" t="str">
        <f t="shared" si="59"/>
        <v>A</v>
      </c>
      <c r="AG28" s="84">
        <v>0</v>
      </c>
      <c r="AH28" s="84">
        <v>0</v>
      </c>
      <c r="AI28" s="38"/>
      <c r="AJ28" s="79" t="s">
        <v>1801</v>
      </c>
      <c r="AK28" s="38"/>
      <c r="AL28" s="4">
        <f t="shared" si="68"/>
        <v>876415.79999999993</v>
      </c>
      <c r="AM28" s="4">
        <f t="shared" si="69"/>
        <v>155032.60999999999</v>
      </c>
      <c r="AN28" s="4">
        <f t="shared" si="62"/>
        <v>1031448.4099999999</v>
      </c>
      <c r="AO28" s="38"/>
      <c r="AP28" s="8">
        <f t="shared" si="70"/>
        <v>0</v>
      </c>
      <c r="AQ28" s="8">
        <f t="shared" si="71"/>
        <v>0</v>
      </c>
      <c r="AR28" s="8">
        <f t="shared" si="65"/>
        <v>0</v>
      </c>
      <c r="AS28" s="42"/>
      <c r="AT28" s="84">
        <v>876415.8</v>
      </c>
      <c r="AU28" s="84">
        <v>155032.60999999999</v>
      </c>
      <c r="AV28" s="4">
        <f t="shared" si="66"/>
        <v>1031448.41</v>
      </c>
      <c r="AW28" s="50" t="str">
        <f t="shared" si="67"/>
        <v/>
      </c>
      <c r="AX28" s="1" t="s">
        <v>1647</v>
      </c>
      <c r="AY28" s="2" t="s">
        <v>1640</v>
      </c>
      <c r="AZ28" s="2">
        <v>184507.12</v>
      </c>
      <c r="BA28" s="2">
        <v>161443.73000000001</v>
      </c>
      <c r="BB28" s="2">
        <v>161443.73000000001</v>
      </c>
      <c r="BC28" s="2">
        <v>184507.12</v>
      </c>
      <c r="BE28" s="66">
        <v>2.5000000000000001E-2</v>
      </c>
      <c r="BF28" s="66">
        <v>0.02</v>
      </c>
      <c r="BG28" s="63">
        <v>45835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>IF($A29="","",IF(P29=0,"A",IF(P29=AZ29,"E","A")))</f>
        <v>A</v>
      </c>
      <c r="P29" s="84">
        <v>98972</v>
      </c>
      <c r="Q29" s="84">
        <v>5375</v>
      </c>
      <c r="R29" s="32"/>
      <c r="S29" s="3" t="str">
        <f>IF($A29="","",IF(T29=0,"A",IF(T29=BA29,"E","A")))</f>
        <v>A</v>
      </c>
      <c r="T29" s="84">
        <v>83001</v>
      </c>
      <c r="U29" s="84">
        <v>5613</v>
      </c>
      <c r="V29" s="32"/>
      <c r="W29" s="3" t="str">
        <f t="shared" si="57"/>
        <v>A</v>
      </c>
      <c r="X29" s="84">
        <v>79627</v>
      </c>
      <c r="Y29" s="84">
        <v>5601</v>
      </c>
      <c r="Z29" s="32"/>
      <c r="AA29" s="3" t="str">
        <f t="shared" si="58"/>
        <v>A</v>
      </c>
      <c r="AB29" s="84">
        <v>84084</v>
      </c>
      <c r="AC29" s="84">
        <v>5418</v>
      </c>
      <c r="AD29" s="36"/>
      <c r="AE29" s="82"/>
      <c r="AF29" s="3" t="str">
        <f t="shared" si="59"/>
        <v>A</v>
      </c>
      <c r="AG29" s="84">
        <v>0</v>
      </c>
      <c r="AH29" s="84">
        <v>0</v>
      </c>
      <c r="AI29" s="38"/>
      <c r="AJ29" s="79" t="s">
        <v>1801</v>
      </c>
      <c r="AK29" s="38"/>
      <c r="AL29" s="4">
        <f t="shared" si="68"/>
        <v>345684</v>
      </c>
      <c r="AM29" s="4">
        <f t="shared" si="69"/>
        <v>22007</v>
      </c>
      <c r="AN29" s="4">
        <f t="shared" si="62"/>
        <v>367691</v>
      </c>
      <c r="AO29" s="38"/>
      <c r="AP29" s="8">
        <f t="shared" si="70"/>
        <v>0</v>
      </c>
      <c r="AQ29" s="8">
        <f t="shared" si="71"/>
        <v>0</v>
      </c>
      <c r="AR29" s="8">
        <f t="shared" si="65"/>
        <v>0</v>
      </c>
      <c r="AS29" s="42"/>
      <c r="AT29" s="84">
        <v>345684</v>
      </c>
      <c r="AU29" s="84">
        <v>22007</v>
      </c>
      <c r="AV29" s="4">
        <f t="shared" si="66"/>
        <v>367691</v>
      </c>
      <c r="AW29" s="50" t="str">
        <f t="shared" si="67"/>
        <v/>
      </c>
      <c r="AX29" s="1" t="s">
        <v>1648</v>
      </c>
      <c r="AY29" s="2" t="s">
        <v>1649</v>
      </c>
      <c r="AZ29" s="2">
        <v>112136.88</v>
      </c>
      <c r="BA29" s="2">
        <v>98119.77</v>
      </c>
      <c r="BB29" s="2">
        <v>98119.77</v>
      </c>
      <c r="BC29" s="2">
        <v>112136.88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632</v>
      </c>
      <c r="C30" s="81" t="s">
        <v>633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>IF($A30="","",IF(P30=0,"A",IF(P30=AZ30,"E","A")))</f>
        <v>A</v>
      </c>
      <c r="P30" s="84">
        <v>15364</v>
      </c>
      <c r="Q30" s="84">
        <v>1830</v>
      </c>
      <c r="R30" s="32"/>
      <c r="S30" s="3" t="str">
        <f>IF($A30="","",IF(T30=0,"A",IF(T30=BA30,"E","A")))</f>
        <v>A</v>
      </c>
      <c r="T30" s="84">
        <v>22795</v>
      </c>
      <c r="U30" s="84">
        <v>2375</v>
      </c>
      <c r="V30" s="32"/>
      <c r="W30" s="3" t="str">
        <f t="shared" si="57"/>
        <v>A</v>
      </c>
      <c r="X30" s="84">
        <v>21553</v>
      </c>
      <c r="Y30" s="84">
        <v>2485</v>
      </c>
      <c r="Z30" s="32"/>
      <c r="AA30" s="3" t="str">
        <f t="shared" si="58"/>
        <v>A</v>
      </c>
      <c r="AB30" s="84">
        <v>25293</v>
      </c>
      <c r="AC30" s="84">
        <v>2120</v>
      </c>
      <c r="AD30" s="36"/>
      <c r="AE30" s="82"/>
      <c r="AF30" s="3" t="str">
        <f t="shared" si="59"/>
        <v>A</v>
      </c>
      <c r="AG30" s="84">
        <v>0</v>
      </c>
      <c r="AH30" s="84">
        <v>0</v>
      </c>
      <c r="AI30" s="39"/>
      <c r="AJ30" s="79" t="s">
        <v>1801</v>
      </c>
      <c r="AK30" s="39"/>
      <c r="AL30" s="4">
        <f t="shared" si="68"/>
        <v>85005</v>
      </c>
      <c r="AM30" s="4">
        <f t="shared" si="69"/>
        <v>8810</v>
      </c>
      <c r="AN30" s="4">
        <f t="shared" si="62"/>
        <v>93815</v>
      </c>
      <c r="AO30" s="39"/>
      <c r="AP30" s="8">
        <f t="shared" si="70"/>
        <v>0</v>
      </c>
      <c r="AQ30" s="8">
        <f t="shared" si="71"/>
        <v>0</v>
      </c>
      <c r="AR30" s="8">
        <f t="shared" si="65"/>
        <v>0</v>
      </c>
      <c r="AS30" s="42"/>
      <c r="AT30" s="84">
        <v>85005</v>
      </c>
      <c r="AU30" s="84">
        <v>8810</v>
      </c>
      <c r="AV30" s="4">
        <f t="shared" si="66"/>
        <v>93815</v>
      </c>
      <c r="AW30" s="50" t="str">
        <f t="shared" si="67"/>
        <v/>
      </c>
      <c r="AX30" s="1" t="s">
        <v>1648</v>
      </c>
      <c r="AY30" s="2" t="s">
        <v>1649</v>
      </c>
      <c r="AZ30" s="2">
        <v>27775.119999999999</v>
      </c>
      <c r="BA30" s="2">
        <v>24303.23</v>
      </c>
      <c r="BB30" s="2">
        <v>24303.23</v>
      </c>
      <c r="BC30" s="2">
        <v>27775.119999999999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1037</v>
      </c>
      <c r="C31" s="81" t="s">
        <v>1038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>IF($A31="","",IF(P31=0,"A",IF(P31=AZ31,"E","A")))</f>
        <v>A</v>
      </c>
      <c r="P31" s="84">
        <v>126146</v>
      </c>
      <c r="Q31" s="84">
        <v>3800</v>
      </c>
      <c r="R31" s="32"/>
      <c r="S31" s="3" t="str">
        <f>IF($A31="","",IF(T31=0,"A",IF(T31=BA31,"E","A")))</f>
        <v>A</v>
      </c>
      <c r="T31" s="84">
        <v>105293</v>
      </c>
      <c r="U31" s="84">
        <v>2395</v>
      </c>
      <c r="V31" s="32"/>
      <c r="W31" s="3" t="str">
        <f t="shared" si="57"/>
        <v>A</v>
      </c>
      <c r="X31" s="84">
        <v>103125</v>
      </c>
      <c r="Y31" s="84">
        <v>2275</v>
      </c>
      <c r="Z31" s="32"/>
      <c r="AA31" s="3" t="str">
        <f t="shared" si="58"/>
        <v>A</v>
      </c>
      <c r="AB31" s="84">
        <v>122046</v>
      </c>
      <c r="AC31" s="84">
        <v>3580</v>
      </c>
      <c r="AD31" s="36"/>
      <c r="AE31" s="82"/>
      <c r="AF31" s="3" t="str">
        <f t="shared" si="59"/>
        <v>A</v>
      </c>
      <c r="AG31" s="84">
        <v>0</v>
      </c>
      <c r="AH31" s="84">
        <v>0</v>
      </c>
      <c r="AI31" s="39"/>
      <c r="AJ31" s="79" t="s">
        <v>1801</v>
      </c>
      <c r="AK31" s="39"/>
      <c r="AL31" s="4">
        <f t="shared" si="68"/>
        <v>456610</v>
      </c>
      <c r="AM31" s="4">
        <f t="shared" si="69"/>
        <v>12050</v>
      </c>
      <c r="AN31" s="4">
        <f t="shared" si="62"/>
        <v>468660</v>
      </c>
      <c r="AO31" s="39"/>
      <c r="AP31" s="8">
        <f t="shared" si="70"/>
        <v>0</v>
      </c>
      <c r="AQ31" s="8">
        <f t="shared" si="71"/>
        <v>0</v>
      </c>
      <c r="AR31" s="8">
        <f t="shared" si="65"/>
        <v>0</v>
      </c>
      <c r="AS31" s="42"/>
      <c r="AT31" s="84">
        <v>456610</v>
      </c>
      <c r="AU31" s="84">
        <v>12050</v>
      </c>
      <c r="AV31" s="4">
        <f t="shared" si="66"/>
        <v>468660</v>
      </c>
      <c r="AW31" s="50" t="str">
        <f t="shared" si="67"/>
        <v/>
      </c>
      <c r="AX31" s="1" t="s">
        <v>1648</v>
      </c>
      <c r="AY31" s="2" t="s">
        <v>1649</v>
      </c>
      <c r="AZ31" s="2">
        <v>40546.959999999999</v>
      </c>
      <c r="BA31" s="2">
        <v>35478.589999999997</v>
      </c>
      <c r="BB31" s="2">
        <v>35478.589999999997</v>
      </c>
      <c r="BC31" s="2">
        <v>40546.959999999999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1152</v>
      </c>
      <c r="C32" s="81" t="s">
        <v>1153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>IF($A32="","",IF(P32=0,"A",IF(P32=AZ32,"E","A")))</f>
        <v>A</v>
      </c>
      <c r="P32" s="84">
        <v>118917</v>
      </c>
      <c r="Q32" s="84">
        <v>4295</v>
      </c>
      <c r="R32" s="32"/>
      <c r="S32" s="3" t="str">
        <f>IF($A32="","",IF(T32=0,"A",IF(T32=BA32,"E","A")))</f>
        <v>A</v>
      </c>
      <c r="T32" s="84">
        <v>99562</v>
      </c>
      <c r="U32" s="84">
        <v>4505</v>
      </c>
      <c r="V32" s="32"/>
      <c r="W32" s="3" t="str">
        <f t="shared" si="57"/>
        <v>A</v>
      </c>
      <c r="X32" s="84">
        <v>92912</v>
      </c>
      <c r="Y32" s="84">
        <v>2360</v>
      </c>
      <c r="Z32" s="32"/>
      <c r="AA32" s="3" t="str">
        <f t="shared" si="58"/>
        <v>A</v>
      </c>
      <c r="AB32" s="84">
        <v>105465</v>
      </c>
      <c r="AC32" s="84">
        <v>3585</v>
      </c>
      <c r="AD32" s="36"/>
      <c r="AE32" s="82"/>
      <c r="AF32" s="3" t="str">
        <f t="shared" si="59"/>
        <v>A</v>
      </c>
      <c r="AG32" s="84">
        <v>0</v>
      </c>
      <c r="AH32" s="84">
        <v>0</v>
      </c>
      <c r="AI32" s="39"/>
      <c r="AJ32" s="79" t="s">
        <v>1801</v>
      </c>
      <c r="AK32" s="39"/>
      <c r="AL32" s="4">
        <f t="shared" si="68"/>
        <v>416856</v>
      </c>
      <c r="AM32" s="4">
        <f t="shared" si="69"/>
        <v>14745</v>
      </c>
      <c r="AN32" s="4">
        <f t="shared" si="62"/>
        <v>431601</v>
      </c>
      <c r="AO32" s="39"/>
      <c r="AP32" s="8">
        <f t="shared" si="70"/>
        <v>0</v>
      </c>
      <c r="AQ32" s="8">
        <f t="shared" si="71"/>
        <v>0</v>
      </c>
      <c r="AR32" s="8">
        <f t="shared" si="65"/>
        <v>0</v>
      </c>
      <c r="AS32" s="42"/>
      <c r="AT32" s="84">
        <v>416856</v>
      </c>
      <c r="AU32" s="84">
        <v>14745</v>
      </c>
      <c r="AV32" s="4">
        <f t="shared" si="66"/>
        <v>431601</v>
      </c>
      <c r="AW32" s="50" t="str">
        <f t="shared" si="67"/>
        <v/>
      </c>
      <c r="AX32" s="1" t="s">
        <v>1648</v>
      </c>
      <c r="AY32" s="2" t="s">
        <v>1649</v>
      </c>
      <c r="AZ32" s="2">
        <v>61859.360000000001</v>
      </c>
      <c r="BA32" s="2">
        <v>54126.94</v>
      </c>
      <c r="BB32" s="2">
        <v>54126.94</v>
      </c>
      <c r="BC32" s="2">
        <v>61859.360000000001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114</v>
      </c>
      <c r="B33" s="82" t="s">
        <v>1600</v>
      </c>
      <c r="C33" s="81" t="s">
        <v>1601</v>
      </c>
      <c r="D33" s="16">
        <v>45813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82"/>
      <c r="O33" s="3" t="str">
        <f>IF($A33="","",IF(P33=AZ33,"E","A"))</f>
        <v>A</v>
      </c>
      <c r="P33" s="84">
        <v>85990</v>
      </c>
      <c r="Q33" s="84">
        <v>855</v>
      </c>
      <c r="R33" s="32"/>
      <c r="S33" s="3" t="str">
        <f>IF($A33="","",IF(T33=BA33,"E","A"))</f>
        <v>A</v>
      </c>
      <c r="T33" s="84">
        <v>69240</v>
      </c>
      <c r="U33" s="84">
        <v>415</v>
      </c>
      <c r="V33" s="32"/>
      <c r="W33" s="3" t="str">
        <f t="shared" si="57"/>
        <v>A</v>
      </c>
      <c r="X33" s="84">
        <v>74644</v>
      </c>
      <c r="Y33" s="84">
        <v>880</v>
      </c>
      <c r="Z33" s="32"/>
      <c r="AA33" s="3" t="str">
        <f t="shared" si="58"/>
        <v>A</v>
      </c>
      <c r="AB33" s="84">
        <v>90703</v>
      </c>
      <c r="AC33" s="84">
        <v>1170</v>
      </c>
      <c r="AD33" s="36"/>
      <c r="AE33" s="82"/>
      <c r="AF33" s="3" t="str">
        <f t="shared" si="59"/>
        <v>A</v>
      </c>
      <c r="AG33" s="84">
        <v>0</v>
      </c>
      <c r="AH33" s="84">
        <v>0</v>
      </c>
      <c r="AI33" s="39"/>
      <c r="AJ33" s="79" t="s">
        <v>1801</v>
      </c>
      <c r="AK33" s="39"/>
      <c r="AL33" s="4">
        <f t="shared" si="68"/>
        <v>320577</v>
      </c>
      <c r="AM33" s="4">
        <f t="shared" si="69"/>
        <v>3320</v>
      </c>
      <c r="AN33" s="4">
        <f t="shared" si="62"/>
        <v>323897</v>
      </c>
      <c r="AO33" s="39"/>
      <c r="AP33" s="8">
        <f t="shared" si="70"/>
        <v>0</v>
      </c>
      <c r="AQ33" s="8">
        <f t="shared" si="71"/>
        <v>0</v>
      </c>
      <c r="AR33" s="8">
        <f t="shared" si="65"/>
        <v>0</v>
      </c>
      <c r="AS33" s="42"/>
      <c r="AT33" s="84">
        <v>320577</v>
      </c>
      <c r="AU33" s="84">
        <v>3320</v>
      </c>
      <c r="AV33" s="4">
        <f t="shared" si="66"/>
        <v>323897</v>
      </c>
      <c r="AW33" s="50" t="str">
        <f t="shared" si="67"/>
        <v/>
      </c>
      <c r="AX33" s="1" t="s">
        <v>1648</v>
      </c>
      <c r="AY33" s="2" t="s">
        <v>1649</v>
      </c>
      <c r="AZ33" s="2">
        <v>53396.24</v>
      </c>
      <c r="BA33" s="2">
        <v>46721.71</v>
      </c>
      <c r="BB33" s="2">
        <v>46721.71</v>
      </c>
      <c r="BC33" s="2">
        <v>53396.24</v>
      </c>
      <c r="BE33" s="66">
        <v>0</v>
      </c>
      <c r="BF33" s="66">
        <v>0.05</v>
      </c>
      <c r="BG33" s="63">
        <v>45805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81" t="s">
        <v>119</v>
      </c>
      <c r="B34" s="82" t="s">
        <v>119</v>
      </c>
      <c r="C34" s="81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ref="O34:O52" si="72">IF($A34="","",IF(P34=0,"A",IF(P34=AZ34,"E","A")))</f>
        <v>A</v>
      </c>
      <c r="P34" s="84">
        <v>64547</v>
      </c>
      <c r="Q34" s="84">
        <v>19556</v>
      </c>
      <c r="R34" s="32"/>
      <c r="S34" s="3" t="str">
        <f t="shared" ref="S34:S52" si="73">IF($A34="","",IF(T34=0,"A",IF(T34=BA34,"E","A")))</f>
        <v>A</v>
      </c>
      <c r="T34" s="84">
        <v>59527.700000000004</v>
      </c>
      <c r="U34" s="84">
        <v>17947</v>
      </c>
      <c r="V34" s="32"/>
      <c r="W34" s="3" t="str">
        <f t="shared" si="57"/>
        <v>A</v>
      </c>
      <c r="X34" s="84">
        <v>61014.2</v>
      </c>
      <c r="Y34" s="84">
        <v>18599</v>
      </c>
      <c r="Z34" s="32"/>
      <c r="AA34" s="3" t="str">
        <f t="shared" si="58"/>
        <v>A</v>
      </c>
      <c r="AB34" s="84">
        <v>64358.400000000001</v>
      </c>
      <c r="AC34" s="84">
        <v>15043</v>
      </c>
      <c r="AD34" s="36"/>
      <c r="AE34" s="82"/>
      <c r="AF34" s="3" t="str">
        <f t="shared" si="59"/>
        <v>A</v>
      </c>
      <c r="AG34" s="84">
        <v>0</v>
      </c>
      <c r="AH34" s="84">
        <v>0</v>
      </c>
      <c r="AI34" s="38"/>
      <c r="AJ34" s="79" t="s">
        <v>1801</v>
      </c>
      <c r="AK34" s="38"/>
      <c r="AL34" s="4">
        <f t="shared" si="68"/>
        <v>249447.30000000002</v>
      </c>
      <c r="AM34" s="4">
        <f t="shared" si="69"/>
        <v>71145</v>
      </c>
      <c r="AN34" s="4">
        <f t="shared" si="62"/>
        <v>320592.30000000005</v>
      </c>
      <c r="AO34" s="38"/>
      <c r="AP34" s="8">
        <f t="shared" si="70"/>
        <v>0</v>
      </c>
      <c r="AQ34" s="8">
        <f t="shared" si="71"/>
        <v>0</v>
      </c>
      <c r="AR34" s="8">
        <f t="shared" si="65"/>
        <v>0</v>
      </c>
      <c r="AS34" s="42"/>
      <c r="AT34" s="84">
        <v>249447.30000000002</v>
      </c>
      <c r="AU34" s="84">
        <v>71145</v>
      </c>
      <c r="AV34" s="4">
        <f t="shared" si="66"/>
        <v>320592.30000000005</v>
      </c>
      <c r="AW34" s="50" t="str">
        <f t="shared" si="67"/>
        <v/>
      </c>
      <c r="AX34" s="1" t="s">
        <v>1639</v>
      </c>
      <c r="AY34" s="2" t="s">
        <v>1640</v>
      </c>
      <c r="AZ34" s="2">
        <v>204502.96</v>
      </c>
      <c r="BA34" s="2">
        <v>178940.09</v>
      </c>
      <c r="BB34" s="2">
        <v>178940.09</v>
      </c>
      <c r="BC34" s="2">
        <v>204502.96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121</v>
      </c>
      <c r="B35" s="82" t="s">
        <v>121</v>
      </c>
      <c r="C35" s="81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82"/>
      <c r="O35" s="3" t="str">
        <f t="shared" si="72"/>
        <v>A</v>
      </c>
      <c r="P35" s="84">
        <v>82932.800000000003</v>
      </c>
      <c r="Q35" s="84">
        <v>20040</v>
      </c>
      <c r="R35" s="32"/>
      <c r="S35" s="3" t="str">
        <f t="shared" si="73"/>
        <v>A</v>
      </c>
      <c r="T35" s="84">
        <v>68501.8</v>
      </c>
      <c r="U35" s="84">
        <v>19450</v>
      </c>
      <c r="V35" s="32"/>
      <c r="W35" s="3" t="str">
        <f t="shared" si="57"/>
        <v>A</v>
      </c>
      <c r="X35" s="84">
        <v>67079.5</v>
      </c>
      <c r="Y35" s="84">
        <v>15399</v>
      </c>
      <c r="Z35" s="32"/>
      <c r="AA35" s="3" t="str">
        <f t="shared" si="58"/>
        <v>A</v>
      </c>
      <c r="AB35" s="84">
        <v>63460</v>
      </c>
      <c r="AC35" s="84">
        <v>16723</v>
      </c>
      <c r="AD35" s="36"/>
      <c r="AE35" s="82"/>
      <c r="AF35" s="3" t="str">
        <f t="shared" si="59"/>
        <v>A</v>
      </c>
      <c r="AG35" s="84">
        <v>0</v>
      </c>
      <c r="AH35" s="84">
        <v>0</v>
      </c>
      <c r="AI35" s="38"/>
      <c r="AJ35" s="79" t="s">
        <v>1801</v>
      </c>
      <c r="AK35" s="38"/>
      <c r="AL35" s="4">
        <f t="shared" si="68"/>
        <v>281974.09999999998</v>
      </c>
      <c r="AM35" s="4">
        <f t="shared" si="69"/>
        <v>71612</v>
      </c>
      <c r="AN35" s="4">
        <f t="shared" si="62"/>
        <v>353586.1</v>
      </c>
      <c r="AO35" s="38"/>
      <c r="AP35" s="8">
        <f t="shared" si="70"/>
        <v>0</v>
      </c>
      <c r="AQ35" s="8">
        <f t="shared" si="71"/>
        <v>0</v>
      </c>
      <c r="AR35" s="8">
        <f t="shared" si="65"/>
        <v>0</v>
      </c>
      <c r="AS35" s="42"/>
      <c r="AT35" s="84">
        <v>281974.09999999998</v>
      </c>
      <c r="AU35" s="84">
        <v>71612</v>
      </c>
      <c r="AV35" s="4">
        <f t="shared" si="66"/>
        <v>353586.1</v>
      </c>
      <c r="AW35" s="50" t="str">
        <f t="shared" si="67"/>
        <v/>
      </c>
      <c r="AX35" s="1" t="s">
        <v>1639</v>
      </c>
      <c r="AY35" s="2" t="s">
        <v>1640</v>
      </c>
      <c r="AZ35" s="2">
        <v>101168.32000000001</v>
      </c>
      <c r="BA35" s="2">
        <v>88522.28</v>
      </c>
      <c r="BB35" s="2">
        <v>88522.28</v>
      </c>
      <c r="BC35" s="2">
        <v>101168.32000000001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81" t="s">
        <v>121</v>
      </c>
      <c r="B36" s="82" t="s">
        <v>640</v>
      </c>
      <c r="C36" s="81" t="s">
        <v>641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72"/>
        <v>A</v>
      </c>
      <c r="P36" s="84">
        <v>60165</v>
      </c>
      <c r="Q36" s="84">
        <v>17732</v>
      </c>
      <c r="R36" s="32"/>
      <c r="S36" s="3" t="str">
        <f t="shared" si="73"/>
        <v>A</v>
      </c>
      <c r="T36" s="84">
        <v>52432</v>
      </c>
      <c r="U36" s="84">
        <v>17430</v>
      </c>
      <c r="V36" s="32"/>
      <c r="W36" s="3" t="str">
        <f t="shared" si="57"/>
        <v>A</v>
      </c>
      <c r="X36" s="84">
        <v>51184</v>
      </c>
      <c r="Y36" s="84">
        <v>15189</v>
      </c>
      <c r="Z36" s="32"/>
      <c r="AA36" s="3" t="str">
        <f t="shared" si="58"/>
        <v>A</v>
      </c>
      <c r="AB36" s="84">
        <v>59481</v>
      </c>
      <c r="AC36" s="84">
        <v>16777</v>
      </c>
      <c r="AD36" s="36"/>
      <c r="AE36" s="82"/>
      <c r="AF36" s="3" t="str">
        <f t="shared" si="59"/>
        <v>A</v>
      </c>
      <c r="AG36" s="84">
        <v>0</v>
      </c>
      <c r="AH36" s="84">
        <v>0</v>
      </c>
      <c r="AI36" s="39"/>
      <c r="AJ36" s="79" t="s">
        <v>1801</v>
      </c>
      <c r="AK36" s="39"/>
      <c r="AL36" s="4">
        <f t="shared" si="68"/>
        <v>223262</v>
      </c>
      <c r="AM36" s="4">
        <f t="shared" si="69"/>
        <v>67128</v>
      </c>
      <c r="AN36" s="4">
        <f t="shared" si="62"/>
        <v>290390</v>
      </c>
      <c r="AO36" s="39"/>
      <c r="AP36" s="8">
        <f t="shared" si="70"/>
        <v>0</v>
      </c>
      <c r="AQ36" s="8">
        <f t="shared" si="71"/>
        <v>0</v>
      </c>
      <c r="AR36" s="8">
        <f t="shared" si="65"/>
        <v>0</v>
      </c>
      <c r="AS36" s="42"/>
      <c r="AT36" s="84">
        <v>223262</v>
      </c>
      <c r="AU36" s="84">
        <v>67128</v>
      </c>
      <c r="AV36" s="4">
        <f t="shared" si="66"/>
        <v>290390</v>
      </c>
      <c r="AW36" s="50" t="str">
        <f t="shared" si="67"/>
        <v/>
      </c>
      <c r="AX36" s="1" t="s">
        <v>1639</v>
      </c>
      <c r="AY36" s="2" t="s">
        <v>1640</v>
      </c>
      <c r="AZ36" s="2">
        <v>66913.440000000002</v>
      </c>
      <c r="BA36" s="2">
        <v>58549.26</v>
      </c>
      <c r="BB36" s="2">
        <v>58549.26</v>
      </c>
      <c r="BC36" s="2">
        <v>66913.440000000002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81" t="s">
        <v>121</v>
      </c>
      <c r="B37" s="82" t="s">
        <v>963</v>
      </c>
      <c r="C37" s="81" t="s">
        <v>964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72"/>
        <v>A</v>
      </c>
      <c r="P37" s="84">
        <v>25757</v>
      </c>
      <c r="Q37" s="84">
        <v>9795</v>
      </c>
      <c r="R37" s="32"/>
      <c r="S37" s="3" t="str">
        <f t="shared" si="73"/>
        <v>A</v>
      </c>
      <c r="T37" s="84">
        <v>25069</v>
      </c>
      <c r="U37" s="84">
        <v>12005</v>
      </c>
      <c r="V37" s="32"/>
      <c r="W37" s="3" t="str">
        <f t="shared" si="57"/>
        <v>A</v>
      </c>
      <c r="X37" s="84">
        <v>22584</v>
      </c>
      <c r="Y37" s="84">
        <v>12657</v>
      </c>
      <c r="Z37" s="32"/>
      <c r="AA37" s="3" t="str">
        <f t="shared" si="58"/>
        <v>A</v>
      </c>
      <c r="AB37" s="84">
        <v>24115</v>
      </c>
      <c r="AC37" s="84">
        <v>10087</v>
      </c>
      <c r="AD37" s="36"/>
      <c r="AE37" s="82"/>
      <c r="AF37" s="3" t="str">
        <f t="shared" si="59"/>
        <v>A</v>
      </c>
      <c r="AG37" s="84">
        <v>0</v>
      </c>
      <c r="AH37" s="84">
        <v>0</v>
      </c>
      <c r="AI37" s="39"/>
      <c r="AJ37" s="79" t="s">
        <v>1801</v>
      </c>
      <c r="AK37" s="39"/>
      <c r="AL37" s="4">
        <f t="shared" si="68"/>
        <v>97525</v>
      </c>
      <c r="AM37" s="4">
        <f t="shared" si="69"/>
        <v>44544</v>
      </c>
      <c r="AN37" s="4">
        <f t="shared" si="62"/>
        <v>142069</v>
      </c>
      <c r="AO37" s="39"/>
      <c r="AP37" s="8">
        <f t="shared" si="70"/>
        <v>0</v>
      </c>
      <c r="AQ37" s="8">
        <f t="shared" si="71"/>
        <v>0</v>
      </c>
      <c r="AR37" s="8">
        <f t="shared" si="65"/>
        <v>0</v>
      </c>
      <c r="AS37" s="42"/>
      <c r="AT37" s="84">
        <v>97525</v>
      </c>
      <c r="AU37" s="84">
        <v>44544</v>
      </c>
      <c r="AV37" s="4">
        <f t="shared" si="66"/>
        <v>142069</v>
      </c>
      <c r="AW37" s="50" t="str">
        <f t="shared" si="67"/>
        <v/>
      </c>
      <c r="AX37" s="1" t="s">
        <v>1639</v>
      </c>
      <c r="AY37" s="2" t="s">
        <v>1640</v>
      </c>
      <c r="AZ37" s="2">
        <v>36106.160000000003</v>
      </c>
      <c r="BA37" s="2">
        <v>31592.89</v>
      </c>
      <c r="BB37" s="2">
        <v>31592.89</v>
      </c>
      <c r="BC37" s="2">
        <v>36106.160000000003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81" t="s">
        <v>123</v>
      </c>
      <c r="B38" s="82" t="s">
        <v>123</v>
      </c>
      <c r="C38" s="81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82"/>
      <c r="O38" s="3" t="str">
        <f t="shared" si="72"/>
        <v>A</v>
      </c>
      <c r="P38" s="84">
        <v>149620.81</v>
      </c>
      <c r="Q38" s="84">
        <v>33714</v>
      </c>
      <c r="R38" s="32"/>
      <c r="S38" s="3" t="str">
        <f t="shared" si="73"/>
        <v>A</v>
      </c>
      <c r="T38" s="84">
        <v>144807.4</v>
      </c>
      <c r="U38" s="84">
        <v>31614</v>
      </c>
      <c r="V38" s="32"/>
      <c r="W38" s="3" t="str">
        <f t="shared" si="57"/>
        <v>A</v>
      </c>
      <c r="X38" s="84">
        <v>129080</v>
      </c>
      <c r="Y38" s="84">
        <v>29726</v>
      </c>
      <c r="Z38" s="32"/>
      <c r="AA38" s="3" t="str">
        <f t="shared" si="58"/>
        <v>A</v>
      </c>
      <c r="AB38" s="84">
        <v>145962.9</v>
      </c>
      <c r="AC38" s="84">
        <v>30041</v>
      </c>
      <c r="AD38" s="36"/>
      <c r="AE38" s="82"/>
      <c r="AF38" s="3" t="str">
        <f t="shared" si="59"/>
        <v>A</v>
      </c>
      <c r="AG38" s="84">
        <v>0</v>
      </c>
      <c r="AH38" s="84">
        <v>0</v>
      </c>
      <c r="AI38" s="38"/>
      <c r="AJ38" s="79" t="s">
        <v>1801</v>
      </c>
      <c r="AK38" s="38"/>
      <c r="AL38" s="4">
        <f t="shared" si="68"/>
        <v>569471.11</v>
      </c>
      <c r="AM38" s="4">
        <f t="shared" si="69"/>
        <v>125095</v>
      </c>
      <c r="AN38" s="4">
        <f t="shared" si="62"/>
        <v>694566.11</v>
      </c>
      <c r="AO38" s="38"/>
      <c r="AP38" s="8">
        <f t="shared" si="70"/>
        <v>0</v>
      </c>
      <c r="AQ38" s="8">
        <f t="shared" si="71"/>
        <v>0</v>
      </c>
      <c r="AR38" s="8">
        <f t="shared" si="65"/>
        <v>0</v>
      </c>
      <c r="AS38" s="42"/>
      <c r="AT38" s="84">
        <v>569471.11</v>
      </c>
      <c r="AU38" s="84">
        <v>125095</v>
      </c>
      <c r="AV38" s="4">
        <f t="shared" si="66"/>
        <v>694566.11</v>
      </c>
      <c r="AW38" s="50" t="str">
        <f t="shared" si="67"/>
        <v/>
      </c>
      <c r="AX38" s="1" t="s">
        <v>1639</v>
      </c>
      <c r="AY38" s="2" t="s">
        <v>1640</v>
      </c>
      <c r="AZ38" s="2">
        <v>230322.88</v>
      </c>
      <c r="BA38" s="2">
        <v>201532.52</v>
      </c>
      <c r="BB38" s="2">
        <v>201532.52</v>
      </c>
      <c r="BC38" s="2">
        <v>230322.88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81" t="s">
        <v>123</v>
      </c>
      <c r="B39" s="82" t="s">
        <v>642</v>
      </c>
      <c r="C39" s="81" t="s">
        <v>643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72"/>
        <v>A</v>
      </c>
      <c r="P39" s="84">
        <v>80464</v>
      </c>
      <c r="Q39" s="84">
        <v>13820</v>
      </c>
      <c r="R39" s="32"/>
      <c r="S39" s="3" t="str">
        <f t="shared" si="73"/>
        <v>A</v>
      </c>
      <c r="T39" s="84">
        <v>69732</v>
      </c>
      <c r="U39" s="84">
        <v>12265</v>
      </c>
      <c r="V39" s="32"/>
      <c r="W39" s="3" t="str">
        <f t="shared" si="57"/>
        <v>A</v>
      </c>
      <c r="X39" s="84">
        <v>66235</v>
      </c>
      <c r="Y39" s="84">
        <v>11129</v>
      </c>
      <c r="Z39" s="32"/>
      <c r="AA39" s="3" t="str">
        <f t="shared" si="58"/>
        <v>A</v>
      </c>
      <c r="AB39" s="84">
        <v>74228</v>
      </c>
      <c r="AC39" s="84">
        <v>11986</v>
      </c>
      <c r="AD39" s="36"/>
      <c r="AE39" s="82"/>
      <c r="AF39" s="3" t="str">
        <f t="shared" si="59"/>
        <v>A</v>
      </c>
      <c r="AG39" s="84">
        <v>0</v>
      </c>
      <c r="AH39" s="84">
        <v>0</v>
      </c>
      <c r="AI39" s="39"/>
      <c r="AJ39" s="79" t="s">
        <v>1801</v>
      </c>
      <c r="AK39" s="39"/>
      <c r="AL39" s="4">
        <f t="shared" si="68"/>
        <v>290659</v>
      </c>
      <c r="AM39" s="4">
        <f t="shared" si="69"/>
        <v>49200</v>
      </c>
      <c r="AN39" s="4">
        <f t="shared" si="62"/>
        <v>339859</v>
      </c>
      <c r="AO39" s="39"/>
      <c r="AP39" s="8">
        <f t="shared" si="70"/>
        <v>0</v>
      </c>
      <c r="AQ39" s="8">
        <f t="shared" si="71"/>
        <v>0</v>
      </c>
      <c r="AR39" s="8">
        <f t="shared" si="65"/>
        <v>0</v>
      </c>
      <c r="AS39" s="42"/>
      <c r="AT39" s="84">
        <v>290659</v>
      </c>
      <c r="AU39" s="84">
        <v>49200</v>
      </c>
      <c r="AV39" s="4">
        <f t="shared" si="66"/>
        <v>339859</v>
      </c>
      <c r="AW39" s="50" t="str">
        <f t="shared" si="67"/>
        <v/>
      </c>
      <c r="AX39" s="1" t="s">
        <v>1639</v>
      </c>
      <c r="AY39" s="2" t="s">
        <v>1640</v>
      </c>
      <c r="AZ39" s="2">
        <v>89178.72</v>
      </c>
      <c r="BA39" s="2">
        <v>78031.38</v>
      </c>
      <c r="BB39" s="2">
        <v>78031.38</v>
      </c>
      <c r="BC39" s="2">
        <v>89178.72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125</v>
      </c>
      <c r="B40" s="82" t="s">
        <v>125</v>
      </c>
      <c r="C40" s="81" t="s">
        <v>126</v>
      </c>
      <c r="D40" s="16">
        <v>34151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72"/>
        <v>A</v>
      </c>
      <c r="P40" s="84">
        <v>118538.4</v>
      </c>
      <c r="Q40" s="84">
        <v>23972.2</v>
      </c>
      <c r="R40" s="32"/>
      <c r="S40" s="3" t="str">
        <f t="shared" si="73"/>
        <v>A</v>
      </c>
      <c r="T40" s="84">
        <v>110918.59999999999</v>
      </c>
      <c r="U40" s="84">
        <v>18159.2</v>
      </c>
      <c r="V40" s="32"/>
      <c r="W40" s="3" t="str">
        <f t="shared" si="57"/>
        <v>A</v>
      </c>
      <c r="X40" s="84">
        <v>92890.3</v>
      </c>
      <c r="Y40" s="84">
        <v>21342.9</v>
      </c>
      <c r="Z40" s="32"/>
      <c r="AA40" s="3" t="str">
        <f t="shared" si="58"/>
        <v>A</v>
      </c>
      <c r="AB40" s="84">
        <v>101682.85</v>
      </c>
      <c r="AC40" s="84">
        <v>20023.150000000001</v>
      </c>
      <c r="AD40" s="36"/>
      <c r="AE40" s="82"/>
      <c r="AF40" s="3" t="str">
        <f t="shared" si="59"/>
        <v>A</v>
      </c>
      <c r="AG40" s="84">
        <v>0</v>
      </c>
      <c r="AH40" s="84">
        <v>0</v>
      </c>
      <c r="AI40" s="38"/>
      <c r="AJ40" s="79" t="s">
        <v>1801</v>
      </c>
      <c r="AK40" s="38"/>
      <c r="AL40" s="4">
        <f t="shared" si="68"/>
        <v>424030.15</v>
      </c>
      <c r="AM40" s="4">
        <f t="shared" si="69"/>
        <v>83497.450000000012</v>
      </c>
      <c r="AN40" s="4">
        <f t="shared" si="62"/>
        <v>507527.60000000003</v>
      </c>
      <c r="AO40" s="38"/>
      <c r="AP40" s="8">
        <f t="shared" si="70"/>
        <v>0</v>
      </c>
      <c r="AQ40" s="8">
        <f t="shared" si="71"/>
        <v>0</v>
      </c>
      <c r="AR40" s="8">
        <f t="shared" si="65"/>
        <v>0</v>
      </c>
      <c r="AS40" s="42"/>
      <c r="AT40" s="84">
        <v>424030.14999999997</v>
      </c>
      <c r="AU40" s="84">
        <v>83497.449999999983</v>
      </c>
      <c r="AV40" s="4">
        <f t="shared" si="66"/>
        <v>507527.6</v>
      </c>
      <c r="AW40" s="50" t="str">
        <f t="shared" si="67"/>
        <v/>
      </c>
      <c r="AX40" s="1" t="s">
        <v>1639</v>
      </c>
      <c r="AY40" s="2" t="s">
        <v>1640</v>
      </c>
      <c r="AZ40" s="2">
        <v>179300.4</v>
      </c>
      <c r="BA40" s="2">
        <v>156887.85</v>
      </c>
      <c r="BB40" s="2">
        <v>156887.85</v>
      </c>
      <c r="BC40" s="2">
        <v>179300.4</v>
      </c>
      <c r="BE40" s="66">
        <v>2.5000000000000001E-2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125</v>
      </c>
      <c r="B41" s="82" t="s">
        <v>644</v>
      </c>
      <c r="C41" s="81" t="s">
        <v>645</v>
      </c>
      <c r="D41" s="16">
        <v>43133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72"/>
        <v>A</v>
      </c>
      <c r="P41" s="84">
        <v>20205</v>
      </c>
      <c r="Q41" s="84">
        <v>8105</v>
      </c>
      <c r="R41" s="32"/>
      <c r="S41" s="3" t="str">
        <f t="shared" si="73"/>
        <v>A</v>
      </c>
      <c r="T41" s="84">
        <v>15666</v>
      </c>
      <c r="U41" s="84">
        <v>6049</v>
      </c>
      <c r="V41" s="32"/>
      <c r="W41" s="3" t="str">
        <f t="shared" si="57"/>
        <v>A</v>
      </c>
      <c r="X41" s="84">
        <v>14326</v>
      </c>
      <c r="Y41" s="84">
        <v>7208</v>
      </c>
      <c r="Z41" s="32"/>
      <c r="AA41" s="3" t="str">
        <f t="shared" si="58"/>
        <v>A</v>
      </c>
      <c r="AB41" s="84">
        <v>12931</v>
      </c>
      <c r="AC41" s="84">
        <v>5192</v>
      </c>
      <c r="AD41" s="36"/>
      <c r="AE41" s="82"/>
      <c r="AF41" s="3" t="str">
        <f t="shared" si="59"/>
        <v>A</v>
      </c>
      <c r="AG41" s="84">
        <v>0</v>
      </c>
      <c r="AH41" s="84">
        <v>0</v>
      </c>
      <c r="AI41" s="39"/>
      <c r="AJ41" s="79" t="s">
        <v>1801</v>
      </c>
      <c r="AK41" s="39"/>
      <c r="AL41" s="4">
        <f t="shared" si="68"/>
        <v>63128</v>
      </c>
      <c r="AM41" s="4">
        <f t="shared" si="69"/>
        <v>26554</v>
      </c>
      <c r="AN41" s="4">
        <f t="shared" si="62"/>
        <v>89682</v>
      </c>
      <c r="AO41" s="39"/>
      <c r="AP41" s="8">
        <f t="shared" si="70"/>
        <v>0</v>
      </c>
      <c r="AQ41" s="8">
        <f t="shared" si="71"/>
        <v>0</v>
      </c>
      <c r="AR41" s="8">
        <f t="shared" si="65"/>
        <v>0</v>
      </c>
      <c r="AS41" s="42"/>
      <c r="AT41" s="84">
        <v>63128</v>
      </c>
      <c r="AU41" s="84">
        <v>26554</v>
      </c>
      <c r="AV41" s="4">
        <f t="shared" si="66"/>
        <v>89682</v>
      </c>
      <c r="AW41" s="50" t="str">
        <f t="shared" si="67"/>
        <v/>
      </c>
      <c r="AX41" s="1" t="s">
        <v>1639</v>
      </c>
      <c r="AY41" s="2" t="s">
        <v>1640</v>
      </c>
      <c r="AZ41" s="2">
        <v>47704.24</v>
      </c>
      <c r="BA41" s="2">
        <v>41741.21</v>
      </c>
      <c r="BB41" s="2">
        <v>41741.21</v>
      </c>
      <c r="BC41" s="2">
        <v>47704.24</v>
      </c>
      <c r="BE41" s="66">
        <v>0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127</v>
      </c>
      <c r="B42" s="82" t="s">
        <v>127</v>
      </c>
      <c r="C42" s="81" t="s">
        <v>128</v>
      </c>
      <c r="D42" s="16">
        <v>34220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72</v>
      </c>
      <c r="K42" s="61" t="s">
        <v>73</v>
      </c>
      <c r="L42" s="11" t="s">
        <v>67</v>
      </c>
      <c r="M42" s="25"/>
      <c r="N42" s="82"/>
      <c r="O42" s="3" t="str">
        <f t="shared" si="72"/>
        <v>A</v>
      </c>
      <c r="P42" s="84">
        <v>141270.5</v>
      </c>
      <c r="Q42" s="84">
        <v>36624.75</v>
      </c>
      <c r="R42" s="32"/>
      <c r="S42" s="3" t="str">
        <f t="shared" si="73"/>
        <v>A</v>
      </c>
      <c r="T42" s="84">
        <v>117849.44999999998</v>
      </c>
      <c r="U42" s="84">
        <v>31042</v>
      </c>
      <c r="V42" s="32"/>
      <c r="W42" s="3" t="str">
        <f t="shared" si="57"/>
        <v>A</v>
      </c>
      <c r="X42" s="84">
        <v>122721.04999999999</v>
      </c>
      <c r="Y42" s="84">
        <v>30446.25</v>
      </c>
      <c r="Z42" s="32"/>
      <c r="AA42" s="3" t="str">
        <f t="shared" si="58"/>
        <v>A</v>
      </c>
      <c r="AB42" s="84">
        <v>141004.74000000002</v>
      </c>
      <c r="AC42" s="84">
        <v>32936.86</v>
      </c>
      <c r="AD42" s="36"/>
      <c r="AE42" s="82"/>
      <c r="AF42" s="3" t="str">
        <f t="shared" si="59"/>
        <v>A</v>
      </c>
      <c r="AG42" s="84">
        <v>0</v>
      </c>
      <c r="AH42" s="84">
        <v>0</v>
      </c>
      <c r="AI42" s="38"/>
      <c r="AJ42" s="79" t="s">
        <v>1801</v>
      </c>
      <c r="AK42" s="38"/>
      <c r="AL42" s="4">
        <f t="shared" si="68"/>
        <v>522845.74</v>
      </c>
      <c r="AM42" s="4">
        <f t="shared" si="69"/>
        <v>131049.86</v>
      </c>
      <c r="AN42" s="4">
        <f t="shared" si="62"/>
        <v>653895.6</v>
      </c>
      <c r="AO42" s="38"/>
      <c r="AP42" s="8">
        <f t="shared" si="70"/>
        <v>0</v>
      </c>
      <c r="AQ42" s="8">
        <f t="shared" si="71"/>
        <v>0</v>
      </c>
      <c r="AR42" s="8">
        <f t="shared" si="65"/>
        <v>0</v>
      </c>
      <c r="AS42" s="42"/>
      <c r="AT42" s="84">
        <v>522845.74000000005</v>
      </c>
      <c r="AU42" s="84">
        <v>131049.86</v>
      </c>
      <c r="AV42" s="4">
        <f t="shared" si="66"/>
        <v>653895.60000000009</v>
      </c>
      <c r="AW42" s="50" t="str">
        <f t="shared" si="67"/>
        <v/>
      </c>
      <c r="AX42" s="1" t="s">
        <v>1639</v>
      </c>
      <c r="AY42" s="2" t="s">
        <v>1640</v>
      </c>
      <c r="AZ42" s="2">
        <v>219192.8</v>
      </c>
      <c r="BA42" s="2">
        <v>191793.7</v>
      </c>
      <c r="BB42" s="2">
        <v>191793.7</v>
      </c>
      <c r="BC42" s="2">
        <v>219192.8</v>
      </c>
      <c r="BE42" s="66">
        <v>2.5000000000000001E-2</v>
      </c>
      <c r="BF42" s="66">
        <v>0.02</v>
      </c>
      <c r="BG42" s="63">
        <v>44051</v>
      </c>
      <c r="BL42" s="1" t="s">
        <v>56</v>
      </c>
    </row>
    <row r="43" spans="1:64" s="2" customFormat="1" ht="10.8" x14ac:dyDescent="0.25">
      <c r="A43" s="81" t="s">
        <v>129</v>
      </c>
      <c r="B43" s="82" t="s">
        <v>129</v>
      </c>
      <c r="C43" s="81" t="s">
        <v>130</v>
      </c>
      <c r="D43" s="16">
        <v>34432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131</v>
      </c>
      <c r="K43" s="61" t="s">
        <v>132</v>
      </c>
      <c r="L43" s="11" t="s">
        <v>67</v>
      </c>
      <c r="M43" s="25"/>
      <c r="N43" s="82"/>
      <c r="O43" s="3" t="str">
        <f t="shared" si="72"/>
        <v>A</v>
      </c>
      <c r="P43" s="84">
        <v>139006.20000000001</v>
      </c>
      <c r="Q43" s="84">
        <v>24346</v>
      </c>
      <c r="R43" s="32"/>
      <c r="S43" s="3" t="str">
        <f t="shared" si="73"/>
        <v>A</v>
      </c>
      <c r="T43" s="84">
        <v>108843.13000000002</v>
      </c>
      <c r="U43" s="84">
        <v>20708.849999999999</v>
      </c>
      <c r="V43" s="32"/>
      <c r="W43" s="3" t="str">
        <f t="shared" si="57"/>
        <v>A</v>
      </c>
      <c r="X43" s="84">
        <v>113914.47</v>
      </c>
      <c r="Y43" s="84">
        <v>18150.52</v>
      </c>
      <c r="Z43" s="32"/>
      <c r="AA43" s="3" t="str">
        <f t="shared" si="58"/>
        <v>A</v>
      </c>
      <c r="AB43" s="84">
        <v>128716.24</v>
      </c>
      <c r="AC43" s="84">
        <v>25559.5</v>
      </c>
      <c r="AD43" s="36"/>
      <c r="AE43" s="82"/>
      <c r="AF43" s="3" t="str">
        <f t="shared" si="59"/>
        <v>A</v>
      </c>
      <c r="AG43" s="84">
        <v>0</v>
      </c>
      <c r="AH43" s="84">
        <v>0</v>
      </c>
      <c r="AI43" s="38"/>
      <c r="AJ43" s="79" t="s">
        <v>1801</v>
      </c>
      <c r="AK43" s="38"/>
      <c r="AL43" s="4">
        <f t="shared" si="68"/>
        <v>490480.04000000004</v>
      </c>
      <c r="AM43" s="4">
        <f t="shared" si="69"/>
        <v>88764.87</v>
      </c>
      <c r="AN43" s="4">
        <f t="shared" si="62"/>
        <v>579244.91</v>
      </c>
      <c r="AO43" s="38"/>
      <c r="AP43" s="8">
        <f t="shared" si="70"/>
        <v>0</v>
      </c>
      <c r="AQ43" s="8">
        <f t="shared" si="71"/>
        <v>0</v>
      </c>
      <c r="AR43" s="8">
        <f t="shared" si="65"/>
        <v>0</v>
      </c>
      <c r="AS43" s="42"/>
      <c r="AT43" s="84">
        <v>490480.04</v>
      </c>
      <c r="AU43" s="84">
        <v>88764.87</v>
      </c>
      <c r="AV43" s="4">
        <f t="shared" si="66"/>
        <v>579244.90999999992</v>
      </c>
      <c r="AW43" s="50" t="str">
        <f t="shared" si="67"/>
        <v/>
      </c>
      <c r="AX43" s="1" t="s">
        <v>1639</v>
      </c>
      <c r="AY43" s="2" t="s">
        <v>1640</v>
      </c>
      <c r="AZ43" s="2">
        <v>286102.64</v>
      </c>
      <c r="BA43" s="2">
        <v>250339.81</v>
      </c>
      <c r="BB43" s="2">
        <v>250339.81</v>
      </c>
      <c r="BC43" s="2">
        <v>286102.64</v>
      </c>
      <c r="BE43" s="66">
        <v>2.5000000000000001E-2</v>
      </c>
      <c r="BF43" s="66">
        <v>0.02</v>
      </c>
      <c r="BG43" s="63">
        <v>44358</v>
      </c>
      <c r="BL43" s="1" t="s">
        <v>56</v>
      </c>
    </row>
    <row r="44" spans="1:64" s="2" customFormat="1" ht="10.8" x14ac:dyDescent="0.25">
      <c r="A44" s="81" t="s">
        <v>133</v>
      </c>
      <c r="B44" s="82" t="s">
        <v>133</v>
      </c>
      <c r="C44" s="81" t="s">
        <v>134</v>
      </c>
      <c r="D44" s="16">
        <v>34820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135</v>
      </c>
      <c r="K44" s="61" t="s">
        <v>136</v>
      </c>
      <c r="L44" s="11" t="s">
        <v>67</v>
      </c>
      <c r="M44" s="25"/>
      <c r="N44" s="82"/>
      <c r="O44" s="3" t="str">
        <f t="shared" si="72"/>
        <v>A</v>
      </c>
      <c r="P44" s="84">
        <v>116082.2</v>
      </c>
      <c r="Q44" s="84">
        <v>22461</v>
      </c>
      <c r="R44" s="32"/>
      <c r="S44" s="3" t="str">
        <f t="shared" si="73"/>
        <v>A</v>
      </c>
      <c r="T44" s="84">
        <v>96522.15</v>
      </c>
      <c r="U44" s="84">
        <v>16709.5</v>
      </c>
      <c r="V44" s="32"/>
      <c r="W44" s="3" t="str">
        <f t="shared" si="57"/>
        <v>A</v>
      </c>
      <c r="X44" s="84">
        <v>87996.1</v>
      </c>
      <c r="Y44" s="84">
        <v>18271</v>
      </c>
      <c r="Z44" s="32"/>
      <c r="AA44" s="3" t="str">
        <f t="shared" si="58"/>
        <v>A</v>
      </c>
      <c r="AB44" s="84">
        <v>96025.45</v>
      </c>
      <c r="AC44" s="84">
        <v>18222.5</v>
      </c>
      <c r="AD44" s="36"/>
      <c r="AE44" s="82"/>
      <c r="AF44" s="3" t="str">
        <f t="shared" si="59"/>
        <v>A</v>
      </c>
      <c r="AG44" s="84">
        <v>0</v>
      </c>
      <c r="AH44" s="84">
        <v>0</v>
      </c>
      <c r="AI44" s="38"/>
      <c r="AJ44" s="79" t="s">
        <v>1801</v>
      </c>
      <c r="AK44" s="38"/>
      <c r="AL44" s="4">
        <f t="shared" si="68"/>
        <v>396625.89999999997</v>
      </c>
      <c r="AM44" s="4">
        <f t="shared" si="69"/>
        <v>75664</v>
      </c>
      <c r="AN44" s="4">
        <f t="shared" si="62"/>
        <v>472289.89999999997</v>
      </c>
      <c r="AO44" s="38"/>
      <c r="AP44" s="8">
        <f t="shared" si="70"/>
        <v>0</v>
      </c>
      <c r="AQ44" s="8">
        <f t="shared" si="71"/>
        <v>0</v>
      </c>
      <c r="AR44" s="8">
        <f t="shared" si="65"/>
        <v>0</v>
      </c>
      <c r="AS44" s="42"/>
      <c r="AT44" s="84">
        <v>396625.89999999997</v>
      </c>
      <c r="AU44" s="84">
        <v>75664</v>
      </c>
      <c r="AV44" s="4">
        <f t="shared" si="66"/>
        <v>472289.89999999997</v>
      </c>
      <c r="AW44" s="50" t="str">
        <f t="shared" si="67"/>
        <v/>
      </c>
      <c r="AX44" s="1" t="s">
        <v>1639</v>
      </c>
      <c r="AY44" s="2" t="s">
        <v>1640</v>
      </c>
      <c r="AZ44" s="2">
        <v>127699.12</v>
      </c>
      <c r="BA44" s="2">
        <v>111736.73</v>
      </c>
      <c r="BB44" s="2">
        <v>111736.73</v>
      </c>
      <c r="BC44" s="2">
        <v>127699.12</v>
      </c>
      <c r="BE44" s="66">
        <v>2.5000000000000001E-2</v>
      </c>
      <c r="BF44" s="66">
        <v>0.02</v>
      </c>
      <c r="BG44" s="63">
        <v>45657</v>
      </c>
      <c r="BL44" s="1" t="s">
        <v>56</v>
      </c>
    </row>
    <row r="45" spans="1:64" s="2" customFormat="1" ht="10.8" x14ac:dyDescent="0.25">
      <c r="A45" s="81" t="s">
        <v>133</v>
      </c>
      <c r="B45" s="82" t="s">
        <v>648</v>
      </c>
      <c r="C45" s="81" t="s">
        <v>649</v>
      </c>
      <c r="D45" s="16">
        <v>42833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82"/>
      <c r="O45" s="3" t="str">
        <f t="shared" si="72"/>
        <v>A</v>
      </c>
      <c r="P45" s="84">
        <v>21249</v>
      </c>
      <c r="Q45" s="84">
        <v>15348</v>
      </c>
      <c r="R45" s="32"/>
      <c r="S45" s="3" t="str">
        <f t="shared" si="73"/>
        <v>A</v>
      </c>
      <c r="T45" s="84">
        <v>17531</v>
      </c>
      <c r="U45" s="84">
        <v>11037</v>
      </c>
      <c r="V45" s="32"/>
      <c r="W45" s="3" t="str">
        <f t="shared" si="57"/>
        <v>A</v>
      </c>
      <c r="X45" s="84">
        <v>19990</v>
      </c>
      <c r="Y45" s="84">
        <v>12162</v>
      </c>
      <c r="Z45" s="32"/>
      <c r="AA45" s="3" t="str">
        <f t="shared" si="58"/>
        <v>A</v>
      </c>
      <c r="AB45" s="84">
        <v>22188</v>
      </c>
      <c r="AC45" s="84">
        <v>13790</v>
      </c>
      <c r="AD45" s="36"/>
      <c r="AE45" s="82"/>
      <c r="AF45" s="3" t="str">
        <f t="shared" si="59"/>
        <v>A</v>
      </c>
      <c r="AG45" s="84">
        <v>0</v>
      </c>
      <c r="AH45" s="84">
        <v>0</v>
      </c>
      <c r="AI45" s="39"/>
      <c r="AJ45" s="79" t="s">
        <v>1801</v>
      </c>
      <c r="AK45" s="39"/>
      <c r="AL45" s="4">
        <f t="shared" si="68"/>
        <v>80958</v>
      </c>
      <c r="AM45" s="4">
        <f t="shared" si="69"/>
        <v>52337</v>
      </c>
      <c r="AN45" s="4">
        <f t="shared" si="62"/>
        <v>133295</v>
      </c>
      <c r="AO45" s="39"/>
      <c r="AP45" s="8">
        <f t="shared" si="70"/>
        <v>0</v>
      </c>
      <c r="AQ45" s="8">
        <f t="shared" si="71"/>
        <v>0</v>
      </c>
      <c r="AR45" s="8">
        <f t="shared" si="65"/>
        <v>0</v>
      </c>
      <c r="AS45" s="42"/>
      <c r="AT45" s="84">
        <v>80958</v>
      </c>
      <c r="AU45" s="84">
        <v>52337</v>
      </c>
      <c r="AV45" s="4">
        <f t="shared" si="66"/>
        <v>133295</v>
      </c>
      <c r="AW45" s="50" t="str">
        <f t="shared" si="67"/>
        <v/>
      </c>
      <c r="AX45" s="1" t="s">
        <v>1639</v>
      </c>
      <c r="AY45" s="2" t="s">
        <v>1640</v>
      </c>
      <c r="AZ45" s="2">
        <v>25244.16</v>
      </c>
      <c r="BA45" s="2">
        <v>22088.639999999999</v>
      </c>
      <c r="BB45" s="2">
        <v>22088.639999999999</v>
      </c>
      <c r="BC45" s="2">
        <v>25244.16</v>
      </c>
      <c r="BE45" s="66">
        <v>3.5000000000000003E-2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81" t="s">
        <v>133</v>
      </c>
      <c r="B46" s="82" t="s">
        <v>650</v>
      </c>
      <c r="C46" s="81" t="s">
        <v>651</v>
      </c>
      <c r="D46" s="16">
        <v>40418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82"/>
      <c r="O46" s="3" t="str">
        <f t="shared" si="72"/>
        <v>A</v>
      </c>
      <c r="P46" s="84">
        <v>28279</v>
      </c>
      <c r="Q46" s="84">
        <v>11056</v>
      </c>
      <c r="R46" s="32"/>
      <c r="S46" s="3" t="str">
        <f t="shared" si="73"/>
        <v>A</v>
      </c>
      <c r="T46" s="84">
        <v>26339</v>
      </c>
      <c r="U46" s="84">
        <v>11456</v>
      </c>
      <c r="V46" s="32"/>
      <c r="W46" s="3" t="str">
        <f t="shared" si="57"/>
        <v>A</v>
      </c>
      <c r="X46" s="84">
        <v>24467</v>
      </c>
      <c r="Y46" s="84">
        <v>10224</v>
      </c>
      <c r="Z46" s="32"/>
      <c r="AA46" s="3" t="str">
        <f t="shared" si="58"/>
        <v>A</v>
      </c>
      <c r="AB46" s="84">
        <v>29811</v>
      </c>
      <c r="AC46" s="84">
        <v>10740</v>
      </c>
      <c r="AD46" s="36"/>
      <c r="AE46" s="82"/>
      <c r="AF46" s="3" t="str">
        <f t="shared" si="59"/>
        <v>A</v>
      </c>
      <c r="AG46" s="84">
        <v>0</v>
      </c>
      <c r="AH46" s="84">
        <v>0</v>
      </c>
      <c r="AI46" s="39"/>
      <c r="AJ46" s="79" t="s">
        <v>1801</v>
      </c>
      <c r="AK46" s="39"/>
      <c r="AL46" s="4">
        <f t="shared" si="68"/>
        <v>108896</v>
      </c>
      <c r="AM46" s="4">
        <f t="shared" si="69"/>
        <v>43476</v>
      </c>
      <c r="AN46" s="4">
        <f t="shared" si="62"/>
        <v>152372</v>
      </c>
      <c r="AO46" s="39"/>
      <c r="AP46" s="8">
        <f t="shared" si="70"/>
        <v>0</v>
      </c>
      <c r="AQ46" s="8">
        <f t="shared" si="71"/>
        <v>0</v>
      </c>
      <c r="AR46" s="8">
        <f t="shared" si="65"/>
        <v>0</v>
      </c>
      <c r="AS46" s="42"/>
      <c r="AT46" s="84">
        <v>108896</v>
      </c>
      <c r="AU46" s="84">
        <v>43476</v>
      </c>
      <c r="AV46" s="4">
        <f t="shared" si="66"/>
        <v>152372</v>
      </c>
      <c r="AW46" s="50" t="str">
        <f t="shared" si="67"/>
        <v/>
      </c>
      <c r="AX46" s="1" t="s">
        <v>1639</v>
      </c>
      <c r="AY46" s="2" t="s">
        <v>1640</v>
      </c>
      <c r="AZ46" s="2">
        <v>41116.959999999999</v>
      </c>
      <c r="BA46" s="2">
        <v>35977.339999999997</v>
      </c>
      <c r="BB46" s="2">
        <v>35977.339999999997</v>
      </c>
      <c r="BC46" s="2">
        <v>41116.959999999999</v>
      </c>
      <c r="BE46" s="66">
        <v>2.5000000000000001E-2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137</v>
      </c>
      <c r="B47" s="82" t="s">
        <v>137</v>
      </c>
      <c r="C47" s="81" t="s">
        <v>138</v>
      </c>
      <c r="D47" s="16">
        <v>34950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139</v>
      </c>
      <c r="K47" s="61" t="s">
        <v>140</v>
      </c>
      <c r="L47" s="11" t="s">
        <v>67</v>
      </c>
      <c r="M47" s="25"/>
      <c r="N47" s="82"/>
      <c r="O47" s="3" t="str">
        <f t="shared" si="72"/>
        <v>A</v>
      </c>
      <c r="P47" s="84">
        <v>115319.55</v>
      </c>
      <c r="Q47" s="84">
        <v>17085</v>
      </c>
      <c r="R47" s="32"/>
      <c r="S47" s="3" t="str">
        <f t="shared" si="73"/>
        <v>A</v>
      </c>
      <c r="T47" s="84">
        <v>102373</v>
      </c>
      <c r="U47" s="84">
        <v>16289</v>
      </c>
      <c r="V47" s="32"/>
      <c r="W47" s="3" t="str">
        <f t="shared" si="57"/>
        <v>A</v>
      </c>
      <c r="X47" s="84">
        <v>100470.04999999999</v>
      </c>
      <c r="Y47" s="84">
        <v>15680</v>
      </c>
      <c r="Z47" s="32"/>
      <c r="AA47" s="3" t="str">
        <f t="shared" si="58"/>
        <v>A</v>
      </c>
      <c r="AB47" s="84">
        <v>119871.1</v>
      </c>
      <c r="AC47" s="84">
        <v>15349</v>
      </c>
      <c r="AD47" s="36"/>
      <c r="AE47" s="82"/>
      <c r="AF47" s="3" t="str">
        <f t="shared" si="59"/>
        <v>A</v>
      </c>
      <c r="AG47" s="84">
        <v>0</v>
      </c>
      <c r="AH47" s="84">
        <v>0</v>
      </c>
      <c r="AI47" s="38"/>
      <c r="AJ47" s="79" t="s">
        <v>1801</v>
      </c>
      <c r="AK47" s="38"/>
      <c r="AL47" s="4">
        <f t="shared" si="68"/>
        <v>438033.69999999995</v>
      </c>
      <c r="AM47" s="4">
        <f t="shared" si="69"/>
        <v>64403</v>
      </c>
      <c r="AN47" s="4">
        <f t="shared" si="62"/>
        <v>502436.69999999995</v>
      </c>
      <c r="AO47" s="38"/>
      <c r="AP47" s="8">
        <f t="shared" si="70"/>
        <v>0</v>
      </c>
      <c r="AQ47" s="8">
        <f t="shared" si="71"/>
        <v>0</v>
      </c>
      <c r="AR47" s="8">
        <f t="shared" si="65"/>
        <v>0</v>
      </c>
      <c r="AS47" s="42"/>
      <c r="AT47" s="84">
        <v>438033.7</v>
      </c>
      <c r="AU47" s="84">
        <v>64403</v>
      </c>
      <c r="AV47" s="4">
        <f t="shared" si="66"/>
        <v>502436.7</v>
      </c>
      <c r="AW47" s="50" t="str">
        <f t="shared" si="67"/>
        <v/>
      </c>
      <c r="AX47" s="1" t="s">
        <v>1639</v>
      </c>
      <c r="AY47" s="2" t="s">
        <v>1640</v>
      </c>
      <c r="AZ47" s="2">
        <v>131031.76</v>
      </c>
      <c r="BA47" s="2">
        <v>114652.79</v>
      </c>
      <c r="BB47" s="2">
        <v>114652.79</v>
      </c>
      <c r="BC47" s="2">
        <v>131031.76</v>
      </c>
      <c r="BE47" s="66">
        <v>2.5000000000000001E-2</v>
      </c>
      <c r="BF47" s="66">
        <v>0.02</v>
      </c>
      <c r="BG47" s="63">
        <v>44396</v>
      </c>
      <c r="BL47" s="1" t="s">
        <v>56</v>
      </c>
    </row>
    <row r="48" spans="1:64" s="2" customFormat="1" ht="10.8" x14ac:dyDescent="0.25">
      <c r="A48" s="81" t="s">
        <v>137</v>
      </c>
      <c r="B48" s="82" t="s">
        <v>652</v>
      </c>
      <c r="C48" s="81" t="s">
        <v>653</v>
      </c>
      <c r="D48" s="16">
        <v>42353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82"/>
      <c r="O48" s="3" t="str">
        <f t="shared" si="72"/>
        <v>A</v>
      </c>
      <c r="P48" s="84">
        <v>64252</v>
      </c>
      <c r="Q48" s="84">
        <v>13711</v>
      </c>
      <c r="R48" s="32"/>
      <c r="S48" s="3" t="str">
        <f t="shared" si="73"/>
        <v>A</v>
      </c>
      <c r="T48" s="84">
        <v>50940.15</v>
      </c>
      <c r="U48" s="84">
        <v>11240</v>
      </c>
      <c r="V48" s="32"/>
      <c r="W48" s="3" t="str">
        <f t="shared" si="57"/>
        <v>A</v>
      </c>
      <c r="X48" s="84">
        <v>61691.57</v>
      </c>
      <c r="Y48" s="84">
        <v>12394</v>
      </c>
      <c r="Z48" s="32"/>
      <c r="AA48" s="3" t="str">
        <f t="shared" si="58"/>
        <v>A</v>
      </c>
      <c r="AB48" s="84">
        <v>62006</v>
      </c>
      <c r="AC48" s="84">
        <v>13708</v>
      </c>
      <c r="AD48" s="36"/>
      <c r="AE48" s="82"/>
      <c r="AF48" s="3" t="str">
        <f t="shared" si="59"/>
        <v>A</v>
      </c>
      <c r="AG48" s="84">
        <v>0</v>
      </c>
      <c r="AH48" s="84">
        <v>0</v>
      </c>
      <c r="AI48" s="39"/>
      <c r="AJ48" s="79" t="s">
        <v>1801</v>
      </c>
      <c r="AK48" s="39"/>
      <c r="AL48" s="4">
        <f t="shared" si="68"/>
        <v>238889.72</v>
      </c>
      <c r="AM48" s="4">
        <f t="shared" si="69"/>
        <v>51053</v>
      </c>
      <c r="AN48" s="4">
        <f t="shared" si="62"/>
        <v>289942.71999999997</v>
      </c>
      <c r="AO48" s="39"/>
      <c r="AP48" s="8">
        <f t="shared" si="70"/>
        <v>0</v>
      </c>
      <c r="AQ48" s="8">
        <f t="shared" si="71"/>
        <v>0</v>
      </c>
      <c r="AR48" s="8">
        <f t="shared" si="65"/>
        <v>0</v>
      </c>
      <c r="AS48" s="42"/>
      <c r="AT48" s="84">
        <v>238889.72</v>
      </c>
      <c r="AU48" s="84">
        <v>51053</v>
      </c>
      <c r="AV48" s="4">
        <f t="shared" si="66"/>
        <v>289942.71999999997</v>
      </c>
      <c r="AW48" s="50" t="str">
        <f t="shared" si="67"/>
        <v/>
      </c>
      <c r="AX48" s="1" t="s">
        <v>1639</v>
      </c>
      <c r="AY48" s="2" t="s">
        <v>1640</v>
      </c>
      <c r="AZ48" s="2">
        <v>90567.039999999994</v>
      </c>
      <c r="BA48" s="2">
        <v>79246.16</v>
      </c>
      <c r="BB48" s="2">
        <v>79246.16</v>
      </c>
      <c r="BC48" s="2">
        <v>90567.039999999994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81" t="s">
        <v>141</v>
      </c>
      <c r="B49" s="82" t="s">
        <v>141</v>
      </c>
      <c r="C49" s="81" t="s">
        <v>142</v>
      </c>
      <c r="D49" s="16">
        <v>35125</v>
      </c>
      <c r="E49" s="17"/>
      <c r="F49" s="2" t="s">
        <v>143</v>
      </c>
      <c r="G49" s="2" t="s">
        <v>144</v>
      </c>
      <c r="H49" s="10" t="s">
        <v>105</v>
      </c>
      <c r="I49" s="11" t="s">
        <v>53</v>
      </c>
      <c r="J49" s="11" t="s">
        <v>145</v>
      </c>
      <c r="K49" s="61"/>
      <c r="L49" s="11" t="s">
        <v>67</v>
      </c>
      <c r="M49" s="25"/>
      <c r="N49" s="82"/>
      <c r="O49" s="3" t="str">
        <f t="shared" si="72"/>
        <v>A</v>
      </c>
      <c r="P49" s="84">
        <v>260940</v>
      </c>
      <c r="Q49" s="84">
        <v>12616</v>
      </c>
      <c r="R49" s="32"/>
      <c r="S49" s="3" t="str">
        <f t="shared" si="73"/>
        <v>A</v>
      </c>
      <c r="T49" s="84">
        <v>220806</v>
      </c>
      <c r="U49" s="84">
        <v>14986</v>
      </c>
      <c r="V49" s="32"/>
      <c r="W49" s="3" t="str">
        <f t="shared" si="57"/>
        <v>A</v>
      </c>
      <c r="X49" s="84">
        <v>207733</v>
      </c>
      <c r="Y49" s="84">
        <v>14188</v>
      </c>
      <c r="Z49" s="32"/>
      <c r="AA49" s="3" t="str">
        <f t="shared" si="58"/>
        <v>A</v>
      </c>
      <c r="AB49" s="84">
        <v>229528</v>
      </c>
      <c r="AC49" s="84">
        <v>12740</v>
      </c>
      <c r="AD49" s="36"/>
      <c r="AE49" s="82"/>
      <c r="AF49" s="3" t="str">
        <f t="shared" si="59"/>
        <v>A</v>
      </c>
      <c r="AG49" s="84">
        <v>0</v>
      </c>
      <c r="AH49" s="84">
        <v>0</v>
      </c>
      <c r="AI49" s="38"/>
      <c r="AJ49" s="79" t="s">
        <v>1801</v>
      </c>
      <c r="AK49" s="38"/>
      <c r="AL49" s="4">
        <f t="shared" si="68"/>
        <v>919007</v>
      </c>
      <c r="AM49" s="4">
        <f t="shared" si="69"/>
        <v>54530</v>
      </c>
      <c r="AN49" s="4">
        <f t="shared" si="62"/>
        <v>973537</v>
      </c>
      <c r="AO49" s="38"/>
      <c r="AP49" s="8">
        <f t="shared" si="70"/>
        <v>0</v>
      </c>
      <c r="AQ49" s="8">
        <f t="shared" si="71"/>
        <v>0</v>
      </c>
      <c r="AR49" s="8">
        <f t="shared" si="65"/>
        <v>0</v>
      </c>
      <c r="AS49" s="42"/>
      <c r="AT49" s="84">
        <v>919007</v>
      </c>
      <c r="AU49" s="84">
        <v>54530</v>
      </c>
      <c r="AV49" s="4">
        <f t="shared" si="66"/>
        <v>973537</v>
      </c>
      <c r="AW49" s="50" t="str">
        <f t="shared" si="67"/>
        <v/>
      </c>
      <c r="AX49" s="1" t="s">
        <v>1650</v>
      </c>
      <c r="AY49" s="2" t="s">
        <v>1651</v>
      </c>
      <c r="AZ49" s="2">
        <v>236174.16</v>
      </c>
      <c r="BA49" s="2">
        <v>206652.39</v>
      </c>
      <c r="BB49" s="2">
        <v>206652.39</v>
      </c>
      <c r="BC49" s="2">
        <v>236174.16</v>
      </c>
      <c r="BE49" s="66">
        <v>3.5000000000000003E-2</v>
      </c>
      <c r="BF49" s="66">
        <v>0.05</v>
      </c>
      <c r="BG49" s="63">
        <v>44092</v>
      </c>
      <c r="BH49" s="74">
        <v>43910</v>
      </c>
      <c r="BI49" s="74">
        <v>43922</v>
      </c>
      <c r="BL49" s="1" t="s">
        <v>104</v>
      </c>
    </row>
    <row r="50" spans="1:64" s="2" customFormat="1" ht="10.8" x14ac:dyDescent="0.25">
      <c r="A50" s="81" t="s">
        <v>141</v>
      </c>
      <c r="B50" s="82" t="s">
        <v>823</v>
      </c>
      <c r="C50" s="81" t="s">
        <v>824</v>
      </c>
      <c r="D50" s="16">
        <v>43603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82"/>
      <c r="O50" s="3" t="str">
        <f t="shared" si="72"/>
        <v>A</v>
      </c>
      <c r="P50" s="84">
        <v>178329</v>
      </c>
      <c r="Q50" s="84">
        <v>14512</v>
      </c>
      <c r="R50" s="32"/>
      <c r="S50" s="3" t="str">
        <f t="shared" si="73"/>
        <v>A</v>
      </c>
      <c r="T50" s="84">
        <v>153656</v>
      </c>
      <c r="U50" s="84">
        <v>17383</v>
      </c>
      <c r="V50" s="32"/>
      <c r="W50" s="3" t="str">
        <f t="shared" si="57"/>
        <v>A</v>
      </c>
      <c r="X50" s="84">
        <v>139281</v>
      </c>
      <c r="Y50" s="84">
        <v>16211</v>
      </c>
      <c r="Z50" s="32"/>
      <c r="AA50" s="3" t="str">
        <f t="shared" si="58"/>
        <v>A</v>
      </c>
      <c r="AB50" s="84">
        <v>157477</v>
      </c>
      <c r="AC50" s="84">
        <v>16924</v>
      </c>
      <c r="AD50" s="36"/>
      <c r="AE50" s="82"/>
      <c r="AF50" s="3" t="str">
        <f t="shared" si="59"/>
        <v>A</v>
      </c>
      <c r="AG50" s="84">
        <v>0</v>
      </c>
      <c r="AH50" s="84">
        <v>0</v>
      </c>
      <c r="AI50" s="39"/>
      <c r="AJ50" s="79" t="s">
        <v>1801</v>
      </c>
      <c r="AK50" s="39"/>
      <c r="AL50" s="4">
        <f t="shared" si="68"/>
        <v>628743</v>
      </c>
      <c r="AM50" s="4">
        <f t="shared" si="69"/>
        <v>65030</v>
      </c>
      <c r="AN50" s="4">
        <f t="shared" si="62"/>
        <v>693773</v>
      </c>
      <c r="AO50" s="39"/>
      <c r="AP50" s="8">
        <f t="shared" si="70"/>
        <v>0</v>
      </c>
      <c r="AQ50" s="8">
        <f t="shared" si="71"/>
        <v>0</v>
      </c>
      <c r="AR50" s="8">
        <f t="shared" si="65"/>
        <v>0</v>
      </c>
      <c r="AS50" s="42"/>
      <c r="AT50" s="84">
        <v>628743</v>
      </c>
      <c r="AU50" s="84">
        <v>65030</v>
      </c>
      <c r="AV50" s="4">
        <f t="shared" si="66"/>
        <v>693773</v>
      </c>
      <c r="AW50" s="50" t="str">
        <f t="shared" si="67"/>
        <v/>
      </c>
      <c r="AX50" s="1" t="s">
        <v>1650</v>
      </c>
      <c r="AY50" s="2" t="s">
        <v>1651</v>
      </c>
      <c r="AZ50" s="2">
        <v>119416.24</v>
      </c>
      <c r="BA50" s="2">
        <v>104489.21</v>
      </c>
      <c r="BB50" s="2">
        <v>104489.21</v>
      </c>
      <c r="BC50" s="2">
        <v>119416.24</v>
      </c>
      <c r="BE50" s="66">
        <v>4.4999999999999998E-2</v>
      </c>
      <c r="BF50" s="66">
        <v>0.05</v>
      </c>
      <c r="BG50" s="63">
        <v>44092</v>
      </c>
      <c r="BH50" s="74">
        <v>43949</v>
      </c>
      <c r="BI50" s="74">
        <v>43953</v>
      </c>
      <c r="BL50" s="1" t="s">
        <v>104</v>
      </c>
    </row>
    <row r="51" spans="1:64" s="5" customFormat="1" ht="10.8" x14ac:dyDescent="0.25">
      <c r="A51" s="81" t="s">
        <v>141</v>
      </c>
      <c r="B51" s="82" t="s">
        <v>937</v>
      </c>
      <c r="C51" s="81" t="s">
        <v>938</v>
      </c>
      <c r="D51" s="16">
        <v>0</v>
      </c>
      <c r="E51" s="17"/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82"/>
      <c r="O51" s="3" t="str">
        <f t="shared" si="72"/>
        <v>A</v>
      </c>
      <c r="P51" s="84">
        <v>169273</v>
      </c>
      <c r="Q51" s="84">
        <v>5858</v>
      </c>
      <c r="R51" s="32"/>
      <c r="S51" s="3" t="str">
        <f t="shared" si="73"/>
        <v>A</v>
      </c>
      <c r="T51" s="84">
        <v>146012</v>
      </c>
      <c r="U51" s="84">
        <v>7757</v>
      </c>
      <c r="V51" s="32"/>
      <c r="W51" s="3" t="str">
        <f t="shared" si="57"/>
        <v>A</v>
      </c>
      <c r="X51" s="84">
        <v>141114</v>
      </c>
      <c r="Y51" s="84">
        <v>6477</v>
      </c>
      <c r="Z51" s="32"/>
      <c r="AA51" s="3" t="str">
        <f t="shared" si="58"/>
        <v>A</v>
      </c>
      <c r="AB51" s="84">
        <v>155144</v>
      </c>
      <c r="AC51" s="84">
        <v>4153</v>
      </c>
      <c r="AD51" s="36"/>
      <c r="AE51" s="82"/>
      <c r="AF51" s="3" t="str">
        <f t="shared" si="59"/>
        <v>A</v>
      </c>
      <c r="AG51" s="84">
        <v>0</v>
      </c>
      <c r="AH51" s="84">
        <v>0</v>
      </c>
      <c r="AI51" s="39"/>
      <c r="AJ51" s="79" t="s">
        <v>1801</v>
      </c>
      <c r="AK51" s="39"/>
      <c r="AL51" s="4">
        <f t="shared" si="68"/>
        <v>611543</v>
      </c>
      <c r="AM51" s="4">
        <f t="shared" si="69"/>
        <v>24245</v>
      </c>
      <c r="AN51" s="4">
        <f t="shared" si="62"/>
        <v>635788</v>
      </c>
      <c r="AO51" s="39"/>
      <c r="AP51" s="8">
        <f t="shared" si="70"/>
        <v>0</v>
      </c>
      <c r="AQ51" s="8">
        <f t="shared" si="71"/>
        <v>0</v>
      </c>
      <c r="AR51" s="8">
        <f t="shared" si="65"/>
        <v>0</v>
      </c>
      <c r="AS51" s="42"/>
      <c r="AT51" s="84">
        <v>611543</v>
      </c>
      <c r="AU51" s="84">
        <v>24245</v>
      </c>
      <c r="AV51" s="4">
        <f t="shared" si="66"/>
        <v>635788</v>
      </c>
      <c r="AW51" s="50" t="str">
        <f t="shared" si="67"/>
        <v/>
      </c>
      <c r="AX51" s="1" t="s">
        <v>1650</v>
      </c>
      <c r="AY51" s="2" t="s">
        <v>1651</v>
      </c>
      <c r="AZ51" s="2">
        <v>49055.68</v>
      </c>
      <c r="BA51" s="2">
        <v>42923.72</v>
      </c>
      <c r="BB51" s="2">
        <v>42923.72</v>
      </c>
      <c r="BC51" s="2">
        <v>49055.68</v>
      </c>
      <c r="BD51" s="2"/>
      <c r="BE51" s="66">
        <v>0</v>
      </c>
      <c r="BF51" s="66">
        <v>0.05</v>
      </c>
      <c r="BG51" s="63">
        <v>44151</v>
      </c>
      <c r="BH51" s="74">
        <v>45072</v>
      </c>
      <c r="BI51" s="74">
        <v>45082</v>
      </c>
      <c r="BJ51" s="2">
        <v>332903.93</v>
      </c>
      <c r="BK51" s="2">
        <v>36989.33</v>
      </c>
      <c r="BL51" s="1" t="s">
        <v>104</v>
      </c>
    </row>
    <row r="52" spans="1:64" x14ac:dyDescent="0.25">
      <c r="A52" s="81" t="s">
        <v>141</v>
      </c>
      <c r="B52" s="82" t="s">
        <v>976</v>
      </c>
      <c r="C52" s="81" t="s">
        <v>977</v>
      </c>
      <c r="D52" s="16">
        <v>44545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82"/>
      <c r="O52" s="3" t="str">
        <f t="shared" si="72"/>
        <v>A</v>
      </c>
      <c r="P52" s="84">
        <v>380163</v>
      </c>
      <c r="Q52" s="84">
        <v>15654</v>
      </c>
      <c r="R52" s="32"/>
      <c r="S52" s="3" t="str">
        <f t="shared" si="73"/>
        <v>A</v>
      </c>
      <c r="T52" s="84">
        <v>331196</v>
      </c>
      <c r="U52" s="84">
        <v>17155</v>
      </c>
      <c r="V52" s="32"/>
      <c r="W52" s="3" t="str">
        <f t="shared" si="57"/>
        <v>A</v>
      </c>
      <c r="X52" s="84">
        <v>312965</v>
      </c>
      <c r="Y52" s="84">
        <v>15164</v>
      </c>
      <c r="Z52" s="32"/>
      <c r="AA52" s="3" t="str">
        <f t="shared" si="58"/>
        <v>A</v>
      </c>
      <c r="AB52" s="84">
        <v>362427</v>
      </c>
      <c r="AC52" s="84">
        <v>14590</v>
      </c>
      <c r="AD52" s="36"/>
      <c r="AE52" s="82"/>
      <c r="AF52" s="3" t="str">
        <f t="shared" si="59"/>
        <v>A</v>
      </c>
      <c r="AG52" s="84">
        <v>0</v>
      </c>
      <c r="AH52" s="84">
        <v>0</v>
      </c>
      <c r="AI52" s="39"/>
      <c r="AJ52" s="79" t="s">
        <v>1801</v>
      </c>
      <c r="AK52" s="39"/>
      <c r="AL52" s="4">
        <f t="shared" si="68"/>
        <v>1386751</v>
      </c>
      <c r="AM52" s="4">
        <f t="shared" si="69"/>
        <v>62563</v>
      </c>
      <c r="AN52" s="4">
        <f t="shared" si="62"/>
        <v>1449314</v>
      </c>
      <c r="AO52" s="39"/>
      <c r="AP52" s="8">
        <f t="shared" si="70"/>
        <v>0</v>
      </c>
      <c r="AQ52" s="8">
        <f t="shared" si="71"/>
        <v>0</v>
      </c>
      <c r="AR52" s="8">
        <f t="shared" si="65"/>
        <v>0</v>
      </c>
      <c r="AS52" s="42"/>
      <c r="AT52" s="84">
        <v>1386751</v>
      </c>
      <c r="AU52" s="84">
        <v>62563</v>
      </c>
      <c r="AV52" s="4">
        <f t="shared" si="66"/>
        <v>1449314</v>
      </c>
      <c r="AW52" s="50" t="str">
        <f t="shared" si="67"/>
        <v/>
      </c>
      <c r="AX52" s="1" t="s">
        <v>1650</v>
      </c>
      <c r="AY52" s="2" t="s">
        <v>1651</v>
      </c>
      <c r="AZ52" s="2">
        <v>89805.84</v>
      </c>
      <c r="BA52" s="73">
        <v>78580.11</v>
      </c>
      <c r="BB52" s="73">
        <v>78580.11</v>
      </c>
      <c r="BC52" s="73">
        <v>89805.84</v>
      </c>
      <c r="BD52" s="73"/>
      <c r="BE52" s="66">
        <v>0</v>
      </c>
      <c r="BF52" s="66">
        <v>0.05</v>
      </c>
      <c r="BG52" s="63">
        <v>44544</v>
      </c>
      <c r="BH52" s="2"/>
      <c r="BI52" s="2"/>
      <c r="BJ52" s="2">
        <v>335778.75</v>
      </c>
      <c r="BK52" s="2">
        <v>37308.75</v>
      </c>
      <c r="BL52" s="1" t="s">
        <v>104</v>
      </c>
    </row>
    <row r="53" spans="1:64" x14ac:dyDescent="0.25">
      <c r="A53" s="81" t="s">
        <v>141</v>
      </c>
      <c r="B53" s="82" t="s">
        <v>1411</v>
      </c>
      <c r="C53" s="81" t="s">
        <v>1412</v>
      </c>
      <c r="D53" s="16">
        <v>45349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82"/>
      <c r="O53" s="3" t="str">
        <f>IF($A53="","",IF(P53=AZ53,"E","A"))</f>
        <v>A</v>
      </c>
      <c r="P53" s="84">
        <v>227828</v>
      </c>
      <c r="Q53" s="84">
        <v>6190</v>
      </c>
      <c r="R53" s="32"/>
      <c r="S53" s="3" t="str">
        <f>IF($A53="","",IF(T53=BA53,"E","A"))</f>
        <v>A</v>
      </c>
      <c r="T53" s="84">
        <v>183695</v>
      </c>
      <c r="U53" s="84">
        <v>8445</v>
      </c>
      <c r="V53" s="32"/>
      <c r="W53" s="3" t="str">
        <f t="shared" si="57"/>
        <v>A</v>
      </c>
      <c r="X53" s="84">
        <v>161043</v>
      </c>
      <c r="Y53" s="84">
        <v>6605</v>
      </c>
      <c r="Z53" s="32"/>
      <c r="AA53" s="3" t="str">
        <f t="shared" si="58"/>
        <v>A</v>
      </c>
      <c r="AB53" s="84">
        <v>189403</v>
      </c>
      <c r="AC53" s="84">
        <v>6005</v>
      </c>
      <c r="AD53" s="36"/>
      <c r="AE53" s="82"/>
      <c r="AF53" s="3" t="str">
        <f t="shared" si="59"/>
        <v>A</v>
      </c>
      <c r="AG53" s="84">
        <v>0</v>
      </c>
      <c r="AH53" s="84">
        <v>0</v>
      </c>
      <c r="AI53" s="39"/>
      <c r="AJ53" s="79" t="s">
        <v>1801</v>
      </c>
      <c r="AK53" s="39"/>
      <c r="AL53" s="4">
        <f t="shared" si="68"/>
        <v>761969</v>
      </c>
      <c r="AM53" s="4">
        <f t="shared" si="69"/>
        <v>27245</v>
      </c>
      <c r="AN53" s="4">
        <f t="shared" si="62"/>
        <v>789214</v>
      </c>
      <c r="AO53" s="39"/>
      <c r="AP53" s="8">
        <f t="shared" si="70"/>
        <v>0</v>
      </c>
      <c r="AQ53" s="8">
        <f t="shared" si="71"/>
        <v>0</v>
      </c>
      <c r="AR53" s="8">
        <f t="shared" si="65"/>
        <v>0</v>
      </c>
      <c r="AS53" s="42"/>
      <c r="AT53" s="84">
        <v>761969</v>
      </c>
      <c r="AU53" s="84">
        <v>27245</v>
      </c>
      <c r="AV53" s="4">
        <f t="shared" si="66"/>
        <v>789214</v>
      </c>
      <c r="AW53" s="50" t="str">
        <f t="shared" si="67"/>
        <v/>
      </c>
      <c r="AX53" s="1" t="s">
        <v>1650</v>
      </c>
      <c r="AY53" s="2" t="s">
        <v>1651</v>
      </c>
      <c r="AZ53" s="2">
        <v>136050.64000000001</v>
      </c>
      <c r="BA53" s="73">
        <v>119044.31</v>
      </c>
      <c r="BB53" s="73">
        <v>119044.31</v>
      </c>
      <c r="BC53" s="73">
        <v>136050.64000000001</v>
      </c>
      <c r="BD53" s="73"/>
      <c r="BE53" s="66">
        <v>0</v>
      </c>
      <c r="BF53" s="66">
        <v>0.05</v>
      </c>
      <c r="BG53" s="63">
        <v>45349</v>
      </c>
      <c r="BH53" s="2"/>
      <c r="BI53" s="2"/>
      <c r="BJ53" s="2">
        <v>491589</v>
      </c>
      <c r="BK53" s="2">
        <v>25808.42</v>
      </c>
      <c r="BL53" s="1" t="s">
        <v>104</v>
      </c>
    </row>
    <row r="54" spans="1:64" x14ac:dyDescent="0.25">
      <c r="A54" s="81" t="s">
        <v>146</v>
      </c>
      <c r="B54" s="82" t="s">
        <v>146</v>
      </c>
      <c r="C54" s="81" t="s">
        <v>147</v>
      </c>
      <c r="D54" s="16">
        <v>35216</v>
      </c>
      <c r="E54" s="17"/>
      <c r="F54" s="2" t="s">
        <v>52</v>
      </c>
      <c r="G54" s="2" t="s">
        <v>55</v>
      </c>
      <c r="H54" s="10" t="s">
        <v>57</v>
      </c>
      <c r="I54" s="11" t="s">
        <v>54</v>
      </c>
      <c r="J54" s="11" t="s">
        <v>135</v>
      </c>
      <c r="K54" s="61" t="s">
        <v>136</v>
      </c>
      <c r="L54" s="11" t="s">
        <v>67</v>
      </c>
      <c r="M54" s="25"/>
      <c r="N54" s="82"/>
      <c r="O54" s="3" t="str">
        <f t="shared" ref="O54:O82" si="74">IF($A54="","",IF(P54=0,"A",IF(P54=AZ54,"E","A")))</f>
        <v>A</v>
      </c>
      <c r="P54" s="84">
        <v>143057.15</v>
      </c>
      <c r="Q54" s="84">
        <v>24518</v>
      </c>
      <c r="R54" s="32"/>
      <c r="S54" s="3" t="str">
        <f t="shared" ref="S54:S82" si="75">IF($A54="","",IF(T54=0,"A",IF(T54=BA54,"E","A")))</f>
        <v>A</v>
      </c>
      <c r="T54" s="84">
        <v>122021.29999999999</v>
      </c>
      <c r="U54" s="84">
        <v>23879</v>
      </c>
      <c r="V54" s="32"/>
      <c r="W54" s="3" t="str">
        <f t="shared" si="57"/>
        <v>A</v>
      </c>
      <c r="X54" s="84">
        <v>112424.35</v>
      </c>
      <c r="Y54" s="84">
        <v>19453</v>
      </c>
      <c r="Z54" s="32"/>
      <c r="AA54" s="3" t="str">
        <f t="shared" si="58"/>
        <v>A</v>
      </c>
      <c r="AB54" s="84">
        <v>124632.90000000001</v>
      </c>
      <c r="AC54" s="84">
        <v>21060.799999999999</v>
      </c>
      <c r="AD54" s="36"/>
      <c r="AE54" s="82"/>
      <c r="AF54" s="3" t="str">
        <f t="shared" si="59"/>
        <v>A</v>
      </c>
      <c r="AG54" s="84">
        <v>0</v>
      </c>
      <c r="AH54" s="84">
        <v>0</v>
      </c>
      <c r="AI54" s="38"/>
      <c r="AJ54" s="79" t="s">
        <v>1801</v>
      </c>
      <c r="AK54" s="38"/>
      <c r="AL54" s="4">
        <f t="shared" si="68"/>
        <v>502135.69999999995</v>
      </c>
      <c r="AM54" s="4">
        <f t="shared" si="69"/>
        <v>88910.8</v>
      </c>
      <c r="AN54" s="4">
        <f t="shared" si="62"/>
        <v>591046.5</v>
      </c>
      <c r="AO54" s="38"/>
      <c r="AP54" s="8">
        <f t="shared" si="70"/>
        <v>0</v>
      </c>
      <c r="AQ54" s="8">
        <f t="shared" si="71"/>
        <v>0</v>
      </c>
      <c r="AR54" s="8">
        <f t="shared" si="65"/>
        <v>0</v>
      </c>
      <c r="AS54" s="42"/>
      <c r="AT54" s="84">
        <v>502135.69999999995</v>
      </c>
      <c r="AU54" s="84">
        <v>88910.8</v>
      </c>
      <c r="AV54" s="4">
        <f t="shared" si="66"/>
        <v>591046.5</v>
      </c>
      <c r="AW54" s="50" t="str">
        <f t="shared" si="67"/>
        <v/>
      </c>
      <c r="AX54" s="1" t="s">
        <v>1639</v>
      </c>
      <c r="AY54" s="2" t="s">
        <v>1640</v>
      </c>
      <c r="AZ54" s="2">
        <v>136294.39999999999</v>
      </c>
      <c r="BA54" s="73">
        <v>119257.60000000001</v>
      </c>
      <c r="BB54" s="73">
        <v>119257.60000000001</v>
      </c>
      <c r="BC54" s="73">
        <v>136294.39999999999</v>
      </c>
      <c r="BD54" s="73"/>
      <c r="BE54" s="66">
        <v>2.5000000000000001E-2</v>
      </c>
      <c r="BF54" s="66">
        <v>0.02</v>
      </c>
      <c r="BG54" s="63">
        <v>45657</v>
      </c>
      <c r="BH54" s="2"/>
      <c r="BI54" s="2"/>
      <c r="BJ54" s="2"/>
      <c r="BK54" s="2"/>
      <c r="BL54" s="1" t="s">
        <v>56</v>
      </c>
    </row>
    <row r="55" spans="1:64" x14ac:dyDescent="0.25">
      <c r="A55" s="81" t="s">
        <v>146</v>
      </c>
      <c r="B55" s="82" t="s">
        <v>654</v>
      </c>
      <c r="C55" s="81" t="s">
        <v>655</v>
      </c>
      <c r="D55" s="16">
        <v>35404</v>
      </c>
      <c r="E55" s="17"/>
      <c r="F55" s="2" t="s">
        <v>52</v>
      </c>
      <c r="G55" s="2" t="s">
        <v>55</v>
      </c>
      <c r="H55" s="10" t="s">
        <v>57</v>
      </c>
      <c r="I55" s="11" t="s">
        <v>54</v>
      </c>
      <c r="J55" s="11" t="s">
        <v>135</v>
      </c>
      <c r="K55" s="61" t="s">
        <v>136</v>
      </c>
      <c r="L55" s="11" t="s">
        <v>67</v>
      </c>
      <c r="M55" s="25"/>
      <c r="N55" s="82"/>
      <c r="O55" s="3" t="str">
        <f t="shared" si="74"/>
        <v>A</v>
      </c>
      <c r="P55" s="84">
        <v>52618</v>
      </c>
      <c r="Q55" s="84">
        <v>15450</v>
      </c>
      <c r="R55" s="32"/>
      <c r="S55" s="3" t="str">
        <f t="shared" si="75"/>
        <v>A</v>
      </c>
      <c r="T55" s="84">
        <v>48094</v>
      </c>
      <c r="U55" s="84">
        <v>15437</v>
      </c>
      <c r="V55" s="32"/>
      <c r="W55" s="3" t="str">
        <f t="shared" si="57"/>
        <v>A</v>
      </c>
      <c r="X55" s="84">
        <v>49358</v>
      </c>
      <c r="Y55" s="84">
        <v>14538</v>
      </c>
      <c r="Z55" s="32"/>
      <c r="AA55" s="3" t="str">
        <f t="shared" si="58"/>
        <v>A</v>
      </c>
      <c r="AB55" s="84">
        <v>45703</v>
      </c>
      <c r="AC55" s="84">
        <v>14883</v>
      </c>
      <c r="AD55" s="36"/>
      <c r="AE55" s="82"/>
      <c r="AF55" s="3" t="str">
        <f t="shared" si="59"/>
        <v>A</v>
      </c>
      <c r="AG55" s="84">
        <v>0</v>
      </c>
      <c r="AH55" s="84">
        <v>0</v>
      </c>
      <c r="AI55" s="39"/>
      <c r="AJ55" s="79" t="s">
        <v>1801</v>
      </c>
      <c r="AK55" s="39"/>
      <c r="AL55" s="4">
        <f t="shared" si="68"/>
        <v>195773</v>
      </c>
      <c r="AM55" s="4">
        <f t="shared" si="69"/>
        <v>60308</v>
      </c>
      <c r="AN55" s="4">
        <f t="shared" si="62"/>
        <v>256081</v>
      </c>
      <c r="AO55" s="39"/>
      <c r="AP55" s="8">
        <f t="shared" si="70"/>
        <v>0</v>
      </c>
      <c r="AQ55" s="8">
        <f t="shared" si="71"/>
        <v>0</v>
      </c>
      <c r="AR55" s="8">
        <f t="shared" si="65"/>
        <v>0</v>
      </c>
      <c r="AS55" s="42"/>
      <c r="AT55" s="84">
        <v>195773</v>
      </c>
      <c r="AU55" s="84">
        <v>60308</v>
      </c>
      <c r="AV55" s="4">
        <f t="shared" si="66"/>
        <v>256081</v>
      </c>
      <c r="AW55" s="50" t="str">
        <f t="shared" si="67"/>
        <v/>
      </c>
      <c r="AX55" s="1" t="s">
        <v>1639</v>
      </c>
      <c r="AY55" s="2" t="s">
        <v>1640</v>
      </c>
      <c r="AZ55" s="2">
        <v>44652.480000000003</v>
      </c>
      <c r="BA55" s="73">
        <v>39070.92</v>
      </c>
      <c r="BB55" s="73">
        <v>39070.92</v>
      </c>
      <c r="BC55" s="73">
        <v>44652.480000000003</v>
      </c>
      <c r="BD55" s="73"/>
      <c r="BE55" s="66">
        <v>3.5000000000000003E-2</v>
      </c>
      <c r="BF55" s="66">
        <v>0.02</v>
      </c>
      <c r="BG55" s="63">
        <v>45657</v>
      </c>
      <c r="BH55" s="2"/>
      <c r="BI55" s="2"/>
      <c r="BJ55" s="2"/>
      <c r="BK55" s="2"/>
      <c r="BL55" s="1" t="s">
        <v>56</v>
      </c>
    </row>
    <row r="56" spans="1:64" x14ac:dyDescent="0.25">
      <c r="A56" s="81" t="s">
        <v>148</v>
      </c>
      <c r="B56" s="82" t="s">
        <v>148</v>
      </c>
      <c r="C56" s="81" t="s">
        <v>149</v>
      </c>
      <c r="D56" s="16">
        <v>35186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82"/>
      <c r="O56" s="3" t="str">
        <f t="shared" si="74"/>
        <v>A</v>
      </c>
      <c r="P56" s="84">
        <v>105221.03</v>
      </c>
      <c r="Q56" s="84">
        <v>17840.36</v>
      </c>
      <c r="R56" s="32"/>
      <c r="S56" s="3" t="str">
        <f t="shared" si="75"/>
        <v>A</v>
      </c>
      <c r="T56" s="84">
        <v>111043.98999999999</v>
      </c>
      <c r="U56" s="84">
        <v>20650.349999999999</v>
      </c>
      <c r="V56" s="32"/>
      <c r="W56" s="3" t="str">
        <f t="shared" si="57"/>
        <v>A</v>
      </c>
      <c r="X56" s="84">
        <v>103110.13000000002</v>
      </c>
      <c r="Y56" s="84">
        <v>22557.54</v>
      </c>
      <c r="Z56" s="32"/>
      <c r="AA56" s="3" t="str">
        <f t="shared" si="58"/>
        <v>A</v>
      </c>
      <c r="AB56" s="84">
        <v>112863.16999999998</v>
      </c>
      <c r="AC56" s="84">
        <v>18887.29</v>
      </c>
      <c r="AD56" s="36"/>
      <c r="AE56" s="82"/>
      <c r="AF56" s="3" t="str">
        <f t="shared" si="59"/>
        <v>A</v>
      </c>
      <c r="AG56" s="84">
        <v>0</v>
      </c>
      <c r="AH56" s="84">
        <v>0</v>
      </c>
      <c r="AI56" s="38"/>
      <c r="AJ56" s="79" t="s">
        <v>1801</v>
      </c>
      <c r="AK56" s="38"/>
      <c r="AL56" s="4">
        <f t="shared" si="68"/>
        <v>432238.32</v>
      </c>
      <c r="AM56" s="4">
        <f t="shared" si="69"/>
        <v>79935.540000000008</v>
      </c>
      <c r="AN56" s="4">
        <f t="shared" si="62"/>
        <v>512173.86</v>
      </c>
      <c r="AO56" s="38"/>
      <c r="AP56" s="8">
        <f t="shared" si="70"/>
        <v>0</v>
      </c>
      <c r="AQ56" s="8">
        <f t="shared" si="71"/>
        <v>0</v>
      </c>
      <c r="AR56" s="8">
        <f t="shared" si="65"/>
        <v>0</v>
      </c>
      <c r="AS56" s="42"/>
      <c r="AT56" s="84">
        <v>432238.31999999989</v>
      </c>
      <c r="AU56" s="84">
        <v>79935.539999999994</v>
      </c>
      <c r="AV56" s="4">
        <f t="shared" si="66"/>
        <v>512173.85999999987</v>
      </c>
      <c r="AW56" s="50" t="str">
        <f t="shared" si="67"/>
        <v/>
      </c>
      <c r="AX56" s="1" t="s">
        <v>1639</v>
      </c>
      <c r="AY56" s="2" t="s">
        <v>1640</v>
      </c>
      <c r="AZ56" s="2">
        <v>120789.28</v>
      </c>
      <c r="BA56" s="73">
        <v>105690.62</v>
      </c>
      <c r="BB56" s="73">
        <v>105690.62</v>
      </c>
      <c r="BC56" s="73">
        <v>120789.28</v>
      </c>
      <c r="BD56" s="73"/>
      <c r="BE56" s="66">
        <v>2.5000000000000001E-2</v>
      </c>
      <c r="BF56" s="66">
        <v>0.02</v>
      </c>
      <c r="BG56" s="63">
        <v>45752</v>
      </c>
      <c r="BH56" s="2"/>
      <c r="BI56" s="2"/>
      <c r="BJ56" s="2"/>
      <c r="BK56" s="2"/>
      <c r="BL56" s="1" t="s">
        <v>56</v>
      </c>
    </row>
    <row r="57" spans="1:64" x14ac:dyDescent="0.25">
      <c r="A57" s="81" t="s">
        <v>148</v>
      </c>
      <c r="B57" s="82" t="s">
        <v>656</v>
      </c>
      <c r="C57" s="81" t="s">
        <v>657</v>
      </c>
      <c r="D57" s="16">
        <v>0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82"/>
      <c r="O57" s="3" t="str">
        <f t="shared" si="74"/>
        <v>A</v>
      </c>
      <c r="P57" s="84">
        <v>25267</v>
      </c>
      <c r="Q57" s="84">
        <v>9764</v>
      </c>
      <c r="R57" s="32"/>
      <c r="S57" s="3" t="str">
        <f t="shared" si="75"/>
        <v>A</v>
      </c>
      <c r="T57" s="84">
        <v>22120</v>
      </c>
      <c r="U57" s="84">
        <v>8141</v>
      </c>
      <c r="V57" s="32"/>
      <c r="W57" s="3" t="str">
        <f t="shared" si="57"/>
        <v>A</v>
      </c>
      <c r="X57" s="84">
        <v>19263</v>
      </c>
      <c r="Y57" s="84">
        <v>8070</v>
      </c>
      <c r="Z57" s="32"/>
      <c r="AA57" s="3" t="str">
        <f t="shared" si="58"/>
        <v>A</v>
      </c>
      <c r="AB57" s="84">
        <v>21609</v>
      </c>
      <c r="AC57" s="84">
        <v>10340</v>
      </c>
      <c r="AD57" s="36"/>
      <c r="AE57" s="82"/>
      <c r="AF57" s="3" t="str">
        <f t="shared" si="59"/>
        <v>A</v>
      </c>
      <c r="AG57" s="84">
        <v>0</v>
      </c>
      <c r="AH57" s="84">
        <v>0</v>
      </c>
      <c r="AI57" s="39"/>
      <c r="AJ57" s="79" t="s">
        <v>1801</v>
      </c>
      <c r="AK57" s="39"/>
      <c r="AL57" s="4">
        <f t="shared" si="68"/>
        <v>88259</v>
      </c>
      <c r="AM57" s="4">
        <f t="shared" si="69"/>
        <v>36315</v>
      </c>
      <c r="AN57" s="4">
        <f t="shared" si="62"/>
        <v>124574</v>
      </c>
      <c r="AO57" s="39"/>
      <c r="AP57" s="8">
        <f t="shared" si="70"/>
        <v>0</v>
      </c>
      <c r="AQ57" s="8">
        <f t="shared" si="71"/>
        <v>0</v>
      </c>
      <c r="AR57" s="8">
        <f t="shared" si="65"/>
        <v>0</v>
      </c>
      <c r="AS57" s="42"/>
      <c r="AT57" s="84">
        <v>88259</v>
      </c>
      <c r="AU57" s="84">
        <v>36315</v>
      </c>
      <c r="AV57" s="4">
        <f t="shared" si="66"/>
        <v>124574</v>
      </c>
      <c r="AW57" s="50" t="str">
        <f t="shared" si="67"/>
        <v/>
      </c>
      <c r="AX57" s="1" t="s">
        <v>1639</v>
      </c>
      <c r="AY57" s="2" t="s">
        <v>1640</v>
      </c>
      <c r="AZ57" s="2">
        <v>23696.240000000002</v>
      </c>
      <c r="BA57" s="73">
        <v>20734.21</v>
      </c>
      <c r="BB57" s="73">
        <v>20734.21</v>
      </c>
      <c r="BC57" s="73">
        <v>23696.240000000002</v>
      </c>
      <c r="BD57" s="73"/>
      <c r="BE57" s="66">
        <v>2.5000000000000001E-2</v>
      </c>
      <c r="BF57" s="66">
        <v>0.02</v>
      </c>
      <c r="BG57" s="63">
        <v>45752</v>
      </c>
      <c r="BH57" s="74">
        <v>43953</v>
      </c>
      <c r="BI57" s="74">
        <v>43963</v>
      </c>
      <c r="BJ57" s="2"/>
      <c r="BK57" s="2"/>
      <c r="BL57" s="1" t="s">
        <v>56</v>
      </c>
    </row>
    <row r="58" spans="1:64" x14ac:dyDescent="0.25">
      <c r="A58" s="81" t="s">
        <v>148</v>
      </c>
      <c r="B58" s="82" t="s">
        <v>1057</v>
      </c>
      <c r="C58" s="81" t="s">
        <v>1058</v>
      </c>
      <c r="D58" s="16">
        <v>44720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82"/>
      <c r="O58" s="3" t="str">
        <f t="shared" si="74"/>
        <v>A</v>
      </c>
      <c r="P58" s="84">
        <v>19225</v>
      </c>
      <c r="Q58" s="84">
        <v>6665</v>
      </c>
      <c r="R58" s="32"/>
      <c r="S58" s="3" t="str">
        <f t="shared" si="75"/>
        <v>E</v>
      </c>
      <c r="T58" s="84">
        <v>64393.35</v>
      </c>
      <c r="U58" s="84">
        <v>6302.1</v>
      </c>
      <c r="V58" s="32"/>
      <c r="W58" s="3" t="str">
        <f t="shared" si="57"/>
        <v>E</v>
      </c>
      <c r="X58" s="84">
        <v>64393.35</v>
      </c>
      <c r="Y58" s="84">
        <v>6302.1</v>
      </c>
      <c r="Z58" s="32"/>
      <c r="AA58" s="3" t="str">
        <f t="shared" si="58"/>
        <v>E</v>
      </c>
      <c r="AB58" s="84">
        <v>73592.399999999994</v>
      </c>
      <c r="AC58" s="84">
        <v>7202.4</v>
      </c>
      <c r="AD58" s="36"/>
      <c r="AE58" s="82"/>
      <c r="AF58" s="3" t="str">
        <f t="shared" si="59"/>
        <v>A</v>
      </c>
      <c r="AG58" s="84">
        <v>0</v>
      </c>
      <c r="AH58" s="84">
        <v>0</v>
      </c>
      <c r="AI58" s="39"/>
      <c r="AJ58" s="79" t="s">
        <v>38</v>
      </c>
      <c r="AK58" s="39"/>
      <c r="AL58" s="4">
        <f t="shared" si="68"/>
        <v>19225</v>
      </c>
      <c r="AM58" s="4">
        <f t="shared" si="69"/>
        <v>6665</v>
      </c>
      <c r="AN58" s="4">
        <f t="shared" si="62"/>
        <v>25890</v>
      </c>
      <c r="AO58" s="39"/>
      <c r="AP58" s="8">
        <f t="shared" si="70"/>
        <v>202379.09999999998</v>
      </c>
      <c r="AQ58" s="8">
        <f t="shared" si="71"/>
        <v>19806.599999999999</v>
      </c>
      <c r="AR58" s="8">
        <f t="shared" si="65"/>
        <v>222185.69999999998</v>
      </c>
      <c r="AS58" s="42"/>
      <c r="AT58" s="84">
        <v>19225</v>
      </c>
      <c r="AU58" s="84">
        <v>6665</v>
      </c>
      <c r="AV58" s="4">
        <f t="shared" si="66"/>
        <v>25890</v>
      </c>
      <c r="AW58" s="50" t="str">
        <f t="shared" si="67"/>
        <v/>
      </c>
      <c r="AX58" s="1" t="s">
        <v>1639</v>
      </c>
      <c r="AY58" s="2" t="s">
        <v>1640</v>
      </c>
      <c r="AZ58" s="2">
        <v>73592.399999999994</v>
      </c>
      <c r="BA58" s="73">
        <v>64393.35</v>
      </c>
      <c r="BB58" s="73">
        <v>64393.35</v>
      </c>
      <c r="BC58" s="73">
        <v>73592.399999999994</v>
      </c>
      <c r="BD58" s="73"/>
      <c r="BE58" s="66">
        <v>0</v>
      </c>
      <c r="BF58" s="66">
        <v>0.02</v>
      </c>
      <c r="BG58" s="63">
        <v>44710</v>
      </c>
      <c r="BH58" s="2"/>
      <c r="BI58" s="2"/>
      <c r="BJ58" s="2">
        <v>268045.2</v>
      </c>
      <c r="BK58" s="2">
        <v>29782.799999999999</v>
      </c>
      <c r="BL58" s="1" t="s">
        <v>56</v>
      </c>
    </row>
    <row r="59" spans="1:64" x14ac:dyDescent="0.25">
      <c r="A59" s="81" t="s">
        <v>150</v>
      </c>
      <c r="B59" s="82" t="s">
        <v>150</v>
      </c>
      <c r="C59" s="81" t="s">
        <v>151</v>
      </c>
      <c r="D59" s="16">
        <v>35472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72</v>
      </c>
      <c r="K59" s="61" t="s">
        <v>73</v>
      </c>
      <c r="L59" s="11" t="s">
        <v>67</v>
      </c>
      <c r="M59" s="25"/>
      <c r="N59" s="82"/>
      <c r="O59" s="3" t="str">
        <f t="shared" si="74"/>
        <v>A</v>
      </c>
      <c r="P59" s="84">
        <v>147763</v>
      </c>
      <c r="Q59" s="84">
        <v>40103</v>
      </c>
      <c r="R59" s="32"/>
      <c r="S59" s="3" t="str">
        <f t="shared" si="75"/>
        <v>A</v>
      </c>
      <c r="T59" s="84">
        <v>141694</v>
      </c>
      <c r="U59" s="84">
        <v>34231</v>
      </c>
      <c r="V59" s="32"/>
      <c r="W59" s="3" t="str">
        <f t="shared" si="57"/>
        <v>A</v>
      </c>
      <c r="X59" s="84">
        <v>126889</v>
      </c>
      <c r="Y59" s="84">
        <v>29360</v>
      </c>
      <c r="Z59" s="32"/>
      <c r="AA59" s="3" t="str">
        <f t="shared" si="58"/>
        <v>A</v>
      </c>
      <c r="AB59" s="84">
        <v>131586</v>
      </c>
      <c r="AC59" s="84">
        <v>31496</v>
      </c>
      <c r="AD59" s="36"/>
      <c r="AE59" s="82"/>
      <c r="AF59" s="3" t="str">
        <f t="shared" si="59"/>
        <v>A</v>
      </c>
      <c r="AG59" s="84">
        <v>0</v>
      </c>
      <c r="AH59" s="84">
        <v>0</v>
      </c>
      <c r="AI59" s="38"/>
      <c r="AJ59" s="79" t="s">
        <v>1801</v>
      </c>
      <c r="AK59" s="38"/>
      <c r="AL59" s="4">
        <f t="shared" si="68"/>
        <v>547932</v>
      </c>
      <c r="AM59" s="4">
        <f t="shared" si="69"/>
        <v>135190</v>
      </c>
      <c r="AN59" s="4">
        <f t="shared" si="62"/>
        <v>683122</v>
      </c>
      <c r="AO59" s="38"/>
      <c r="AP59" s="8">
        <f t="shared" si="70"/>
        <v>0</v>
      </c>
      <c r="AQ59" s="8">
        <f t="shared" si="71"/>
        <v>0</v>
      </c>
      <c r="AR59" s="8">
        <f t="shared" si="65"/>
        <v>0</v>
      </c>
      <c r="AS59" s="42"/>
      <c r="AT59" s="84">
        <v>547932</v>
      </c>
      <c r="AU59" s="84">
        <v>135190</v>
      </c>
      <c r="AV59" s="4">
        <f t="shared" si="66"/>
        <v>683122</v>
      </c>
      <c r="AW59" s="50" t="str">
        <f t="shared" si="67"/>
        <v/>
      </c>
      <c r="AX59" s="1" t="s">
        <v>1639</v>
      </c>
      <c r="AY59" s="2" t="s">
        <v>1640</v>
      </c>
      <c r="AZ59" s="2">
        <v>219372.16</v>
      </c>
      <c r="BA59" s="73">
        <v>191950.64</v>
      </c>
      <c r="BB59" s="73">
        <v>191950.64</v>
      </c>
      <c r="BC59" s="73">
        <v>219372.16</v>
      </c>
      <c r="BD59" s="73"/>
      <c r="BE59" s="66">
        <v>2.5000000000000001E-2</v>
      </c>
      <c r="BF59" s="66">
        <v>0.02</v>
      </c>
      <c r="BG59" s="63">
        <v>45835</v>
      </c>
      <c r="BH59" s="2"/>
      <c r="BI59" s="2"/>
      <c r="BJ59" s="2"/>
      <c r="BK59" s="2"/>
      <c r="BL59" s="1" t="s">
        <v>56</v>
      </c>
    </row>
    <row r="60" spans="1:64" x14ac:dyDescent="0.25">
      <c r="A60" s="81" t="s">
        <v>152</v>
      </c>
      <c r="B60" s="82" t="s">
        <v>152</v>
      </c>
      <c r="C60" s="81" t="s">
        <v>153</v>
      </c>
      <c r="D60" s="16">
        <v>35539</v>
      </c>
      <c r="E60" s="17"/>
      <c r="F60" s="2" t="s">
        <v>154</v>
      </c>
      <c r="G60" s="2" t="s">
        <v>155</v>
      </c>
      <c r="H60" s="10" t="s">
        <v>57</v>
      </c>
      <c r="I60" s="11" t="s">
        <v>53</v>
      </c>
      <c r="J60" s="11" t="s">
        <v>156</v>
      </c>
      <c r="K60" s="61"/>
      <c r="L60" s="11" t="s">
        <v>67</v>
      </c>
      <c r="M60" s="25"/>
      <c r="N60" s="82"/>
      <c r="O60" s="3" t="str">
        <f t="shared" si="74"/>
        <v>A</v>
      </c>
      <c r="P60" s="84">
        <v>452629</v>
      </c>
      <c r="Q60" s="84">
        <v>66329</v>
      </c>
      <c r="R60" s="32"/>
      <c r="S60" s="3" t="str">
        <f t="shared" si="75"/>
        <v>A</v>
      </c>
      <c r="T60" s="84">
        <v>391676</v>
      </c>
      <c r="U60" s="84">
        <v>49236</v>
      </c>
      <c r="V60" s="32"/>
      <c r="W60" s="3" t="str">
        <f t="shared" si="57"/>
        <v>A</v>
      </c>
      <c r="X60" s="84">
        <v>354125</v>
      </c>
      <c r="Y60" s="84">
        <v>42153</v>
      </c>
      <c r="Z60" s="32"/>
      <c r="AA60" s="3" t="str">
        <f t="shared" si="58"/>
        <v>A</v>
      </c>
      <c r="AB60" s="84">
        <v>407087</v>
      </c>
      <c r="AC60" s="84">
        <v>45373</v>
      </c>
      <c r="AD60" s="36"/>
      <c r="AE60" s="82"/>
      <c r="AF60" s="3" t="str">
        <f t="shared" si="59"/>
        <v>A</v>
      </c>
      <c r="AG60" s="84">
        <v>0</v>
      </c>
      <c r="AH60" s="84">
        <v>0</v>
      </c>
      <c r="AI60" s="38"/>
      <c r="AJ60" s="79" t="s">
        <v>1801</v>
      </c>
      <c r="AK60" s="38"/>
      <c r="AL60" s="4">
        <f t="shared" si="68"/>
        <v>1605517</v>
      </c>
      <c r="AM60" s="4">
        <f t="shared" si="69"/>
        <v>203091</v>
      </c>
      <c r="AN60" s="4">
        <f t="shared" si="62"/>
        <v>1808608</v>
      </c>
      <c r="AO60" s="38"/>
      <c r="AP60" s="8">
        <f t="shared" si="70"/>
        <v>0</v>
      </c>
      <c r="AQ60" s="8">
        <f t="shared" si="71"/>
        <v>0</v>
      </c>
      <c r="AR60" s="8">
        <f t="shared" si="65"/>
        <v>0</v>
      </c>
      <c r="AS60" s="42"/>
      <c r="AT60" s="84">
        <v>1605517</v>
      </c>
      <c r="AU60" s="84">
        <v>203091</v>
      </c>
      <c r="AV60" s="4">
        <f t="shared" si="66"/>
        <v>1808608</v>
      </c>
      <c r="AW60" s="50" t="str">
        <f t="shared" si="67"/>
        <v/>
      </c>
      <c r="AX60" s="1" t="s">
        <v>1652</v>
      </c>
      <c r="AY60" s="2" t="s">
        <v>1653</v>
      </c>
      <c r="AZ60" s="2">
        <v>518331.36</v>
      </c>
      <c r="BA60" s="73">
        <v>453539.94</v>
      </c>
      <c r="BB60" s="73">
        <v>453539.94</v>
      </c>
      <c r="BC60" s="73">
        <v>518331.36</v>
      </c>
      <c r="BD60" s="73"/>
      <c r="BE60" s="66">
        <v>0.04</v>
      </c>
      <c r="BF60" s="66">
        <v>0.05</v>
      </c>
      <c r="BG60" s="63">
        <v>44606</v>
      </c>
      <c r="BH60" s="74">
        <v>43919</v>
      </c>
      <c r="BI60" s="74">
        <v>43934</v>
      </c>
      <c r="BJ60" s="2"/>
      <c r="BK60" s="2"/>
      <c r="BL60" s="1" t="s">
        <v>56</v>
      </c>
    </row>
    <row r="61" spans="1:64" x14ac:dyDescent="0.25">
      <c r="A61" s="81" t="s">
        <v>157</v>
      </c>
      <c r="B61" s="82" t="s">
        <v>157</v>
      </c>
      <c r="C61" s="81" t="s">
        <v>158</v>
      </c>
      <c r="D61" s="16">
        <v>35573</v>
      </c>
      <c r="E61" s="17"/>
      <c r="F61" s="2" t="s">
        <v>76</v>
      </c>
      <c r="G61" s="2" t="s">
        <v>78</v>
      </c>
      <c r="H61" s="10" t="s">
        <v>57</v>
      </c>
      <c r="I61" s="11" t="s">
        <v>77</v>
      </c>
      <c r="J61" s="11" t="s">
        <v>87</v>
      </c>
      <c r="K61" s="61" t="s">
        <v>88</v>
      </c>
      <c r="L61" s="11" t="s">
        <v>67</v>
      </c>
      <c r="M61" s="25"/>
      <c r="N61" s="82"/>
      <c r="O61" s="3" t="str">
        <f t="shared" si="74"/>
        <v>A</v>
      </c>
      <c r="P61" s="84">
        <v>171947</v>
      </c>
      <c r="Q61" s="84">
        <v>29322</v>
      </c>
      <c r="R61" s="32"/>
      <c r="S61" s="3" t="str">
        <f t="shared" si="75"/>
        <v>A</v>
      </c>
      <c r="T61" s="84">
        <v>148014.35</v>
      </c>
      <c r="U61" s="84">
        <v>30410</v>
      </c>
      <c r="V61" s="32"/>
      <c r="W61" s="3" t="str">
        <f t="shared" si="57"/>
        <v>A</v>
      </c>
      <c r="X61" s="84">
        <v>115311</v>
      </c>
      <c r="Y61" s="84">
        <v>18728</v>
      </c>
      <c r="Z61" s="32"/>
      <c r="AA61" s="3" t="str">
        <f t="shared" si="58"/>
        <v>A</v>
      </c>
      <c r="AB61" s="84">
        <v>124973</v>
      </c>
      <c r="AC61" s="84">
        <v>24359</v>
      </c>
      <c r="AD61" s="36"/>
      <c r="AE61" s="82"/>
      <c r="AF61" s="3" t="str">
        <f t="shared" si="59"/>
        <v>A</v>
      </c>
      <c r="AG61" s="84">
        <v>0</v>
      </c>
      <c r="AH61" s="84">
        <v>0</v>
      </c>
      <c r="AI61" s="38"/>
      <c r="AJ61" s="79" t="s">
        <v>1801</v>
      </c>
      <c r="AK61" s="38"/>
      <c r="AL61" s="4">
        <f t="shared" si="68"/>
        <v>560245.35</v>
      </c>
      <c r="AM61" s="4">
        <f t="shared" si="69"/>
        <v>102819</v>
      </c>
      <c r="AN61" s="4">
        <f t="shared" si="62"/>
        <v>663064.35</v>
      </c>
      <c r="AO61" s="38"/>
      <c r="AP61" s="8">
        <f t="shared" si="70"/>
        <v>0</v>
      </c>
      <c r="AQ61" s="8">
        <f t="shared" si="71"/>
        <v>0</v>
      </c>
      <c r="AR61" s="8">
        <f t="shared" si="65"/>
        <v>0</v>
      </c>
      <c r="AS61" s="42"/>
      <c r="AT61" s="84">
        <v>560245.35</v>
      </c>
      <c r="AU61" s="84">
        <v>102819</v>
      </c>
      <c r="AV61" s="4">
        <f t="shared" si="66"/>
        <v>663064.35</v>
      </c>
      <c r="AW61" s="50" t="str">
        <f t="shared" si="67"/>
        <v/>
      </c>
      <c r="AX61" s="1" t="s">
        <v>1639</v>
      </c>
      <c r="AY61" s="2" t="s">
        <v>1640</v>
      </c>
      <c r="AZ61" s="2">
        <v>173689.76</v>
      </c>
      <c r="BA61" s="73">
        <v>151978.54</v>
      </c>
      <c r="BB61" s="73">
        <v>151978.54</v>
      </c>
      <c r="BC61" s="73">
        <v>173689.76</v>
      </c>
      <c r="BD61" s="73"/>
      <c r="BE61" s="66">
        <v>2.5000000000000001E-2</v>
      </c>
      <c r="BF61" s="66">
        <v>0.02</v>
      </c>
      <c r="BG61" s="63">
        <v>45657</v>
      </c>
      <c r="BH61" s="74">
        <v>45722</v>
      </c>
      <c r="BI61" s="74">
        <v>45786</v>
      </c>
      <c r="BJ61" s="2"/>
      <c r="BK61" s="2"/>
      <c r="BL61" s="1" t="s">
        <v>56</v>
      </c>
    </row>
    <row r="62" spans="1:64" x14ac:dyDescent="0.25">
      <c r="A62" s="81" t="s">
        <v>157</v>
      </c>
      <c r="B62" s="82" t="s">
        <v>662</v>
      </c>
      <c r="C62" s="81" t="s">
        <v>663</v>
      </c>
      <c r="D62" s="16">
        <v>42767</v>
      </c>
      <c r="E62" s="17"/>
      <c r="F62" s="2" t="s">
        <v>76</v>
      </c>
      <c r="G62" s="2" t="s">
        <v>78</v>
      </c>
      <c r="H62" s="10" t="s">
        <v>57</v>
      </c>
      <c r="I62" s="11" t="s">
        <v>77</v>
      </c>
      <c r="J62" s="11" t="s">
        <v>87</v>
      </c>
      <c r="K62" s="61" t="s">
        <v>88</v>
      </c>
      <c r="L62" s="11" t="s">
        <v>67</v>
      </c>
      <c r="M62" s="25"/>
      <c r="N62" s="82"/>
      <c r="O62" s="3" t="str">
        <f t="shared" si="74"/>
        <v>A</v>
      </c>
      <c r="P62" s="84">
        <v>24006</v>
      </c>
      <c r="Q62" s="84">
        <v>8752</v>
      </c>
      <c r="R62" s="32"/>
      <c r="S62" s="3" t="str">
        <f t="shared" si="75"/>
        <v>A</v>
      </c>
      <c r="T62" s="84">
        <v>18629</v>
      </c>
      <c r="U62" s="84">
        <v>6414</v>
      </c>
      <c r="V62" s="32"/>
      <c r="W62" s="3" t="str">
        <f t="shared" si="57"/>
        <v>A</v>
      </c>
      <c r="X62" s="84">
        <v>17075</v>
      </c>
      <c r="Y62" s="84">
        <v>7046</v>
      </c>
      <c r="Z62" s="32"/>
      <c r="AA62" s="3" t="str">
        <f t="shared" si="58"/>
        <v>A</v>
      </c>
      <c r="AB62" s="84">
        <v>17351</v>
      </c>
      <c r="AC62" s="84">
        <v>5798</v>
      </c>
      <c r="AD62" s="36"/>
      <c r="AE62" s="82"/>
      <c r="AF62" s="3" t="str">
        <f t="shared" si="59"/>
        <v>A</v>
      </c>
      <c r="AG62" s="84">
        <v>0</v>
      </c>
      <c r="AH62" s="84">
        <v>0</v>
      </c>
      <c r="AI62" s="39"/>
      <c r="AJ62" s="79" t="s">
        <v>1801</v>
      </c>
      <c r="AK62" s="39"/>
      <c r="AL62" s="4">
        <f t="shared" si="68"/>
        <v>77061</v>
      </c>
      <c r="AM62" s="4">
        <f t="shared" si="69"/>
        <v>28010</v>
      </c>
      <c r="AN62" s="4">
        <f t="shared" si="62"/>
        <v>105071</v>
      </c>
      <c r="AO62" s="39"/>
      <c r="AP62" s="8">
        <f t="shared" si="70"/>
        <v>0</v>
      </c>
      <c r="AQ62" s="8">
        <f t="shared" si="71"/>
        <v>0</v>
      </c>
      <c r="AR62" s="8">
        <f t="shared" si="65"/>
        <v>0</v>
      </c>
      <c r="AS62" s="42"/>
      <c r="AT62" s="84">
        <v>77061</v>
      </c>
      <c r="AU62" s="84">
        <v>28010</v>
      </c>
      <c r="AV62" s="4">
        <f t="shared" si="66"/>
        <v>105071</v>
      </c>
      <c r="AW62" s="50" t="str">
        <f t="shared" si="67"/>
        <v/>
      </c>
      <c r="AX62" s="1" t="s">
        <v>1639</v>
      </c>
      <c r="AY62" s="2" t="s">
        <v>1640</v>
      </c>
      <c r="AZ62" s="2">
        <v>10701.28</v>
      </c>
      <c r="BA62" s="73">
        <v>9363.6200000000008</v>
      </c>
      <c r="BB62" s="73">
        <v>9363.6200000000008</v>
      </c>
      <c r="BC62" s="73">
        <v>10701.28</v>
      </c>
      <c r="BD62" s="73"/>
      <c r="BE62" s="66">
        <v>3.5000000000000003E-2</v>
      </c>
      <c r="BF62" s="66">
        <v>0.02</v>
      </c>
      <c r="BG62" s="63">
        <v>45657</v>
      </c>
      <c r="BH62" s="74">
        <v>45473</v>
      </c>
      <c r="BI62" s="74">
        <v>45759</v>
      </c>
      <c r="BJ62" s="2"/>
      <c r="BK62" s="2"/>
      <c r="BL62" s="1" t="s">
        <v>56</v>
      </c>
    </row>
    <row r="63" spans="1:64" x14ac:dyDescent="0.25">
      <c r="A63" s="81" t="s">
        <v>159</v>
      </c>
      <c r="B63" s="82" t="s">
        <v>159</v>
      </c>
      <c r="C63" s="81" t="s">
        <v>160</v>
      </c>
      <c r="D63" s="16">
        <v>35691</v>
      </c>
      <c r="E63" s="17"/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82"/>
      <c r="O63" s="3" t="str">
        <f t="shared" si="74"/>
        <v>A</v>
      </c>
      <c r="P63" s="84">
        <v>212783.25</v>
      </c>
      <c r="Q63" s="84">
        <v>22718.9</v>
      </c>
      <c r="R63" s="32"/>
      <c r="S63" s="3" t="str">
        <f t="shared" si="75"/>
        <v>A</v>
      </c>
      <c r="T63" s="84">
        <v>175640</v>
      </c>
      <c r="U63" s="84">
        <v>19598</v>
      </c>
      <c r="V63" s="32"/>
      <c r="W63" s="3" t="str">
        <f t="shared" si="57"/>
        <v>A</v>
      </c>
      <c r="X63" s="84">
        <v>157550.55000000002</v>
      </c>
      <c r="Y63" s="84">
        <v>15836</v>
      </c>
      <c r="Z63" s="32"/>
      <c r="AA63" s="3" t="str">
        <f t="shared" si="58"/>
        <v>A</v>
      </c>
      <c r="AB63" s="84">
        <v>186268.7</v>
      </c>
      <c r="AC63" s="84">
        <v>22181</v>
      </c>
      <c r="AD63" s="36"/>
      <c r="AE63" s="82"/>
      <c r="AF63" s="3" t="str">
        <f t="shared" si="59"/>
        <v>A</v>
      </c>
      <c r="AG63" s="84">
        <v>0</v>
      </c>
      <c r="AH63" s="84">
        <v>0</v>
      </c>
      <c r="AI63" s="38"/>
      <c r="AJ63" s="79" t="s">
        <v>1801</v>
      </c>
      <c r="AK63" s="38"/>
      <c r="AL63" s="4">
        <f t="shared" si="68"/>
        <v>732242.5</v>
      </c>
      <c r="AM63" s="4">
        <f t="shared" si="69"/>
        <v>80333.899999999994</v>
      </c>
      <c r="AN63" s="4">
        <f t="shared" si="62"/>
        <v>812576.4</v>
      </c>
      <c r="AO63" s="38"/>
      <c r="AP63" s="8">
        <f t="shared" si="70"/>
        <v>0</v>
      </c>
      <c r="AQ63" s="8">
        <f t="shared" si="71"/>
        <v>0</v>
      </c>
      <c r="AR63" s="8">
        <f t="shared" si="65"/>
        <v>0</v>
      </c>
      <c r="AS63" s="42"/>
      <c r="AT63" s="84">
        <v>732242.5</v>
      </c>
      <c r="AU63" s="84">
        <v>80333.899999999994</v>
      </c>
      <c r="AV63" s="4">
        <f t="shared" si="66"/>
        <v>812576.4</v>
      </c>
      <c r="AW63" s="50" t="str">
        <f t="shared" si="67"/>
        <v/>
      </c>
      <c r="AX63" s="1" t="s">
        <v>1639</v>
      </c>
      <c r="AY63" s="2" t="s">
        <v>1640</v>
      </c>
      <c r="AZ63" s="2">
        <v>224469.76000000001</v>
      </c>
      <c r="BA63" s="73">
        <v>196411.04</v>
      </c>
      <c r="BB63" s="73">
        <v>196411.04</v>
      </c>
      <c r="BC63" s="73">
        <v>224469.76000000001</v>
      </c>
      <c r="BD63" s="73"/>
      <c r="BE63" s="66">
        <v>2.5000000000000001E-2</v>
      </c>
      <c r="BF63" s="66">
        <v>0.02</v>
      </c>
      <c r="BG63" s="63">
        <v>45677</v>
      </c>
      <c r="BH63" s="2"/>
      <c r="BI63" s="2"/>
      <c r="BJ63" s="2"/>
      <c r="BK63" s="2"/>
      <c r="BL63" s="1" t="s">
        <v>56</v>
      </c>
    </row>
    <row r="64" spans="1:64" x14ac:dyDescent="0.25">
      <c r="A64" s="81" t="s">
        <v>159</v>
      </c>
      <c r="B64" s="82" t="s">
        <v>664</v>
      </c>
      <c r="C64" s="81" t="s">
        <v>665</v>
      </c>
      <c r="D64" s="16">
        <v>41264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74"/>
        <v>A</v>
      </c>
      <c r="P64" s="84">
        <v>143453</v>
      </c>
      <c r="Q64" s="84">
        <v>32365</v>
      </c>
      <c r="R64" s="32"/>
      <c r="S64" s="3" t="str">
        <f t="shared" si="75"/>
        <v>A</v>
      </c>
      <c r="T64" s="84">
        <v>117044</v>
      </c>
      <c r="U64" s="84">
        <v>32873</v>
      </c>
      <c r="V64" s="32"/>
      <c r="W64" s="3" t="str">
        <f t="shared" si="57"/>
        <v>A</v>
      </c>
      <c r="X64" s="84">
        <v>122611</v>
      </c>
      <c r="Y64" s="84">
        <v>24787</v>
      </c>
      <c r="Z64" s="32"/>
      <c r="AA64" s="3" t="str">
        <f t="shared" si="58"/>
        <v>A</v>
      </c>
      <c r="AB64" s="84">
        <v>127243</v>
      </c>
      <c r="AC64" s="84">
        <v>28559</v>
      </c>
      <c r="AD64" s="36"/>
      <c r="AE64" s="82"/>
      <c r="AF64" s="3" t="str">
        <f t="shared" si="59"/>
        <v>A</v>
      </c>
      <c r="AG64" s="84">
        <v>0</v>
      </c>
      <c r="AH64" s="84">
        <v>0</v>
      </c>
      <c r="AI64" s="39"/>
      <c r="AJ64" s="79" t="s">
        <v>1801</v>
      </c>
      <c r="AK64" s="39"/>
      <c r="AL64" s="4">
        <f t="shared" si="68"/>
        <v>510351</v>
      </c>
      <c r="AM64" s="4">
        <f t="shared" si="69"/>
        <v>118584</v>
      </c>
      <c r="AN64" s="4">
        <f t="shared" si="62"/>
        <v>628935</v>
      </c>
      <c r="AO64" s="39"/>
      <c r="AP64" s="8">
        <f t="shared" si="70"/>
        <v>0</v>
      </c>
      <c r="AQ64" s="8">
        <f t="shared" si="71"/>
        <v>0</v>
      </c>
      <c r="AR64" s="8">
        <f t="shared" si="65"/>
        <v>0</v>
      </c>
      <c r="AS64" s="42"/>
      <c r="AT64" s="84">
        <v>510351</v>
      </c>
      <c r="AU64" s="84">
        <v>118584</v>
      </c>
      <c r="AV64" s="4">
        <f t="shared" si="66"/>
        <v>628935</v>
      </c>
      <c r="AW64" s="50" t="str">
        <f t="shared" si="67"/>
        <v/>
      </c>
      <c r="AX64" s="1" t="s">
        <v>1639</v>
      </c>
      <c r="AY64" s="2" t="s">
        <v>1640</v>
      </c>
      <c r="AZ64" s="2">
        <v>109486.64</v>
      </c>
      <c r="BA64" s="73">
        <v>95800.81</v>
      </c>
      <c r="BB64" s="73">
        <v>95800.81</v>
      </c>
      <c r="BC64" s="73">
        <v>109486.64</v>
      </c>
      <c r="BD64" s="73"/>
      <c r="BE64" s="66">
        <v>2.5000000000000001E-2</v>
      </c>
      <c r="BF64" s="66">
        <v>0.02</v>
      </c>
      <c r="BG64" s="63">
        <v>45677</v>
      </c>
      <c r="BH64" s="2"/>
      <c r="BI64" s="2"/>
      <c r="BJ64" s="2"/>
      <c r="BK64" s="2"/>
      <c r="BL64" s="1" t="s">
        <v>56</v>
      </c>
    </row>
    <row r="65" spans="1:64" x14ac:dyDescent="0.25">
      <c r="A65" s="81" t="s">
        <v>159</v>
      </c>
      <c r="B65" s="82" t="s">
        <v>666</v>
      </c>
      <c r="C65" s="81" t="s">
        <v>667</v>
      </c>
      <c r="D65" s="16">
        <v>42356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74"/>
        <v>A</v>
      </c>
      <c r="P65" s="84">
        <v>2386</v>
      </c>
      <c r="Q65" s="84">
        <v>436</v>
      </c>
      <c r="R65" s="32"/>
      <c r="S65" s="3" t="str">
        <f t="shared" si="75"/>
        <v>A</v>
      </c>
      <c r="T65" s="84">
        <v>9301</v>
      </c>
      <c r="U65" s="84">
        <v>1607</v>
      </c>
      <c r="V65" s="32"/>
      <c r="W65" s="3" t="str">
        <f t="shared" si="57"/>
        <v>A</v>
      </c>
      <c r="X65" s="84">
        <v>9957</v>
      </c>
      <c r="Y65" s="84">
        <v>1438</v>
      </c>
      <c r="Z65" s="32"/>
      <c r="AA65" s="3" t="str">
        <f t="shared" si="58"/>
        <v>A</v>
      </c>
      <c r="AB65" s="84">
        <v>11851</v>
      </c>
      <c r="AC65" s="84">
        <v>2569</v>
      </c>
      <c r="AD65" s="36"/>
      <c r="AE65" s="82"/>
      <c r="AF65" s="3" t="str">
        <f t="shared" si="59"/>
        <v>A</v>
      </c>
      <c r="AG65" s="84">
        <v>0</v>
      </c>
      <c r="AH65" s="84">
        <v>0</v>
      </c>
      <c r="AI65" s="39"/>
      <c r="AJ65" s="79" t="s">
        <v>1801</v>
      </c>
      <c r="AK65" s="39"/>
      <c r="AL65" s="4">
        <f t="shared" si="68"/>
        <v>33495</v>
      </c>
      <c r="AM65" s="4">
        <f t="shared" si="69"/>
        <v>6050</v>
      </c>
      <c r="AN65" s="4">
        <f t="shared" si="62"/>
        <v>39545</v>
      </c>
      <c r="AO65" s="39"/>
      <c r="AP65" s="8">
        <f t="shared" si="70"/>
        <v>0</v>
      </c>
      <c r="AQ65" s="8">
        <f t="shared" si="71"/>
        <v>0</v>
      </c>
      <c r="AR65" s="8">
        <f t="shared" si="65"/>
        <v>0</v>
      </c>
      <c r="AS65" s="42"/>
      <c r="AT65" s="84">
        <v>33495</v>
      </c>
      <c r="AU65" s="84">
        <v>6050</v>
      </c>
      <c r="AV65" s="4">
        <f t="shared" si="66"/>
        <v>39545</v>
      </c>
      <c r="AW65" s="50" t="str">
        <f t="shared" si="67"/>
        <v/>
      </c>
      <c r="AX65" s="1" t="s">
        <v>1639</v>
      </c>
      <c r="AY65" s="2" t="s">
        <v>1640</v>
      </c>
      <c r="AZ65" s="2">
        <v>8501.0400000000009</v>
      </c>
      <c r="BA65" s="73">
        <v>7438.41</v>
      </c>
      <c r="BB65" s="73">
        <v>7438.41</v>
      </c>
      <c r="BC65" s="73">
        <v>8501.0400000000009</v>
      </c>
      <c r="BD65" s="73"/>
      <c r="BE65" s="66">
        <v>2.5000000000000001E-2</v>
      </c>
      <c r="BF65" s="66">
        <v>0.02</v>
      </c>
      <c r="BG65" s="63">
        <v>45677</v>
      </c>
      <c r="BH65" s="74">
        <v>45597</v>
      </c>
      <c r="BI65" s="74">
        <v>45813</v>
      </c>
      <c r="BJ65" s="2"/>
      <c r="BK65" s="2"/>
      <c r="BL65" s="1" t="s">
        <v>56</v>
      </c>
    </row>
    <row r="66" spans="1:64" x14ac:dyDescent="0.25">
      <c r="A66" s="81" t="s">
        <v>161</v>
      </c>
      <c r="B66" s="82" t="s">
        <v>161</v>
      </c>
      <c r="C66" s="81" t="s">
        <v>162</v>
      </c>
      <c r="D66" s="16">
        <v>35674</v>
      </c>
      <c r="E66" s="17"/>
      <c r="F66" s="2" t="s">
        <v>52</v>
      </c>
      <c r="G66" s="2" t="s">
        <v>55</v>
      </c>
      <c r="H66" s="10" t="s">
        <v>57</v>
      </c>
      <c r="I66" s="11" t="s">
        <v>54</v>
      </c>
      <c r="J66" s="11" t="s">
        <v>72</v>
      </c>
      <c r="K66" s="61" t="s">
        <v>73</v>
      </c>
      <c r="L66" s="11" t="s">
        <v>67</v>
      </c>
      <c r="M66" s="25"/>
      <c r="N66" s="82"/>
      <c r="O66" s="3" t="str">
        <f t="shared" si="74"/>
        <v>A</v>
      </c>
      <c r="P66" s="84">
        <v>183416.59</v>
      </c>
      <c r="Q66" s="84">
        <v>35842.36</v>
      </c>
      <c r="R66" s="32"/>
      <c r="S66" s="3" t="str">
        <f t="shared" si="75"/>
        <v>A</v>
      </c>
      <c r="T66" s="84">
        <v>173101.44999999998</v>
      </c>
      <c r="U66" s="84">
        <v>34022</v>
      </c>
      <c r="V66" s="32"/>
      <c r="W66" s="3" t="str">
        <f t="shared" si="57"/>
        <v>A</v>
      </c>
      <c r="X66" s="84">
        <v>151816.19999999998</v>
      </c>
      <c r="Y66" s="84">
        <v>24511</v>
      </c>
      <c r="Z66" s="32"/>
      <c r="AA66" s="3" t="str">
        <f t="shared" si="58"/>
        <v>A</v>
      </c>
      <c r="AB66" s="84">
        <v>171227.25</v>
      </c>
      <c r="AC66" s="84">
        <v>32636</v>
      </c>
      <c r="AD66" s="36"/>
      <c r="AE66" s="82"/>
      <c r="AF66" s="3" t="str">
        <f t="shared" si="59"/>
        <v>A</v>
      </c>
      <c r="AG66" s="84">
        <v>0</v>
      </c>
      <c r="AH66" s="84">
        <v>0</v>
      </c>
      <c r="AI66" s="38"/>
      <c r="AJ66" s="79" t="s">
        <v>1801</v>
      </c>
      <c r="AK66" s="38"/>
      <c r="AL66" s="4">
        <f t="shared" si="68"/>
        <v>679561.49</v>
      </c>
      <c r="AM66" s="4">
        <f t="shared" si="69"/>
        <v>127011.36</v>
      </c>
      <c r="AN66" s="4">
        <f t="shared" si="62"/>
        <v>806572.85</v>
      </c>
      <c r="AO66" s="38"/>
      <c r="AP66" s="8">
        <f t="shared" si="70"/>
        <v>0</v>
      </c>
      <c r="AQ66" s="8">
        <f t="shared" si="71"/>
        <v>0</v>
      </c>
      <c r="AR66" s="8">
        <f t="shared" si="65"/>
        <v>0</v>
      </c>
      <c r="AS66" s="42"/>
      <c r="AT66" s="84">
        <v>679561.48999999987</v>
      </c>
      <c r="AU66" s="84">
        <v>127011.36</v>
      </c>
      <c r="AV66" s="4">
        <f t="shared" si="66"/>
        <v>806572.84999999986</v>
      </c>
      <c r="AW66" s="50" t="str">
        <f t="shared" si="67"/>
        <v/>
      </c>
      <c r="AX66" s="1" t="s">
        <v>1639</v>
      </c>
      <c r="AY66" s="2" t="s">
        <v>1640</v>
      </c>
      <c r="AZ66" s="2">
        <v>216466.4</v>
      </c>
      <c r="BA66" s="73">
        <v>189408.1</v>
      </c>
      <c r="BB66" s="73">
        <v>189408.1</v>
      </c>
      <c r="BC66" s="73">
        <v>216466.4</v>
      </c>
      <c r="BD66" s="73"/>
      <c r="BE66" s="66">
        <v>2.5000000000000001E-2</v>
      </c>
      <c r="BF66" s="66">
        <v>0.02</v>
      </c>
      <c r="BG66" s="63">
        <v>45835</v>
      </c>
      <c r="BH66" s="2"/>
      <c r="BI66" s="2"/>
      <c r="BJ66" s="2"/>
      <c r="BK66" s="2"/>
      <c r="BL66" s="1" t="s">
        <v>56</v>
      </c>
    </row>
    <row r="67" spans="1:64" x14ac:dyDescent="0.25">
      <c r="A67" s="81" t="s">
        <v>163</v>
      </c>
      <c r="B67" s="82" t="s">
        <v>163</v>
      </c>
      <c r="C67" s="81" t="s">
        <v>164</v>
      </c>
      <c r="D67" s="16">
        <v>35727</v>
      </c>
      <c r="E67" s="17"/>
      <c r="F67" s="2" t="s">
        <v>52</v>
      </c>
      <c r="G67" s="2" t="s">
        <v>55</v>
      </c>
      <c r="H67" s="10" t="s">
        <v>57</v>
      </c>
      <c r="I67" s="11" t="s">
        <v>54</v>
      </c>
      <c r="J67" s="11" t="s">
        <v>139</v>
      </c>
      <c r="K67" s="61" t="s">
        <v>140</v>
      </c>
      <c r="L67" s="11" t="s">
        <v>67</v>
      </c>
      <c r="M67" s="25"/>
      <c r="N67" s="82"/>
      <c r="O67" s="3" t="str">
        <f t="shared" si="74"/>
        <v>A</v>
      </c>
      <c r="P67" s="84">
        <v>198427.33</v>
      </c>
      <c r="Q67" s="84">
        <v>57299.22</v>
      </c>
      <c r="R67" s="32"/>
      <c r="S67" s="3" t="str">
        <f t="shared" si="75"/>
        <v>A</v>
      </c>
      <c r="T67" s="84">
        <v>165881.63</v>
      </c>
      <c r="U67" s="84">
        <v>43954.570000000007</v>
      </c>
      <c r="V67" s="32"/>
      <c r="W67" s="3" t="str">
        <f t="shared" si="57"/>
        <v>A</v>
      </c>
      <c r="X67" s="84">
        <v>157933.75</v>
      </c>
      <c r="Y67" s="84">
        <v>38981</v>
      </c>
      <c r="Z67" s="32"/>
      <c r="AA67" s="3" t="str">
        <f t="shared" si="58"/>
        <v>A</v>
      </c>
      <c r="AB67" s="84">
        <v>178796.66999999998</v>
      </c>
      <c r="AC67" s="84">
        <v>39908.69</v>
      </c>
      <c r="AD67" s="36"/>
      <c r="AE67" s="82"/>
      <c r="AF67" s="3" t="str">
        <f t="shared" si="59"/>
        <v>A</v>
      </c>
      <c r="AG67" s="84">
        <v>0</v>
      </c>
      <c r="AH67" s="84">
        <v>0</v>
      </c>
      <c r="AI67" s="38"/>
      <c r="AJ67" s="79" t="s">
        <v>1801</v>
      </c>
      <c r="AK67" s="38"/>
      <c r="AL67" s="4">
        <f t="shared" si="68"/>
        <v>701039.37999999989</v>
      </c>
      <c r="AM67" s="4">
        <f t="shared" si="69"/>
        <v>180143.48</v>
      </c>
      <c r="AN67" s="4">
        <f t="shared" si="62"/>
        <v>881182.85999999987</v>
      </c>
      <c r="AO67" s="38"/>
      <c r="AP67" s="8">
        <f t="shared" si="70"/>
        <v>0</v>
      </c>
      <c r="AQ67" s="8">
        <f t="shared" si="71"/>
        <v>0</v>
      </c>
      <c r="AR67" s="8">
        <f t="shared" si="65"/>
        <v>0</v>
      </c>
      <c r="AS67" s="42"/>
      <c r="AT67" s="84">
        <v>701039.38</v>
      </c>
      <c r="AU67" s="84">
        <v>180143.48</v>
      </c>
      <c r="AV67" s="4">
        <f t="shared" si="66"/>
        <v>881182.86</v>
      </c>
      <c r="AW67" s="50" t="str">
        <f t="shared" si="67"/>
        <v/>
      </c>
      <c r="AX67" s="1" t="s">
        <v>1639</v>
      </c>
      <c r="AY67" s="2" t="s">
        <v>1640</v>
      </c>
      <c r="AZ67" s="2">
        <v>247644.48</v>
      </c>
      <c r="BA67" s="73">
        <v>216688.92</v>
      </c>
      <c r="BB67" s="73">
        <v>216688.92</v>
      </c>
      <c r="BC67" s="73">
        <v>247644.48</v>
      </c>
      <c r="BD67" s="73"/>
      <c r="BE67" s="66">
        <v>2.5000000000000001E-2</v>
      </c>
      <c r="BF67" s="66">
        <v>0.02</v>
      </c>
      <c r="BG67" s="63">
        <v>45657</v>
      </c>
      <c r="BH67" s="2"/>
      <c r="BI67" s="2"/>
      <c r="BJ67" s="2"/>
      <c r="BK67" s="2"/>
      <c r="BL67" s="1" t="s">
        <v>56</v>
      </c>
    </row>
    <row r="68" spans="1:64" x14ac:dyDescent="0.25">
      <c r="A68" s="81" t="s">
        <v>165</v>
      </c>
      <c r="B68" s="82" t="s">
        <v>165</v>
      </c>
      <c r="C68" s="81" t="s">
        <v>166</v>
      </c>
      <c r="D68" s="16">
        <v>35762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68</v>
      </c>
      <c r="K68" s="61" t="s">
        <v>69</v>
      </c>
      <c r="L68" s="11" t="s">
        <v>67</v>
      </c>
      <c r="M68" s="25"/>
      <c r="N68" s="82"/>
      <c r="O68" s="3" t="str">
        <f t="shared" si="74"/>
        <v>A</v>
      </c>
      <c r="P68" s="84">
        <v>87160</v>
      </c>
      <c r="Q68" s="84">
        <v>13897</v>
      </c>
      <c r="R68" s="32"/>
      <c r="S68" s="3" t="str">
        <f t="shared" si="75"/>
        <v>A</v>
      </c>
      <c r="T68" s="84">
        <v>79745.350000000006</v>
      </c>
      <c r="U68" s="84">
        <v>10513</v>
      </c>
      <c r="V68" s="32"/>
      <c r="W68" s="3" t="str">
        <f t="shared" si="57"/>
        <v>A</v>
      </c>
      <c r="X68" s="84">
        <v>75874</v>
      </c>
      <c r="Y68" s="84">
        <v>11566</v>
      </c>
      <c r="Z68" s="32"/>
      <c r="AA68" s="3" t="str">
        <f t="shared" si="58"/>
        <v>A</v>
      </c>
      <c r="AB68" s="84">
        <v>85751</v>
      </c>
      <c r="AC68" s="84">
        <v>12612</v>
      </c>
      <c r="AD68" s="36"/>
      <c r="AE68" s="82"/>
      <c r="AF68" s="3" t="str">
        <f t="shared" si="59"/>
        <v>A</v>
      </c>
      <c r="AG68" s="84">
        <v>0</v>
      </c>
      <c r="AH68" s="84">
        <v>0</v>
      </c>
      <c r="AI68" s="38"/>
      <c r="AJ68" s="79" t="s">
        <v>1801</v>
      </c>
      <c r="AK68" s="38"/>
      <c r="AL68" s="4">
        <f t="shared" si="68"/>
        <v>328530.34999999998</v>
      </c>
      <c r="AM68" s="4">
        <f t="shared" si="69"/>
        <v>48588</v>
      </c>
      <c r="AN68" s="4">
        <f t="shared" si="62"/>
        <v>377118.35</v>
      </c>
      <c r="AO68" s="38"/>
      <c r="AP68" s="8">
        <f t="shared" si="70"/>
        <v>0</v>
      </c>
      <c r="AQ68" s="8">
        <f t="shared" si="71"/>
        <v>0</v>
      </c>
      <c r="AR68" s="8">
        <f t="shared" si="65"/>
        <v>0</v>
      </c>
      <c r="AS68" s="42"/>
      <c r="AT68" s="84">
        <v>328530.34999999998</v>
      </c>
      <c r="AU68" s="84">
        <v>48588</v>
      </c>
      <c r="AV68" s="4">
        <f t="shared" si="66"/>
        <v>377118.35</v>
      </c>
      <c r="AW68" s="50" t="str">
        <f t="shared" si="67"/>
        <v/>
      </c>
      <c r="AX68" s="1" t="s">
        <v>1639</v>
      </c>
      <c r="AY68" s="2" t="s">
        <v>1640</v>
      </c>
      <c r="AZ68" s="2">
        <v>102846.48</v>
      </c>
      <c r="BA68" s="73">
        <v>89990.67</v>
      </c>
      <c r="BB68" s="73">
        <v>89990.67</v>
      </c>
      <c r="BC68" s="73">
        <v>102846.48</v>
      </c>
      <c r="BD68" s="73"/>
      <c r="BE68" s="66">
        <v>2.5000000000000001E-2</v>
      </c>
      <c r="BF68" s="66">
        <v>0.02</v>
      </c>
      <c r="BG68" s="63">
        <v>44204</v>
      </c>
      <c r="BH68" s="2"/>
      <c r="BI68" s="2"/>
      <c r="BJ68" s="2"/>
      <c r="BK68" s="2"/>
      <c r="BL68" s="1" t="s">
        <v>56</v>
      </c>
    </row>
    <row r="69" spans="1:64" x14ac:dyDescent="0.25">
      <c r="A69" s="81" t="s">
        <v>167</v>
      </c>
      <c r="B69" s="82" t="s">
        <v>167</v>
      </c>
      <c r="C69" s="81" t="s">
        <v>168</v>
      </c>
      <c r="D69" s="16">
        <v>35840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68</v>
      </c>
      <c r="K69" s="61" t="s">
        <v>69</v>
      </c>
      <c r="L69" s="11" t="s">
        <v>67</v>
      </c>
      <c r="M69" s="25"/>
      <c r="N69" s="82"/>
      <c r="O69" s="3" t="str">
        <f t="shared" si="74"/>
        <v>A</v>
      </c>
      <c r="P69" s="84">
        <v>71858.75</v>
      </c>
      <c r="Q69" s="84">
        <v>42037</v>
      </c>
      <c r="R69" s="32"/>
      <c r="S69" s="3" t="str">
        <f t="shared" si="75"/>
        <v>A</v>
      </c>
      <c r="T69" s="84">
        <v>44970.649999999994</v>
      </c>
      <c r="U69" s="84">
        <v>34655</v>
      </c>
      <c r="V69" s="32"/>
      <c r="W69" s="3" t="str">
        <f t="shared" si="57"/>
        <v>A</v>
      </c>
      <c r="X69" s="84">
        <v>53460.950001000005</v>
      </c>
      <c r="Y69" s="84">
        <v>30173</v>
      </c>
      <c r="Z69" s="32"/>
      <c r="AA69" s="3" t="str">
        <f t="shared" si="58"/>
        <v>A</v>
      </c>
      <c r="AB69" s="84">
        <v>72687.016667000004</v>
      </c>
      <c r="AC69" s="84">
        <v>39158.333333999995</v>
      </c>
      <c r="AD69" s="36"/>
      <c r="AE69" s="82"/>
      <c r="AF69" s="3" t="str">
        <f t="shared" si="59"/>
        <v>A</v>
      </c>
      <c r="AG69" s="84">
        <v>0</v>
      </c>
      <c r="AH69" s="84">
        <v>0</v>
      </c>
      <c r="AI69" s="38"/>
      <c r="AJ69" s="79" t="s">
        <v>1801</v>
      </c>
      <c r="AK69" s="38"/>
      <c r="AL69" s="4">
        <f t="shared" si="68"/>
        <v>242977.366668</v>
      </c>
      <c r="AM69" s="4">
        <f t="shared" si="69"/>
        <v>146023.333334</v>
      </c>
      <c r="AN69" s="4">
        <f t="shared" si="62"/>
        <v>389000.70000199997</v>
      </c>
      <c r="AO69" s="38"/>
      <c r="AP69" s="8">
        <f t="shared" si="70"/>
        <v>0</v>
      </c>
      <c r="AQ69" s="8">
        <f t="shared" si="71"/>
        <v>0</v>
      </c>
      <c r="AR69" s="8">
        <f t="shared" si="65"/>
        <v>0</v>
      </c>
      <c r="AS69" s="42"/>
      <c r="AT69" s="84">
        <v>242977.36666799994</v>
      </c>
      <c r="AU69" s="84">
        <v>146023.333334</v>
      </c>
      <c r="AV69" s="4">
        <f t="shared" si="66"/>
        <v>389000.70000199997</v>
      </c>
      <c r="AW69" s="50" t="str">
        <f t="shared" si="67"/>
        <v/>
      </c>
      <c r="AX69" s="1" t="s">
        <v>1639</v>
      </c>
      <c r="AY69" s="2" t="s">
        <v>1640</v>
      </c>
      <c r="AZ69" s="2">
        <v>132189.92000000001</v>
      </c>
      <c r="BA69" s="73">
        <v>115666.18</v>
      </c>
      <c r="BB69" s="73">
        <v>115666.18</v>
      </c>
      <c r="BC69" s="73">
        <v>132189.92000000001</v>
      </c>
      <c r="BD69" s="73"/>
      <c r="BE69" s="66">
        <v>2.5000000000000001E-2</v>
      </c>
      <c r="BF69" s="66">
        <v>0.02</v>
      </c>
      <c r="BG69" s="63">
        <v>45835</v>
      </c>
      <c r="BH69" s="74">
        <v>39895</v>
      </c>
      <c r="BI69" s="74">
        <v>39972</v>
      </c>
      <c r="BJ69" s="2"/>
      <c r="BK69" s="2"/>
      <c r="BL69" s="1" t="s">
        <v>56</v>
      </c>
    </row>
    <row r="70" spans="1:64" x14ac:dyDescent="0.25">
      <c r="A70" s="81" t="s">
        <v>169</v>
      </c>
      <c r="B70" s="82" t="s">
        <v>169</v>
      </c>
      <c r="C70" s="81" t="s">
        <v>170</v>
      </c>
      <c r="D70" s="16">
        <v>36107</v>
      </c>
      <c r="E70" s="17"/>
      <c r="F70" s="2" t="s">
        <v>171</v>
      </c>
      <c r="G70" s="2" t="s">
        <v>172</v>
      </c>
      <c r="H70" s="10" t="s">
        <v>105</v>
      </c>
      <c r="I70" s="11" t="s">
        <v>53</v>
      </c>
      <c r="J70" s="11" t="s">
        <v>145</v>
      </c>
      <c r="K70" s="61"/>
      <c r="L70" s="11" t="s">
        <v>67</v>
      </c>
      <c r="M70" s="25"/>
      <c r="N70" s="82"/>
      <c r="O70" s="3" t="str">
        <f t="shared" si="74"/>
        <v>A</v>
      </c>
      <c r="P70" s="84">
        <v>183778</v>
      </c>
      <c r="Q70" s="84">
        <v>63580</v>
      </c>
      <c r="R70" s="32"/>
      <c r="S70" s="3" t="str">
        <f t="shared" si="75"/>
        <v>A</v>
      </c>
      <c r="T70" s="84">
        <v>194305</v>
      </c>
      <c r="U70" s="84">
        <v>50981</v>
      </c>
      <c r="V70" s="32"/>
      <c r="W70" s="3" t="str">
        <f t="shared" si="57"/>
        <v>A</v>
      </c>
      <c r="X70" s="84">
        <v>133056</v>
      </c>
      <c r="Y70" s="84">
        <v>48676.5</v>
      </c>
      <c r="Z70" s="32"/>
      <c r="AA70" s="3" t="str">
        <f t="shared" si="58"/>
        <v>A</v>
      </c>
      <c r="AB70" s="84">
        <v>160482</v>
      </c>
      <c r="AC70" s="84">
        <v>38294</v>
      </c>
      <c r="AD70" s="36"/>
      <c r="AE70" s="82"/>
      <c r="AF70" s="3" t="str">
        <f t="shared" si="59"/>
        <v>A</v>
      </c>
      <c r="AG70" s="84">
        <v>0</v>
      </c>
      <c r="AH70" s="84">
        <v>0</v>
      </c>
      <c r="AI70" s="38"/>
      <c r="AJ70" s="79" t="s">
        <v>1801</v>
      </c>
      <c r="AK70" s="38"/>
      <c r="AL70" s="4">
        <f t="shared" si="68"/>
        <v>671621</v>
      </c>
      <c r="AM70" s="4">
        <f t="shared" si="69"/>
        <v>201531.5</v>
      </c>
      <c r="AN70" s="4">
        <f t="shared" si="62"/>
        <v>873152.5</v>
      </c>
      <c r="AO70" s="38"/>
      <c r="AP70" s="8">
        <f t="shared" si="70"/>
        <v>0</v>
      </c>
      <c r="AQ70" s="8">
        <f t="shared" si="71"/>
        <v>0</v>
      </c>
      <c r="AR70" s="8">
        <f t="shared" si="65"/>
        <v>0</v>
      </c>
      <c r="AS70" s="42"/>
      <c r="AT70" s="84">
        <v>671621</v>
      </c>
      <c r="AU70" s="84">
        <v>201531.5</v>
      </c>
      <c r="AV70" s="4">
        <f t="shared" si="66"/>
        <v>873152.5</v>
      </c>
      <c r="AW70" s="50" t="str">
        <f t="shared" si="67"/>
        <v/>
      </c>
      <c r="AX70" s="1" t="s">
        <v>1654</v>
      </c>
      <c r="AY70" s="2" t="s">
        <v>1655</v>
      </c>
      <c r="AZ70" s="2">
        <v>301588.32</v>
      </c>
      <c r="BA70" s="73">
        <v>263889.78000000003</v>
      </c>
      <c r="BB70" s="73">
        <v>263889.78000000003</v>
      </c>
      <c r="BC70" s="73">
        <v>301588.32</v>
      </c>
      <c r="BD70" s="73"/>
      <c r="BE70" s="66">
        <v>3.5000000000000003E-2</v>
      </c>
      <c r="BF70" s="66">
        <v>0.05</v>
      </c>
      <c r="BG70" s="63">
        <v>45496</v>
      </c>
      <c r="BH70" s="2"/>
      <c r="BI70" s="2"/>
      <c r="BJ70" s="2"/>
      <c r="BK70" s="2"/>
      <c r="BL70" s="1" t="s">
        <v>104</v>
      </c>
    </row>
    <row r="71" spans="1:64" x14ac:dyDescent="0.25">
      <c r="A71" s="81" t="s">
        <v>173</v>
      </c>
      <c r="B71" s="82" t="s">
        <v>173</v>
      </c>
      <c r="C71" s="81" t="s">
        <v>174</v>
      </c>
      <c r="D71" s="16">
        <v>36192</v>
      </c>
      <c r="E71" s="17"/>
      <c r="F71" s="2" t="s">
        <v>76</v>
      </c>
      <c r="G71" s="2" t="s">
        <v>78</v>
      </c>
      <c r="H71" s="10" t="s">
        <v>57</v>
      </c>
      <c r="I71" s="11" t="s">
        <v>77</v>
      </c>
      <c r="J71" s="11" t="s">
        <v>79</v>
      </c>
      <c r="K71" s="61" t="s">
        <v>80</v>
      </c>
      <c r="L71" s="11" t="s">
        <v>67</v>
      </c>
      <c r="M71" s="25"/>
      <c r="N71" s="82"/>
      <c r="O71" s="3" t="str">
        <f t="shared" si="74"/>
        <v>A</v>
      </c>
      <c r="P71" s="84">
        <v>104840.6</v>
      </c>
      <c r="Q71" s="84">
        <v>54992.1</v>
      </c>
      <c r="R71" s="32"/>
      <c r="S71" s="3" t="str">
        <f t="shared" si="75"/>
        <v>A</v>
      </c>
      <c r="T71" s="84">
        <v>85384.4</v>
      </c>
      <c r="U71" s="84">
        <v>50394</v>
      </c>
      <c r="V71" s="32"/>
      <c r="W71" s="3" t="str">
        <f t="shared" si="57"/>
        <v>A</v>
      </c>
      <c r="X71" s="84">
        <v>82876.97</v>
      </c>
      <c r="Y71" s="84">
        <v>47072.83</v>
      </c>
      <c r="Z71" s="32"/>
      <c r="AA71" s="3" t="str">
        <f t="shared" si="58"/>
        <v>A</v>
      </c>
      <c r="AB71" s="84">
        <v>96058.6</v>
      </c>
      <c r="AC71" s="84">
        <v>46211</v>
      </c>
      <c r="AD71" s="36"/>
      <c r="AE71" s="82"/>
      <c r="AF71" s="3" t="str">
        <f t="shared" si="59"/>
        <v>A</v>
      </c>
      <c r="AG71" s="84">
        <v>0</v>
      </c>
      <c r="AH71" s="84">
        <v>0</v>
      </c>
      <c r="AI71" s="38"/>
      <c r="AJ71" s="79" t="s">
        <v>1801</v>
      </c>
      <c r="AK71" s="38"/>
      <c r="AL71" s="4">
        <f t="shared" si="68"/>
        <v>369160.56999999995</v>
      </c>
      <c r="AM71" s="4">
        <f t="shared" si="69"/>
        <v>198669.93</v>
      </c>
      <c r="AN71" s="4">
        <f t="shared" si="62"/>
        <v>567830.5</v>
      </c>
      <c r="AO71" s="38"/>
      <c r="AP71" s="8">
        <f t="shared" si="70"/>
        <v>0</v>
      </c>
      <c r="AQ71" s="8">
        <f t="shared" si="71"/>
        <v>0</v>
      </c>
      <c r="AR71" s="8">
        <f t="shared" si="65"/>
        <v>0</v>
      </c>
      <c r="AS71" s="42"/>
      <c r="AT71" s="84">
        <v>369160.57</v>
      </c>
      <c r="AU71" s="84">
        <v>198669.93</v>
      </c>
      <c r="AV71" s="4">
        <f t="shared" si="66"/>
        <v>567830.5</v>
      </c>
      <c r="AW71" s="50" t="str">
        <f t="shared" si="67"/>
        <v/>
      </c>
      <c r="AX71" s="1" t="s">
        <v>1639</v>
      </c>
      <c r="AY71" s="2" t="s">
        <v>1640</v>
      </c>
      <c r="AZ71" s="2">
        <v>111607.76</v>
      </c>
      <c r="BA71" s="73">
        <v>97656.79</v>
      </c>
      <c r="BB71" s="73">
        <v>97656.79</v>
      </c>
      <c r="BC71" s="73">
        <v>111607.76</v>
      </c>
      <c r="BD71" s="73"/>
      <c r="BE71" s="66">
        <v>2.5000000000000001E-2</v>
      </c>
      <c r="BF71" s="66">
        <v>0.02</v>
      </c>
      <c r="BG71" s="63">
        <v>45657</v>
      </c>
      <c r="BH71" s="2"/>
      <c r="BI71" s="2"/>
      <c r="BJ71" s="2"/>
      <c r="BK71" s="2"/>
      <c r="BL71" s="1" t="s">
        <v>56</v>
      </c>
    </row>
    <row r="72" spans="1:64" x14ac:dyDescent="0.25">
      <c r="A72" s="81" t="s">
        <v>173</v>
      </c>
      <c r="B72" s="82" t="s">
        <v>672</v>
      </c>
      <c r="C72" s="81" t="s">
        <v>673</v>
      </c>
      <c r="D72" s="16">
        <v>40061</v>
      </c>
      <c r="E72" s="17"/>
      <c r="F72" s="2" t="s">
        <v>76</v>
      </c>
      <c r="G72" s="2" t="s">
        <v>78</v>
      </c>
      <c r="H72" s="10" t="s">
        <v>57</v>
      </c>
      <c r="I72" s="11" t="s">
        <v>77</v>
      </c>
      <c r="J72" s="11" t="s">
        <v>79</v>
      </c>
      <c r="K72" s="61" t="s">
        <v>80</v>
      </c>
      <c r="L72" s="11" t="s">
        <v>67</v>
      </c>
      <c r="M72" s="25"/>
      <c r="N72" s="82"/>
      <c r="O72" s="3" t="str">
        <f t="shared" si="74"/>
        <v>E</v>
      </c>
      <c r="P72" s="84">
        <v>22856.880000000001</v>
      </c>
      <c r="Q72" s="84">
        <v>10676.56</v>
      </c>
      <c r="R72" s="32"/>
      <c r="S72" s="3" t="str">
        <f t="shared" si="75"/>
        <v>E</v>
      </c>
      <c r="T72" s="84">
        <v>19999.77</v>
      </c>
      <c r="U72" s="84">
        <v>9341.99</v>
      </c>
      <c r="V72" s="32"/>
      <c r="W72" s="3" t="str">
        <f t="shared" ref="W72:W135" si="76">IF($A72="","",IF(X72=0,"A",IF(X72=BB72,"E","A")))</f>
        <v>E</v>
      </c>
      <c r="X72" s="84">
        <v>19999.77</v>
      </c>
      <c r="Y72" s="84">
        <v>9341.99</v>
      </c>
      <c r="Z72" s="32"/>
      <c r="AA72" s="3" t="str">
        <f t="shared" ref="AA72:AA135" si="77">IF($A72="","",IF(AB72=0,"A",IF(AB72=BC72,"E","A")))</f>
        <v>E</v>
      </c>
      <c r="AB72" s="84">
        <v>22856.880000000001</v>
      </c>
      <c r="AC72" s="84">
        <v>10676.56</v>
      </c>
      <c r="AD72" s="36"/>
      <c r="AE72" s="82"/>
      <c r="AF72" s="3" t="str">
        <f t="shared" ref="AF72:AF135" si="78">IF($A72="","",IF(AG72=0,"A",IF(AG72=BD72,"E","A")))</f>
        <v>A</v>
      </c>
      <c r="AG72" s="84"/>
      <c r="AH72" s="84"/>
      <c r="AI72" s="39"/>
      <c r="AJ72" s="79" t="s">
        <v>38</v>
      </c>
      <c r="AK72" s="39"/>
      <c r="AL72" s="4">
        <f t="shared" si="68"/>
        <v>0</v>
      </c>
      <c r="AM72" s="4">
        <f t="shared" si="69"/>
        <v>0</v>
      </c>
      <c r="AN72" s="4">
        <f t="shared" ref="AN72:AN135" si="79">SUM(AL72:AM72)</f>
        <v>0</v>
      </c>
      <c r="AO72" s="39"/>
      <c r="AP72" s="8">
        <f t="shared" si="70"/>
        <v>85713.3</v>
      </c>
      <c r="AQ72" s="8">
        <f t="shared" si="71"/>
        <v>40037.1</v>
      </c>
      <c r="AR72" s="8">
        <f t="shared" ref="AR72:AR135" si="80">SUM(AP72:AQ72)</f>
        <v>125750.39999999999</v>
      </c>
      <c r="AS72" s="42"/>
      <c r="AT72" s="84"/>
      <c r="AU72" s="84"/>
      <c r="AV72" s="4">
        <f t="shared" ref="AV72:AV135" si="81">SUM(AT72:AU72)</f>
        <v>0</v>
      </c>
      <c r="AW72" s="50" t="str">
        <f t="shared" ref="AW72:AW135" si="82">IF(AV72=0,"",IF(AN72=AV72,"","W"))</f>
        <v/>
      </c>
      <c r="AX72" s="1" t="s">
        <v>1639</v>
      </c>
      <c r="AY72" s="2" t="s">
        <v>1640</v>
      </c>
      <c r="AZ72" s="2">
        <v>22856.880000000001</v>
      </c>
      <c r="BA72" s="73">
        <v>19999.77</v>
      </c>
      <c r="BB72" s="73">
        <v>19999.77</v>
      </c>
      <c r="BC72" s="73">
        <v>22856.880000000001</v>
      </c>
      <c r="BD72" s="73"/>
      <c r="BE72" s="66">
        <v>2.5000000000000001E-2</v>
      </c>
      <c r="BF72" s="66">
        <v>0.02</v>
      </c>
      <c r="BG72" s="63">
        <v>45657</v>
      </c>
      <c r="BH72" s="2"/>
      <c r="BI72" s="2"/>
      <c r="BJ72" s="2"/>
      <c r="BK72" s="2"/>
      <c r="BL72" s="1" t="s">
        <v>56</v>
      </c>
    </row>
    <row r="73" spans="1:64" x14ac:dyDescent="0.25">
      <c r="A73" s="81" t="s">
        <v>173</v>
      </c>
      <c r="B73" s="82" t="s">
        <v>674</v>
      </c>
      <c r="C73" s="81" t="s">
        <v>675</v>
      </c>
      <c r="D73" s="16">
        <v>0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82"/>
      <c r="O73" s="3" t="str">
        <f t="shared" si="74"/>
        <v>A</v>
      </c>
      <c r="P73" s="84">
        <v>51427</v>
      </c>
      <c r="Q73" s="84">
        <v>22741</v>
      </c>
      <c r="R73" s="32"/>
      <c r="S73" s="3" t="str">
        <f t="shared" si="75"/>
        <v>A</v>
      </c>
      <c r="T73" s="84">
        <v>38919</v>
      </c>
      <c r="U73" s="84">
        <v>16244</v>
      </c>
      <c r="V73" s="32"/>
      <c r="W73" s="3" t="str">
        <f t="shared" si="76"/>
        <v>A</v>
      </c>
      <c r="X73" s="84">
        <v>32306</v>
      </c>
      <c r="Y73" s="84">
        <v>18411</v>
      </c>
      <c r="Z73" s="32"/>
      <c r="AA73" s="3" t="str">
        <f t="shared" si="77"/>
        <v>A</v>
      </c>
      <c r="AB73" s="84">
        <v>39067</v>
      </c>
      <c r="AC73" s="84">
        <v>15474</v>
      </c>
      <c r="AD73" s="36"/>
      <c r="AE73" s="82"/>
      <c r="AF73" s="3" t="str">
        <f t="shared" si="78"/>
        <v>A</v>
      </c>
      <c r="AG73" s="84">
        <v>0</v>
      </c>
      <c r="AH73" s="84">
        <v>0</v>
      </c>
      <c r="AI73" s="39"/>
      <c r="AJ73" s="79" t="s">
        <v>1801</v>
      </c>
      <c r="AK73" s="39"/>
      <c r="AL73" s="4">
        <f t="shared" ref="AL73:AL136" si="83">IF($O73="A",P73,0)+IF($S73="A",T73,0)+IF($W73="A",X73,0)+IF($AA73="A",AB73,0)+IF($AF73="A",AG73,0)</f>
        <v>161719</v>
      </c>
      <c r="AM73" s="4">
        <f t="shared" ref="AM73:AM136" si="84">IF($O73="A",Q73,0)+IF($S73="A",U73,0)+IF($W73="A",Y73,0)+IF($AA73="A",AC73,0)+IF($AF73="A",AH73,0)</f>
        <v>72870</v>
      </c>
      <c r="AN73" s="4">
        <f t="shared" si="79"/>
        <v>234589</v>
      </c>
      <c r="AO73" s="39"/>
      <c r="AP73" s="8">
        <f t="shared" ref="AP73:AP136" si="85">IF($O73="E",P73,0)+IF($S73="E",T73,0)+IF($W73="E",X73,0)+IF($AA73="E",AB73,0)+IF($AF73="E",AG73,0)</f>
        <v>0</v>
      </c>
      <c r="AQ73" s="8">
        <f t="shared" ref="AQ73:AQ136" si="86">IF($O73="E",Q73,0)+IF($S73="E",U73,0)+IF($W73="E",Y73,0)+IF($AA73="E",AC73,0)+IF($AF73="E",AH73,0)</f>
        <v>0</v>
      </c>
      <c r="AR73" s="8">
        <f t="shared" si="80"/>
        <v>0</v>
      </c>
      <c r="AS73" s="42"/>
      <c r="AT73" s="84">
        <v>161719</v>
      </c>
      <c r="AU73" s="84">
        <v>72870</v>
      </c>
      <c r="AV73" s="4">
        <f t="shared" si="81"/>
        <v>234589</v>
      </c>
      <c r="AW73" s="50" t="str">
        <f t="shared" si="82"/>
        <v/>
      </c>
      <c r="AX73" s="1" t="s">
        <v>1639</v>
      </c>
      <c r="AY73" s="2" t="s">
        <v>1640</v>
      </c>
      <c r="AZ73" s="2">
        <v>54928.08</v>
      </c>
      <c r="BA73" s="73">
        <v>48062.07</v>
      </c>
      <c r="BB73" s="73">
        <v>48062.07</v>
      </c>
      <c r="BC73" s="73">
        <v>54928.08</v>
      </c>
      <c r="BD73" s="73"/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81" t="s">
        <v>173</v>
      </c>
      <c r="B74" s="82" t="s">
        <v>676</v>
      </c>
      <c r="C74" s="81" t="s">
        <v>677</v>
      </c>
      <c r="D74" s="16">
        <v>40418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82"/>
      <c r="O74" s="3" t="str">
        <f t="shared" si="74"/>
        <v>A</v>
      </c>
      <c r="P74" s="84">
        <v>22705</v>
      </c>
      <c r="Q74" s="84">
        <v>18041</v>
      </c>
      <c r="R74" s="32"/>
      <c r="S74" s="3" t="str">
        <f t="shared" si="75"/>
        <v>A</v>
      </c>
      <c r="T74" s="84">
        <v>19605</v>
      </c>
      <c r="U74" s="84">
        <v>17763</v>
      </c>
      <c r="V74" s="32"/>
      <c r="W74" s="3" t="str">
        <f t="shared" si="76"/>
        <v>A</v>
      </c>
      <c r="X74" s="84">
        <v>19828</v>
      </c>
      <c r="Y74" s="84">
        <v>13208</v>
      </c>
      <c r="Z74" s="32"/>
      <c r="AA74" s="3" t="str">
        <f t="shared" si="77"/>
        <v>A</v>
      </c>
      <c r="AB74" s="84">
        <v>20491</v>
      </c>
      <c r="AC74" s="84">
        <v>13001</v>
      </c>
      <c r="AD74" s="36"/>
      <c r="AE74" s="82"/>
      <c r="AF74" s="3" t="str">
        <f t="shared" si="78"/>
        <v>A</v>
      </c>
      <c r="AG74" s="84">
        <v>0</v>
      </c>
      <c r="AH74" s="84">
        <v>0</v>
      </c>
      <c r="AI74" s="39"/>
      <c r="AJ74" s="79" t="s">
        <v>1801</v>
      </c>
      <c r="AK74" s="39"/>
      <c r="AL74" s="4">
        <f t="shared" si="83"/>
        <v>82629</v>
      </c>
      <c r="AM74" s="4">
        <f t="shared" si="84"/>
        <v>62013</v>
      </c>
      <c r="AN74" s="4">
        <f t="shared" si="79"/>
        <v>144642</v>
      </c>
      <c r="AO74" s="39"/>
      <c r="AP74" s="8">
        <f t="shared" si="85"/>
        <v>0</v>
      </c>
      <c r="AQ74" s="8">
        <f t="shared" si="86"/>
        <v>0</v>
      </c>
      <c r="AR74" s="8">
        <f t="shared" si="80"/>
        <v>0</v>
      </c>
      <c r="AS74" s="42"/>
      <c r="AT74" s="84">
        <v>82629</v>
      </c>
      <c r="AU74" s="84">
        <v>62013</v>
      </c>
      <c r="AV74" s="4">
        <f t="shared" si="81"/>
        <v>144642</v>
      </c>
      <c r="AW74" s="50" t="str">
        <f t="shared" si="82"/>
        <v/>
      </c>
      <c r="AX74" s="1" t="s">
        <v>1639</v>
      </c>
      <c r="AY74" s="2" t="s">
        <v>1640</v>
      </c>
      <c r="AZ74" s="2">
        <v>55042.8</v>
      </c>
      <c r="BA74" s="73">
        <v>48162.45</v>
      </c>
      <c r="BB74" s="73">
        <v>48162.45</v>
      </c>
      <c r="BC74" s="73">
        <v>55042.8</v>
      </c>
      <c r="BD74" s="73"/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175</v>
      </c>
      <c r="B75" s="82" t="s">
        <v>175</v>
      </c>
      <c r="C75" s="81" t="s">
        <v>176</v>
      </c>
      <c r="D75" s="16">
        <v>36282</v>
      </c>
      <c r="E75" s="17"/>
      <c r="F75" s="2" t="s">
        <v>52</v>
      </c>
      <c r="G75" s="2" t="s">
        <v>55</v>
      </c>
      <c r="H75" s="10" t="s">
        <v>57</v>
      </c>
      <c r="I75" s="11" t="s">
        <v>54</v>
      </c>
      <c r="J75" s="11" t="s">
        <v>83</v>
      </c>
      <c r="K75" s="61" t="s">
        <v>84</v>
      </c>
      <c r="L75" s="11" t="s">
        <v>67</v>
      </c>
      <c r="M75" s="25"/>
      <c r="N75" s="82"/>
      <c r="O75" s="3" t="str">
        <f t="shared" si="74"/>
        <v>A</v>
      </c>
      <c r="P75" s="84">
        <v>173265.14</v>
      </c>
      <c r="Q75" s="84">
        <v>34260.770000000004</v>
      </c>
      <c r="R75" s="32"/>
      <c r="S75" s="3" t="str">
        <f t="shared" si="75"/>
        <v>A</v>
      </c>
      <c r="T75" s="84">
        <v>166402.85</v>
      </c>
      <c r="U75" s="84">
        <v>32903</v>
      </c>
      <c r="V75" s="32"/>
      <c r="W75" s="3" t="str">
        <f t="shared" si="76"/>
        <v>A</v>
      </c>
      <c r="X75" s="84">
        <v>166880.1</v>
      </c>
      <c r="Y75" s="84">
        <v>31180.25</v>
      </c>
      <c r="Z75" s="32"/>
      <c r="AA75" s="3" t="str">
        <f t="shared" si="77"/>
        <v>A</v>
      </c>
      <c r="AB75" s="84">
        <v>167607.20000000001</v>
      </c>
      <c r="AC75" s="84">
        <v>30331</v>
      </c>
      <c r="AD75" s="36"/>
      <c r="AE75" s="82"/>
      <c r="AF75" s="3" t="str">
        <f t="shared" si="78"/>
        <v>A</v>
      </c>
      <c r="AG75" s="84">
        <v>0</v>
      </c>
      <c r="AH75" s="84">
        <v>0</v>
      </c>
      <c r="AI75" s="38"/>
      <c r="AJ75" s="79" t="s">
        <v>1801</v>
      </c>
      <c r="AK75" s="38"/>
      <c r="AL75" s="4">
        <f t="shared" si="83"/>
        <v>674155.29</v>
      </c>
      <c r="AM75" s="4">
        <f t="shared" si="84"/>
        <v>128675.02</v>
      </c>
      <c r="AN75" s="4">
        <f t="shared" si="79"/>
        <v>802830.31</v>
      </c>
      <c r="AO75" s="38"/>
      <c r="AP75" s="8">
        <f t="shared" si="85"/>
        <v>0</v>
      </c>
      <c r="AQ75" s="8">
        <f t="shared" si="86"/>
        <v>0</v>
      </c>
      <c r="AR75" s="8">
        <f t="shared" si="80"/>
        <v>0</v>
      </c>
      <c r="AS75" s="42"/>
      <c r="AT75" s="84">
        <v>674155.28999999992</v>
      </c>
      <c r="AU75" s="84">
        <v>128675.02</v>
      </c>
      <c r="AV75" s="4">
        <f t="shared" si="81"/>
        <v>802830.30999999994</v>
      </c>
      <c r="AW75" s="50" t="str">
        <f t="shared" si="82"/>
        <v/>
      </c>
      <c r="AX75" s="1" t="s">
        <v>1639</v>
      </c>
      <c r="AY75" s="2" t="s">
        <v>1640</v>
      </c>
      <c r="AZ75" s="2">
        <v>129245.92</v>
      </c>
      <c r="BA75" s="73">
        <v>113090.18</v>
      </c>
      <c r="BB75" s="73">
        <v>113090.18</v>
      </c>
      <c r="BC75" s="73">
        <v>129245.92</v>
      </c>
      <c r="BD75" s="73"/>
      <c r="BE75" s="66">
        <v>2.5000000000000001E-2</v>
      </c>
      <c r="BF75" s="66">
        <v>0.02</v>
      </c>
      <c r="BG75" s="63">
        <v>45657</v>
      </c>
      <c r="BH75" s="74">
        <v>43918</v>
      </c>
      <c r="BI75" s="74">
        <v>43921</v>
      </c>
      <c r="BJ75" s="2"/>
      <c r="BK75" s="2"/>
      <c r="BL75" s="1" t="s">
        <v>56</v>
      </c>
    </row>
    <row r="76" spans="1:64" x14ac:dyDescent="0.25">
      <c r="A76" s="81" t="s">
        <v>177</v>
      </c>
      <c r="B76" s="82" t="s">
        <v>177</v>
      </c>
      <c r="C76" s="81" t="s">
        <v>178</v>
      </c>
      <c r="D76" s="16">
        <v>36294</v>
      </c>
      <c r="E76" s="17"/>
      <c r="F76" s="2" t="s">
        <v>154</v>
      </c>
      <c r="G76" s="2" t="s">
        <v>155</v>
      </c>
      <c r="H76" s="10" t="s">
        <v>57</v>
      </c>
      <c r="I76" s="11" t="s">
        <v>53</v>
      </c>
      <c r="J76" s="11" t="s">
        <v>156</v>
      </c>
      <c r="K76" s="61"/>
      <c r="L76" s="11" t="s">
        <v>67</v>
      </c>
      <c r="M76" s="25"/>
      <c r="N76" s="82"/>
      <c r="O76" s="3" t="str">
        <f t="shared" si="74"/>
        <v>A</v>
      </c>
      <c r="P76" s="84">
        <v>311808</v>
      </c>
      <c r="Q76" s="84">
        <v>60790</v>
      </c>
      <c r="R76" s="32"/>
      <c r="S76" s="3" t="str">
        <f t="shared" si="75"/>
        <v>A</v>
      </c>
      <c r="T76" s="84">
        <v>279213</v>
      </c>
      <c r="U76" s="84">
        <v>58024</v>
      </c>
      <c r="V76" s="32"/>
      <c r="W76" s="3" t="str">
        <f t="shared" si="76"/>
        <v>A</v>
      </c>
      <c r="X76" s="84">
        <v>254377</v>
      </c>
      <c r="Y76" s="84">
        <v>46498</v>
      </c>
      <c r="Z76" s="32"/>
      <c r="AA76" s="3" t="str">
        <f t="shared" si="77"/>
        <v>A</v>
      </c>
      <c r="AB76" s="84">
        <v>277090</v>
      </c>
      <c r="AC76" s="84">
        <v>58884</v>
      </c>
      <c r="AD76" s="36"/>
      <c r="AE76" s="82"/>
      <c r="AF76" s="3" t="str">
        <f t="shared" si="78"/>
        <v>A</v>
      </c>
      <c r="AG76" s="84">
        <v>0</v>
      </c>
      <c r="AH76" s="84">
        <v>0</v>
      </c>
      <c r="AI76" s="38"/>
      <c r="AJ76" s="79" t="s">
        <v>1801</v>
      </c>
      <c r="AK76" s="38"/>
      <c r="AL76" s="4">
        <f t="shared" si="83"/>
        <v>1122488</v>
      </c>
      <c r="AM76" s="4">
        <f t="shared" si="84"/>
        <v>224196</v>
      </c>
      <c r="AN76" s="4">
        <f t="shared" si="79"/>
        <v>1346684</v>
      </c>
      <c r="AO76" s="38"/>
      <c r="AP76" s="8">
        <f t="shared" si="85"/>
        <v>0</v>
      </c>
      <c r="AQ76" s="8">
        <f t="shared" si="86"/>
        <v>0</v>
      </c>
      <c r="AR76" s="8">
        <f t="shared" si="80"/>
        <v>0</v>
      </c>
      <c r="AS76" s="42"/>
      <c r="AT76" s="84">
        <v>1122488</v>
      </c>
      <c r="AU76" s="84">
        <v>224196</v>
      </c>
      <c r="AV76" s="4">
        <f t="shared" si="81"/>
        <v>1346684</v>
      </c>
      <c r="AW76" s="50" t="str">
        <f t="shared" si="82"/>
        <v/>
      </c>
      <c r="AX76" s="1" t="s">
        <v>1652</v>
      </c>
      <c r="AY76" s="2" t="s">
        <v>1653</v>
      </c>
      <c r="AZ76" s="2">
        <v>305712.08</v>
      </c>
      <c r="BA76" s="73">
        <v>267498.07</v>
      </c>
      <c r="BB76" s="73">
        <v>267498.07</v>
      </c>
      <c r="BC76" s="73">
        <v>305712.08</v>
      </c>
      <c r="BD76" s="73"/>
      <c r="BE76" s="66">
        <v>3.5000000000000003E-2</v>
      </c>
      <c r="BF76" s="66">
        <v>0.05</v>
      </c>
      <c r="BG76" s="63">
        <v>45657</v>
      </c>
      <c r="BH76" s="74">
        <v>43919</v>
      </c>
      <c r="BI76" s="74">
        <v>43934</v>
      </c>
      <c r="BJ76" s="2"/>
      <c r="BK76" s="2"/>
      <c r="BL76" s="1" t="s">
        <v>56</v>
      </c>
    </row>
    <row r="77" spans="1:64" x14ac:dyDescent="0.25">
      <c r="A77" s="81" t="s">
        <v>177</v>
      </c>
      <c r="B77" s="82" t="s">
        <v>678</v>
      </c>
      <c r="C77" s="81" t="s">
        <v>679</v>
      </c>
      <c r="D77" s="16">
        <v>40331</v>
      </c>
      <c r="E77" s="17"/>
      <c r="F77" s="2" t="s">
        <v>154</v>
      </c>
      <c r="G77" s="2" t="s">
        <v>155</v>
      </c>
      <c r="H77" s="10" t="s">
        <v>57</v>
      </c>
      <c r="I77" s="11" t="s">
        <v>53</v>
      </c>
      <c r="J77" s="11" t="s">
        <v>156</v>
      </c>
      <c r="K77" s="61"/>
      <c r="L77" s="11" t="s">
        <v>67</v>
      </c>
      <c r="M77" s="25"/>
      <c r="N77" s="82"/>
      <c r="O77" s="3" t="str">
        <f t="shared" si="74"/>
        <v>A</v>
      </c>
      <c r="P77" s="84">
        <v>315030</v>
      </c>
      <c r="Q77" s="84">
        <v>62331</v>
      </c>
      <c r="R77" s="32"/>
      <c r="S77" s="3" t="str">
        <f t="shared" si="75"/>
        <v>A</v>
      </c>
      <c r="T77" s="84">
        <v>258791</v>
      </c>
      <c r="U77" s="84">
        <v>52564</v>
      </c>
      <c r="V77" s="32"/>
      <c r="W77" s="3" t="str">
        <f t="shared" si="76"/>
        <v>A</v>
      </c>
      <c r="X77" s="84">
        <v>247125</v>
      </c>
      <c r="Y77" s="84">
        <v>42115</v>
      </c>
      <c r="Z77" s="32"/>
      <c r="AA77" s="3" t="str">
        <f t="shared" si="77"/>
        <v>A</v>
      </c>
      <c r="AB77" s="84">
        <v>266322</v>
      </c>
      <c r="AC77" s="84">
        <v>37041</v>
      </c>
      <c r="AD77" s="36"/>
      <c r="AE77" s="82"/>
      <c r="AF77" s="3" t="str">
        <f t="shared" si="78"/>
        <v>A</v>
      </c>
      <c r="AG77" s="84">
        <v>0</v>
      </c>
      <c r="AH77" s="84">
        <v>0</v>
      </c>
      <c r="AI77" s="39"/>
      <c r="AJ77" s="79" t="s">
        <v>1801</v>
      </c>
      <c r="AK77" s="39"/>
      <c r="AL77" s="4">
        <f t="shared" si="83"/>
        <v>1087268</v>
      </c>
      <c r="AM77" s="4">
        <f t="shared" si="84"/>
        <v>194051</v>
      </c>
      <c r="AN77" s="4">
        <f t="shared" si="79"/>
        <v>1281319</v>
      </c>
      <c r="AO77" s="39"/>
      <c r="AP77" s="8">
        <f t="shared" si="85"/>
        <v>0</v>
      </c>
      <c r="AQ77" s="8">
        <f t="shared" si="86"/>
        <v>0</v>
      </c>
      <c r="AR77" s="8">
        <f t="shared" si="80"/>
        <v>0</v>
      </c>
      <c r="AS77" s="42"/>
      <c r="AT77" s="84">
        <v>1087268</v>
      </c>
      <c r="AU77" s="84">
        <v>194051</v>
      </c>
      <c r="AV77" s="4">
        <f t="shared" si="81"/>
        <v>1281319</v>
      </c>
      <c r="AW77" s="50" t="str">
        <f t="shared" si="82"/>
        <v/>
      </c>
      <c r="AX77" s="1" t="s">
        <v>1652</v>
      </c>
      <c r="AY77" s="2" t="s">
        <v>1653</v>
      </c>
      <c r="AZ77" s="2">
        <v>179507.68</v>
      </c>
      <c r="BA77" s="73">
        <v>157069.22</v>
      </c>
      <c r="BB77" s="73">
        <v>157069.22</v>
      </c>
      <c r="BC77" s="73">
        <v>179507.68</v>
      </c>
      <c r="BD77" s="73"/>
      <c r="BE77" s="66">
        <v>3.5000000000000003E-2</v>
      </c>
      <c r="BF77" s="66">
        <v>0.05</v>
      </c>
      <c r="BG77" s="63">
        <v>45657</v>
      </c>
      <c r="BH77" s="74">
        <v>43919</v>
      </c>
      <c r="BI77" s="74">
        <v>43934</v>
      </c>
      <c r="BJ77" s="2"/>
      <c r="BK77" s="2"/>
      <c r="BL77" s="1" t="s">
        <v>56</v>
      </c>
    </row>
    <row r="78" spans="1:64" x14ac:dyDescent="0.25">
      <c r="A78" s="81" t="s">
        <v>179</v>
      </c>
      <c r="B78" s="82" t="s">
        <v>179</v>
      </c>
      <c r="C78" s="81" t="s">
        <v>180</v>
      </c>
      <c r="D78" s="16">
        <v>36336</v>
      </c>
      <c r="E78" s="17"/>
      <c r="F78" s="2" t="s">
        <v>52</v>
      </c>
      <c r="G78" s="2" t="s">
        <v>55</v>
      </c>
      <c r="H78" s="10" t="s">
        <v>57</v>
      </c>
      <c r="I78" s="11" t="s">
        <v>54</v>
      </c>
      <c r="J78" s="11" t="s">
        <v>83</v>
      </c>
      <c r="K78" s="61" t="s">
        <v>84</v>
      </c>
      <c r="L78" s="11" t="s">
        <v>67</v>
      </c>
      <c r="M78" s="25"/>
      <c r="N78" s="82"/>
      <c r="O78" s="3" t="str">
        <f t="shared" si="74"/>
        <v>A</v>
      </c>
      <c r="P78" s="84">
        <v>131085.6</v>
      </c>
      <c r="Q78" s="84">
        <v>20594</v>
      </c>
      <c r="R78" s="32"/>
      <c r="S78" s="3" t="str">
        <f t="shared" si="75"/>
        <v>A</v>
      </c>
      <c r="T78" s="84">
        <v>121797.5</v>
      </c>
      <c r="U78" s="84">
        <v>16656</v>
      </c>
      <c r="V78" s="32"/>
      <c r="W78" s="3" t="str">
        <f t="shared" si="76"/>
        <v>A</v>
      </c>
      <c r="X78" s="84">
        <v>107571</v>
      </c>
      <c r="Y78" s="84">
        <v>20112</v>
      </c>
      <c r="Z78" s="32"/>
      <c r="AA78" s="3" t="str">
        <f t="shared" si="77"/>
        <v>A</v>
      </c>
      <c r="AB78" s="84">
        <v>131496.35</v>
      </c>
      <c r="AC78" s="84">
        <v>21270</v>
      </c>
      <c r="AD78" s="36"/>
      <c r="AE78" s="82"/>
      <c r="AF78" s="3" t="str">
        <f t="shared" si="78"/>
        <v>A</v>
      </c>
      <c r="AG78" s="84">
        <v>0</v>
      </c>
      <c r="AH78" s="84">
        <v>0</v>
      </c>
      <c r="AI78" s="38"/>
      <c r="AJ78" s="79" t="s">
        <v>1801</v>
      </c>
      <c r="AK78" s="38"/>
      <c r="AL78" s="4">
        <f t="shared" si="83"/>
        <v>491950.44999999995</v>
      </c>
      <c r="AM78" s="4">
        <f t="shared" si="84"/>
        <v>78632</v>
      </c>
      <c r="AN78" s="4">
        <f t="shared" si="79"/>
        <v>570582.44999999995</v>
      </c>
      <c r="AO78" s="38"/>
      <c r="AP78" s="8">
        <f t="shared" si="85"/>
        <v>0</v>
      </c>
      <c r="AQ78" s="8">
        <f t="shared" si="86"/>
        <v>0</v>
      </c>
      <c r="AR78" s="8">
        <f t="shared" si="80"/>
        <v>0</v>
      </c>
      <c r="AS78" s="42"/>
      <c r="AT78" s="84">
        <v>491950.45</v>
      </c>
      <c r="AU78" s="84">
        <v>78632</v>
      </c>
      <c r="AV78" s="4">
        <f t="shared" si="81"/>
        <v>570582.44999999995</v>
      </c>
      <c r="AW78" s="50" t="str">
        <f t="shared" si="82"/>
        <v/>
      </c>
      <c r="AX78" s="1" t="s">
        <v>1639</v>
      </c>
      <c r="AY78" s="2" t="s">
        <v>1640</v>
      </c>
      <c r="AZ78" s="2">
        <v>127922.08</v>
      </c>
      <c r="BA78" s="73">
        <v>111931.82</v>
      </c>
      <c r="BB78" s="73">
        <v>111931.82</v>
      </c>
      <c r="BC78" s="73">
        <v>127922.08</v>
      </c>
      <c r="BD78" s="73"/>
      <c r="BE78" s="66">
        <v>2.5000000000000001E-2</v>
      </c>
      <c r="BF78" s="66">
        <v>0.02</v>
      </c>
      <c r="BG78" s="63">
        <v>45657</v>
      </c>
      <c r="BH78" s="2"/>
      <c r="BI78" s="2"/>
      <c r="BJ78" s="2"/>
      <c r="BK78" s="2"/>
      <c r="BL78" s="1" t="s">
        <v>56</v>
      </c>
    </row>
    <row r="79" spans="1:64" x14ac:dyDescent="0.25">
      <c r="A79" s="81" t="s">
        <v>181</v>
      </c>
      <c r="B79" s="82" t="s">
        <v>181</v>
      </c>
      <c r="C79" s="81" t="s">
        <v>182</v>
      </c>
      <c r="D79" s="16">
        <v>36377</v>
      </c>
      <c r="E79" s="17"/>
      <c r="F79" s="2" t="s">
        <v>102</v>
      </c>
      <c r="G79" s="2" t="s">
        <v>103</v>
      </c>
      <c r="H79" s="10" t="s">
        <v>105</v>
      </c>
      <c r="I79" s="11" t="s">
        <v>53</v>
      </c>
      <c r="J79" s="11" t="s">
        <v>106</v>
      </c>
      <c r="K79" s="61"/>
      <c r="L79" s="11" t="s">
        <v>67</v>
      </c>
      <c r="M79" s="25"/>
      <c r="N79" s="82"/>
      <c r="O79" s="3" t="str">
        <f t="shared" si="74"/>
        <v>E</v>
      </c>
      <c r="P79" s="84">
        <v>271608.8</v>
      </c>
      <c r="Q79" s="84">
        <v>56109.599999999999</v>
      </c>
      <c r="R79" s="32"/>
      <c r="S79" s="3" t="str">
        <f t="shared" si="75"/>
        <v>E</v>
      </c>
      <c r="T79" s="84">
        <v>237657.7</v>
      </c>
      <c r="U79" s="84">
        <v>49095.9</v>
      </c>
      <c r="V79" s="32"/>
      <c r="W79" s="3" t="str">
        <f t="shared" si="76"/>
        <v>E</v>
      </c>
      <c r="X79" s="84">
        <v>237657.7</v>
      </c>
      <c r="Y79" s="84">
        <v>49095.9</v>
      </c>
      <c r="Z79" s="32"/>
      <c r="AA79" s="3" t="str">
        <f t="shared" si="77"/>
        <v>E</v>
      </c>
      <c r="AB79" s="84">
        <v>271608.8</v>
      </c>
      <c r="AC79" s="84">
        <v>56109.599999999999</v>
      </c>
      <c r="AD79" s="36"/>
      <c r="AE79" s="82"/>
      <c r="AF79" s="3" t="str">
        <f t="shared" si="78"/>
        <v>A</v>
      </c>
      <c r="AG79" s="84"/>
      <c r="AH79" s="84"/>
      <c r="AI79" s="38"/>
      <c r="AJ79" s="79" t="s">
        <v>38</v>
      </c>
      <c r="AK79" s="38"/>
      <c r="AL79" s="4">
        <f t="shared" si="83"/>
        <v>0</v>
      </c>
      <c r="AM79" s="4">
        <f t="shared" si="84"/>
        <v>0</v>
      </c>
      <c r="AN79" s="4">
        <f t="shared" si="79"/>
        <v>0</v>
      </c>
      <c r="AO79" s="38"/>
      <c r="AP79" s="8">
        <f t="shared" si="85"/>
        <v>1018533</v>
      </c>
      <c r="AQ79" s="8">
        <f t="shared" si="86"/>
        <v>210411</v>
      </c>
      <c r="AR79" s="8">
        <f t="shared" si="80"/>
        <v>1228944</v>
      </c>
      <c r="AS79" s="42"/>
      <c r="AT79" s="84"/>
      <c r="AU79" s="84"/>
      <c r="AV79" s="4">
        <f t="shared" si="81"/>
        <v>0</v>
      </c>
      <c r="AW79" s="50" t="str">
        <f t="shared" si="82"/>
        <v/>
      </c>
      <c r="AX79" s="1" t="s">
        <v>1645</v>
      </c>
      <c r="AY79" s="2" t="s">
        <v>1646</v>
      </c>
      <c r="AZ79" s="2">
        <v>271608.8</v>
      </c>
      <c r="BA79" s="73">
        <v>237657.7</v>
      </c>
      <c r="BB79" s="73">
        <v>237657.7</v>
      </c>
      <c r="BC79" s="73">
        <v>271608.8</v>
      </c>
      <c r="BD79" s="73"/>
      <c r="BE79" s="66">
        <v>3.5000000000000003E-2</v>
      </c>
      <c r="BF79" s="66">
        <v>0.05</v>
      </c>
      <c r="BG79" s="63">
        <v>45608</v>
      </c>
      <c r="BH79" s="2"/>
      <c r="BI79" s="2"/>
      <c r="BJ79" s="2"/>
      <c r="BK79" s="2"/>
      <c r="BL79" s="1" t="s">
        <v>104</v>
      </c>
    </row>
    <row r="80" spans="1:64" x14ac:dyDescent="0.25">
      <c r="A80" s="81" t="s">
        <v>181</v>
      </c>
      <c r="B80" s="82" t="s">
        <v>680</v>
      </c>
      <c r="C80" s="81" t="s">
        <v>681</v>
      </c>
      <c r="D80" s="16">
        <v>41062</v>
      </c>
      <c r="E80" s="17"/>
      <c r="F80" s="2" t="s">
        <v>102</v>
      </c>
      <c r="G80" s="2" t="s">
        <v>103</v>
      </c>
      <c r="H80" s="10" t="s">
        <v>105</v>
      </c>
      <c r="I80" s="11" t="s">
        <v>53</v>
      </c>
      <c r="J80" s="11" t="s">
        <v>106</v>
      </c>
      <c r="K80" s="61"/>
      <c r="L80" s="11" t="s">
        <v>67</v>
      </c>
      <c r="M80" s="25"/>
      <c r="N80" s="82"/>
      <c r="O80" s="3" t="str">
        <f t="shared" si="74"/>
        <v>A</v>
      </c>
      <c r="P80" s="84">
        <v>37190</v>
      </c>
      <c r="Q80" s="84">
        <v>18717</v>
      </c>
      <c r="R80" s="32"/>
      <c r="S80" s="3" t="str">
        <f t="shared" si="75"/>
        <v>A</v>
      </c>
      <c r="T80" s="84">
        <v>36345</v>
      </c>
      <c r="U80" s="84">
        <v>17654</v>
      </c>
      <c r="V80" s="32"/>
      <c r="W80" s="3" t="str">
        <f t="shared" si="76"/>
        <v>A</v>
      </c>
      <c r="X80" s="84">
        <v>32469</v>
      </c>
      <c r="Y80" s="84">
        <v>15359</v>
      </c>
      <c r="Z80" s="32"/>
      <c r="AA80" s="3" t="str">
        <f t="shared" si="77"/>
        <v>A</v>
      </c>
      <c r="AB80" s="84">
        <v>34930</v>
      </c>
      <c r="AC80" s="84">
        <v>14941</v>
      </c>
      <c r="AD80" s="36"/>
      <c r="AE80" s="82"/>
      <c r="AF80" s="3" t="str">
        <f t="shared" si="78"/>
        <v>A</v>
      </c>
      <c r="AG80" s="84">
        <v>0</v>
      </c>
      <c r="AH80" s="84">
        <v>0</v>
      </c>
      <c r="AI80" s="39"/>
      <c r="AJ80" s="79" t="s">
        <v>1801</v>
      </c>
      <c r="AK80" s="39"/>
      <c r="AL80" s="4">
        <f t="shared" si="83"/>
        <v>140934</v>
      </c>
      <c r="AM80" s="4">
        <f t="shared" si="84"/>
        <v>66671</v>
      </c>
      <c r="AN80" s="4">
        <f t="shared" si="79"/>
        <v>207605</v>
      </c>
      <c r="AO80" s="39"/>
      <c r="AP80" s="8">
        <f t="shared" si="85"/>
        <v>0</v>
      </c>
      <c r="AQ80" s="8">
        <f t="shared" si="86"/>
        <v>0</v>
      </c>
      <c r="AR80" s="8">
        <f t="shared" si="80"/>
        <v>0</v>
      </c>
      <c r="AS80" s="42"/>
      <c r="AT80" s="84">
        <v>140934</v>
      </c>
      <c r="AU80" s="84">
        <v>66671</v>
      </c>
      <c r="AV80" s="4">
        <f t="shared" si="81"/>
        <v>207605</v>
      </c>
      <c r="AW80" s="50" t="str">
        <f t="shared" si="82"/>
        <v/>
      </c>
      <c r="AX80" s="1" t="s">
        <v>1645</v>
      </c>
      <c r="AY80" s="2" t="s">
        <v>1646</v>
      </c>
      <c r="AZ80" s="2">
        <v>33806.559999999998</v>
      </c>
      <c r="BA80" s="73">
        <v>29580.74</v>
      </c>
      <c r="BB80" s="73">
        <v>29580.74</v>
      </c>
      <c r="BC80" s="73">
        <v>33806.559999999998</v>
      </c>
      <c r="BD80" s="73"/>
      <c r="BE80" s="66">
        <v>3.5000000000000003E-2</v>
      </c>
      <c r="BF80" s="66">
        <v>0.05</v>
      </c>
      <c r="BG80" s="63">
        <v>45608</v>
      </c>
      <c r="BH80" s="74">
        <v>43934</v>
      </c>
      <c r="BI80" s="74">
        <v>43952</v>
      </c>
      <c r="BJ80" s="2"/>
      <c r="BK80" s="2"/>
      <c r="BL80" s="1" t="s">
        <v>104</v>
      </c>
    </row>
    <row r="81" spans="1:64" x14ac:dyDescent="0.25">
      <c r="A81" s="81" t="s">
        <v>181</v>
      </c>
      <c r="B81" s="82" t="s">
        <v>682</v>
      </c>
      <c r="C81" s="81" t="s">
        <v>683</v>
      </c>
      <c r="D81" s="16">
        <v>35674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82"/>
      <c r="O81" s="3" t="str">
        <f t="shared" si="74"/>
        <v>E</v>
      </c>
      <c r="P81" s="84">
        <v>58742.239999999998</v>
      </c>
      <c r="Q81" s="84">
        <v>30607.439999999999</v>
      </c>
      <c r="R81" s="32"/>
      <c r="S81" s="3" t="str">
        <f t="shared" si="75"/>
        <v>E</v>
      </c>
      <c r="T81" s="84">
        <v>51399.46</v>
      </c>
      <c r="U81" s="84">
        <v>26781.51</v>
      </c>
      <c r="V81" s="32"/>
      <c r="W81" s="3" t="str">
        <f t="shared" si="76"/>
        <v>E</v>
      </c>
      <c r="X81" s="84">
        <v>51399.46</v>
      </c>
      <c r="Y81" s="84">
        <v>26781.51</v>
      </c>
      <c r="Z81" s="32"/>
      <c r="AA81" s="3" t="str">
        <f t="shared" si="77"/>
        <v>E</v>
      </c>
      <c r="AB81" s="84">
        <v>58742.239999999998</v>
      </c>
      <c r="AC81" s="84">
        <v>30607.439999999999</v>
      </c>
      <c r="AD81" s="36"/>
      <c r="AE81" s="82"/>
      <c r="AF81" s="3" t="str">
        <f t="shared" si="78"/>
        <v>A</v>
      </c>
      <c r="AG81" s="84"/>
      <c r="AH81" s="84"/>
      <c r="AI81" s="39"/>
      <c r="AJ81" s="79" t="s">
        <v>38</v>
      </c>
      <c r="AK81" s="39"/>
      <c r="AL81" s="4">
        <f t="shared" si="83"/>
        <v>0</v>
      </c>
      <c r="AM81" s="4">
        <f t="shared" si="84"/>
        <v>0</v>
      </c>
      <c r="AN81" s="4">
        <f t="shared" si="79"/>
        <v>0</v>
      </c>
      <c r="AO81" s="39"/>
      <c r="AP81" s="8">
        <f t="shared" si="85"/>
        <v>220283.4</v>
      </c>
      <c r="AQ81" s="8">
        <f t="shared" si="86"/>
        <v>114777.9</v>
      </c>
      <c r="AR81" s="8">
        <f t="shared" si="80"/>
        <v>335061.3</v>
      </c>
      <c r="AS81" s="42"/>
      <c r="AT81" s="84"/>
      <c r="AU81" s="84"/>
      <c r="AV81" s="4">
        <f t="shared" si="81"/>
        <v>0</v>
      </c>
      <c r="AW81" s="50" t="str">
        <f t="shared" si="82"/>
        <v/>
      </c>
      <c r="AX81" s="1" t="s">
        <v>1645</v>
      </c>
      <c r="AY81" s="2" t="s">
        <v>1646</v>
      </c>
      <c r="AZ81" s="2">
        <v>58742.239999999998</v>
      </c>
      <c r="BA81" s="73">
        <v>51399.46</v>
      </c>
      <c r="BB81" s="73">
        <v>51399.46</v>
      </c>
      <c r="BC81" s="73">
        <v>58742.239999999998</v>
      </c>
      <c r="BD81" s="73"/>
      <c r="BE81" s="66">
        <v>3.5000000000000003E-2</v>
      </c>
      <c r="BF81" s="66">
        <v>0.05</v>
      </c>
      <c r="BG81" s="63">
        <v>45608</v>
      </c>
      <c r="BH81" s="2"/>
      <c r="BI81" s="2"/>
      <c r="BJ81" s="2"/>
      <c r="BK81" s="2"/>
      <c r="BL81" s="1" t="s">
        <v>104</v>
      </c>
    </row>
    <row r="82" spans="1:64" x14ac:dyDescent="0.25">
      <c r="A82" s="81" t="s">
        <v>183</v>
      </c>
      <c r="B82" s="82" t="s">
        <v>183</v>
      </c>
      <c r="C82" s="81" t="s">
        <v>184</v>
      </c>
      <c r="D82" s="16">
        <v>36399</v>
      </c>
      <c r="E82" s="17"/>
      <c r="F82" s="2" t="s">
        <v>76</v>
      </c>
      <c r="G82" s="2" t="s">
        <v>78</v>
      </c>
      <c r="H82" s="10" t="s">
        <v>57</v>
      </c>
      <c r="I82" s="11" t="s">
        <v>77</v>
      </c>
      <c r="J82" s="11" t="s">
        <v>79</v>
      </c>
      <c r="K82" s="61" t="s">
        <v>80</v>
      </c>
      <c r="L82" s="11" t="s">
        <v>67</v>
      </c>
      <c r="M82" s="25"/>
      <c r="N82" s="82"/>
      <c r="O82" s="3" t="str">
        <f t="shared" si="74"/>
        <v>A</v>
      </c>
      <c r="P82" s="84">
        <v>92918.6</v>
      </c>
      <c r="Q82" s="84">
        <v>33625</v>
      </c>
      <c r="R82" s="32"/>
      <c r="S82" s="3" t="str">
        <f t="shared" si="75"/>
        <v>A</v>
      </c>
      <c r="T82" s="84">
        <v>79225.75</v>
      </c>
      <c r="U82" s="84">
        <v>24531</v>
      </c>
      <c r="V82" s="32"/>
      <c r="W82" s="3" t="str">
        <f t="shared" si="76"/>
        <v>A</v>
      </c>
      <c r="X82" s="84">
        <v>71722</v>
      </c>
      <c r="Y82" s="84">
        <v>21729</v>
      </c>
      <c r="Z82" s="32"/>
      <c r="AA82" s="3" t="str">
        <f t="shared" si="77"/>
        <v>A</v>
      </c>
      <c r="AB82" s="84">
        <v>78094</v>
      </c>
      <c r="AC82" s="84">
        <v>25529</v>
      </c>
      <c r="AD82" s="36"/>
      <c r="AE82" s="82"/>
      <c r="AF82" s="3" t="str">
        <f t="shared" si="78"/>
        <v>A</v>
      </c>
      <c r="AG82" s="84">
        <v>0</v>
      </c>
      <c r="AH82" s="84">
        <v>0</v>
      </c>
      <c r="AI82" s="38"/>
      <c r="AJ82" s="79" t="s">
        <v>1801</v>
      </c>
      <c r="AK82" s="38"/>
      <c r="AL82" s="4">
        <f t="shared" si="83"/>
        <v>321960.34999999998</v>
      </c>
      <c r="AM82" s="4">
        <f t="shared" si="84"/>
        <v>105414</v>
      </c>
      <c r="AN82" s="4">
        <f t="shared" si="79"/>
        <v>427374.35</v>
      </c>
      <c r="AO82" s="38"/>
      <c r="AP82" s="8">
        <f t="shared" si="85"/>
        <v>0</v>
      </c>
      <c r="AQ82" s="8">
        <f t="shared" si="86"/>
        <v>0</v>
      </c>
      <c r="AR82" s="8">
        <f t="shared" si="80"/>
        <v>0</v>
      </c>
      <c r="AS82" s="42"/>
      <c r="AT82" s="84">
        <v>321960.34999999998</v>
      </c>
      <c r="AU82" s="84">
        <v>105414</v>
      </c>
      <c r="AV82" s="4">
        <f t="shared" si="81"/>
        <v>427374.35</v>
      </c>
      <c r="AW82" s="50" t="str">
        <f t="shared" si="82"/>
        <v/>
      </c>
      <c r="AX82" s="1" t="s">
        <v>1639</v>
      </c>
      <c r="AY82" s="2" t="s">
        <v>1640</v>
      </c>
      <c r="AZ82" s="2">
        <v>109513.04</v>
      </c>
      <c r="BA82" s="73">
        <v>95823.91</v>
      </c>
      <c r="BB82" s="73">
        <v>95823.91</v>
      </c>
      <c r="BC82" s="73">
        <v>109513.04</v>
      </c>
      <c r="BD82" s="73"/>
      <c r="BE82" s="66">
        <v>2.5000000000000001E-2</v>
      </c>
      <c r="BF82" s="66">
        <v>0.02</v>
      </c>
      <c r="BG82" s="63">
        <v>45657</v>
      </c>
      <c r="BH82" s="74">
        <v>42767</v>
      </c>
      <c r="BI82" s="74">
        <v>42894</v>
      </c>
      <c r="BJ82" s="2"/>
      <c r="BK82" s="2"/>
      <c r="BL82" s="1" t="s">
        <v>56</v>
      </c>
    </row>
    <row r="83" spans="1:64" x14ac:dyDescent="0.25">
      <c r="A83" s="81" t="s">
        <v>183</v>
      </c>
      <c r="B83" s="82" t="s">
        <v>1491</v>
      </c>
      <c r="C83" s="81" t="s">
        <v>1492</v>
      </c>
      <c r="D83" s="16">
        <v>0</v>
      </c>
      <c r="E83" s="17"/>
      <c r="F83" s="2" t="s">
        <v>76</v>
      </c>
      <c r="G83" s="2" t="s">
        <v>78</v>
      </c>
      <c r="H83" s="10" t="s">
        <v>57</v>
      </c>
      <c r="I83" s="11" t="s">
        <v>77</v>
      </c>
      <c r="J83" s="11" t="s">
        <v>79</v>
      </c>
      <c r="K83" s="61" t="s">
        <v>80</v>
      </c>
      <c r="L83" s="11" t="s">
        <v>67</v>
      </c>
      <c r="M83" s="25"/>
      <c r="N83" s="82"/>
      <c r="O83" s="3" t="str">
        <f>IF($A83="","",IF(P83=AZ83,"E","A"))</f>
        <v>A</v>
      </c>
      <c r="P83" s="84">
        <v>31771</v>
      </c>
      <c r="Q83" s="84">
        <v>2795</v>
      </c>
      <c r="R83" s="32"/>
      <c r="S83" s="3" t="str">
        <f>IF($A83="","",IF(T83=BA83,"E","A"))</f>
        <v>A</v>
      </c>
      <c r="T83" s="84">
        <v>23969</v>
      </c>
      <c r="U83" s="84">
        <v>1735</v>
      </c>
      <c r="V83" s="32"/>
      <c r="W83" s="3" t="str">
        <f t="shared" si="76"/>
        <v>A</v>
      </c>
      <c r="X83" s="84">
        <v>21134</v>
      </c>
      <c r="Y83" s="84">
        <v>2090</v>
      </c>
      <c r="Z83" s="32"/>
      <c r="AA83" s="3" t="str">
        <f t="shared" si="77"/>
        <v>A</v>
      </c>
      <c r="AB83" s="84">
        <v>19623</v>
      </c>
      <c r="AC83" s="84">
        <v>2980</v>
      </c>
      <c r="AD83" s="36"/>
      <c r="AE83" s="82"/>
      <c r="AF83" s="3" t="str">
        <f t="shared" si="78"/>
        <v>A</v>
      </c>
      <c r="AG83" s="84">
        <v>0</v>
      </c>
      <c r="AH83" s="84">
        <v>0</v>
      </c>
      <c r="AI83" s="39"/>
      <c r="AJ83" s="79" t="s">
        <v>1801</v>
      </c>
      <c r="AK83" s="39"/>
      <c r="AL83" s="4">
        <f t="shared" si="83"/>
        <v>96497</v>
      </c>
      <c r="AM83" s="4">
        <f t="shared" si="84"/>
        <v>9600</v>
      </c>
      <c r="AN83" s="4">
        <f t="shared" si="79"/>
        <v>106097</v>
      </c>
      <c r="AO83" s="39"/>
      <c r="AP83" s="8">
        <f t="shared" si="85"/>
        <v>0</v>
      </c>
      <c r="AQ83" s="8">
        <f t="shared" si="86"/>
        <v>0</v>
      </c>
      <c r="AR83" s="8">
        <f t="shared" si="80"/>
        <v>0</v>
      </c>
      <c r="AS83" s="42"/>
      <c r="AT83" s="84">
        <v>96497</v>
      </c>
      <c r="AU83" s="84">
        <v>9600</v>
      </c>
      <c r="AV83" s="4">
        <f t="shared" si="81"/>
        <v>106097</v>
      </c>
      <c r="AW83" s="50" t="str">
        <f t="shared" si="82"/>
        <v/>
      </c>
      <c r="AX83" s="1" t="s">
        <v>1639</v>
      </c>
      <c r="AY83" s="2" t="s">
        <v>1640</v>
      </c>
      <c r="AZ83" s="2">
        <v>22510.32</v>
      </c>
      <c r="BA83" s="73">
        <v>19696.53</v>
      </c>
      <c r="BB83" s="73">
        <v>19696.53</v>
      </c>
      <c r="BC83" s="73">
        <v>22510.32</v>
      </c>
      <c r="BD83" s="73"/>
      <c r="BE83" s="66">
        <v>0</v>
      </c>
      <c r="BF83" s="66">
        <v>0.02</v>
      </c>
      <c r="BG83" s="63">
        <v>45436</v>
      </c>
      <c r="BH83" s="2"/>
      <c r="BI83" s="2"/>
      <c r="BJ83" s="2">
        <v>142768.5</v>
      </c>
      <c r="BK83" s="2">
        <v>7495.35</v>
      </c>
      <c r="BL83" s="1" t="s">
        <v>56</v>
      </c>
    </row>
    <row r="84" spans="1:64" x14ac:dyDescent="0.25">
      <c r="A84" s="81" t="s">
        <v>185</v>
      </c>
      <c r="B84" s="82" t="s">
        <v>185</v>
      </c>
      <c r="C84" s="81" t="s">
        <v>186</v>
      </c>
      <c r="D84" s="16">
        <v>36402</v>
      </c>
      <c r="E84" s="17"/>
      <c r="F84" s="2" t="s">
        <v>187</v>
      </c>
      <c r="G84" s="2" t="s">
        <v>189</v>
      </c>
      <c r="H84" s="10" t="s">
        <v>57</v>
      </c>
      <c r="I84" s="11" t="s">
        <v>188</v>
      </c>
      <c r="J84" s="11" t="s">
        <v>190</v>
      </c>
      <c r="K84" s="61" t="s">
        <v>191</v>
      </c>
      <c r="L84" s="11" t="s">
        <v>67</v>
      </c>
      <c r="M84" s="25"/>
      <c r="N84" s="82"/>
      <c r="O84" s="3" t="str">
        <f>IF($A84="","",IF(P84=0,"A",IF(P84=AZ84,"E","A")))</f>
        <v>A</v>
      </c>
      <c r="P84" s="84">
        <v>389316.2</v>
      </c>
      <c r="Q84" s="84">
        <v>63229</v>
      </c>
      <c r="R84" s="32"/>
      <c r="S84" s="3" t="str">
        <f>IF($A84="","",IF(T84=0,"A",IF(T84=BA84,"E","A")))</f>
        <v>A</v>
      </c>
      <c r="T84" s="84">
        <v>361611.65</v>
      </c>
      <c r="U84" s="84">
        <v>62862</v>
      </c>
      <c r="V84" s="32"/>
      <c r="W84" s="3" t="str">
        <f t="shared" si="76"/>
        <v>A</v>
      </c>
      <c r="X84" s="84">
        <v>301511.3</v>
      </c>
      <c r="Y84" s="84">
        <v>41036</v>
      </c>
      <c r="Z84" s="32"/>
      <c r="AA84" s="3" t="str">
        <f t="shared" si="77"/>
        <v>A</v>
      </c>
      <c r="AB84" s="84">
        <v>334351.95</v>
      </c>
      <c r="AC84" s="84">
        <v>53124</v>
      </c>
      <c r="AD84" s="36"/>
      <c r="AE84" s="82"/>
      <c r="AF84" s="3" t="str">
        <f t="shared" si="78"/>
        <v>A</v>
      </c>
      <c r="AG84" s="84">
        <v>0</v>
      </c>
      <c r="AH84" s="84">
        <v>0</v>
      </c>
      <c r="AI84" s="38"/>
      <c r="AJ84" s="79" t="s">
        <v>1801</v>
      </c>
      <c r="AK84" s="38"/>
      <c r="AL84" s="4">
        <f t="shared" si="83"/>
        <v>1386791.1</v>
      </c>
      <c r="AM84" s="4">
        <f t="shared" si="84"/>
        <v>220251</v>
      </c>
      <c r="AN84" s="4">
        <f t="shared" si="79"/>
        <v>1607042.1</v>
      </c>
      <c r="AO84" s="38"/>
      <c r="AP84" s="8">
        <f t="shared" si="85"/>
        <v>0</v>
      </c>
      <c r="AQ84" s="8">
        <f t="shared" si="86"/>
        <v>0</v>
      </c>
      <c r="AR84" s="8">
        <f t="shared" si="80"/>
        <v>0</v>
      </c>
      <c r="AS84" s="42"/>
      <c r="AT84" s="84">
        <v>1386791.1000000003</v>
      </c>
      <c r="AU84" s="84">
        <v>220251</v>
      </c>
      <c r="AV84" s="4">
        <f t="shared" si="81"/>
        <v>1607042.1000000003</v>
      </c>
      <c r="AW84" s="50" t="str">
        <f t="shared" si="82"/>
        <v/>
      </c>
      <c r="AX84" s="1" t="s">
        <v>1639</v>
      </c>
      <c r="AY84" s="2" t="s">
        <v>1640</v>
      </c>
      <c r="AZ84" s="2">
        <v>297911.2</v>
      </c>
      <c r="BA84" s="73">
        <v>260672.3</v>
      </c>
      <c r="BB84" s="73">
        <v>260672.3</v>
      </c>
      <c r="BC84" s="73">
        <v>297911.2</v>
      </c>
      <c r="BD84" s="73"/>
      <c r="BE84" s="66">
        <v>2.5000000000000001E-2</v>
      </c>
      <c r="BF84" s="66">
        <v>0.02</v>
      </c>
      <c r="BG84" s="63">
        <v>45527</v>
      </c>
      <c r="BH84" s="2"/>
      <c r="BI84" s="2"/>
      <c r="BJ84" s="2"/>
      <c r="BK84" s="2"/>
      <c r="BL84" s="1" t="s">
        <v>56</v>
      </c>
    </row>
    <row r="85" spans="1:64" x14ac:dyDescent="0.25">
      <c r="A85" s="81" t="s">
        <v>185</v>
      </c>
      <c r="B85" s="82" t="s">
        <v>1547</v>
      </c>
      <c r="C85" s="81" t="s">
        <v>1548</v>
      </c>
      <c r="D85" s="16">
        <v>43804</v>
      </c>
      <c r="E85" s="17"/>
      <c r="F85" s="2" t="s">
        <v>187</v>
      </c>
      <c r="G85" s="2" t="s">
        <v>189</v>
      </c>
      <c r="H85" s="10" t="s">
        <v>57</v>
      </c>
      <c r="I85" s="11" t="s">
        <v>188</v>
      </c>
      <c r="J85" s="11" t="s">
        <v>190</v>
      </c>
      <c r="K85" s="61" t="s">
        <v>191</v>
      </c>
      <c r="L85" s="11" t="s">
        <v>67</v>
      </c>
      <c r="M85" s="25"/>
      <c r="N85" s="82"/>
      <c r="O85" s="3" t="str">
        <f>IF($A85="","",IF(P85=AZ85,"E","A"))</f>
        <v>A</v>
      </c>
      <c r="P85" s="84">
        <v>39715</v>
      </c>
      <c r="Q85" s="84">
        <v>8082</v>
      </c>
      <c r="R85" s="32"/>
      <c r="S85" s="3" t="str">
        <f>IF($A85="","",IF(T85=BA85,"E","A"))</f>
        <v>A</v>
      </c>
      <c r="T85" s="84">
        <v>38503</v>
      </c>
      <c r="U85" s="84">
        <v>10233</v>
      </c>
      <c r="V85" s="32"/>
      <c r="W85" s="3" t="str">
        <f t="shared" si="76"/>
        <v>A</v>
      </c>
      <c r="X85" s="84">
        <v>34758</v>
      </c>
      <c r="Y85" s="84">
        <v>6208</v>
      </c>
      <c r="Z85" s="32"/>
      <c r="AA85" s="3" t="str">
        <f t="shared" si="77"/>
        <v>A</v>
      </c>
      <c r="AB85" s="84">
        <v>29125</v>
      </c>
      <c r="AC85" s="84">
        <v>5784</v>
      </c>
      <c r="AD85" s="36"/>
      <c r="AE85" s="82"/>
      <c r="AF85" s="3" t="str">
        <f t="shared" si="78"/>
        <v>A</v>
      </c>
      <c r="AG85" s="84">
        <v>0</v>
      </c>
      <c r="AH85" s="84">
        <v>0</v>
      </c>
      <c r="AI85" s="39"/>
      <c r="AJ85" s="79" t="s">
        <v>1801</v>
      </c>
      <c r="AK85" s="39"/>
      <c r="AL85" s="4">
        <f t="shared" si="83"/>
        <v>142101</v>
      </c>
      <c r="AM85" s="4">
        <f t="shared" si="84"/>
        <v>30307</v>
      </c>
      <c r="AN85" s="4">
        <f t="shared" si="79"/>
        <v>172408</v>
      </c>
      <c r="AO85" s="39"/>
      <c r="AP85" s="8">
        <f t="shared" si="85"/>
        <v>0</v>
      </c>
      <c r="AQ85" s="8">
        <f t="shared" si="86"/>
        <v>0</v>
      </c>
      <c r="AR85" s="8">
        <f t="shared" si="80"/>
        <v>0</v>
      </c>
      <c r="AS85" s="42"/>
      <c r="AT85" s="84">
        <v>142101</v>
      </c>
      <c r="AU85" s="84">
        <v>30307</v>
      </c>
      <c r="AV85" s="4">
        <f t="shared" si="81"/>
        <v>172408</v>
      </c>
      <c r="AW85" s="50" t="str">
        <f t="shared" si="82"/>
        <v/>
      </c>
      <c r="AX85" s="1" t="s">
        <v>1639</v>
      </c>
      <c r="AY85" s="2" t="s">
        <v>1640</v>
      </c>
      <c r="AZ85" s="2">
        <v>93215.44</v>
      </c>
      <c r="BA85" s="73">
        <v>81563.509999999995</v>
      </c>
      <c r="BB85" s="73">
        <v>81563.509999999995</v>
      </c>
      <c r="BC85" s="73">
        <v>93215.44</v>
      </c>
      <c r="BD85" s="73"/>
      <c r="BE85" s="66">
        <v>0</v>
      </c>
      <c r="BF85" s="66">
        <v>0.02</v>
      </c>
      <c r="BG85" s="63">
        <v>45616</v>
      </c>
      <c r="BH85" s="2"/>
      <c r="BI85" s="2"/>
      <c r="BJ85" s="2">
        <v>357672</v>
      </c>
      <c r="BK85" s="2">
        <v>89418</v>
      </c>
      <c r="BL85" s="1" t="s">
        <v>56</v>
      </c>
    </row>
    <row r="86" spans="1:64" x14ac:dyDescent="0.25">
      <c r="A86" s="81" t="s">
        <v>192</v>
      </c>
      <c r="B86" s="82" t="s">
        <v>192</v>
      </c>
      <c r="C86" s="81" t="s">
        <v>193</v>
      </c>
      <c r="D86" s="16">
        <v>36461</v>
      </c>
      <c r="E86" s="17"/>
      <c r="F86" s="2" t="s">
        <v>52</v>
      </c>
      <c r="G86" s="2" t="s">
        <v>55</v>
      </c>
      <c r="H86" s="10" t="s">
        <v>57</v>
      </c>
      <c r="I86" s="11" t="s">
        <v>54</v>
      </c>
      <c r="J86" s="11" t="s">
        <v>72</v>
      </c>
      <c r="K86" s="61" t="s">
        <v>73</v>
      </c>
      <c r="L86" s="11" t="s">
        <v>67</v>
      </c>
      <c r="M86" s="25"/>
      <c r="N86" s="82"/>
      <c r="O86" s="3" t="str">
        <f>IF($A86="","",IF(P86=0,"A",IF(P86=AZ86,"E","A")))</f>
        <v>A</v>
      </c>
      <c r="P86" s="84">
        <v>110759.7</v>
      </c>
      <c r="Q86" s="84">
        <v>34609</v>
      </c>
      <c r="R86" s="32"/>
      <c r="S86" s="3" t="str">
        <f>IF($A86="","",IF(T86=0,"A",IF(T86=BA86,"E","A")))</f>
        <v>A</v>
      </c>
      <c r="T86" s="84">
        <v>98387.199999999997</v>
      </c>
      <c r="U86" s="84">
        <v>28686.75</v>
      </c>
      <c r="V86" s="32"/>
      <c r="W86" s="3" t="str">
        <f t="shared" si="76"/>
        <v>A</v>
      </c>
      <c r="X86" s="84">
        <v>98294.150000000009</v>
      </c>
      <c r="Y86" s="84">
        <v>23989</v>
      </c>
      <c r="Z86" s="32"/>
      <c r="AA86" s="3" t="str">
        <f t="shared" si="77"/>
        <v>A</v>
      </c>
      <c r="AB86" s="84">
        <v>111492.34</v>
      </c>
      <c r="AC86" s="84">
        <v>27832.86</v>
      </c>
      <c r="AD86" s="36"/>
      <c r="AE86" s="82"/>
      <c r="AF86" s="3" t="str">
        <f t="shared" si="78"/>
        <v>A</v>
      </c>
      <c r="AG86" s="84">
        <v>0</v>
      </c>
      <c r="AH86" s="84">
        <v>0</v>
      </c>
      <c r="AI86" s="38"/>
      <c r="AJ86" s="79" t="s">
        <v>1801</v>
      </c>
      <c r="AK86" s="38"/>
      <c r="AL86" s="4">
        <f t="shared" si="83"/>
        <v>418933.39</v>
      </c>
      <c r="AM86" s="4">
        <f t="shared" si="84"/>
        <v>115117.61</v>
      </c>
      <c r="AN86" s="4">
        <f t="shared" si="79"/>
        <v>534051</v>
      </c>
      <c r="AO86" s="38"/>
      <c r="AP86" s="8">
        <f t="shared" si="85"/>
        <v>0</v>
      </c>
      <c r="AQ86" s="8">
        <f t="shared" si="86"/>
        <v>0</v>
      </c>
      <c r="AR86" s="8">
        <f t="shared" si="80"/>
        <v>0</v>
      </c>
      <c r="AS86" s="42"/>
      <c r="AT86" s="84">
        <v>418933.39</v>
      </c>
      <c r="AU86" s="84">
        <v>115117.61</v>
      </c>
      <c r="AV86" s="4">
        <f t="shared" si="81"/>
        <v>534051</v>
      </c>
      <c r="AW86" s="50" t="str">
        <f t="shared" si="82"/>
        <v/>
      </c>
      <c r="AX86" s="1" t="s">
        <v>1639</v>
      </c>
      <c r="AY86" s="2" t="s">
        <v>1640</v>
      </c>
      <c r="AZ86" s="2">
        <v>178175.44</v>
      </c>
      <c r="BA86" s="73">
        <v>155903.51</v>
      </c>
      <c r="BB86" s="73">
        <v>155903.51</v>
      </c>
      <c r="BC86" s="73">
        <v>178175.44</v>
      </c>
      <c r="BD86" s="73"/>
      <c r="BE86" s="66">
        <v>2.5000000000000001E-2</v>
      </c>
      <c r="BF86" s="66">
        <v>0.02</v>
      </c>
      <c r="BG86" s="63">
        <v>45585</v>
      </c>
      <c r="BH86" s="2"/>
      <c r="BI86" s="74">
        <v>40168</v>
      </c>
      <c r="BJ86" s="2"/>
      <c r="BK86" s="2"/>
      <c r="BL86" s="1" t="s">
        <v>56</v>
      </c>
    </row>
    <row r="87" spans="1:64" x14ac:dyDescent="0.25">
      <c r="A87" s="81" t="s">
        <v>194</v>
      </c>
      <c r="B87" s="82" t="s">
        <v>194</v>
      </c>
      <c r="C87" s="81" t="s">
        <v>195</v>
      </c>
      <c r="D87" s="16">
        <v>38937</v>
      </c>
      <c r="E87" s="17"/>
      <c r="F87" s="2" t="s">
        <v>52</v>
      </c>
      <c r="G87" s="2" t="s">
        <v>55</v>
      </c>
      <c r="H87" s="10" t="s">
        <v>57</v>
      </c>
      <c r="I87" s="11" t="s">
        <v>54</v>
      </c>
      <c r="J87" s="11" t="s">
        <v>68</v>
      </c>
      <c r="K87" s="61" t="s">
        <v>196</v>
      </c>
      <c r="L87" s="11" t="s">
        <v>67</v>
      </c>
      <c r="M87" s="25"/>
      <c r="N87" s="82"/>
      <c r="O87" s="3" t="str">
        <f>IF($A87="","",IF(P87=0,"A",IF(P87=AZ87,"E","A")))</f>
        <v>A</v>
      </c>
      <c r="P87" s="84">
        <v>75611</v>
      </c>
      <c r="Q87" s="84">
        <v>23746</v>
      </c>
      <c r="R87" s="32"/>
      <c r="S87" s="3" t="str">
        <f>IF($A87="","",IF(T87=0,"A",IF(T87=BA87,"E","A")))</f>
        <v>A</v>
      </c>
      <c r="T87" s="84">
        <v>66858.8</v>
      </c>
      <c r="U87" s="84">
        <v>16124</v>
      </c>
      <c r="V87" s="32"/>
      <c r="W87" s="3" t="str">
        <f t="shared" si="76"/>
        <v>A</v>
      </c>
      <c r="X87" s="84">
        <v>69766.399999999994</v>
      </c>
      <c r="Y87" s="84">
        <v>17229</v>
      </c>
      <c r="Z87" s="32"/>
      <c r="AA87" s="3" t="str">
        <f t="shared" si="77"/>
        <v>A</v>
      </c>
      <c r="AB87" s="84">
        <v>81750.899999999994</v>
      </c>
      <c r="AC87" s="84">
        <v>21729</v>
      </c>
      <c r="AD87" s="36"/>
      <c r="AE87" s="82"/>
      <c r="AF87" s="3" t="str">
        <f t="shared" si="78"/>
        <v>A</v>
      </c>
      <c r="AG87" s="84">
        <v>0</v>
      </c>
      <c r="AH87" s="84">
        <v>0</v>
      </c>
      <c r="AI87" s="38"/>
      <c r="AJ87" s="79" t="s">
        <v>1801</v>
      </c>
      <c r="AK87" s="38"/>
      <c r="AL87" s="4">
        <f t="shared" si="83"/>
        <v>293987.09999999998</v>
      </c>
      <c r="AM87" s="4">
        <f t="shared" si="84"/>
        <v>78828</v>
      </c>
      <c r="AN87" s="4">
        <f t="shared" si="79"/>
        <v>372815.1</v>
      </c>
      <c r="AO87" s="38"/>
      <c r="AP87" s="8">
        <f t="shared" si="85"/>
        <v>0</v>
      </c>
      <c r="AQ87" s="8">
        <f t="shared" si="86"/>
        <v>0</v>
      </c>
      <c r="AR87" s="8">
        <f t="shared" si="80"/>
        <v>0</v>
      </c>
      <c r="AS87" s="42"/>
      <c r="AT87" s="84">
        <v>293987.09999999998</v>
      </c>
      <c r="AU87" s="84">
        <v>78828</v>
      </c>
      <c r="AV87" s="4">
        <f t="shared" si="81"/>
        <v>372815.1</v>
      </c>
      <c r="AW87" s="50" t="str">
        <f t="shared" si="82"/>
        <v/>
      </c>
      <c r="AX87" s="1" t="s">
        <v>1639</v>
      </c>
      <c r="AY87" s="2" t="s">
        <v>1640</v>
      </c>
      <c r="AZ87" s="2">
        <v>114620</v>
      </c>
      <c r="BA87" s="73">
        <v>100292.5</v>
      </c>
      <c r="BB87" s="73">
        <v>100292.5</v>
      </c>
      <c r="BC87" s="73">
        <v>114620</v>
      </c>
      <c r="BD87" s="73"/>
      <c r="BE87" s="66">
        <v>2.5000000000000001E-2</v>
      </c>
      <c r="BF87" s="66">
        <v>0.02</v>
      </c>
      <c r="BG87" s="63">
        <v>44416</v>
      </c>
      <c r="BH87" s="2"/>
      <c r="BI87" s="2"/>
      <c r="BJ87" s="2"/>
      <c r="BK87" s="2"/>
      <c r="BL87" s="1" t="s">
        <v>56</v>
      </c>
    </row>
    <row r="88" spans="1:64" x14ac:dyDescent="0.25">
      <c r="A88" s="81" t="s">
        <v>197</v>
      </c>
      <c r="B88" s="82" t="s">
        <v>197</v>
      </c>
      <c r="C88" s="81" t="s">
        <v>198</v>
      </c>
      <c r="D88" s="16">
        <v>36434</v>
      </c>
      <c r="E88" s="17"/>
      <c r="F88" s="2" t="s">
        <v>76</v>
      </c>
      <c r="G88" s="2" t="s">
        <v>78</v>
      </c>
      <c r="H88" s="10" t="s">
        <v>57</v>
      </c>
      <c r="I88" s="11" t="s">
        <v>77</v>
      </c>
      <c r="J88" s="11" t="s">
        <v>87</v>
      </c>
      <c r="K88" s="61" t="s">
        <v>88</v>
      </c>
      <c r="L88" s="11" t="s">
        <v>67</v>
      </c>
      <c r="M88" s="25"/>
      <c r="N88" s="82"/>
      <c r="O88" s="3" t="str">
        <f>IF($A88="","",IF(P88=0,"A",IF(P88=AZ88,"E","A")))</f>
        <v>A</v>
      </c>
      <c r="P88" s="84">
        <v>158533.40000000002</v>
      </c>
      <c r="Q88" s="84">
        <v>54043</v>
      </c>
      <c r="R88" s="32"/>
      <c r="S88" s="3" t="str">
        <f>IF($A88="","",IF(T88=0,"A",IF(T88=BA88,"E","A")))</f>
        <v>A</v>
      </c>
      <c r="T88" s="84">
        <v>146921.20000000001</v>
      </c>
      <c r="U88" s="84">
        <v>43364</v>
      </c>
      <c r="V88" s="32"/>
      <c r="W88" s="3" t="str">
        <f t="shared" si="76"/>
        <v>A</v>
      </c>
      <c r="X88" s="84">
        <v>127331.95</v>
      </c>
      <c r="Y88" s="84">
        <v>44542.5</v>
      </c>
      <c r="Z88" s="32"/>
      <c r="AA88" s="3" t="str">
        <f t="shared" si="77"/>
        <v>A</v>
      </c>
      <c r="AB88" s="84">
        <v>144738.34999999998</v>
      </c>
      <c r="AC88" s="84">
        <v>52063.9</v>
      </c>
      <c r="AD88" s="36"/>
      <c r="AE88" s="82"/>
      <c r="AF88" s="3" t="str">
        <f t="shared" si="78"/>
        <v>A</v>
      </c>
      <c r="AG88" s="84">
        <v>0</v>
      </c>
      <c r="AH88" s="84">
        <v>0</v>
      </c>
      <c r="AI88" s="38"/>
      <c r="AJ88" s="79" t="s">
        <v>1801</v>
      </c>
      <c r="AK88" s="38"/>
      <c r="AL88" s="4">
        <f t="shared" si="83"/>
        <v>577524.9</v>
      </c>
      <c r="AM88" s="4">
        <f t="shared" si="84"/>
        <v>194013.4</v>
      </c>
      <c r="AN88" s="4">
        <f t="shared" si="79"/>
        <v>771538.3</v>
      </c>
      <c r="AO88" s="38"/>
      <c r="AP88" s="8">
        <f t="shared" si="85"/>
        <v>0</v>
      </c>
      <c r="AQ88" s="8">
        <f t="shared" si="86"/>
        <v>0</v>
      </c>
      <c r="AR88" s="8">
        <f t="shared" si="80"/>
        <v>0</v>
      </c>
      <c r="AS88" s="42"/>
      <c r="AT88" s="84">
        <v>577524.90000000014</v>
      </c>
      <c r="AU88" s="84">
        <v>194013.4</v>
      </c>
      <c r="AV88" s="4">
        <f t="shared" si="81"/>
        <v>771538.30000000016</v>
      </c>
      <c r="AW88" s="50" t="str">
        <f t="shared" si="82"/>
        <v/>
      </c>
      <c r="AX88" s="1" t="s">
        <v>1639</v>
      </c>
      <c r="AY88" s="2" t="s">
        <v>1640</v>
      </c>
      <c r="AZ88" s="2">
        <v>154892.4</v>
      </c>
      <c r="BA88" s="73">
        <v>135530.85</v>
      </c>
      <c r="BB88" s="73">
        <v>135530.85</v>
      </c>
      <c r="BC88" s="73">
        <v>154892.4</v>
      </c>
      <c r="BD88" s="73"/>
      <c r="BE88" s="66">
        <v>2.5000000000000001E-2</v>
      </c>
      <c r="BF88" s="66">
        <v>0.02</v>
      </c>
      <c r="BG88" s="63">
        <v>45657</v>
      </c>
      <c r="BH88" s="2"/>
      <c r="BI88" s="2"/>
      <c r="BJ88" s="2"/>
      <c r="BK88" s="2"/>
      <c r="BL88" s="1" t="s">
        <v>56</v>
      </c>
    </row>
    <row r="89" spans="1:64" x14ac:dyDescent="0.25">
      <c r="A89" s="81" t="s">
        <v>197</v>
      </c>
      <c r="B89" s="82" t="s">
        <v>1564</v>
      </c>
      <c r="C89" s="81" t="s">
        <v>1565</v>
      </c>
      <c r="D89" s="16">
        <v>0</v>
      </c>
      <c r="E89" s="17"/>
      <c r="F89" s="2" t="s">
        <v>76</v>
      </c>
      <c r="G89" s="2" t="s">
        <v>78</v>
      </c>
      <c r="H89" s="10" t="s">
        <v>57</v>
      </c>
      <c r="I89" s="11" t="s">
        <v>77</v>
      </c>
      <c r="J89" s="11" t="s">
        <v>87</v>
      </c>
      <c r="K89" s="61" t="s">
        <v>88</v>
      </c>
      <c r="L89" s="11" t="s">
        <v>67</v>
      </c>
      <c r="M89" s="25"/>
      <c r="N89" s="82"/>
      <c r="O89" s="3" t="str">
        <f>IF($A89="","",IF(P89=AZ89,"E","A"))</f>
        <v>A</v>
      </c>
      <c r="P89" s="84">
        <v>15961</v>
      </c>
      <c r="Q89" s="84">
        <v>3619</v>
      </c>
      <c r="R89" s="32"/>
      <c r="S89" s="3" t="str">
        <f>IF($A89="","",IF(T89=BA89,"E","A"))</f>
        <v>A</v>
      </c>
      <c r="T89" s="84">
        <v>11004</v>
      </c>
      <c r="U89" s="84">
        <v>1942</v>
      </c>
      <c r="V89" s="32"/>
      <c r="W89" s="3" t="str">
        <f t="shared" si="76"/>
        <v>A</v>
      </c>
      <c r="X89" s="84">
        <v>16417</v>
      </c>
      <c r="Y89" s="84">
        <v>3350</v>
      </c>
      <c r="Z89" s="32"/>
      <c r="AA89" s="3" t="str">
        <f t="shared" si="77"/>
        <v>A</v>
      </c>
      <c r="AB89" s="84">
        <v>17676</v>
      </c>
      <c r="AC89" s="84">
        <v>4018</v>
      </c>
      <c r="AD89" s="36"/>
      <c r="AE89" s="82"/>
      <c r="AF89" s="3" t="str">
        <f t="shared" si="78"/>
        <v>A</v>
      </c>
      <c r="AG89" s="84">
        <v>0</v>
      </c>
      <c r="AH89" s="84">
        <v>0</v>
      </c>
      <c r="AI89" s="39"/>
      <c r="AJ89" s="79" t="s">
        <v>1801</v>
      </c>
      <c r="AK89" s="39"/>
      <c r="AL89" s="4">
        <f t="shared" si="83"/>
        <v>61058</v>
      </c>
      <c r="AM89" s="4">
        <f t="shared" si="84"/>
        <v>12929</v>
      </c>
      <c r="AN89" s="4">
        <f t="shared" si="79"/>
        <v>73987</v>
      </c>
      <c r="AO89" s="39"/>
      <c r="AP89" s="8">
        <f t="shared" si="85"/>
        <v>0</v>
      </c>
      <c r="AQ89" s="8">
        <f t="shared" si="86"/>
        <v>0</v>
      </c>
      <c r="AR89" s="8">
        <f t="shared" si="80"/>
        <v>0</v>
      </c>
      <c r="AS89" s="42"/>
      <c r="AT89" s="84">
        <v>61058</v>
      </c>
      <c r="AU89" s="84">
        <v>12929</v>
      </c>
      <c r="AV89" s="4">
        <f t="shared" si="81"/>
        <v>73987</v>
      </c>
      <c r="AW89" s="50" t="str">
        <f t="shared" si="82"/>
        <v/>
      </c>
      <c r="AX89" s="1" t="s">
        <v>1639</v>
      </c>
      <c r="AY89" s="2" t="s">
        <v>1640</v>
      </c>
      <c r="AZ89" s="2">
        <v>23455.599999999999</v>
      </c>
      <c r="BA89" s="73">
        <v>20523.650000000001</v>
      </c>
      <c r="BB89" s="73">
        <v>20523.650000000001</v>
      </c>
      <c r="BC89" s="73">
        <v>23455.599999999999</v>
      </c>
      <c r="BD89" s="73"/>
      <c r="BE89" s="66">
        <v>0</v>
      </c>
      <c r="BF89" s="66">
        <v>0.05</v>
      </c>
      <c r="BG89" s="63">
        <v>45627</v>
      </c>
      <c r="BH89" s="2"/>
      <c r="BI89" s="2"/>
      <c r="BJ89" s="2">
        <v>90000</v>
      </c>
      <c r="BK89" s="2">
        <v>4725</v>
      </c>
      <c r="BL89" s="1" t="s">
        <v>56</v>
      </c>
    </row>
    <row r="90" spans="1:64" x14ac:dyDescent="0.25">
      <c r="A90" s="81" t="s">
        <v>199</v>
      </c>
      <c r="B90" s="82" t="s">
        <v>199</v>
      </c>
      <c r="C90" s="81" t="s">
        <v>200</v>
      </c>
      <c r="D90" s="16">
        <v>36957</v>
      </c>
      <c r="E90" s="17"/>
      <c r="F90" s="2" t="s">
        <v>201</v>
      </c>
      <c r="G90" s="2" t="s">
        <v>202</v>
      </c>
      <c r="H90" s="10" t="s">
        <v>57</v>
      </c>
      <c r="I90" s="11" t="s">
        <v>53</v>
      </c>
      <c r="J90" s="11" t="s">
        <v>156</v>
      </c>
      <c r="K90" s="61"/>
      <c r="L90" s="11" t="s">
        <v>67</v>
      </c>
      <c r="M90" s="25"/>
      <c r="N90" s="82"/>
      <c r="O90" s="3" t="str">
        <f t="shared" ref="O90:O101" si="87">IF($A90="","",IF(P90=0,"A",IF(P90=AZ90,"E","A")))</f>
        <v>A</v>
      </c>
      <c r="P90" s="84">
        <v>108085</v>
      </c>
      <c r="Q90" s="84">
        <v>21798</v>
      </c>
      <c r="R90" s="32"/>
      <c r="S90" s="3" t="str">
        <f t="shared" ref="S90:S101" si="88">IF($A90="","",IF(T90=0,"A",IF(T90=BA90,"E","A")))</f>
        <v>A</v>
      </c>
      <c r="T90" s="84">
        <v>93097</v>
      </c>
      <c r="U90" s="84">
        <v>17671</v>
      </c>
      <c r="V90" s="32"/>
      <c r="W90" s="3" t="str">
        <f t="shared" si="76"/>
        <v>A</v>
      </c>
      <c r="X90" s="84">
        <v>79325</v>
      </c>
      <c r="Y90" s="84">
        <v>16719</v>
      </c>
      <c r="Z90" s="32"/>
      <c r="AA90" s="3" t="str">
        <f t="shared" si="77"/>
        <v>A</v>
      </c>
      <c r="AB90" s="84">
        <v>88055</v>
      </c>
      <c r="AC90" s="84">
        <v>16261</v>
      </c>
      <c r="AD90" s="36"/>
      <c r="AE90" s="82"/>
      <c r="AF90" s="3" t="str">
        <f t="shared" si="78"/>
        <v>A</v>
      </c>
      <c r="AG90" s="84">
        <v>0</v>
      </c>
      <c r="AH90" s="84">
        <v>0</v>
      </c>
      <c r="AI90" s="39"/>
      <c r="AJ90" s="79" t="s">
        <v>1801</v>
      </c>
      <c r="AK90" s="39"/>
      <c r="AL90" s="4">
        <f t="shared" si="83"/>
        <v>368562</v>
      </c>
      <c r="AM90" s="4">
        <f t="shared" si="84"/>
        <v>72449</v>
      </c>
      <c r="AN90" s="4">
        <f t="shared" si="79"/>
        <v>441011</v>
      </c>
      <c r="AO90" s="39"/>
      <c r="AP90" s="8">
        <f t="shared" si="85"/>
        <v>0</v>
      </c>
      <c r="AQ90" s="8">
        <f t="shared" si="86"/>
        <v>0</v>
      </c>
      <c r="AR90" s="8">
        <f t="shared" si="80"/>
        <v>0</v>
      </c>
      <c r="AS90" s="42"/>
      <c r="AT90" s="84">
        <v>368562</v>
      </c>
      <c r="AU90" s="84">
        <v>72449</v>
      </c>
      <c r="AV90" s="4">
        <f t="shared" si="81"/>
        <v>441011</v>
      </c>
      <c r="AW90" s="50" t="str">
        <f t="shared" si="82"/>
        <v/>
      </c>
      <c r="AX90" s="1" t="s">
        <v>1656</v>
      </c>
      <c r="AY90" s="2" t="s">
        <v>1657</v>
      </c>
      <c r="AZ90" s="2">
        <v>130535.28</v>
      </c>
      <c r="BA90" s="77">
        <v>114218.37</v>
      </c>
      <c r="BB90" s="77">
        <v>114218.37</v>
      </c>
      <c r="BC90" s="77">
        <v>130535.28</v>
      </c>
      <c r="BD90" s="77"/>
      <c r="BE90" s="66">
        <v>3.5000000000000003E-2</v>
      </c>
      <c r="BF90" s="66">
        <v>0.05</v>
      </c>
      <c r="BG90" s="63">
        <v>44262</v>
      </c>
      <c r="BH90" s="2"/>
      <c r="BI90" s="2"/>
      <c r="BJ90" s="2"/>
      <c r="BK90" s="2"/>
      <c r="BL90" s="1" t="s">
        <v>56</v>
      </c>
    </row>
    <row r="91" spans="1:64" x14ac:dyDescent="0.25">
      <c r="A91" s="81" t="s">
        <v>203</v>
      </c>
      <c r="B91" s="82" t="s">
        <v>203</v>
      </c>
      <c r="C91" s="81" t="s">
        <v>204</v>
      </c>
      <c r="D91" s="16">
        <v>36567</v>
      </c>
      <c r="E91" s="17"/>
      <c r="F91" s="2" t="s">
        <v>52</v>
      </c>
      <c r="G91" s="2" t="s">
        <v>55</v>
      </c>
      <c r="H91" s="10" t="s">
        <v>57</v>
      </c>
      <c r="I91" s="11" t="s">
        <v>54</v>
      </c>
      <c r="J91" s="11" t="s">
        <v>139</v>
      </c>
      <c r="K91" s="61" t="s">
        <v>140</v>
      </c>
      <c r="L91" s="11" t="s">
        <v>67</v>
      </c>
      <c r="M91" s="25"/>
      <c r="N91" s="82"/>
      <c r="O91" s="3" t="str">
        <f t="shared" si="87"/>
        <v>A</v>
      </c>
      <c r="P91" s="84">
        <v>222520.13999999998</v>
      </c>
      <c r="Q91" s="84">
        <v>47951.43</v>
      </c>
      <c r="R91" s="32"/>
      <c r="S91" s="3" t="str">
        <f t="shared" si="88"/>
        <v>A</v>
      </c>
      <c r="T91" s="84">
        <v>197650.47</v>
      </c>
      <c r="U91" s="84">
        <v>34639</v>
      </c>
      <c r="V91" s="32"/>
      <c r="W91" s="3" t="str">
        <f t="shared" si="76"/>
        <v>A</v>
      </c>
      <c r="X91" s="84">
        <v>177681.33000000002</v>
      </c>
      <c r="Y91" s="84">
        <v>30310.52</v>
      </c>
      <c r="Z91" s="32"/>
      <c r="AA91" s="3" t="str">
        <f t="shared" si="77"/>
        <v>A</v>
      </c>
      <c r="AB91" s="84">
        <v>193328.25000000003</v>
      </c>
      <c r="AC91" s="84">
        <v>31502</v>
      </c>
      <c r="AD91" s="36"/>
      <c r="AE91" s="82"/>
      <c r="AF91" s="3" t="str">
        <f t="shared" si="78"/>
        <v>A</v>
      </c>
      <c r="AG91" s="84">
        <v>0</v>
      </c>
      <c r="AH91" s="84">
        <v>0</v>
      </c>
      <c r="AI91" s="39"/>
      <c r="AJ91" s="79" t="s">
        <v>1801</v>
      </c>
      <c r="AK91" s="39"/>
      <c r="AL91" s="4">
        <f t="shared" si="83"/>
        <v>791180.19</v>
      </c>
      <c r="AM91" s="4">
        <f t="shared" si="84"/>
        <v>144402.95000000001</v>
      </c>
      <c r="AN91" s="4">
        <f t="shared" si="79"/>
        <v>935583.1399999999</v>
      </c>
      <c r="AO91" s="39"/>
      <c r="AP91" s="8">
        <f t="shared" si="85"/>
        <v>0</v>
      </c>
      <c r="AQ91" s="8">
        <f t="shared" si="86"/>
        <v>0</v>
      </c>
      <c r="AR91" s="8">
        <f t="shared" si="80"/>
        <v>0</v>
      </c>
      <c r="AS91" s="42"/>
      <c r="AT91" s="84">
        <v>791180.19</v>
      </c>
      <c r="AU91" s="84">
        <v>144402.95000000001</v>
      </c>
      <c r="AV91" s="4">
        <f t="shared" si="81"/>
        <v>935583.1399999999</v>
      </c>
      <c r="AW91" s="50" t="str">
        <f t="shared" si="82"/>
        <v/>
      </c>
      <c r="AX91" s="1" t="s">
        <v>1639</v>
      </c>
      <c r="AY91" s="2" t="s">
        <v>1640</v>
      </c>
      <c r="AZ91" s="2">
        <v>291382.08</v>
      </c>
      <c r="BA91" s="73">
        <v>254959.32</v>
      </c>
      <c r="BB91" s="73">
        <v>254959.32</v>
      </c>
      <c r="BC91" s="73">
        <v>291382.08</v>
      </c>
      <c r="BD91" s="73"/>
      <c r="BE91" s="66">
        <v>2.5000000000000001E-2</v>
      </c>
      <c r="BF91" s="66">
        <v>0.02</v>
      </c>
      <c r="BG91" s="63">
        <v>45657</v>
      </c>
      <c r="BH91" s="2"/>
      <c r="BI91" s="2"/>
      <c r="BJ91" s="2"/>
      <c r="BK91" s="2"/>
      <c r="BL91" s="1" t="s">
        <v>56</v>
      </c>
    </row>
    <row r="92" spans="1:64" x14ac:dyDescent="0.25">
      <c r="A92" s="81" t="s">
        <v>205</v>
      </c>
      <c r="B92" s="82" t="s">
        <v>205</v>
      </c>
      <c r="C92" s="81" t="s">
        <v>206</v>
      </c>
      <c r="D92" s="16">
        <v>36617</v>
      </c>
      <c r="E92" s="17"/>
      <c r="F92" s="2" t="s">
        <v>171</v>
      </c>
      <c r="G92" s="2" t="s">
        <v>172</v>
      </c>
      <c r="H92" s="10" t="s">
        <v>105</v>
      </c>
      <c r="I92" s="11" t="s">
        <v>53</v>
      </c>
      <c r="J92" s="11" t="s">
        <v>145</v>
      </c>
      <c r="K92" s="61"/>
      <c r="L92" s="11" t="s">
        <v>67</v>
      </c>
      <c r="M92" s="25"/>
      <c r="N92" s="82"/>
      <c r="O92" s="3" t="str">
        <f t="shared" si="87"/>
        <v>A</v>
      </c>
      <c r="P92" s="84">
        <v>271749</v>
      </c>
      <c r="Q92" s="84">
        <v>86646.5</v>
      </c>
      <c r="R92" s="32"/>
      <c r="S92" s="3" t="str">
        <f t="shared" si="88"/>
        <v>A</v>
      </c>
      <c r="T92" s="84">
        <v>232845</v>
      </c>
      <c r="U92" s="84">
        <v>74140</v>
      </c>
      <c r="V92" s="32"/>
      <c r="W92" s="3" t="str">
        <f t="shared" si="76"/>
        <v>A</v>
      </c>
      <c r="X92" s="84">
        <v>195173</v>
      </c>
      <c r="Y92" s="84">
        <v>61573</v>
      </c>
      <c r="Z92" s="32"/>
      <c r="AA92" s="3" t="str">
        <f t="shared" si="77"/>
        <v>A</v>
      </c>
      <c r="AB92" s="84">
        <v>236171</v>
      </c>
      <c r="AC92" s="84">
        <v>70549</v>
      </c>
      <c r="AD92" s="36"/>
      <c r="AE92" s="82"/>
      <c r="AF92" s="3" t="str">
        <f t="shared" si="78"/>
        <v>A</v>
      </c>
      <c r="AG92" s="84">
        <v>0</v>
      </c>
      <c r="AH92" s="84">
        <v>0</v>
      </c>
      <c r="AI92" s="39"/>
      <c r="AJ92" s="79" t="s">
        <v>1801</v>
      </c>
      <c r="AK92" s="39"/>
      <c r="AL92" s="4">
        <f t="shared" si="83"/>
        <v>935938</v>
      </c>
      <c r="AM92" s="4">
        <f t="shared" si="84"/>
        <v>292908.5</v>
      </c>
      <c r="AN92" s="4">
        <f t="shared" si="79"/>
        <v>1228846.5</v>
      </c>
      <c r="AO92" s="39"/>
      <c r="AP92" s="8">
        <f t="shared" si="85"/>
        <v>0</v>
      </c>
      <c r="AQ92" s="8">
        <f t="shared" si="86"/>
        <v>0</v>
      </c>
      <c r="AR92" s="8">
        <f t="shared" si="80"/>
        <v>0</v>
      </c>
      <c r="AS92" s="42"/>
      <c r="AT92" s="84">
        <v>935938</v>
      </c>
      <c r="AU92" s="84">
        <v>292908.5</v>
      </c>
      <c r="AV92" s="4">
        <f t="shared" si="81"/>
        <v>1228846.5</v>
      </c>
      <c r="AW92" s="50" t="str">
        <f t="shared" si="82"/>
        <v/>
      </c>
      <c r="AX92" s="1" t="s">
        <v>1654</v>
      </c>
      <c r="AY92" s="2" t="s">
        <v>1655</v>
      </c>
      <c r="AZ92" s="2">
        <v>287899.36</v>
      </c>
      <c r="BA92" s="73">
        <v>251911.94</v>
      </c>
      <c r="BB92" s="73">
        <v>251911.94</v>
      </c>
      <c r="BC92" s="73">
        <v>287899.36</v>
      </c>
      <c r="BD92" s="73"/>
      <c r="BE92" s="66">
        <v>3.5000000000000003E-2</v>
      </c>
      <c r="BF92" s="66">
        <v>0.05</v>
      </c>
      <c r="BG92" s="63">
        <v>45496</v>
      </c>
      <c r="BH92" s="2"/>
      <c r="BI92" s="2"/>
      <c r="BJ92" s="2"/>
      <c r="BK92" s="2"/>
      <c r="BL92" s="1" t="s">
        <v>104</v>
      </c>
    </row>
    <row r="93" spans="1:64" x14ac:dyDescent="0.25">
      <c r="A93" s="81" t="s">
        <v>205</v>
      </c>
      <c r="B93" s="82" t="s">
        <v>684</v>
      </c>
      <c r="C93" s="81" t="s">
        <v>685</v>
      </c>
      <c r="D93" s="16">
        <v>40408</v>
      </c>
      <c r="E93" s="17"/>
      <c r="F93" s="2" t="s">
        <v>171</v>
      </c>
      <c r="G93" s="2" t="s">
        <v>172</v>
      </c>
      <c r="H93" s="10" t="s">
        <v>105</v>
      </c>
      <c r="I93" s="11" t="s">
        <v>53</v>
      </c>
      <c r="J93" s="11" t="s">
        <v>145</v>
      </c>
      <c r="K93" s="61"/>
      <c r="L93" s="11" t="s">
        <v>67</v>
      </c>
      <c r="M93" s="25"/>
      <c r="N93" s="82"/>
      <c r="O93" s="3" t="str">
        <f t="shared" si="87"/>
        <v>A</v>
      </c>
      <c r="P93" s="84">
        <v>152222</v>
      </c>
      <c r="Q93" s="84">
        <v>69499</v>
      </c>
      <c r="R93" s="32"/>
      <c r="S93" s="3" t="str">
        <f t="shared" si="88"/>
        <v>A</v>
      </c>
      <c r="T93" s="84">
        <v>138055</v>
      </c>
      <c r="U93" s="84">
        <v>66672</v>
      </c>
      <c r="V93" s="32"/>
      <c r="W93" s="3" t="str">
        <f t="shared" si="76"/>
        <v>A</v>
      </c>
      <c r="X93" s="84">
        <v>105629</v>
      </c>
      <c r="Y93" s="84">
        <v>54245</v>
      </c>
      <c r="Z93" s="32"/>
      <c r="AA93" s="3" t="str">
        <f t="shared" si="77"/>
        <v>A</v>
      </c>
      <c r="AB93" s="84">
        <v>108250</v>
      </c>
      <c r="AC93" s="84">
        <v>50340</v>
      </c>
      <c r="AD93" s="36"/>
      <c r="AE93" s="82"/>
      <c r="AF93" s="3" t="str">
        <f t="shared" si="78"/>
        <v>A</v>
      </c>
      <c r="AG93" s="84">
        <v>0</v>
      </c>
      <c r="AH93" s="84">
        <v>0</v>
      </c>
      <c r="AI93" s="39"/>
      <c r="AJ93" s="79" t="s">
        <v>1801</v>
      </c>
      <c r="AK93" s="39"/>
      <c r="AL93" s="4">
        <f t="shared" si="83"/>
        <v>504156</v>
      </c>
      <c r="AM93" s="4">
        <f t="shared" si="84"/>
        <v>240756</v>
      </c>
      <c r="AN93" s="4">
        <f t="shared" si="79"/>
        <v>744912</v>
      </c>
      <c r="AO93" s="39"/>
      <c r="AP93" s="8">
        <f t="shared" si="85"/>
        <v>0</v>
      </c>
      <c r="AQ93" s="8">
        <f t="shared" si="86"/>
        <v>0</v>
      </c>
      <c r="AR93" s="8">
        <f t="shared" si="80"/>
        <v>0</v>
      </c>
      <c r="AS93" s="42"/>
      <c r="AT93" s="84">
        <v>504156</v>
      </c>
      <c r="AU93" s="84">
        <v>240756</v>
      </c>
      <c r="AV93" s="4">
        <f t="shared" si="81"/>
        <v>744912</v>
      </c>
      <c r="AW93" s="50" t="str">
        <f t="shared" si="82"/>
        <v/>
      </c>
      <c r="AX93" s="1" t="s">
        <v>1654</v>
      </c>
      <c r="AY93" s="2" t="s">
        <v>1655</v>
      </c>
      <c r="AZ93" s="2">
        <v>129317.84</v>
      </c>
      <c r="BA93" s="73">
        <v>113153.11</v>
      </c>
      <c r="BB93" s="73">
        <v>113153.11</v>
      </c>
      <c r="BC93" s="73">
        <v>129317.84</v>
      </c>
      <c r="BD93" s="73"/>
      <c r="BE93" s="66">
        <v>3.5000000000000003E-2</v>
      </c>
      <c r="BF93" s="66">
        <v>0.05</v>
      </c>
      <c r="BG93" s="63">
        <v>45496</v>
      </c>
      <c r="BH93" s="74">
        <v>43922</v>
      </c>
      <c r="BI93" s="74">
        <v>43934</v>
      </c>
      <c r="BJ93" s="2"/>
      <c r="BK93" s="2"/>
      <c r="BL93" s="1" t="s">
        <v>104</v>
      </c>
    </row>
    <row r="94" spans="1:64" x14ac:dyDescent="0.25">
      <c r="A94" s="81" t="s">
        <v>205</v>
      </c>
      <c r="B94" s="82" t="s">
        <v>909</v>
      </c>
      <c r="C94" s="81" t="s">
        <v>910</v>
      </c>
      <c r="D94" s="16">
        <v>0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82"/>
      <c r="O94" s="3" t="str">
        <f t="shared" si="87"/>
        <v>A</v>
      </c>
      <c r="P94" s="84">
        <v>71674</v>
      </c>
      <c r="Q94" s="84">
        <v>35908</v>
      </c>
      <c r="R94" s="32"/>
      <c r="S94" s="3" t="str">
        <f t="shared" si="88"/>
        <v>A</v>
      </c>
      <c r="T94" s="84">
        <v>63911</v>
      </c>
      <c r="U94" s="84">
        <v>30892</v>
      </c>
      <c r="V94" s="32"/>
      <c r="W94" s="3" t="str">
        <f t="shared" si="76"/>
        <v>A</v>
      </c>
      <c r="X94" s="84">
        <v>54488</v>
      </c>
      <c r="Y94" s="84">
        <v>21715</v>
      </c>
      <c r="Z94" s="32"/>
      <c r="AA94" s="3" t="str">
        <f t="shared" si="77"/>
        <v>A</v>
      </c>
      <c r="AB94" s="84">
        <v>56184</v>
      </c>
      <c r="AC94" s="84">
        <v>28420</v>
      </c>
      <c r="AD94" s="36"/>
      <c r="AE94" s="82"/>
      <c r="AF94" s="3" t="str">
        <f t="shared" si="78"/>
        <v>A</v>
      </c>
      <c r="AG94" s="84">
        <v>0</v>
      </c>
      <c r="AH94" s="84">
        <v>0</v>
      </c>
      <c r="AI94" s="39"/>
      <c r="AJ94" s="79" t="s">
        <v>1801</v>
      </c>
      <c r="AK94" s="39"/>
      <c r="AL94" s="4">
        <f t="shared" si="83"/>
        <v>246257</v>
      </c>
      <c r="AM94" s="4">
        <f t="shared" si="84"/>
        <v>116935</v>
      </c>
      <c r="AN94" s="4">
        <f t="shared" si="79"/>
        <v>363192</v>
      </c>
      <c r="AO94" s="39"/>
      <c r="AP94" s="8">
        <f t="shared" si="85"/>
        <v>0</v>
      </c>
      <c r="AQ94" s="8">
        <f t="shared" si="86"/>
        <v>0</v>
      </c>
      <c r="AR94" s="8">
        <f t="shared" si="80"/>
        <v>0</v>
      </c>
      <c r="AS94" s="42"/>
      <c r="AT94" s="84">
        <v>246257</v>
      </c>
      <c r="AU94" s="84">
        <v>116935</v>
      </c>
      <c r="AV94" s="4">
        <f t="shared" si="81"/>
        <v>363192</v>
      </c>
      <c r="AW94" s="50" t="str">
        <f t="shared" si="82"/>
        <v/>
      </c>
      <c r="AX94" s="1" t="s">
        <v>1654</v>
      </c>
      <c r="AY94" s="2" t="s">
        <v>1655</v>
      </c>
      <c r="AZ94" s="2">
        <v>172508.48</v>
      </c>
      <c r="BA94" s="73">
        <v>150944.92000000001</v>
      </c>
      <c r="BB94" s="73">
        <v>150944.92000000001</v>
      </c>
      <c r="BC94" s="73">
        <v>172508.48</v>
      </c>
      <c r="BD94" s="73"/>
      <c r="BE94" s="66">
        <v>0</v>
      </c>
      <c r="BF94" s="66">
        <v>0.05</v>
      </c>
      <c r="BG94" s="63">
        <v>45496</v>
      </c>
      <c r="BH94" s="2"/>
      <c r="BI94" s="2"/>
      <c r="BJ94" s="2"/>
      <c r="BK94" s="2"/>
      <c r="BL94" s="1" t="s">
        <v>104</v>
      </c>
    </row>
    <row r="95" spans="1:64" x14ac:dyDescent="0.25">
      <c r="A95" s="81" t="s">
        <v>207</v>
      </c>
      <c r="B95" s="82" t="s">
        <v>207</v>
      </c>
      <c r="C95" s="81" t="s">
        <v>208</v>
      </c>
      <c r="D95" s="16">
        <v>29843</v>
      </c>
      <c r="E95" s="17"/>
      <c r="F95" s="2" t="s">
        <v>52</v>
      </c>
      <c r="G95" s="2" t="s">
        <v>55</v>
      </c>
      <c r="H95" s="10" t="s">
        <v>57</v>
      </c>
      <c r="I95" s="11" t="s">
        <v>54</v>
      </c>
      <c r="J95" s="11" t="s">
        <v>83</v>
      </c>
      <c r="K95" s="61" t="s">
        <v>84</v>
      </c>
      <c r="L95" s="11" t="s">
        <v>67</v>
      </c>
      <c r="M95" s="25"/>
      <c r="N95" s="82"/>
      <c r="O95" s="3" t="str">
        <f t="shared" si="87"/>
        <v>A</v>
      </c>
      <c r="P95" s="84">
        <v>84543.17</v>
      </c>
      <c r="Q95" s="84">
        <v>12376.29</v>
      </c>
      <c r="R95" s="32"/>
      <c r="S95" s="3" t="str">
        <f t="shared" si="88"/>
        <v>A</v>
      </c>
      <c r="T95" s="84">
        <v>68236.23</v>
      </c>
      <c r="U95" s="84">
        <v>9672.36</v>
      </c>
      <c r="V95" s="32"/>
      <c r="W95" s="3" t="str">
        <f t="shared" si="76"/>
        <v>A</v>
      </c>
      <c r="X95" s="84">
        <v>80394.05</v>
      </c>
      <c r="Y95" s="84">
        <v>12787</v>
      </c>
      <c r="Z95" s="32"/>
      <c r="AA95" s="3" t="str">
        <f t="shared" si="77"/>
        <v>A</v>
      </c>
      <c r="AB95" s="84">
        <v>116738.00000000001</v>
      </c>
      <c r="AC95" s="84">
        <v>16027</v>
      </c>
      <c r="AD95" s="36"/>
      <c r="AE95" s="82"/>
      <c r="AF95" s="3" t="str">
        <f t="shared" si="78"/>
        <v>A</v>
      </c>
      <c r="AG95" s="84">
        <v>0</v>
      </c>
      <c r="AH95" s="84">
        <v>0</v>
      </c>
      <c r="AI95" s="39"/>
      <c r="AJ95" s="79" t="s">
        <v>1801</v>
      </c>
      <c r="AK95" s="39"/>
      <c r="AL95" s="4">
        <f t="shared" si="83"/>
        <v>349911.45</v>
      </c>
      <c r="AM95" s="4">
        <f t="shared" si="84"/>
        <v>50862.65</v>
      </c>
      <c r="AN95" s="4">
        <f t="shared" si="79"/>
        <v>400774.10000000003</v>
      </c>
      <c r="AO95" s="39"/>
      <c r="AP95" s="8">
        <f t="shared" si="85"/>
        <v>0</v>
      </c>
      <c r="AQ95" s="8">
        <f t="shared" si="86"/>
        <v>0</v>
      </c>
      <c r="AR95" s="8">
        <f t="shared" si="80"/>
        <v>0</v>
      </c>
      <c r="AS95" s="42"/>
      <c r="AT95" s="84">
        <v>349911.45</v>
      </c>
      <c r="AU95" s="84">
        <v>50862.65</v>
      </c>
      <c r="AV95" s="4">
        <f t="shared" si="81"/>
        <v>400774.10000000003</v>
      </c>
      <c r="AW95" s="50" t="str">
        <f t="shared" si="82"/>
        <v/>
      </c>
      <c r="AX95" s="1" t="s">
        <v>1639</v>
      </c>
      <c r="AY95" s="2" t="s">
        <v>1640</v>
      </c>
      <c r="AZ95" s="2">
        <v>104281.92</v>
      </c>
      <c r="BA95" s="73">
        <v>91246.68</v>
      </c>
      <c r="BB95" s="73">
        <v>91246.68</v>
      </c>
      <c r="BC95" s="73">
        <v>104281.92</v>
      </c>
      <c r="BD95" s="73"/>
      <c r="BE95" s="66">
        <v>2.5000000000000001E-2</v>
      </c>
      <c r="BF95" s="66">
        <v>0.02</v>
      </c>
      <c r="BG95" s="63">
        <v>45657</v>
      </c>
      <c r="BH95" s="2"/>
      <c r="BI95" s="2"/>
      <c r="BJ95" s="2"/>
      <c r="BK95" s="2"/>
      <c r="BL95" s="1" t="s">
        <v>56</v>
      </c>
    </row>
    <row r="96" spans="1:64" x14ac:dyDescent="0.25">
      <c r="A96" s="81" t="s">
        <v>209</v>
      </c>
      <c r="B96" s="82" t="s">
        <v>209</v>
      </c>
      <c r="C96" s="81" t="s">
        <v>210</v>
      </c>
      <c r="D96" s="16">
        <v>36722</v>
      </c>
      <c r="E96" s="17"/>
      <c r="F96" s="2" t="s">
        <v>52</v>
      </c>
      <c r="G96" s="2" t="s">
        <v>55</v>
      </c>
      <c r="H96" s="10" t="s">
        <v>57</v>
      </c>
      <c r="I96" s="11" t="s">
        <v>54</v>
      </c>
      <c r="J96" s="11" t="s">
        <v>83</v>
      </c>
      <c r="K96" s="61" t="s">
        <v>84</v>
      </c>
      <c r="L96" s="11" t="s">
        <v>67</v>
      </c>
      <c r="M96" s="25"/>
      <c r="N96" s="82"/>
      <c r="O96" s="3" t="str">
        <f t="shared" si="87"/>
        <v>A</v>
      </c>
      <c r="P96" s="84">
        <v>104234</v>
      </c>
      <c r="Q96" s="84">
        <v>22295</v>
      </c>
      <c r="R96" s="32"/>
      <c r="S96" s="3" t="str">
        <f t="shared" si="88"/>
        <v>A</v>
      </c>
      <c r="T96" s="84">
        <v>89962.8</v>
      </c>
      <c r="U96" s="84">
        <v>19096</v>
      </c>
      <c r="V96" s="32"/>
      <c r="W96" s="3" t="str">
        <f t="shared" si="76"/>
        <v>A</v>
      </c>
      <c r="X96" s="84">
        <v>82962</v>
      </c>
      <c r="Y96" s="84">
        <v>18964</v>
      </c>
      <c r="Z96" s="32"/>
      <c r="AA96" s="3" t="str">
        <f t="shared" si="77"/>
        <v>A</v>
      </c>
      <c r="AB96" s="84">
        <v>97924.33</v>
      </c>
      <c r="AC96" s="84">
        <v>23035.57</v>
      </c>
      <c r="AD96" s="36"/>
      <c r="AE96" s="82"/>
      <c r="AF96" s="3" t="str">
        <f t="shared" si="78"/>
        <v>A</v>
      </c>
      <c r="AG96" s="84">
        <v>0</v>
      </c>
      <c r="AH96" s="84">
        <v>0</v>
      </c>
      <c r="AI96" s="39"/>
      <c r="AJ96" s="79" t="s">
        <v>1801</v>
      </c>
      <c r="AK96" s="39"/>
      <c r="AL96" s="4">
        <f t="shared" si="83"/>
        <v>375083.13</v>
      </c>
      <c r="AM96" s="4">
        <f t="shared" si="84"/>
        <v>83390.570000000007</v>
      </c>
      <c r="AN96" s="4">
        <f t="shared" si="79"/>
        <v>458473.7</v>
      </c>
      <c r="AO96" s="39"/>
      <c r="AP96" s="8">
        <f t="shared" si="85"/>
        <v>0</v>
      </c>
      <c r="AQ96" s="8">
        <f t="shared" si="86"/>
        <v>0</v>
      </c>
      <c r="AR96" s="8">
        <f t="shared" si="80"/>
        <v>0</v>
      </c>
      <c r="AS96" s="42"/>
      <c r="AT96" s="84">
        <v>375083.13</v>
      </c>
      <c r="AU96" s="84">
        <v>83390.570000000007</v>
      </c>
      <c r="AV96" s="4">
        <f t="shared" si="81"/>
        <v>458473.7</v>
      </c>
      <c r="AW96" s="50" t="str">
        <f t="shared" si="82"/>
        <v/>
      </c>
      <c r="AX96" s="1" t="s">
        <v>1639</v>
      </c>
      <c r="AY96" s="2" t="s">
        <v>1640</v>
      </c>
      <c r="AZ96" s="2">
        <v>166154</v>
      </c>
      <c r="BA96" s="73">
        <v>145384.75</v>
      </c>
      <c r="BB96" s="73">
        <v>145384.75</v>
      </c>
      <c r="BC96" s="73">
        <v>166154</v>
      </c>
      <c r="BD96" s="73"/>
      <c r="BE96" s="66">
        <v>2.5000000000000001E-2</v>
      </c>
      <c r="BF96" s="66">
        <v>0.02</v>
      </c>
      <c r="BG96" s="63">
        <v>44487</v>
      </c>
      <c r="BH96" s="74">
        <v>41364</v>
      </c>
      <c r="BI96" s="74">
        <v>41389</v>
      </c>
      <c r="BJ96" s="2"/>
      <c r="BK96" s="2"/>
      <c r="BL96" s="1" t="s">
        <v>56</v>
      </c>
    </row>
    <row r="97" spans="1:64" x14ac:dyDescent="0.25">
      <c r="A97" s="81" t="s">
        <v>211</v>
      </c>
      <c r="B97" s="82" t="s">
        <v>211</v>
      </c>
      <c r="C97" s="81" t="s">
        <v>212</v>
      </c>
      <c r="D97" s="16">
        <v>36721</v>
      </c>
      <c r="E97" s="17"/>
      <c r="F97" s="2" t="s">
        <v>76</v>
      </c>
      <c r="G97" s="2" t="s">
        <v>78</v>
      </c>
      <c r="H97" s="10" t="s">
        <v>57</v>
      </c>
      <c r="I97" s="11" t="s">
        <v>77</v>
      </c>
      <c r="J97" s="11" t="s">
        <v>79</v>
      </c>
      <c r="K97" s="61" t="s">
        <v>80</v>
      </c>
      <c r="L97" s="11" t="s">
        <v>67</v>
      </c>
      <c r="M97" s="25"/>
      <c r="N97" s="82"/>
      <c r="O97" s="3" t="str">
        <f t="shared" si="87"/>
        <v>A</v>
      </c>
      <c r="P97" s="84">
        <v>100705.60000000001</v>
      </c>
      <c r="Q97" s="84">
        <v>26037</v>
      </c>
      <c r="R97" s="32"/>
      <c r="S97" s="3" t="str">
        <f t="shared" si="88"/>
        <v>A</v>
      </c>
      <c r="T97" s="84">
        <v>95731</v>
      </c>
      <c r="U97" s="84">
        <v>20453</v>
      </c>
      <c r="V97" s="32"/>
      <c r="W97" s="3" t="str">
        <f t="shared" si="76"/>
        <v>A</v>
      </c>
      <c r="X97" s="84">
        <v>88429</v>
      </c>
      <c r="Y97" s="84">
        <v>21326</v>
      </c>
      <c r="Z97" s="32"/>
      <c r="AA97" s="3" t="str">
        <f t="shared" si="77"/>
        <v>A</v>
      </c>
      <c r="AB97" s="84">
        <v>99445</v>
      </c>
      <c r="AC97" s="84">
        <v>20515</v>
      </c>
      <c r="AD97" s="36"/>
      <c r="AE97" s="82"/>
      <c r="AF97" s="3" t="str">
        <f t="shared" si="78"/>
        <v>A</v>
      </c>
      <c r="AG97" s="84">
        <v>0</v>
      </c>
      <c r="AH97" s="84">
        <v>0</v>
      </c>
      <c r="AI97" s="39"/>
      <c r="AJ97" s="79" t="s">
        <v>1801</v>
      </c>
      <c r="AK97" s="39"/>
      <c r="AL97" s="4">
        <f t="shared" si="83"/>
        <v>384310.6</v>
      </c>
      <c r="AM97" s="4">
        <f t="shared" si="84"/>
        <v>88331</v>
      </c>
      <c r="AN97" s="4">
        <f t="shared" si="79"/>
        <v>472641.6</v>
      </c>
      <c r="AO97" s="39"/>
      <c r="AP97" s="8">
        <f t="shared" si="85"/>
        <v>0</v>
      </c>
      <c r="AQ97" s="8">
        <f t="shared" si="86"/>
        <v>0</v>
      </c>
      <c r="AR97" s="8">
        <f t="shared" si="80"/>
        <v>0</v>
      </c>
      <c r="AS97" s="42"/>
      <c r="AT97" s="84">
        <v>384310.6</v>
      </c>
      <c r="AU97" s="84">
        <v>88331</v>
      </c>
      <c r="AV97" s="4">
        <f t="shared" si="81"/>
        <v>472641.6</v>
      </c>
      <c r="AW97" s="50" t="str">
        <f t="shared" si="82"/>
        <v/>
      </c>
      <c r="AX97" s="1" t="s">
        <v>1639</v>
      </c>
      <c r="AY97" s="2" t="s">
        <v>1640</v>
      </c>
      <c r="AZ97" s="2">
        <v>161615.28</v>
      </c>
      <c r="BA97" s="73">
        <v>141413.37</v>
      </c>
      <c r="BB97" s="73">
        <v>141413.37</v>
      </c>
      <c r="BC97" s="73">
        <v>161615.28</v>
      </c>
      <c r="BD97" s="73"/>
      <c r="BE97" s="66">
        <v>2.5000000000000001E-2</v>
      </c>
      <c r="BF97" s="66">
        <v>0.02</v>
      </c>
      <c r="BG97" s="63">
        <v>44026</v>
      </c>
      <c r="BH97" s="2"/>
      <c r="BI97" s="2"/>
      <c r="BJ97" s="2"/>
      <c r="BK97" s="2"/>
      <c r="BL97" s="1" t="s">
        <v>56</v>
      </c>
    </row>
    <row r="98" spans="1:64" x14ac:dyDescent="0.25">
      <c r="A98" s="81" t="s">
        <v>211</v>
      </c>
      <c r="B98" s="82" t="s">
        <v>999</v>
      </c>
      <c r="C98" s="81" t="s">
        <v>1000</v>
      </c>
      <c r="D98" s="16">
        <v>0</v>
      </c>
      <c r="E98" s="17"/>
      <c r="F98" s="2" t="s">
        <v>76</v>
      </c>
      <c r="G98" s="2" t="s">
        <v>78</v>
      </c>
      <c r="H98" s="10" t="s">
        <v>57</v>
      </c>
      <c r="I98" s="11" t="s">
        <v>77</v>
      </c>
      <c r="J98" s="11" t="s">
        <v>79</v>
      </c>
      <c r="K98" s="61" t="s">
        <v>80</v>
      </c>
      <c r="L98" s="11" t="s">
        <v>67</v>
      </c>
      <c r="M98" s="25"/>
      <c r="N98" s="82"/>
      <c r="O98" s="3" t="str">
        <f t="shared" si="87"/>
        <v>A</v>
      </c>
      <c r="P98" s="84">
        <v>31568</v>
      </c>
      <c r="Q98" s="84">
        <v>10011</v>
      </c>
      <c r="R98" s="32"/>
      <c r="S98" s="3" t="str">
        <f t="shared" si="88"/>
        <v>A</v>
      </c>
      <c r="T98" s="84">
        <v>30875</v>
      </c>
      <c r="U98" s="84">
        <v>12031</v>
      </c>
      <c r="V98" s="32"/>
      <c r="W98" s="3" t="str">
        <f t="shared" si="76"/>
        <v>A</v>
      </c>
      <c r="X98" s="84">
        <v>26525</v>
      </c>
      <c r="Y98" s="84">
        <v>8679</v>
      </c>
      <c r="Z98" s="32"/>
      <c r="AA98" s="3" t="str">
        <f t="shared" si="77"/>
        <v>A</v>
      </c>
      <c r="AB98" s="84">
        <v>30198</v>
      </c>
      <c r="AC98" s="84">
        <v>9881</v>
      </c>
      <c r="AD98" s="36"/>
      <c r="AE98" s="82"/>
      <c r="AF98" s="3" t="str">
        <f t="shared" si="78"/>
        <v>A</v>
      </c>
      <c r="AG98" s="84">
        <v>0</v>
      </c>
      <c r="AH98" s="84">
        <v>0</v>
      </c>
      <c r="AI98" s="39"/>
      <c r="AJ98" s="79" t="s">
        <v>1801</v>
      </c>
      <c r="AK98" s="39"/>
      <c r="AL98" s="4">
        <f t="shared" si="83"/>
        <v>119166</v>
      </c>
      <c r="AM98" s="4">
        <f t="shared" si="84"/>
        <v>40602</v>
      </c>
      <c r="AN98" s="4">
        <f t="shared" si="79"/>
        <v>159768</v>
      </c>
      <c r="AO98" s="39"/>
      <c r="AP98" s="8">
        <f t="shared" si="85"/>
        <v>0</v>
      </c>
      <c r="AQ98" s="8">
        <f t="shared" si="86"/>
        <v>0</v>
      </c>
      <c r="AR98" s="8">
        <f t="shared" si="80"/>
        <v>0</v>
      </c>
      <c r="AS98" s="42"/>
      <c r="AT98" s="84">
        <v>119166</v>
      </c>
      <c r="AU98" s="84">
        <v>40602</v>
      </c>
      <c r="AV98" s="4">
        <f t="shared" si="81"/>
        <v>159768</v>
      </c>
      <c r="AW98" s="50" t="str">
        <f t="shared" si="82"/>
        <v/>
      </c>
      <c r="AX98" s="1" t="s">
        <v>1639</v>
      </c>
      <c r="AY98" s="2" t="s">
        <v>1640</v>
      </c>
      <c r="AZ98" s="2">
        <v>54270.400000000001</v>
      </c>
      <c r="BA98" s="73">
        <v>47486.6</v>
      </c>
      <c r="BB98" s="73">
        <v>47486.6</v>
      </c>
      <c r="BC98" s="73">
        <v>54270.400000000001</v>
      </c>
      <c r="BD98" s="73"/>
      <c r="BE98" s="66">
        <v>0</v>
      </c>
      <c r="BF98" s="66">
        <v>0.02</v>
      </c>
      <c r="BG98" s="63">
        <v>44543</v>
      </c>
      <c r="BH98" s="2"/>
      <c r="BI98" s="2"/>
      <c r="BJ98" s="2">
        <v>202915.8</v>
      </c>
      <c r="BK98" s="2">
        <v>22546.2</v>
      </c>
      <c r="BL98" s="1" t="s">
        <v>56</v>
      </c>
    </row>
    <row r="99" spans="1:64" x14ac:dyDescent="0.25">
      <c r="A99" s="81" t="s">
        <v>213</v>
      </c>
      <c r="B99" s="82" t="s">
        <v>213</v>
      </c>
      <c r="C99" s="81" t="s">
        <v>214</v>
      </c>
      <c r="D99" s="16">
        <v>36695</v>
      </c>
      <c r="E99" s="17"/>
      <c r="F99" s="2" t="s">
        <v>201</v>
      </c>
      <c r="G99" s="2" t="s">
        <v>202</v>
      </c>
      <c r="H99" s="10" t="s">
        <v>57</v>
      </c>
      <c r="I99" s="11" t="s">
        <v>53</v>
      </c>
      <c r="J99" s="11" t="s">
        <v>156</v>
      </c>
      <c r="K99" s="61"/>
      <c r="L99" s="11" t="s">
        <v>67</v>
      </c>
      <c r="M99" s="25"/>
      <c r="N99" s="82"/>
      <c r="O99" s="3" t="str">
        <f t="shared" si="87"/>
        <v>A</v>
      </c>
      <c r="P99" s="84">
        <v>93123</v>
      </c>
      <c r="Q99" s="84">
        <v>25937</v>
      </c>
      <c r="R99" s="32"/>
      <c r="S99" s="3" t="str">
        <f t="shared" si="88"/>
        <v>E</v>
      </c>
      <c r="T99" s="84">
        <v>149599.24</v>
      </c>
      <c r="U99" s="84">
        <v>45860.92</v>
      </c>
      <c r="V99" s="32"/>
      <c r="W99" s="3" t="str">
        <f t="shared" si="76"/>
        <v>A</v>
      </c>
      <c r="X99" s="84">
        <v>98898</v>
      </c>
      <c r="Y99" s="84">
        <v>31845</v>
      </c>
      <c r="Z99" s="32"/>
      <c r="AA99" s="3" t="str">
        <f t="shared" si="77"/>
        <v>A</v>
      </c>
      <c r="AB99" s="84">
        <v>120125</v>
      </c>
      <c r="AC99" s="84">
        <v>34384</v>
      </c>
      <c r="AD99" s="36"/>
      <c r="AE99" s="82"/>
      <c r="AF99" s="3" t="str">
        <f t="shared" si="78"/>
        <v>A</v>
      </c>
      <c r="AG99" s="84">
        <v>0</v>
      </c>
      <c r="AH99" s="84">
        <v>0</v>
      </c>
      <c r="AI99" s="39"/>
      <c r="AJ99" s="79" t="s">
        <v>38</v>
      </c>
      <c r="AK99" s="39"/>
      <c r="AL99" s="4">
        <f t="shared" si="83"/>
        <v>312146</v>
      </c>
      <c r="AM99" s="4">
        <f t="shared" si="84"/>
        <v>92166</v>
      </c>
      <c r="AN99" s="4">
        <f t="shared" si="79"/>
        <v>404312</v>
      </c>
      <c r="AO99" s="39"/>
      <c r="AP99" s="8">
        <f t="shared" si="85"/>
        <v>149599.24</v>
      </c>
      <c r="AQ99" s="8">
        <f t="shared" si="86"/>
        <v>45860.92</v>
      </c>
      <c r="AR99" s="8">
        <f t="shared" si="80"/>
        <v>195460.15999999997</v>
      </c>
      <c r="AS99" s="42"/>
      <c r="AT99" s="84">
        <v>312146</v>
      </c>
      <c r="AU99" s="84">
        <v>92166</v>
      </c>
      <c r="AV99" s="4">
        <f t="shared" si="81"/>
        <v>404312</v>
      </c>
      <c r="AW99" s="50" t="str">
        <f t="shared" si="82"/>
        <v/>
      </c>
      <c r="AX99" s="1" t="s">
        <v>1656</v>
      </c>
      <c r="AY99" s="2" t="s">
        <v>1657</v>
      </c>
      <c r="AZ99" s="2">
        <v>170970.56</v>
      </c>
      <c r="BA99" s="73">
        <v>149599.24</v>
      </c>
      <c r="BB99" s="73">
        <v>149599.24</v>
      </c>
      <c r="BC99" s="73">
        <v>170970.56</v>
      </c>
      <c r="BD99" s="73"/>
      <c r="BE99" s="66">
        <v>3.5000000000000003E-2</v>
      </c>
      <c r="BF99" s="66">
        <v>0.05</v>
      </c>
      <c r="BG99" s="63">
        <v>45826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215</v>
      </c>
      <c r="B100" s="82" t="s">
        <v>215</v>
      </c>
      <c r="C100" s="81" t="s">
        <v>216</v>
      </c>
      <c r="D100" s="16">
        <v>36714</v>
      </c>
      <c r="E100" s="17"/>
      <c r="F100" s="2" t="s">
        <v>217</v>
      </c>
      <c r="G100" s="2" t="s">
        <v>218</v>
      </c>
      <c r="H100" s="10" t="s">
        <v>105</v>
      </c>
      <c r="I100" s="11" t="s">
        <v>53</v>
      </c>
      <c r="J100" s="11" t="s">
        <v>106</v>
      </c>
      <c r="K100" s="61"/>
      <c r="L100" s="11" t="s">
        <v>67</v>
      </c>
      <c r="M100" s="25"/>
      <c r="N100" s="82"/>
      <c r="O100" s="3" t="str">
        <f t="shared" si="87"/>
        <v>A</v>
      </c>
      <c r="P100" s="84">
        <v>485702.95</v>
      </c>
      <c r="Q100" s="84">
        <v>51255</v>
      </c>
      <c r="R100" s="32"/>
      <c r="S100" s="3" t="str">
        <f t="shared" si="88"/>
        <v>A</v>
      </c>
      <c r="T100" s="84">
        <v>436560</v>
      </c>
      <c r="U100" s="84">
        <v>39934</v>
      </c>
      <c r="V100" s="32"/>
      <c r="W100" s="3" t="str">
        <f t="shared" si="76"/>
        <v>A</v>
      </c>
      <c r="X100" s="84">
        <v>381102</v>
      </c>
      <c r="Y100" s="84">
        <v>33505</v>
      </c>
      <c r="Z100" s="32"/>
      <c r="AA100" s="3" t="str">
        <f t="shared" si="77"/>
        <v>A</v>
      </c>
      <c r="AB100" s="84">
        <v>435842</v>
      </c>
      <c r="AC100" s="84">
        <v>41916</v>
      </c>
      <c r="AD100" s="36"/>
      <c r="AE100" s="82"/>
      <c r="AF100" s="3" t="str">
        <f t="shared" si="78"/>
        <v>A</v>
      </c>
      <c r="AG100" s="84">
        <v>0</v>
      </c>
      <c r="AH100" s="84">
        <v>0</v>
      </c>
      <c r="AI100" s="39"/>
      <c r="AJ100" s="79" t="s">
        <v>1801</v>
      </c>
      <c r="AK100" s="39"/>
      <c r="AL100" s="4">
        <f t="shared" si="83"/>
        <v>1739206.95</v>
      </c>
      <c r="AM100" s="4">
        <f t="shared" si="84"/>
        <v>166610</v>
      </c>
      <c r="AN100" s="4">
        <f t="shared" si="79"/>
        <v>1905816.95</v>
      </c>
      <c r="AO100" s="39"/>
      <c r="AP100" s="8">
        <f t="shared" si="85"/>
        <v>0</v>
      </c>
      <c r="AQ100" s="8">
        <f t="shared" si="86"/>
        <v>0</v>
      </c>
      <c r="AR100" s="8">
        <f t="shared" si="80"/>
        <v>0</v>
      </c>
      <c r="AS100" s="42"/>
      <c r="AT100" s="84">
        <v>1739206.95</v>
      </c>
      <c r="AU100" s="84">
        <v>166610</v>
      </c>
      <c r="AV100" s="4">
        <f t="shared" si="81"/>
        <v>1905816.95</v>
      </c>
      <c r="AW100" s="50" t="str">
        <f t="shared" si="82"/>
        <v/>
      </c>
      <c r="AX100" s="1" t="s">
        <v>1658</v>
      </c>
      <c r="AY100" s="2" t="s">
        <v>1659</v>
      </c>
      <c r="AZ100" s="2">
        <v>251563.68</v>
      </c>
      <c r="BA100" s="73">
        <v>220118.22</v>
      </c>
      <c r="BB100" s="73">
        <v>220118.22</v>
      </c>
      <c r="BC100" s="73">
        <v>251563.68</v>
      </c>
      <c r="BD100" s="73"/>
      <c r="BE100" s="66">
        <v>3.5000000000000003E-2</v>
      </c>
      <c r="BF100" s="66">
        <v>0.05</v>
      </c>
      <c r="BG100" s="63">
        <v>44019</v>
      </c>
      <c r="BH100" s="2"/>
      <c r="BI100" s="2"/>
      <c r="BJ100" s="2"/>
      <c r="BK100" s="2"/>
      <c r="BL100" s="1" t="s">
        <v>219</v>
      </c>
    </row>
    <row r="101" spans="1:64" x14ac:dyDescent="0.25">
      <c r="A101" s="81" t="s">
        <v>215</v>
      </c>
      <c r="B101" s="82" t="s">
        <v>688</v>
      </c>
      <c r="C101" s="81" t="s">
        <v>689</v>
      </c>
      <c r="D101" s="16">
        <v>37930</v>
      </c>
      <c r="E101" s="17"/>
      <c r="F101" s="2" t="s">
        <v>217</v>
      </c>
      <c r="G101" s="2" t="s">
        <v>218</v>
      </c>
      <c r="H101" s="10" t="s">
        <v>105</v>
      </c>
      <c r="I101" s="11" t="s">
        <v>53</v>
      </c>
      <c r="J101" s="11" t="s">
        <v>106</v>
      </c>
      <c r="K101" s="61"/>
      <c r="L101" s="11" t="s">
        <v>67</v>
      </c>
      <c r="M101" s="25"/>
      <c r="N101" s="82"/>
      <c r="O101" s="3" t="str">
        <f t="shared" si="87"/>
        <v>A</v>
      </c>
      <c r="P101" s="84">
        <v>283810</v>
      </c>
      <c r="Q101" s="84">
        <v>35466</v>
      </c>
      <c r="R101" s="32"/>
      <c r="S101" s="3" t="str">
        <f t="shared" si="88"/>
        <v>A</v>
      </c>
      <c r="T101" s="84">
        <v>251138</v>
      </c>
      <c r="U101" s="84">
        <v>36576</v>
      </c>
      <c r="V101" s="32"/>
      <c r="W101" s="3" t="str">
        <f t="shared" si="76"/>
        <v>A</v>
      </c>
      <c r="X101" s="84">
        <v>228765</v>
      </c>
      <c r="Y101" s="84">
        <v>29249</v>
      </c>
      <c r="Z101" s="32"/>
      <c r="AA101" s="3" t="str">
        <f t="shared" si="77"/>
        <v>A</v>
      </c>
      <c r="AB101" s="84">
        <v>278468</v>
      </c>
      <c r="AC101" s="84">
        <v>29106</v>
      </c>
      <c r="AD101" s="36"/>
      <c r="AE101" s="82"/>
      <c r="AF101" s="3" t="str">
        <f t="shared" si="78"/>
        <v>A</v>
      </c>
      <c r="AG101" s="84">
        <v>0</v>
      </c>
      <c r="AH101" s="84">
        <v>0</v>
      </c>
      <c r="AI101" s="39"/>
      <c r="AJ101" s="79" t="s">
        <v>1801</v>
      </c>
      <c r="AK101" s="39"/>
      <c r="AL101" s="4">
        <f t="shared" si="83"/>
        <v>1042181</v>
      </c>
      <c r="AM101" s="4">
        <f t="shared" si="84"/>
        <v>130397</v>
      </c>
      <c r="AN101" s="4">
        <f t="shared" si="79"/>
        <v>1172578</v>
      </c>
      <c r="AO101" s="39"/>
      <c r="AP101" s="8">
        <f t="shared" si="85"/>
        <v>0</v>
      </c>
      <c r="AQ101" s="8">
        <f t="shared" si="86"/>
        <v>0</v>
      </c>
      <c r="AR101" s="8">
        <f t="shared" si="80"/>
        <v>0</v>
      </c>
      <c r="AS101" s="42"/>
      <c r="AT101" s="84">
        <v>1042181</v>
      </c>
      <c r="AU101" s="84">
        <v>130397</v>
      </c>
      <c r="AV101" s="4">
        <f t="shared" si="81"/>
        <v>1172578</v>
      </c>
      <c r="AW101" s="50" t="str">
        <f t="shared" si="82"/>
        <v/>
      </c>
      <c r="AX101" s="1" t="s">
        <v>1658</v>
      </c>
      <c r="AY101" s="2" t="s">
        <v>1659</v>
      </c>
      <c r="AZ101" s="2">
        <v>109580.64</v>
      </c>
      <c r="BA101" s="73">
        <v>95883.06</v>
      </c>
      <c r="BB101" s="73">
        <v>95883.06</v>
      </c>
      <c r="BC101" s="73">
        <v>109580.64</v>
      </c>
      <c r="BD101" s="73"/>
      <c r="BE101" s="66">
        <v>3.5000000000000003E-2</v>
      </c>
      <c r="BF101" s="66">
        <v>0.05</v>
      </c>
      <c r="BG101" s="63">
        <v>44019</v>
      </c>
      <c r="BH101" s="2"/>
      <c r="BI101" s="2"/>
      <c r="BJ101" s="2"/>
      <c r="BK101" s="2"/>
      <c r="BL101" s="1" t="s">
        <v>219</v>
      </c>
    </row>
    <row r="102" spans="1:64" x14ac:dyDescent="0.25">
      <c r="A102" s="81" t="s">
        <v>215</v>
      </c>
      <c r="B102" s="82" t="s">
        <v>1592</v>
      </c>
      <c r="C102" s="81" t="s">
        <v>1593</v>
      </c>
      <c r="D102" s="16">
        <v>0</v>
      </c>
      <c r="E102" s="17"/>
      <c r="F102" s="2" t="s">
        <v>217</v>
      </c>
      <c r="G102" s="2" t="s">
        <v>218</v>
      </c>
      <c r="H102" s="10" t="s">
        <v>105</v>
      </c>
      <c r="I102" s="11" t="s">
        <v>53</v>
      </c>
      <c r="J102" s="11" t="s">
        <v>106</v>
      </c>
      <c r="K102" s="61"/>
      <c r="L102" s="11" t="s">
        <v>67</v>
      </c>
      <c r="M102" s="25"/>
      <c r="N102" s="82"/>
      <c r="O102" s="3" t="str">
        <f>IF($A102="","",IF(P102=AZ102,"E","A"))</f>
        <v>A</v>
      </c>
      <c r="P102" s="84">
        <v>130097</v>
      </c>
      <c r="Q102" s="84">
        <v>2199</v>
      </c>
      <c r="R102" s="32"/>
      <c r="S102" s="3" t="str">
        <f>IF($A102="","",IF(T102=BA102,"E","A"))</f>
        <v>A</v>
      </c>
      <c r="T102" s="84">
        <v>121083</v>
      </c>
      <c r="U102" s="84">
        <v>2016</v>
      </c>
      <c r="V102" s="32"/>
      <c r="W102" s="3" t="str">
        <f t="shared" si="76"/>
        <v>A</v>
      </c>
      <c r="X102" s="84">
        <v>116565</v>
      </c>
      <c r="Y102" s="84">
        <v>1968</v>
      </c>
      <c r="Z102" s="32"/>
      <c r="AA102" s="3" t="str">
        <f t="shared" si="77"/>
        <v>A</v>
      </c>
      <c r="AB102" s="84">
        <v>123182</v>
      </c>
      <c r="AC102" s="84">
        <v>1327</v>
      </c>
      <c r="AD102" s="36"/>
      <c r="AE102" s="82"/>
      <c r="AF102" s="3" t="str">
        <f t="shared" si="78"/>
        <v>A</v>
      </c>
      <c r="AG102" s="84">
        <v>0</v>
      </c>
      <c r="AH102" s="84">
        <v>0</v>
      </c>
      <c r="AI102" s="39"/>
      <c r="AJ102" s="79" t="s">
        <v>1801</v>
      </c>
      <c r="AK102" s="39"/>
      <c r="AL102" s="4">
        <f t="shared" si="83"/>
        <v>490927</v>
      </c>
      <c r="AM102" s="4">
        <f t="shared" si="84"/>
        <v>7510</v>
      </c>
      <c r="AN102" s="4">
        <f t="shared" si="79"/>
        <v>498437</v>
      </c>
      <c r="AO102" s="39"/>
      <c r="AP102" s="8">
        <f t="shared" si="85"/>
        <v>0</v>
      </c>
      <c r="AQ102" s="8">
        <f t="shared" si="86"/>
        <v>0</v>
      </c>
      <c r="AR102" s="8">
        <f t="shared" si="80"/>
        <v>0</v>
      </c>
      <c r="AS102" s="42"/>
      <c r="AT102" s="84">
        <v>490927</v>
      </c>
      <c r="AU102" s="84">
        <v>7510</v>
      </c>
      <c r="AV102" s="4">
        <f t="shared" si="81"/>
        <v>498437</v>
      </c>
      <c r="AW102" s="50" t="str">
        <f t="shared" si="82"/>
        <v/>
      </c>
      <c r="AX102" s="1" t="s">
        <v>1658</v>
      </c>
      <c r="AY102" s="2" t="s">
        <v>1659</v>
      </c>
      <c r="AZ102" s="2">
        <v>70961.36</v>
      </c>
      <c r="BA102" s="73">
        <v>62091.19</v>
      </c>
      <c r="BB102" s="73">
        <v>62091.19</v>
      </c>
      <c r="BC102" s="73">
        <v>70961.36</v>
      </c>
      <c r="BD102" s="73"/>
      <c r="BE102" s="66">
        <v>0</v>
      </c>
      <c r="BF102" s="66">
        <v>0.05</v>
      </c>
      <c r="BG102" s="63">
        <v>45767</v>
      </c>
      <c r="BH102" s="2"/>
      <c r="BI102" s="2"/>
      <c r="BJ102" s="2">
        <v>263199</v>
      </c>
      <c r="BK102" s="2"/>
      <c r="BL102" s="1" t="s">
        <v>219</v>
      </c>
    </row>
    <row r="103" spans="1:64" x14ac:dyDescent="0.25">
      <c r="A103" s="81" t="s">
        <v>220</v>
      </c>
      <c r="B103" s="82" t="s">
        <v>220</v>
      </c>
      <c r="C103" s="81" t="s">
        <v>221</v>
      </c>
      <c r="D103" s="16">
        <v>36735</v>
      </c>
      <c r="E103" s="17"/>
      <c r="F103" s="2" t="s">
        <v>222</v>
      </c>
      <c r="G103" s="2" t="s">
        <v>223</v>
      </c>
      <c r="H103" s="10" t="s">
        <v>98</v>
      </c>
      <c r="I103" s="11" t="s">
        <v>53</v>
      </c>
      <c r="J103" s="11" t="s">
        <v>224</v>
      </c>
      <c r="K103" s="61"/>
      <c r="L103" s="11" t="s">
        <v>67</v>
      </c>
      <c r="M103" s="25"/>
      <c r="N103" s="82"/>
      <c r="O103" s="3" t="str">
        <f>IF($A103="","",IF(P103=0,"A",IF(P103=AZ103,"E","A")))</f>
        <v>A</v>
      </c>
      <c r="P103" s="84">
        <v>254420</v>
      </c>
      <c r="Q103" s="84">
        <v>26053</v>
      </c>
      <c r="R103" s="32"/>
      <c r="S103" s="3" t="str">
        <f>IF($A103="","",IF(T103=0,"A",IF(T103=BA103,"E","A")))</f>
        <v>A</v>
      </c>
      <c r="T103" s="84">
        <v>230806</v>
      </c>
      <c r="U103" s="84">
        <v>22321</v>
      </c>
      <c r="V103" s="32"/>
      <c r="W103" s="3" t="str">
        <f t="shared" si="76"/>
        <v>A</v>
      </c>
      <c r="X103" s="84">
        <v>208635</v>
      </c>
      <c r="Y103" s="84">
        <v>19204</v>
      </c>
      <c r="Z103" s="32"/>
      <c r="AA103" s="3" t="str">
        <f t="shared" si="77"/>
        <v>A</v>
      </c>
      <c r="AB103" s="84">
        <v>234190</v>
      </c>
      <c r="AC103" s="84">
        <v>18006</v>
      </c>
      <c r="AD103" s="36"/>
      <c r="AE103" s="82"/>
      <c r="AF103" s="3" t="str">
        <f t="shared" si="78"/>
        <v>A</v>
      </c>
      <c r="AG103" s="84">
        <v>0</v>
      </c>
      <c r="AH103" s="84">
        <v>0</v>
      </c>
      <c r="AI103" s="39"/>
      <c r="AJ103" s="79" t="s">
        <v>1801</v>
      </c>
      <c r="AK103" s="39"/>
      <c r="AL103" s="4">
        <f t="shared" si="83"/>
        <v>928051</v>
      </c>
      <c r="AM103" s="4">
        <f t="shared" si="84"/>
        <v>85584</v>
      </c>
      <c r="AN103" s="4">
        <f t="shared" si="79"/>
        <v>1013635</v>
      </c>
      <c r="AO103" s="39"/>
      <c r="AP103" s="8">
        <f t="shared" si="85"/>
        <v>0</v>
      </c>
      <c r="AQ103" s="8">
        <f t="shared" si="86"/>
        <v>0</v>
      </c>
      <c r="AR103" s="8">
        <f t="shared" si="80"/>
        <v>0</v>
      </c>
      <c r="AS103" s="42"/>
      <c r="AT103" s="84">
        <v>928051</v>
      </c>
      <c r="AU103" s="84">
        <v>85584</v>
      </c>
      <c r="AV103" s="4">
        <f t="shared" si="81"/>
        <v>1013635</v>
      </c>
      <c r="AW103" s="50" t="str">
        <f t="shared" si="82"/>
        <v/>
      </c>
      <c r="AX103" s="1" t="s">
        <v>1660</v>
      </c>
      <c r="AY103" s="2" t="s">
        <v>1661</v>
      </c>
      <c r="AZ103" s="2">
        <v>291792.64000000001</v>
      </c>
      <c r="BA103" s="73">
        <v>255318.56</v>
      </c>
      <c r="BB103" s="73">
        <v>255318.56</v>
      </c>
      <c r="BC103" s="73">
        <v>291792.64000000001</v>
      </c>
      <c r="BD103" s="73"/>
      <c r="BE103" s="66">
        <v>3.5000000000000003E-2</v>
      </c>
      <c r="BF103" s="66">
        <v>0.05</v>
      </c>
      <c r="BG103" s="63">
        <v>44040</v>
      </c>
      <c r="BH103" s="2"/>
      <c r="BI103" s="2"/>
      <c r="BJ103" s="2"/>
      <c r="BK103" s="2"/>
      <c r="BL103" s="1" t="s">
        <v>97</v>
      </c>
    </row>
    <row r="104" spans="1:64" x14ac:dyDescent="0.25">
      <c r="A104" s="81" t="s">
        <v>220</v>
      </c>
      <c r="B104" s="82" t="s">
        <v>690</v>
      </c>
      <c r="C104" s="81" t="s">
        <v>691</v>
      </c>
      <c r="D104" s="16">
        <v>38227</v>
      </c>
      <c r="E104" s="17"/>
      <c r="F104" s="2" t="s">
        <v>222</v>
      </c>
      <c r="G104" s="2" t="s">
        <v>223</v>
      </c>
      <c r="H104" s="10" t="s">
        <v>98</v>
      </c>
      <c r="I104" s="11" t="s">
        <v>53</v>
      </c>
      <c r="J104" s="11" t="s">
        <v>224</v>
      </c>
      <c r="K104" s="61"/>
      <c r="L104" s="11" t="s">
        <v>67</v>
      </c>
      <c r="M104" s="25"/>
      <c r="N104" s="82"/>
      <c r="O104" s="3" t="str">
        <f>IF($A104="","",IF(P104=0,"A",IF(P104=AZ104,"E","A")))</f>
        <v>A</v>
      </c>
      <c r="P104" s="84">
        <v>127717</v>
      </c>
      <c r="Q104" s="84">
        <v>8773</v>
      </c>
      <c r="R104" s="32"/>
      <c r="S104" s="3" t="str">
        <f>IF($A104="","",IF(T104=0,"A",IF(T104=BA104,"E","A")))</f>
        <v>A</v>
      </c>
      <c r="T104" s="84">
        <v>108066</v>
      </c>
      <c r="U104" s="84">
        <v>6288</v>
      </c>
      <c r="V104" s="32"/>
      <c r="W104" s="3" t="str">
        <f t="shared" si="76"/>
        <v>A</v>
      </c>
      <c r="X104" s="84">
        <v>104438</v>
      </c>
      <c r="Y104" s="84">
        <v>5336</v>
      </c>
      <c r="Z104" s="32"/>
      <c r="AA104" s="3" t="str">
        <f t="shared" si="77"/>
        <v>A</v>
      </c>
      <c r="AB104" s="84">
        <v>127496</v>
      </c>
      <c r="AC104" s="84">
        <v>5622</v>
      </c>
      <c r="AD104" s="36"/>
      <c r="AE104" s="82"/>
      <c r="AF104" s="3" t="str">
        <f t="shared" si="78"/>
        <v>A</v>
      </c>
      <c r="AG104" s="84">
        <v>0</v>
      </c>
      <c r="AH104" s="84">
        <v>0</v>
      </c>
      <c r="AI104" s="39"/>
      <c r="AJ104" s="79" t="s">
        <v>1801</v>
      </c>
      <c r="AK104" s="39"/>
      <c r="AL104" s="4">
        <f t="shared" si="83"/>
        <v>467717</v>
      </c>
      <c r="AM104" s="4">
        <f t="shared" si="84"/>
        <v>26019</v>
      </c>
      <c r="AN104" s="4">
        <f t="shared" si="79"/>
        <v>493736</v>
      </c>
      <c r="AO104" s="39"/>
      <c r="AP104" s="8">
        <f t="shared" si="85"/>
        <v>0</v>
      </c>
      <c r="AQ104" s="8">
        <f t="shared" si="86"/>
        <v>0</v>
      </c>
      <c r="AR104" s="8">
        <f t="shared" si="80"/>
        <v>0</v>
      </c>
      <c r="AS104" s="42"/>
      <c r="AT104" s="84">
        <v>467717</v>
      </c>
      <c r="AU104" s="84">
        <v>26019</v>
      </c>
      <c r="AV104" s="4">
        <f t="shared" si="81"/>
        <v>493736</v>
      </c>
      <c r="AW104" s="50" t="str">
        <f t="shared" si="82"/>
        <v/>
      </c>
      <c r="AX104" s="1" t="s">
        <v>1660</v>
      </c>
      <c r="AY104" s="2" t="s">
        <v>1661</v>
      </c>
      <c r="AZ104" s="2">
        <v>107722</v>
      </c>
      <c r="BA104" s="73">
        <v>94256.75</v>
      </c>
      <c r="BB104" s="73">
        <v>94256.75</v>
      </c>
      <c r="BC104" s="73">
        <v>107722</v>
      </c>
      <c r="BD104" s="73"/>
      <c r="BE104" s="66">
        <v>3.5000000000000003E-2</v>
      </c>
      <c r="BF104" s="66">
        <v>0.05</v>
      </c>
      <c r="BG104" s="63">
        <v>44040</v>
      </c>
      <c r="BH104" s="74">
        <v>43915</v>
      </c>
      <c r="BI104" s="74">
        <v>43921</v>
      </c>
      <c r="BJ104" s="2"/>
      <c r="BK104" s="2"/>
      <c r="BL104" s="1" t="s">
        <v>97</v>
      </c>
    </row>
    <row r="105" spans="1:64" x14ac:dyDescent="0.25">
      <c r="A105" s="81" t="s">
        <v>225</v>
      </c>
      <c r="B105" s="82" t="s">
        <v>225</v>
      </c>
      <c r="C105" s="81" t="s">
        <v>226</v>
      </c>
      <c r="D105" s="16">
        <v>36763</v>
      </c>
      <c r="E105" s="17"/>
      <c r="F105" s="2" t="s">
        <v>52</v>
      </c>
      <c r="G105" s="2" t="s">
        <v>55</v>
      </c>
      <c r="H105" s="10" t="s">
        <v>57</v>
      </c>
      <c r="I105" s="11" t="s">
        <v>54</v>
      </c>
      <c r="J105" s="11" t="s">
        <v>131</v>
      </c>
      <c r="K105" s="61" t="s">
        <v>132</v>
      </c>
      <c r="L105" s="11" t="s">
        <v>67</v>
      </c>
      <c r="M105" s="25"/>
      <c r="N105" s="82"/>
      <c r="O105" s="3" t="str">
        <f>IF($A105="","",IF(P105=0,"A",IF(P105=AZ105,"E","A")))</f>
        <v>A</v>
      </c>
      <c r="P105" s="84">
        <v>63089.1</v>
      </c>
      <c r="Q105" s="84">
        <v>15580</v>
      </c>
      <c r="R105" s="32"/>
      <c r="S105" s="3" t="str">
        <f>IF($A105="","",IF(T105=0,"A",IF(T105=BA105,"E","A")))</f>
        <v>A</v>
      </c>
      <c r="T105" s="84">
        <v>51015</v>
      </c>
      <c r="U105" s="84">
        <v>14305</v>
      </c>
      <c r="V105" s="32"/>
      <c r="W105" s="3" t="str">
        <f t="shared" si="76"/>
        <v>A</v>
      </c>
      <c r="X105" s="84">
        <v>56175</v>
      </c>
      <c r="Y105" s="84">
        <v>13698</v>
      </c>
      <c r="Z105" s="32"/>
      <c r="AA105" s="3" t="str">
        <f t="shared" si="77"/>
        <v>A</v>
      </c>
      <c r="AB105" s="84">
        <v>58945</v>
      </c>
      <c r="AC105" s="84">
        <v>14502</v>
      </c>
      <c r="AD105" s="36"/>
      <c r="AE105" s="82"/>
      <c r="AF105" s="3" t="str">
        <f t="shared" si="78"/>
        <v>A</v>
      </c>
      <c r="AG105" s="84">
        <v>0</v>
      </c>
      <c r="AH105" s="84">
        <v>0</v>
      </c>
      <c r="AI105" s="39"/>
      <c r="AJ105" s="79" t="s">
        <v>1801</v>
      </c>
      <c r="AK105" s="39"/>
      <c r="AL105" s="4">
        <f t="shared" si="83"/>
        <v>229224.1</v>
      </c>
      <c r="AM105" s="4">
        <f t="shared" si="84"/>
        <v>58085</v>
      </c>
      <c r="AN105" s="4">
        <f t="shared" si="79"/>
        <v>287309.09999999998</v>
      </c>
      <c r="AO105" s="39"/>
      <c r="AP105" s="8">
        <f t="shared" si="85"/>
        <v>0</v>
      </c>
      <c r="AQ105" s="8">
        <f t="shared" si="86"/>
        <v>0</v>
      </c>
      <c r="AR105" s="8">
        <f t="shared" si="80"/>
        <v>0</v>
      </c>
      <c r="AS105" s="42"/>
      <c r="AT105" s="84">
        <v>229224.1</v>
      </c>
      <c r="AU105" s="84">
        <v>58085</v>
      </c>
      <c r="AV105" s="4">
        <f t="shared" si="81"/>
        <v>287309.09999999998</v>
      </c>
      <c r="AW105" s="50" t="str">
        <f t="shared" si="82"/>
        <v/>
      </c>
      <c r="AX105" s="1" t="s">
        <v>1639</v>
      </c>
      <c r="AY105" s="2" t="s">
        <v>1640</v>
      </c>
      <c r="AZ105" s="2">
        <v>102239.2</v>
      </c>
      <c r="BA105" s="73">
        <v>89459.3</v>
      </c>
      <c r="BB105" s="73">
        <v>89459.3</v>
      </c>
      <c r="BC105" s="73">
        <v>102239.2</v>
      </c>
      <c r="BD105" s="73"/>
      <c r="BE105" s="66">
        <v>2.5000000000000001E-2</v>
      </c>
      <c r="BF105" s="66">
        <v>0.02</v>
      </c>
      <c r="BG105" s="63">
        <v>44068</v>
      </c>
      <c r="BH105" s="2"/>
      <c r="BI105" s="2"/>
      <c r="BJ105" s="2"/>
      <c r="BK105" s="2"/>
      <c r="BL105" s="1" t="s">
        <v>56</v>
      </c>
    </row>
    <row r="106" spans="1:64" x14ac:dyDescent="0.25">
      <c r="A106" s="81" t="s">
        <v>227</v>
      </c>
      <c r="B106" s="82" t="s">
        <v>227</v>
      </c>
      <c r="C106" s="81" t="s">
        <v>228</v>
      </c>
      <c r="D106" s="16">
        <v>36782</v>
      </c>
      <c r="E106" s="17"/>
      <c r="F106" s="2" t="s">
        <v>109</v>
      </c>
      <c r="G106" s="2" t="s">
        <v>111</v>
      </c>
      <c r="H106" s="10" t="s">
        <v>105</v>
      </c>
      <c r="I106" s="11" t="s">
        <v>110</v>
      </c>
      <c r="J106" s="11" t="s">
        <v>229</v>
      </c>
      <c r="K106" s="61" t="s">
        <v>230</v>
      </c>
      <c r="L106" s="11" t="s">
        <v>67</v>
      </c>
      <c r="M106" s="25"/>
      <c r="N106" s="82"/>
      <c r="O106" s="3" t="str">
        <f>IF($A106="","",IF(P106=0,"A",IF(P106=AZ106,"E","A")))</f>
        <v>A</v>
      </c>
      <c r="P106" s="84">
        <v>111727</v>
      </c>
      <c r="Q106" s="84">
        <v>14838</v>
      </c>
      <c r="R106" s="32"/>
      <c r="S106" s="3" t="str">
        <f>IF($A106="","",IF(T106=0,"A",IF(T106=BA106,"E","A")))</f>
        <v>A</v>
      </c>
      <c r="T106" s="84">
        <v>86343</v>
      </c>
      <c r="U106" s="84">
        <v>13616</v>
      </c>
      <c r="V106" s="32"/>
      <c r="W106" s="3" t="str">
        <f t="shared" si="76"/>
        <v>A</v>
      </c>
      <c r="X106" s="84">
        <v>76589</v>
      </c>
      <c r="Y106" s="84">
        <v>7474</v>
      </c>
      <c r="Z106" s="32"/>
      <c r="AA106" s="3" t="str">
        <f t="shared" si="77"/>
        <v>A</v>
      </c>
      <c r="AB106" s="84">
        <v>80441</v>
      </c>
      <c r="AC106" s="84">
        <v>9525</v>
      </c>
      <c r="AD106" s="36"/>
      <c r="AE106" s="82"/>
      <c r="AF106" s="3" t="str">
        <f t="shared" si="78"/>
        <v>A</v>
      </c>
      <c r="AG106" s="84">
        <v>0</v>
      </c>
      <c r="AH106" s="84">
        <v>0</v>
      </c>
      <c r="AI106" s="39"/>
      <c r="AJ106" s="79" t="s">
        <v>1801</v>
      </c>
      <c r="AK106" s="39"/>
      <c r="AL106" s="4">
        <f t="shared" si="83"/>
        <v>355100</v>
      </c>
      <c r="AM106" s="4">
        <f t="shared" si="84"/>
        <v>45453</v>
      </c>
      <c r="AN106" s="4">
        <f t="shared" si="79"/>
        <v>400553</v>
      </c>
      <c r="AO106" s="39"/>
      <c r="AP106" s="8">
        <f t="shared" si="85"/>
        <v>0</v>
      </c>
      <c r="AQ106" s="8">
        <f t="shared" si="86"/>
        <v>0</v>
      </c>
      <c r="AR106" s="8">
        <f t="shared" si="80"/>
        <v>0</v>
      </c>
      <c r="AS106" s="42"/>
      <c r="AT106" s="84">
        <v>355100</v>
      </c>
      <c r="AU106" s="84">
        <v>45453</v>
      </c>
      <c r="AV106" s="4">
        <f t="shared" si="81"/>
        <v>400553</v>
      </c>
      <c r="AW106" s="50" t="str">
        <f t="shared" si="82"/>
        <v/>
      </c>
      <c r="AX106" s="1" t="s">
        <v>1647</v>
      </c>
      <c r="AY106" s="2" t="s">
        <v>1640</v>
      </c>
      <c r="AZ106" s="2">
        <v>204032.72</v>
      </c>
      <c r="BA106" s="73">
        <v>178528.63</v>
      </c>
      <c r="BB106" s="73">
        <v>178528.63</v>
      </c>
      <c r="BC106" s="73">
        <v>204032.72</v>
      </c>
      <c r="BD106" s="73"/>
      <c r="BE106" s="66">
        <v>2.5000000000000001E-2</v>
      </c>
      <c r="BF106" s="66">
        <v>0.02</v>
      </c>
      <c r="BG106" s="63">
        <v>44183</v>
      </c>
      <c r="BH106" s="2"/>
      <c r="BI106" s="2"/>
      <c r="BJ106" s="2"/>
      <c r="BK106" s="2"/>
      <c r="BL106" s="1" t="s">
        <v>219</v>
      </c>
    </row>
    <row r="107" spans="1:64" x14ac:dyDescent="0.25">
      <c r="A107" s="81" t="s">
        <v>227</v>
      </c>
      <c r="B107" s="82" t="s">
        <v>1415</v>
      </c>
      <c r="C107" s="81" t="s">
        <v>1416</v>
      </c>
      <c r="D107" s="16">
        <v>0</v>
      </c>
      <c r="E107" s="17"/>
      <c r="F107" s="2" t="s">
        <v>109</v>
      </c>
      <c r="G107" s="2" t="s">
        <v>111</v>
      </c>
      <c r="H107" s="10" t="s">
        <v>105</v>
      </c>
      <c r="I107" s="11" t="s">
        <v>110</v>
      </c>
      <c r="J107" s="11" t="s">
        <v>229</v>
      </c>
      <c r="K107" s="61" t="s">
        <v>230</v>
      </c>
      <c r="L107" s="11" t="s">
        <v>67</v>
      </c>
      <c r="M107" s="25"/>
      <c r="N107" s="82"/>
      <c r="O107" s="3" t="str">
        <f>IF($A107="","",IF(P107=AZ107,"E","A"))</f>
        <v>A</v>
      </c>
      <c r="P107" s="84">
        <v>45898</v>
      </c>
      <c r="Q107" s="84">
        <v>1065</v>
      </c>
      <c r="R107" s="32"/>
      <c r="S107" s="3" t="str">
        <f>IF($A107="","",IF(T107=BA107,"E","A"))</f>
        <v>A</v>
      </c>
      <c r="T107" s="84">
        <v>35090</v>
      </c>
      <c r="U107" s="84">
        <v>290</v>
      </c>
      <c r="V107" s="32"/>
      <c r="W107" s="3" t="str">
        <f t="shared" si="76"/>
        <v>A</v>
      </c>
      <c r="X107" s="84">
        <v>28200</v>
      </c>
      <c r="Y107" s="84">
        <v>565</v>
      </c>
      <c r="Z107" s="32"/>
      <c r="AA107" s="3" t="str">
        <f t="shared" si="77"/>
        <v>A</v>
      </c>
      <c r="AB107" s="84">
        <v>30370</v>
      </c>
      <c r="AC107" s="84">
        <v>495</v>
      </c>
      <c r="AD107" s="36"/>
      <c r="AE107" s="82"/>
      <c r="AF107" s="3" t="str">
        <f t="shared" si="78"/>
        <v>A</v>
      </c>
      <c r="AG107" s="84">
        <v>0</v>
      </c>
      <c r="AH107" s="84">
        <v>0</v>
      </c>
      <c r="AI107" s="39"/>
      <c r="AJ107" s="79" t="s">
        <v>1801</v>
      </c>
      <c r="AK107" s="39"/>
      <c r="AL107" s="4">
        <f t="shared" si="83"/>
        <v>139558</v>
      </c>
      <c r="AM107" s="4">
        <f t="shared" si="84"/>
        <v>2415</v>
      </c>
      <c r="AN107" s="4">
        <f t="shared" si="79"/>
        <v>141973</v>
      </c>
      <c r="AO107" s="39"/>
      <c r="AP107" s="8">
        <f t="shared" si="85"/>
        <v>0</v>
      </c>
      <c r="AQ107" s="8">
        <f t="shared" si="86"/>
        <v>0</v>
      </c>
      <c r="AR107" s="8">
        <f t="shared" si="80"/>
        <v>0</v>
      </c>
      <c r="AS107" s="42"/>
      <c r="AT107" s="84">
        <v>139558</v>
      </c>
      <c r="AU107" s="84">
        <v>2415</v>
      </c>
      <c r="AV107" s="4">
        <f t="shared" si="81"/>
        <v>141973</v>
      </c>
      <c r="AW107" s="50" t="str">
        <f t="shared" si="82"/>
        <v/>
      </c>
      <c r="AX107" s="1" t="s">
        <v>1647</v>
      </c>
      <c r="AY107" s="2" t="s">
        <v>1640</v>
      </c>
      <c r="AZ107" s="2">
        <v>41327.519999999997</v>
      </c>
      <c r="BA107" s="73">
        <v>36161.58</v>
      </c>
      <c r="BB107" s="73">
        <v>36161.58</v>
      </c>
      <c r="BC107" s="73">
        <v>41327.519999999997</v>
      </c>
      <c r="BD107" s="73"/>
      <c r="BE107" s="66">
        <v>0</v>
      </c>
      <c r="BF107" s="66">
        <v>0.02</v>
      </c>
      <c r="BG107" s="63">
        <v>45260</v>
      </c>
      <c r="BH107" s="2"/>
      <c r="BI107" s="2"/>
      <c r="BJ107" s="2">
        <v>154188</v>
      </c>
      <c r="BK107" s="2"/>
      <c r="BL107" s="1" t="s">
        <v>219</v>
      </c>
    </row>
    <row r="108" spans="1:64" x14ac:dyDescent="0.25">
      <c r="A108" s="81" t="s">
        <v>231</v>
      </c>
      <c r="B108" s="82" t="s">
        <v>231</v>
      </c>
      <c r="C108" s="81" t="s">
        <v>232</v>
      </c>
      <c r="D108" s="16">
        <v>36787</v>
      </c>
      <c r="E108" s="17"/>
      <c r="F108" s="2" t="s">
        <v>52</v>
      </c>
      <c r="G108" s="2" t="s">
        <v>55</v>
      </c>
      <c r="H108" s="10" t="s">
        <v>57</v>
      </c>
      <c r="I108" s="11" t="s">
        <v>54</v>
      </c>
      <c r="J108" s="11" t="s">
        <v>139</v>
      </c>
      <c r="K108" s="61" t="s">
        <v>140</v>
      </c>
      <c r="L108" s="11" t="s">
        <v>67</v>
      </c>
      <c r="M108" s="25"/>
      <c r="N108" s="82"/>
      <c r="O108" s="3" t="str">
        <f>IF($A108="","",IF(P108=0,"A",IF(P108=AZ108,"E","A")))</f>
        <v>A</v>
      </c>
      <c r="P108" s="84">
        <v>208086.75</v>
      </c>
      <c r="Q108" s="84">
        <v>31100</v>
      </c>
      <c r="R108" s="32"/>
      <c r="S108" s="3" t="str">
        <f t="shared" ref="S108:S124" si="89">IF($A108="","",IF(T108=0,"A",IF(T108=BA108,"E","A")))</f>
        <v>A</v>
      </c>
      <c r="T108" s="84">
        <v>175603.5</v>
      </c>
      <c r="U108" s="84">
        <v>27912.55</v>
      </c>
      <c r="V108" s="32"/>
      <c r="W108" s="3" t="str">
        <f t="shared" si="76"/>
        <v>A</v>
      </c>
      <c r="X108" s="84">
        <v>163831.4</v>
      </c>
      <c r="Y108" s="84">
        <v>20893</v>
      </c>
      <c r="Z108" s="32"/>
      <c r="AA108" s="3" t="str">
        <f t="shared" si="77"/>
        <v>A</v>
      </c>
      <c r="AB108" s="84">
        <v>185512.19999999998</v>
      </c>
      <c r="AC108" s="84">
        <v>28246</v>
      </c>
      <c r="AD108" s="36"/>
      <c r="AE108" s="82"/>
      <c r="AF108" s="3" t="str">
        <f t="shared" si="78"/>
        <v>A</v>
      </c>
      <c r="AG108" s="84">
        <v>0</v>
      </c>
      <c r="AH108" s="84">
        <v>0</v>
      </c>
      <c r="AI108" s="39"/>
      <c r="AJ108" s="79" t="s">
        <v>1801</v>
      </c>
      <c r="AK108" s="39"/>
      <c r="AL108" s="4">
        <f t="shared" si="83"/>
        <v>733033.85</v>
      </c>
      <c r="AM108" s="4">
        <f t="shared" si="84"/>
        <v>108151.55</v>
      </c>
      <c r="AN108" s="4">
        <f t="shared" si="79"/>
        <v>841185.4</v>
      </c>
      <c r="AO108" s="39"/>
      <c r="AP108" s="8">
        <f t="shared" si="85"/>
        <v>0</v>
      </c>
      <c r="AQ108" s="8">
        <f t="shared" si="86"/>
        <v>0</v>
      </c>
      <c r="AR108" s="8">
        <f t="shared" si="80"/>
        <v>0</v>
      </c>
      <c r="AS108" s="42"/>
      <c r="AT108" s="84">
        <v>733033.84999999986</v>
      </c>
      <c r="AU108" s="84">
        <v>108151.55</v>
      </c>
      <c r="AV108" s="4">
        <f t="shared" si="81"/>
        <v>841185.39999999991</v>
      </c>
      <c r="AW108" s="50" t="str">
        <f t="shared" si="82"/>
        <v/>
      </c>
      <c r="AX108" s="1" t="s">
        <v>1639</v>
      </c>
      <c r="AY108" s="2" t="s">
        <v>1640</v>
      </c>
      <c r="AZ108" s="2">
        <v>190742.88</v>
      </c>
      <c r="BA108" s="73">
        <v>166900.01999999999</v>
      </c>
      <c r="BB108" s="73">
        <v>166900.01999999999</v>
      </c>
      <c r="BC108" s="73">
        <v>190742.88</v>
      </c>
      <c r="BD108" s="73"/>
      <c r="BE108" s="66">
        <v>2.5000000000000001E-2</v>
      </c>
      <c r="BF108" s="66">
        <v>0.02</v>
      </c>
      <c r="BG108" s="63">
        <v>45657</v>
      </c>
      <c r="BH108" s="2"/>
      <c r="BI108" s="2"/>
      <c r="BJ108" s="2"/>
      <c r="BK108" s="2"/>
      <c r="BL108" s="1" t="s">
        <v>56</v>
      </c>
    </row>
    <row r="109" spans="1:64" x14ac:dyDescent="0.25">
      <c r="A109" s="81" t="s">
        <v>231</v>
      </c>
      <c r="B109" s="82" t="s">
        <v>847</v>
      </c>
      <c r="C109" s="81" t="s">
        <v>848</v>
      </c>
      <c r="D109" s="16">
        <v>43722</v>
      </c>
      <c r="E109" s="17"/>
      <c r="F109" s="2" t="s">
        <v>52</v>
      </c>
      <c r="G109" s="2" t="s">
        <v>55</v>
      </c>
      <c r="H109" s="10" t="s">
        <v>57</v>
      </c>
      <c r="I109" s="11" t="s">
        <v>54</v>
      </c>
      <c r="J109" s="11" t="s">
        <v>139</v>
      </c>
      <c r="K109" s="61" t="s">
        <v>140</v>
      </c>
      <c r="L109" s="11" t="s">
        <v>67</v>
      </c>
      <c r="M109" s="25"/>
      <c r="N109" s="82"/>
      <c r="O109" s="3" t="str">
        <f>IF($A109="","",IF(P109=0,"A",IF(P109=AZ109,"E","A")))</f>
        <v>A</v>
      </c>
      <c r="P109" s="84">
        <v>50666</v>
      </c>
      <c r="Q109" s="84">
        <v>14525</v>
      </c>
      <c r="R109" s="32"/>
      <c r="S109" s="3" t="str">
        <f t="shared" si="89"/>
        <v>A</v>
      </c>
      <c r="T109" s="84">
        <v>43883</v>
      </c>
      <c r="U109" s="84">
        <v>10779</v>
      </c>
      <c r="V109" s="32"/>
      <c r="W109" s="3" t="str">
        <f t="shared" si="76"/>
        <v>A</v>
      </c>
      <c r="X109" s="84">
        <v>46373</v>
      </c>
      <c r="Y109" s="84">
        <v>12207</v>
      </c>
      <c r="Z109" s="32"/>
      <c r="AA109" s="3" t="str">
        <f t="shared" si="77"/>
        <v>A</v>
      </c>
      <c r="AB109" s="84">
        <v>54804.7</v>
      </c>
      <c r="AC109" s="84">
        <v>10166</v>
      </c>
      <c r="AD109" s="36"/>
      <c r="AE109" s="82"/>
      <c r="AF109" s="3" t="str">
        <f t="shared" si="78"/>
        <v>A</v>
      </c>
      <c r="AG109" s="84">
        <v>0</v>
      </c>
      <c r="AH109" s="84">
        <v>0</v>
      </c>
      <c r="AI109" s="39"/>
      <c r="AJ109" s="79" t="s">
        <v>1801</v>
      </c>
      <c r="AK109" s="39"/>
      <c r="AL109" s="4">
        <f t="shared" si="83"/>
        <v>195726.7</v>
      </c>
      <c r="AM109" s="4">
        <f t="shared" si="84"/>
        <v>47677</v>
      </c>
      <c r="AN109" s="4">
        <f t="shared" si="79"/>
        <v>243403.7</v>
      </c>
      <c r="AO109" s="39"/>
      <c r="AP109" s="8">
        <f t="shared" si="85"/>
        <v>0</v>
      </c>
      <c r="AQ109" s="8">
        <f t="shared" si="86"/>
        <v>0</v>
      </c>
      <c r="AR109" s="8">
        <f t="shared" si="80"/>
        <v>0</v>
      </c>
      <c r="AS109" s="42"/>
      <c r="AT109" s="84">
        <v>195726.7</v>
      </c>
      <c r="AU109" s="84">
        <v>47677</v>
      </c>
      <c r="AV109" s="4">
        <f t="shared" si="81"/>
        <v>243403.7</v>
      </c>
      <c r="AW109" s="50" t="str">
        <f t="shared" si="82"/>
        <v/>
      </c>
      <c r="AX109" s="1" t="s">
        <v>1639</v>
      </c>
      <c r="AY109" s="2" t="s">
        <v>1640</v>
      </c>
      <c r="AZ109" s="2">
        <v>98411.92</v>
      </c>
      <c r="BA109" s="73">
        <v>86110.43</v>
      </c>
      <c r="BB109" s="73">
        <v>86110.43</v>
      </c>
      <c r="BC109" s="73">
        <v>98411.92</v>
      </c>
      <c r="BD109" s="73"/>
      <c r="BE109" s="66">
        <v>0</v>
      </c>
      <c r="BF109" s="66">
        <v>0.02</v>
      </c>
      <c r="BG109" s="63">
        <v>45657</v>
      </c>
      <c r="BH109" s="2"/>
      <c r="BI109" s="2"/>
      <c r="BJ109" s="2"/>
      <c r="BK109" s="2"/>
      <c r="BL109" s="1" t="s">
        <v>56</v>
      </c>
    </row>
    <row r="110" spans="1:64" x14ac:dyDescent="0.25">
      <c r="A110" s="81" t="s">
        <v>233</v>
      </c>
      <c r="B110" s="82" t="s">
        <v>233</v>
      </c>
      <c r="C110" s="81" t="s">
        <v>234</v>
      </c>
      <c r="D110" s="16">
        <v>37122</v>
      </c>
      <c r="E110" s="17"/>
      <c r="F110" s="2" t="s">
        <v>235</v>
      </c>
      <c r="G110" s="2" t="s">
        <v>236</v>
      </c>
      <c r="H110" s="10" t="s">
        <v>98</v>
      </c>
      <c r="I110" s="11" t="s">
        <v>53</v>
      </c>
      <c r="J110" s="11" t="s">
        <v>238</v>
      </c>
      <c r="K110" s="61"/>
      <c r="L110" s="11" t="s">
        <v>67</v>
      </c>
      <c r="M110" s="25"/>
      <c r="N110" s="82"/>
      <c r="O110" s="3" t="str">
        <f>IF($A110="","",IF(P110=0,"A",IF(P110=AZ110,"E","A")))</f>
        <v>A</v>
      </c>
      <c r="P110" s="84">
        <v>789262</v>
      </c>
      <c r="Q110" s="84">
        <v>42476</v>
      </c>
      <c r="R110" s="32"/>
      <c r="S110" s="3" t="str">
        <f t="shared" si="89"/>
        <v>A</v>
      </c>
      <c r="T110" s="84">
        <v>759869</v>
      </c>
      <c r="U110" s="84">
        <v>46438</v>
      </c>
      <c r="V110" s="32"/>
      <c r="W110" s="3" t="str">
        <f t="shared" si="76"/>
        <v>A</v>
      </c>
      <c r="X110" s="84">
        <v>593331.5</v>
      </c>
      <c r="Y110" s="84">
        <v>32819</v>
      </c>
      <c r="Z110" s="32"/>
      <c r="AA110" s="3" t="str">
        <f t="shared" si="77"/>
        <v>A</v>
      </c>
      <c r="AB110" s="84">
        <v>716700</v>
      </c>
      <c r="AC110" s="84">
        <v>36598</v>
      </c>
      <c r="AD110" s="36"/>
      <c r="AE110" s="82"/>
      <c r="AF110" s="3" t="str">
        <f t="shared" si="78"/>
        <v>A</v>
      </c>
      <c r="AG110" s="84">
        <v>0</v>
      </c>
      <c r="AH110" s="84">
        <v>0</v>
      </c>
      <c r="AI110" s="39"/>
      <c r="AJ110" s="79" t="s">
        <v>1801</v>
      </c>
      <c r="AK110" s="39"/>
      <c r="AL110" s="4">
        <f t="shared" si="83"/>
        <v>2859162.5</v>
      </c>
      <c r="AM110" s="4">
        <f t="shared" si="84"/>
        <v>158331</v>
      </c>
      <c r="AN110" s="4">
        <f t="shared" si="79"/>
        <v>3017493.5</v>
      </c>
      <c r="AO110" s="39"/>
      <c r="AP110" s="8">
        <f t="shared" si="85"/>
        <v>0</v>
      </c>
      <c r="AQ110" s="8">
        <f t="shared" si="86"/>
        <v>0</v>
      </c>
      <c r="AR110" s="8">
        <f t="shared" si="80"/>
        <v>0</v>
      </c>
      <c r="AS110" s="42"/>
      <c r="AT110" s="84">
        <v>2859162.5</v>
      </c>
      <c r="AU110" s="84">
        <v>158331</v>
      </c>
      <c r="AV110" s="4">
        <f t="shared" si="81"/>
        <v>3017493.5</v>
      </c>
      <c r="AW110" s="50" t="str">
        <f t="shared" si="82"/>
        <v/>
      </c>
      <c r="AX110" s="1" t="s">
        <v>1662</v>
      </c>
      <c r="AY110" s="2" t="s">
        <v>1663</v>
      </c>
      <c r="AZ110" s="2">
        <v>465103.68</v>
      </c>
      <c r="BA110" s="73">
        <v>406965.72</v>
      </c>
      <c r="BB110" s="73">
        <v>406965.72</v>
      </c>
      <c r="BC110" s="73">
        <v>465103.68</v>
      </c>
      <c r="BD110" s="73"/>
      <c r="BE110" s="66">
        <v>3.5000000000000003E-2</v>
      </c>
      <c r="BF110" s="66">
        <v>0.05</v>
      </c>
      <c r="BG110" s="63">
        <v>44424</v>
      </c>
      <c r="BH110" s="74">
        <v>43906</v>
      </c>
      <c r="BI110" s="74">
        <v>43927</v>
      </c>
      <c r="BJ110" s="2"/>
      <c r="BK110" s="2"/>
      <c r="BL110" s="1" t="s">
        <v>237</v>
      </c>
    </row>
    <row r="111" spans="1:64" x14ac:dyDescent="0.25">
      <c r="A111" s="81" t="s">
        <v>239</v>
      </c>
      <c r="B111" s="82" t="s">
        <v>239</v>
      </c>
      <c r="C111" s="81" t="s">
        <v>240</v>
      </c>
      <c r="D111" s="16">
        <v>37194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131</v>
      </c>
      <c r="K111" s="61" t="s">
        <v>132</v>
      </c>
      <c r="L111" s="11" t="s">
        <v>67</v>
      </c>
      <c r="M111" s="25"/>
      <c r="N111" s="82"/>
      <c r="O111" s="3" t="str">
        <f>IF($A111="","",IF(P111=0,"A",IF(P111=AZ111,"E","A")))</f>
        <v>A</v>
      </c>
      <c r="P111" s="84">
        <v>94228.89</v>
      </c>
      <c r="Q111" s="84">
        <v>27401.260000000002</v>
      </c>
      <c r="R111" s="32"/>
      <c r="S111" s="3" t="str">
        <f t="shared" si="89"/>
        <v>A</v>
      </c>
      <c r="T111" s="84">
        <v>96010</v>
      </c>
      <c r="U111" s="84">
        <v>26284</v>
      </c>
      <c r="V111" s="32"/>
      <c r="W111" s="3" t="str">
        <f t="shared" si="76"/>
        <v>A</v>
      </c>
      <c r="X111" s="84">
        <v>95166</v>
      </c>
      <c r="Y111" s="84">
        <v>26962</v>
      </c>
      <c r="Z111" s="32"/>
      <c r="AA111" s="3" t="str">
        <f t="shared" si="77"/>
        <v>A</v>
      </c>
      <c r="AB111" s="84">
        <v>95373</v>
      </c>
      <c r="AC111" s="84">
        <v>26259</v>
      </c>
      <c r="AD111" s="36"/>
      <c r="AE111" s="82"/>
      <c r="AF111" s="3" t="str">
        <f t="shared" si="78"/>
        <v>A</v>
      </c>
      <c r="AG111" s="84">
        <v>0</v>
      </c>
      <c r="AH111" s="84">
        <v>0</v>
      </c>
      <c r="AI111" s="39"/>
      <c r="AJ111" s="79" t="s">
        <v>1801</v>
      </c>
      <c r="AK111" s="39"/>
      <c r="AL111" s="4">
        <f t="shared" si="83"/>
        <v>380777.89</v>
      </c>
      <c r="AM111" s="4">
        <f t="shared" si="84"/>
        <v>106906.26000000001</v>
      </c>
      <c r="AN111" s="4">
        <f t="shared" si="79"/>
        <v>487684.15</v>
      </c>
      <c r="AO111" s="39"/>
      <c r="AP111" s="8">
        <f t="shared" si="85"/>
        <v>0</v>
      </c>
      <c r="AQ111" s="8">
        <f t="shared" si="86"/>
        <v>0</v>
      </c>
      <c r="AR111" s="8">
        <f t="shared" si="80"/>
        <v>0</v>
      </c>
      <c r="AS111" s="42"/>
      <c r="AT111" s="84">
        <v>380777.89</v>
      </c>
      <c r="AU111" s="84">
        <v>106906.26000000001</v>
      </c>
      <c r="AV111" s="4">
        <f t="shared" si="81"/>
        <v>487684.15</v>
      </c>
      <c r="AW111" s="50" t="str">
        <f t="shared" si="82"/>
        <v/>
      </c>
      <c r="AX111" s="1" t="s">
        <v>1639</v>
      </c>
      <c r="AY111" s="2" t="s">
        <v>1640</v>
      </c>
      <c r="AZ111" s="2">
        <v>110093.84</v>
      </c>
      <c r="BA111" s="73">
        <v>96332.11</v>
      </c>
      <c r="BB111" s="73">
        <v>96332.11</v>
      </c>
      <c r="BC111" s="73">
        <v>110093.84</v>
      </c>
      <c r="BD111" s="73"/>
      <c r="BE111" s="66">
        <v>2.5000000000000001E-2</v>
      </c>
      <c r="BF111" s="66">
        <v>0.02</v>
      </c>
      <c r="BG111" s="63">
        <v>44499</v>
      </c>
      <c r="BH111" s="74">
        <v>43939</v>
      </c>
      <c r="BI111" s="74">
        <v>43987</v>
      </c>
      <c r="BJ111" s="2"/>
      <c r="BK111" s="2"/>
      <c r="BL111" s="1" t="s">
        <v>56</v>
      </c>
    </row>
    <row r="112" spans="1:64" x14ac:dyDescent="0.25">
      <c r="A112" s="81" t="s">
        <v>241</v>
      </c>
      <c r="B112" s="82" t="s">
        <v>241</v>
      </c>
      <c r="C112" s="81" t="s">
        <v>242</v>
      </c>
      <c r="D112" s="16">
        <v>37274</v>
      </c>
      <c r="E112" s="17"/>
      <c r="F112" s="2" t="s">
        <v>243</v>
      </c>
      <c r="G112" s="2" t="s">
        <v>245</v>
      </c>
      <c r="H112" s="10" t="s">
        <v>98</v>
      </c>
      <c r="I112" s="11" t="s">
        <v>244</v>
      </c>
      <c r="J112" s="11" t="s">
        <v>246</v>
      </c>
      <c r="K112" s="61" t="s">
        <v>247</v>
      </c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226743.1</v>
      </c>
      <c r="Q112" s="84">
        <v>41589</v>
      </c>
      <c r="R112" s="32"/>
      <c r="S112" s="3" t="str">
        <f t="shared" si="89"/>
        <v>A</v>
      </c>
      <c r="T112" s="84">
        <v>210332</v>
      </c>
      <c r="U112" s="84">
        <v>38020</v>
      </c>
      <c r="V112" s="32"/>
      <c r="W112" s="3" t="str">
        <f t="shared" si="76"/>
        <v>A</v>
      </c>
      <c r="X112" s="84">
        <v>187266</v>
      </c>
      <c r="Y112" s="84">
        <v>23782</v>
      </c>
      <c r="Z112" s="32"/>
      <c r="AA112" s="3" t="str">
        <f t="shared" si="77"/>
        <v>A</v>
      </c>
      <c r="AB112" s="84">
        <v>217657</v>
      </c>
      <c r="AC112" s="84">
        <v>25190</v>
      </c>
      <c r="AD112" s="36"/>
      <c r="AE112" s="82"/>
      <c r="AF112" s="3" t="str">
        <f t="shared" si="78"/>
        <v>A</v>
      </c>
      <c r="AG112" s="84">
        <v>0</v>
      </c>
      <c r="AH112" s="84">
        <v>0</v>
      </c>
      <c r="AI112" s="39"/>
      <c r="AJ112" s="79" t="s">
        <v>1801</v>
      </c>
      <c r="AK112" s="39"/>
      <c r="AL112" s="4">
        <f t="shared" si="83"/>
        <v>841998.1</v>
      </c>
      <c r="AM112" s="4">
        <f t="shared" si="84"/>
        <v>128581</v>
      </c>
      <c r="AN112" s="4">
        <f t="shared" si="79"/>
        <v>970579.1</v>
      </c>
      <c r="AO112" s="39"/>
      <c r="AP112" s="8">
        <f t="shared" si="85"/>
        <v>0</v>
      </c>
      <c r="AQ112" s="8">
        <f t="shared" si="86"/>
        <v>0</v>
      </c>
      <c r="AR112" s="8">
        <f t="shared" si="80"/>
        <v>0</v>
      </c>
      <c r="AS112" s="42"/>
      <c r="AT112" s="84">
        <v>841998.1</v>
      </c>
      <c r="AU112" s="84">
        <v>128581</v>
      </c>
      <c r="AV112" s="4">
        <f t="shared" si="81"/>
        <v>970579.1</v>
      </c>
      <c r="AW112" s="50" t="str">
        <f t="shared" si="82"/>
        <v/>
      </c>
      <c r="AX112" s="1" t="s">
        <v>1639</v>
      </c>
      <c r="AY112" s="2" t="s">
        <v>1640</v>
      </c>
      <c r="AZ112" s="2">
        <v>155039.51999999999</v>
      </c>
      <c r="BA112" s="73">
        <v>135659.57999999999</v>
      </c>
      <c r="BB112" s="73">
        <v>135659.57999999999</v>
      </c>
      <c r="BC112" s="73">
        <v>155039.51999999999</v>
      </c>
      <c r="BD112" s="73"/>
      <c r="BE112" s="66">
        <v>3.5000000000000003E-2</v>
      </c>
      <c r="BF112" s="66">
        <v>0.02</v>
      </c>
      <c r="BG112" s="63">
        <v>45136</v>
      </c>
      <c r="BH112" s="74">
        <v>43955</v>
      </c>
      <c r="BI112" s="74">
        <v>43956</v>
      </c>
      <c r="BJ112" s="2"/>
      <c r="BK112" s="2"/>
      <c r="BL112" s="1" t="s">
        <v>97</v>
      </c>
    </row>
    <row r="113" spans="1:64" x14ac:dyDescent="0.25">
      <c r="A113" s="81" t="s">
        <v>241</v>
      </c>
      <c r="B113" s="82" t="s">
        <v>1316</v>
      </c>
      <c r="C113" s="81" t="s">
        <v>1317</v>
      </c>
      <c r="D113" s="16">
        <v>0</v>
      </c>
      <c r="E113" s="17"/>
      <c r="F113" s="2" t="s">
        <v>243</v>
      </c>
      <c r="G113" s="2" t="s">
        <v>245</v>
      </c>
      <c r="H113" s="10" t="s">
        <v>98</v>
      </c>
      <c r="I113" s="11" t="s">
        <v>244</v>
      </c>
      <c r="J113" s="11" t="s">
        <v>246</v>
      </c>
      <c r="K113" s="61" t="s">
        <v>247</v>
      </c>
      <c r="L113" s="11" t="s">
        <v>67</v>
      </c>
      <c r="M113" s="25"/>
      <c r="N113" s="82"/>
      <c r="O113" s="3" t="str">
        <f>IF($A113="","",IF(P113=AZ113,"E","A"))</f>
        <v>A</v>
      </c>
      <c r="P113" s="84">
        <v>111821</v>
      </c>
      <c r="Q113" s="84">
        <v>4400</v>
      </c>
      <c r="R113" s="32"/>
      <c r="S113" s="3" t="str">
        <f t="shared" si="89"/>
        <v>A</v>
      </c>
      <c r="T113" s="84">
        <v>98052</v>
      </c>
      <c r="U113" s="84">
        <v>4660</v>
      </c>
      <c r="V113" s="32"/>
      <c r="W113" s="3" t="str">
        <f t="shared" si="76"/>
        <v>A</v>
      </c>
      <c r="X113" s="84">
        <v>91629</v>
      </c>
      <c r="Y113" s="84">
        <v>3185</v>
      </c>
      <c r="Z113" s="32"/>
      <c r="AA113" s="3" t="str">
        <f t="shared" si="77"/>
        <v>A</v>
      </c>
      <c r="AB113" s="84">
        <v>109137</v>
      </c>
      <c r="AC113" s="84">
        <v>3350</v>
      </c>
      <c r="AD113" s="36"/>
      <c r="AE113" s="82"/>
      <c r="AF113" s="3" t="str">
        <f t="shared" si="78"/>
        <v>A</v>
      </c>
      <c r="AG113" s="84">
        <v>0</v>
      </c>
      <c r="AH113" s="84">
        <v>0</v>
      </c>
      <c r="AI113" s="39"/>
      <c r="AJ113" s="79" t="s">
        <v>1801</v>
      </c>
      <c r="AK113" s="39"/>
      <c r="AL113" s="4">
        <f t="shared" si="83"/>
        <v>410639</v>
      </c>
      <c r="AM113" s="4">
        <f t="shared" si="84"/>
        <v>15595</v>
      </c>
      <c r="AN113" s="4">
        <f t="shared" si="79"/>
        <v>426234</v>
      </c>
      <c r="AO113" s="39"/>
      <c r="AP113" s="8">
        <f t="shared" si="85"/>
        <v>0</v>
      </c>
      <c r="AQ113" s="8">
        <f t="shared" si="86"/>
        <v>0</v>
      </c>
      <c r="AR113" s="8">
        <f t="shared" si="80"/>
        <v>0</v>
      </c>
      <c r="AS113" s="42"/>
      <c r="AT113" s="84">
        <v>410639</v>
      </c>
      <c r="AU113" s="84">
        <v>15595</v>
      </c>
      <c r="AV113" s="4">
        <f t="shared" si="81"/>
        <v>426234</v>
      </c>
      <c r="AW113" s="50" t="str">
        <f t="shared" si="82"/>
        <v/>
      </c>
      <c r="AX113" s="1" t="s">
        <v>1639</v>
      </c>
      <c r="AY113" s="2" t="s">
        <v>1640</v>
      </c>
      <c r="AZ113" s="2">
        <v>74859.679999999993</v>
      </c>
      <c r="BA113" s="73">
        <v>65502.22</v>
      </c>
      <c r="BB113" s="73">
        <v>65502.22</v>
      </c>
      <c r="BC113" s="73">
        <v>74859.679999999993</v>
      </c>
      <c r="BD113" s="73"/>
      <c r="BE113" s="66">
        <v>0</v>
      </c>
      <c r="BF113" s="66">
        <v>0.02</v>
      </c>
      <c r="BG113" s="63">
        <v>45135</v>
      </c>
      <c r="BH113" s="2"/>
      <c r="BI113" s="2"/>
      <c r="BJ113" s="2">
        <v>270000</v>
      </c>
      <c r="BK113" s="2"/>
      <c r="BL113" s="1" t="s">
        <v>97</v>
      </c>
    </row>
    <row r="114" spans="1:64" x14ac:dyDescent="0.25">
      <c r="A114" s="81" t="s">
        <v>248</v>
      </c>
      <c r="B114" s="82" t="s">
        <v>248</v>
      </c>
      <c r="C114" s="81" t="s">
        <v>249</v>
      </c>
      <c r="D114" s="16">
        <v>37302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139</v>
      </c>
      <c r="K114" s="61" t="s">
        <v>140</v>
      </c>
      <c r="L114" s="11" t="s">
        <v>67</v>
      </c>
      <c r="M114" s="25"/>
      <c r="N114" s="82"/>
      <c r="O114" s="3" t="str">
        <f t="shared" ref="O114:O124" si="90">IF($A114="","",IF(P114=0,"A",IF(P114=AZ114,"E","A")))</f>
        <v>A</v>
      </c>
      <c r="P114" s="84">
        <v>277768.27</v>
      </c>
      <c r="Q114" s="84">
        <v>43416.33</v>
      </c>
      <c r="R114" s="32"/>
      <c r="S114" s="3" t="str">
        <f t="shared" si="89"/>
        <v>A</v>
      </c>
      <c r="T114" s="84">
        <v>236409.93</v>
      </c>
      <c r="U114" s="84">
        <v>42546.77</v>
      </c>
      <c r="V114" s="32"/>
      <c r="W114" s="3" t="str">
        <f t="shared" si="76"/>
        <v>A</v>
      </c>
      <c r="X114" s="84">
        <v>228710.35</v>
      </c>
      <c r="Y114" s="84">
        <v>35276</v>
      </c>
      <c r="Z114" s="32"/>
      <c r="AA114" s="3" t="str">
        <f t="shared" si="77"/>
        <v>A</v>
      </c>
      <c r="AB114" s="84">
        <v>249675.61000000002</v>
      </c>
      <c r="AC114" s="84">
        <v>39853.589999999997</v>
      </c>
      <c r="AD114" s="36"/>
      <c r="AE114" s="82"/>
      <c r="AF114" s="3" t="str">
        <f t="shared" si="78"/>
        <v>A</v>
      </c>
      <c r="AG114" s="84">
        <v>0</v>
      </c>
      <c r="AH114" s="84">
        <v>0</v>
      </c>
      <c r="AI114" s="39"/>
      <c r="AJ114" s="79" t="s">
        <v>1801</v>
      </c>
      <c r="AK114" s="39"/>
      <c r="AL114" s="4">
        <f t="shared" si="83"/>
        <v>992564.16</v>
      </c>
      <c r="AM114" s="4">
        <f t="shared" si="84"/>
        <v>161092.69</v>
      </c>
      <c r="AN114" s="4">
        <f t="shared" si="79"/>
        <v>1153656.8500000001</v>
      </c>
      <c r="AO114" s="39"/>
      <c r="AP114" s="8">
        <f t="shared" si="85"/>
        <v>0</v>
      </c>
      <c r="AQ114" s="8">
        <f t="shared" si="86"/>
        <v>0</v>
      </c>
      <c r="AR114" s="8">
        <f t="shared" si="80"/>
        <v>0</v>
      </c>
      <c r="AS114" s="42"/>
      <c r="AT114" s="84">
        <v>992564.16</v>
      </c>
      <c r="AU114" s="84">
        <v>161092.69</v>
      </c>
      <c r="AV114" s="4">
        <f t="shared" si="81"/>
        <v>1153656.8500000001</v>
      </c>
      <c r="AW114" s="50" t="str">
        <f t="shared" si="82"/>
        <v/>
      </c>
      <c r="AX114" s="1" t="s">
        <v>1639</v>
      </c>
      <c r="AY114" s="2" t="s">
        <v>1640</v>
      </c>
      <c r="AZ114" s="2">
        <v>231149.12</v>
      </c>
      <c r="BA114" s="73">
        <v>202255.48</v>
      </c>
      <c r="BB114" s="73">
        <v>202255.48</v>
      </c>
      <c r="BC114" s="73">
        <v>231149.12</v>
      </c>
      <c r="BD114" s="73"/>
      <c r="BE114" s="66">
        <v>3.5000000000000003E-2</v>
      </c>
      <c r="BF114" s="66">
        <v>0.02</v>
      </c>
      <c r="BG114" s="63">
        <v>44607</v>
      </c>
      <c r="BH114" s="2"/>
      <c r="BI114" s="2"/>
      <c r="BJ114" s="2"/>
      <c r="BK114" s="2"/>
      <c r="BL114" s="1" t="s">
        <v>56</v>
      </c>
    </row>
    <row r="115" spans="1:64" x14ac:dyDescent="0.25">
      <c r="A115" s="81" t="s">
        <v>248</v>
      </c>
      <c r="B115" s="82" t="s">
        <v>692</v>
      </c>
      <c r="C115" s="81" t="s">
        <v>693</v>
      </c>
      <c r="D115" s="16">
        <v>42362</v>
      </c>
      <c r="E115" s="17"/>
      <c r="F115" s="2" t="s">
        <v>52</v>
      </c>
      <c r="G115" s="2" t="s">
        <v>55</v>
      </c>
      <c r="H115" s="10" t="s">
        <v>57</v>
      </c>
      <c r="I115" s="11" t="s">
        <v>54</v>
      </c>
      <c r="J115" s="11" t="s">
        <v>139</v>
      </c>
      <c r="K115" s="61" t="s">
        <v>140</v>
      </c>
      <c r="L115" s="11" t="s">
        <v>67</v>
      </c>
      <c r="M115" s="25"/>
      <c r="N115" s="82"/>
      <c r="O115" s="3" t="str">
        <f t="shared" si="90"/>
        <v>A</v>
      </c>
      <c r="P115" s="84">
        <v>37372</v>
      </c>
      <c r="Q115" s="84">
        <v>7249</v>
      </c>
      <c r="R115" s="32"/>
      <c r="S115" s="3" t="str">
        <f t="shared" si="89"/>
        <v>A</v>
      </c>
      <c r="T115" s="84">
        <v>35650</v>
      </c>
      <c r="U115" s="84">
        <v>8058</v>
      </c>
      <c r="V115" s="32"/>
      <c r="W115" s="3" t="str">
        <f t="shared" si="76"/>
        <v>A</v>
      </c>
      <c r="X115" s="84">
        <v>31200</v>
      </c>
      <c r="Y115" s="84">
        <v>6474</v>
      </c>
      <c r="Z115" s="32"/>
      <c r="AA115" s="3" t="str">
        <f t="shared" si="77"/>
        <v>A</v>
      </c>
      <c r="AB115" s="84">
        <v>35047</v>
      </c>
      <c r="AC115" s="84">
        <v>7203</v>
      </c>
      <c r="AD115" s="36"/>
      <c r="AE115" s="82"/>
      <c r="AF115" s="3" t="str">
        <f t="shared" si="78"/>
        <v>A</v>
      </c>
      <c r="AG115" s="84">
        <v>0</v>
      </c>
      <c r="AH115" s="84">
        <v>0</v>
      </c>
      <c r="AI115" s="39"/>
      <c r="AJ115" s="79" t="s">
        <v>1801</v>
      </c>
      <c r="AK115" s="39"/>
      <c r="AL115" s="4">
        <f t="shared" si="83"/>
        <v>139269</v>
      </c>
      <c r="AM115" s="4">
        <f t="shared" si="84"/>
        <v>28984</v>
      </c>
      <c r="AN115" s="4">
        <f t="shared" si="79"/>
        <v>168253</v>
      </c>
      <c r="AO115" s="39"/>
      <c r="AP115" s="8">
        <f t="shared" si="85"/>
        <v>0</v>
      </c>
      <c r="AQ115" s="8">
        <f t="shared" si="86"/>
        <v>0</v>
      </c>
      <c r="AR115" s="8">
        <f t="shared" si="80"/>
        <v>0</v>
      </c>
      <c r="AS115" s="42"/>
      <c r="AT115" s="84">
        <v>139269</v>
      </c>
      <c r="AU115" s="84">
        <v>28984</v>
      </c>
      <c r="AV115" s="4">
        <f t="shared" si="81"/>
        <v>168253</v>
      </c>
      <c r="AW115" s="50" t="str">
        <f t="shared" si="82"/>
        <v/>
      </c>
      <c r="AX115" s="1" t="s">
        <v>1639</v>
      </c>
      <c r="AY115" s="2" t="s">
        <v>1640</v>
      </c>
      <c r="AZ115" s="2">
        <v>53158.400000000001</v>
      </c>
      <c r="BA115" s="73">
        <v>46513.599999999999</v>
      </c>
      <c r="BB115" s="73">
        <v>46513.599999999999</v>
      </c>
      <c r="BC115" s="73">
        <v>53158.400000000001</v>
      </c>
      <c r="BD115" s="73"/>
      <c r="BE115" s="66">
        <v>3.5000000000000003E-2</v>
      </c>
      <c r="BF115" s="66">
        <v>0.02</v>
      </c>
      <c r="BG115" s="63">
        <v>44607</v>
      </c>
      <c r="BH115" s="2"/>
      <c r="BI115" s="2"/>
      <c r="BJ115" s="2"/>
      <c r="BK115" s="2"/>
      <c r="BL115" s="1" t="s">
        <v>56</v>
      </c>
    </row>
    <row r="116" spans="1:64" x14ac:dyDescent="0.25">
      <c r="A116" s="81" t="s">
        <v>248</v>
      </c>
      <c r="B116" s="82" t="s">
        <v>694</v>
      </c>
      <c r="C116" s="81" t="s">
        <v>695</v>
      </c>
      <c r="D116" s="16">
        <v>40875</v>
      </c>
      <c r="E116" s="17"/>
      <c r="F116" s="2" t="s">
        <v>52</v>
      </c>
      <c r="G116" s="2" t="s">
        <v>55</v>
      </c>
      <c r="H116" s="10" t="s">
        <v>57</v>
      </c>
      <c r="I116" s="11" t="s">
        <v>54</v>
      </c>
      <c r="J116" s="11" t="s">
        <v>139</v>
      </c>
      <c r="K116" s="61" t="s">
        <v>140</v>
      </c>
      <c r="L116" s="11" t="s">
        <v>67</v>
      </c>
      <c r="M116" s="25"/>
      <c r="N116" s="82"/>
      <c r="O116" s="3" t="str">
        <f t="shared" si="90"/>
        <v>A</v>
      </c>
      <c r="P116" s="84">
        <v>18624</v>
      </c>
      <c r="Q116" s="84">
        <v>7072</v>
      </c>
      <c r="R116" s="32"/>
      <c r="S116" s="3" t="str">
        <f t="shared" si="89"/>
        <v>A</v>
      </c>
      <c r="T116" s="84">
        <v>17147</v>
      </c>
      <c r="U116" s="84">
        <v>6510</v>
      </c>
      <c r="V116" s="32"/>
      <c r="W116" s="3" t="str">
        <f t="shared" si="76"/>
        <v>A</v>
      </c>
      <c r="X116" s="84">
        <v>14815</v>
      </c>
      <c r="Y116" s="84">
        <v>6569</v>
      </c>
      <c r="Z116" s="32"/>
      <c r="AA116" s="3" t="str">
        <f t="shared" si="77"/>
        <v>A</v>
      </c>
      <c r="AB116" s="84">
        <v>19760</v>
      </c>
      <c r="AC116" s="84">
        <v>6098</v>
      </c>
      <c r="AD116" s="36"/>
      <c r="AE116" s="82"/>
      <c r="AF116" s="3" t="str">
        <f t="shared" si="78"/>
        <v>A</v>
      </c>
      <c r="AG116" s="84">
        <v>0</v>
      </c>
      <c r="AH116" s="84">
        <v>0</v>
      </c>
      <c r="AI116" s="39"/>
      <c r="AJ116" s="79" t="s">
        <v>1801</v>
      </c>
      <c r="AK116" s="39"/>
      <c r="AL116" s="4">
        <f t="shared" si="83"/>
        <v>70346</v>
      </c>
      <c r="AM116" s="4">
        <f t="shared" si="84"/>
        <v>26249</v>
      </c>
      <c r="AN116" s="4">
        <f t="shared" si="79"/>
        <v>96595</v>
      </c>
      <c r="AO116" s="39"/>
      <c r="AP116" s="8">
        <f t="shared" si="85"/>
        <v>0</v>
      </c>
      <c r="AQ116" s="8">
        <f t="shared" si="86"/>
        <v>0</v>
      </c>
      <c r="AR116" s="8">
        <f t="shared" si="80"/>
        <v>0</v>
      </c>
      <c r="AS116" s="42"/>
      <c r="AT116" s="84">
        <v>70346</v>
      </c>
      <c r="AU116" s="84">
        <v>26249</v>
      </c>
      <c r="AV116" s="4">
        <f t="shared" si="81"/>
        <v>96595</v>
      </c>
      <c r="AW116" s="50" t="str">
        <f t="shared" si="82"/>
        <v/>
      </c>
      <c r="AX116" s="1" t="s">
        <v>1639</v>
      </c>
      <c r="AY116" s="2" t="s">
        <v>1640</v>
      </c>
      <c r="AZ116" s="2">
        <v>25703.68</v>
      </c>
      <c r="BA116" s="73">
        <v>22490.720000000001</v>
      </c>
      <c r="BB116" s="73">
        <v>22490.720000000001</v>
      </c>
      <c r="BC116" s="73">
        <v>25703.68</v>
      </c>
      <c r="BD116" s="73"/>
      <c r="BE116" s="66">
        <v>3.5000000000000003E-2</v>
      </c>
      <c r="BF116" s="66">
        <v>0.02</v>
      </c>
      <c r="BG116" s="63">
        <v>44607</v>
      </c>
      <c r="BH116" s="2"/>
      <c r="BI116" s="2"/>
      <c r="BJ116" s="2"/>
      <c r="BK116" s="2"/>
      <c r="BL116" s="1" t="s">
        <v>56</v>
      </c>
    </row>
    <row r="117" spans="1:64" x14ac:dyDescent="0.25">
      <c r="A117" s="81" t="s">
        <v>248</v>
      </c>
      <c r="B117" s="82" t="s">
        <v>1104</v>
      </c>
      <c r="C117" s="81" t="s">
        <v>1105</v>
      </c>
      <c r="D117" s="16">
        <v>44824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82"/>
      <c r="O117" s="3" t="str">
        <f t="shared" si="90"/>
        <v>A</v>
      </c>
      <c r="P117" s="84">
        <v>39407</v>
      </c>
      <c r="Q117" s="84">
        <v>8048</v>
      </c>
      <c r="R117" s="32"/>
      <c r="S117" s="3" t="str">
        <f t="shared" si="89"/>
        <v>A</v>
      </c>
      <c r="T117" s="84">
        <v>33188</v>
      </c>
      <c r="U117" s="84">
        <v>5720</v>
      </c>
      <c r="V117" s="32"/>
      <c r="W117" s="3" t="str">
        <f t="shared" si="76"/>
        <v>A</v>
      </c>
      <c r="X117" s="84">
        <v>33877</v>
      </c>
      <c r="Y117" s="84">
        <v>6707</v>
      </c>
      <c r="Z117" s="32"/>
      <c r="AA117" s="3" t="str">
        <f t="shared" si="77"/>
        <v>A</v>
      </c>
      <c r="AB117" s="84">
        <v>36779</v>
      </c>
      <c r="AC117" s="84">
        <v>5476</v>
      </c>
      <c r="AD117" s="36"/>
      <c r="AE117" s="82"/>
      <c r="AF117" s="3" t="str">
        <f t="shared" si="78"/>
        <v>A</v>
      </c>
      <c r="AG117" s="84">
        <v>0</v>
      </c>
      <c r="AH117" s="84">
        <v>0</v>
      </c>
      <c r="AI117" s="39"/>
      <c r="AJ117" s="79" t="s">
        <v>1801</v>
      </c>
      <c r="AK117" s="39"/>
      <c r="AL117" s="4">
        <f t="shared" si="83"/>
        <v>143251</v>
      </c>
      <c r="AM117" s="4">
        <f t="shared" si="84"/>
        <v>25951</v>
      </c>
      <c r="AN117" s="4">
        <f t="shared" si="79"/>
        <v>169202</v>
      </c>
      <c r="AO117" s="39"/>
      <c r="AP117" s="8">
        <f t="shared" si="85"/>
        <v>0</v>
      </c>
      <c r="AQ117" s="8">
        <f t="shared" si="86"/>
        <v>0</v>
      </c>
      <c r="AR117" s="8">
        <f t="shared" si="80"/>
        <v>0</v>
      </c>
      <c r="AS117" s="42"/>
      <c r="AT117" s="84">
        <v>143251</v>
      </c>
      <c r="AU117" s="84">
        <v>25951</v>
      </c>
      <c r="AV117" s="4">
        <f t="shared" si="81"/>
        <v>169202</v>
      </c>
      <c r="AW117" s="50" t="str">
        <f t="shared" si="82"/>
        <v/>
      </c>
      <c r="AX117" s="1" t="s">
        <v>1639</v>
      </c>
      <c r="AY117" s="2" t="s">
        <v>1640</v>
      </c>
      <c r="AZ117" s="2">
        <v>64614.400000000001</v>
      </c>
      <c r="BA117" s="73">
        <v>56537.599999999999</v>
      </c>
      <c r="BB117" s="73">
        <v>56537.599999999999</v>
      </c>
      <c r="BC117" s="73">
        <v>64614.400000000001</v>
      </c>
      <c r="BD117" s="73"/>
      <c r="BE117" s="66">
        <v>0</v>
      </c>
      <c r="BF117" s="66">
        <v>0.02</v>
      </c>
      <c r="BG117" s="63">
        <v>44824</v>
      </c>
      <c r="BH117" s="2"/>
      <c r="BI117" s="2"/>
      <c r="BJ117" s="2">
        <v>232310.96</v>
      </c>
      <c r="BK117" s="2">
        <v>25812.33</v>
      </c>
      <c r="BL117" s="1" t="s">
        <v>56</v>
      </c>
    </row>
    <row r="118" spans="1:64" x14ac:dyDescent="0.25">
      <c r="A118" s="81" t="s">
        <v>250</v>
      </c>
      <c r="B118" s="82" t="s">
        <v>250</v>
      </c>
      <c r="C118" s="81" t="s">
        <v>251</v>
      </c>
      <c r="D118" s="16">
        <v>37310</v>
      </c>
      <c r="E118" s="17"/>
      <c r="F118" s="2" t="s">
        <v>252</v>
      </c>
      <c r="G118" s="2" t="s">
        <v>253</v>
      </c>
      <c r="H118" s="10" t="s">
        <v>98</v>
      </c>
      <c r="I118" s="11" t="s">
        <v>53</v>
      </c>
      <c r="J118" s="11" t="s">
        <v>118</v>
      </c>
      <c r="K118" s="61"/>
      <c r="L118" s="11" t="s">
        <v>67</v>
      </c>
      <c r="M118" s="25"/>
      <c r="N118" s="82"/>
      <c r="O118" s="3" t="str">
        <f t="shared" si="90"/>
        <v>A</v>
      </c>
      <c r="P118" s="84">
        <v>125193</v>
      </c>
      <c r="Q118" s="84">
        <v>15668</v>
      </c>
      <c r="R118" s="32"/>
      <c r="S118" s="3" t="str">
        <f t="shared" si="89"/>
        <v>A</v>
      </c>
      <c r="T118" s="84">
        <v>117988</v>
      </c>
      <c r="U118" s="84">
        <v>16093</v>
      </c>
      <c r="V118" s="32"/>
      <c r="W118" s="3" t="str">
        <f t="shared" si="76"/>
        <v>A</v>
      </c>
      <c r="X118" s="84">
        <v>116639</v>
      </c>
      <c r="Y118" s="84">
        <v>15471</v>
      </c>
      <c r="Z118" s="32"/>
      <c r="AA118" s="3" t="str">
        <f t="shared" si="77"/>
        <v>A</v>
      </c>
      <c r="AB118" s="84">
        <v>131826</v>
      </c>
      <c r="AC118" s="84">
        <v>15996</v>
      </c>
      <c r="AD118" s="36"/>
      <c r="AE118" s="82"/>
      <c r="AF118" s="3" t="str">
        <f t="shared" si="78"/>
        <v>A</v>
      </c>
      <c r="AG118" s="84">
        <v>0</v>
      </c>
      <c r="AH118" s="84">
        <v>0</v>
      </c>
      <c r="AI118" s="39"/>
      <c r="AJ118" s="79" t="s">
        <v>1801</v>
      </c>
      <c r="AK118" s="39"/>
      <c r="AL118" s="4">
        <f t="shared" si="83"/>
        <v>491646</v>
      </c>
      <c r="AM118" s="4">
        <f t="shared" si="84"/>
        <v>63228</v>
      </c>
      <c r="AN118" s="4">
        <f t="shared" si="79"/>
        <v>554874</v>
      </c>
      <c r="AO118" s="39"/>
      <c r="AP118" s="8">
        <f t="shared" si="85"/>
        <v>0</v>
      </c>
      <c r="AQ118" s="8">
        <f t="shared" si="86"/>
        <v>0</v>
      </c>
      <c r="AR118" s="8">
        <f t="shared" si="80"/>
        <v>0</v>
      </c>
      <c r="AS118" s="42"/>
      <c r="AT118" s="84">
        <v>491646</v>
      </c>
      <c r="AU118" s="84">
        <v>63228</v>
      </c>
      <c r="AV118" s="4">
        <f t="shared" si="81"/>
        <v>554874</v>
      </c>
      <c r="AW118" s="50" t="str">
        <f t="shared" si="82"/>
        <v/>
      </c>
      <c r="AX118" s="1" t="s">
        <v>1664</v>
      </c>
      <c r="AY118" s="2" t="s">
        <v>1665</v>
      </c>
      <c r="AZ118" s="2">
        <v>142308.4</v>
      </c>
      <c r="BA118" s="73">
        <v>124519.85</v>
      </c>
      <c r="BB118" s="73">
        <v>124519.85</v>
      </c>
      <c r="BC118" s="73">
        <v>142308.4</v>
      </c>
      <c r="BD118" s="73"/>
      <c r="BE118" s="66">
        <v>0.04</v>
      </c>
      <c r="BF118" s="66">
        <v>0.05</v>
      </c>
      <c r="BG118" s="63">
        <v>44615</v>
      </c>
      <c r="BH118" s="74">
        <v>44280</v>
      </c>
      <c r="BI118" s="74">
        <v>44282</v>
      </c>
      <c r="BJ118" s="2"/>
      <c r="BK118" s="2"/>
      <c r="BL118" s="1" t="s">
        <v>97</v>
      </c>
    </row>
    <row r="119" spans="1:64" x14ac:dyDescent="0.25">
      <c r="A119" s="81" t="s">
        <v>250</v>
      </c>
      <c r="B119" s="82" t="s">
        <v>696</v>
      </c>
      <c r="C119" s="81" t="s">
        <v>697</v>
      </c>
      <c r="D119" s="16">
        <v>40374</v>
      </c>
      <c r="E119" s="17"/>
      <c r="F119" s="2" t="s">
        <v>252</v>
      </c>
      <c r="G119" s="2" t="s">
        <v>253</v>
      </c>
      <c r="H119" s="10" t="s">
        <v>98</v>
      </c>
      <c r="I119" s="11" t="s">
        <v>53</v>
      </c>
      <c r="J119" s="11" t="s">
        <v>118</v>
      </c>
      <c r="K119" s="61"/>
      <c r="L119" s="11" t="s">
        <v>67</v>
      </c>
      <c r="M119" s="25"/>
      <c r="N119" s="82"/>
      <c r="O119" s="3" t="str">
        <f t="shared" si="90"/>
        <v>A</v>
      </c>
      <c r="P119" s="84">
        <v>104988</v>
      </c>
      <c r="Q119" s="84">
        <v>21779</v>
      </c>
      <c r="R119" s="32"/>
      <c r="S119" s="3" t="str">
        <f t="shared" si="89"/>
        <v>A</v>
      </c>
      <c r="T119" s="84">
        <v>117764</v>
      </c>
      <c r="U119" s="84">
        <v>25647</v>
      </c>
      <c r="V119" s="32"/>
      <c r="W119" s="3" t="str">
        <f t="shared" si="76"/>
        <v>A</v>
      </c>
      <c r="X119" s="84">
        <v>105740</v>
      </c>
      <c r="Y119" s="84">
        <v>20256</v>
      </c>
      <c r="Z119" s="32"/>
      <c r="AA119" s="3" t="str">
        <f t="shared" si="77"/>
        <v>A</v>
      </c>
      <c r="AB119" s="84">
        <v>113539</v>
      </c>
      <c r="AC119" s="84">
        <v>22749</v>
      </c>
      <c r="AD119" s="36"/>
      <c r="AE119" s="82"/>
      <c r="AF119" s="3" t="str">
        <f t="shared" si="78"/>
        <v>A</v>
      </c>
      <c r="AG119" s="84">
        <v>0</v>
      </c>
      <c r="AH119" s="84">
        <v>0</v>
      </c>
      <c r="AI119" s="39"/>
      <c r="AJ119" s="79" t="s">
        <v>1801</v>
      </c>
      <c r="AK119" s="39"/>
      <c r="AL119" s="4">
        <f t="shared" si="83"/>
        <v>442031</v>
      </c>
      <c r="AM119" s="4">
        <f t="shared" si="84"/>
        <v>90431</v>
      </c>
      <c r="AN119" s="4">
        <f t="shared" si="79"/>
        <v>532462</v>
      </c>
      <c r="AO119" s="39"/>
      <c r="AP119" s="8">
        <f t="shared" si="85"/>
        <v>0</v>
      </c>
      <c r="AQ119" s="8">
        <f t="shared" si="86"/>
        <v>0</v>
      </c>
      <c r="AR119" s="8">
        <f t="shared" si="80"/>
        <v>0</v>
      </c>
      <c r="AS119" s="42"/>
      <c r="AT119" s="84">
        <v>442031</v>
      </c>
      <c r="AU119" s="84">
        <v>90431</v>
      </c>
      <c r="AV119" s="4">
        <f t="shared" si="81"/>
        <v>532462</v>
      </c>
      <c r="AW119" s="50" t="str">
        <f t="shared" si="82"/>
        <v/>
      </c>
      <c r="AX119" s="1" t="s">
        <v>1664</v>
      </c>
      <c r="AY119" s="2" t="s">
        <v>1665</v>
      </c>
      <c r="AZ119" s="2">
        <v>110192.24</v>
      </c>
      <c r="BA119" s="73">
        <v>96418.21</v>
      </c>
      <c r="BB119" s="73">
        <v>96418.21</v>
      </c>
      <c r="BC119" s="73">
        <v>110192.24</v>
      </c>
      <c r="BD119" s="73"/>
      <c r="BE119" s="66">
        <v>0.04</v>
      </c>
      <c r="BF119" s="66">
        <v>0.05</v>
      </c>
      <c r="BG119" s="63">
        <v>44615</v>
      </c>
      <c r="BH119" s="74">
        <v>43912</v>
      </c>
      <c r="BI119" s="74">
        <v>43936</v>
      </c>
      <c r="BJ119" s="2"/>
      <c r="BK119" s="2"/>
      <c r="BL119" s="1" t="s">
        <v>97</v>
      </c>
    </row>
    <row r="120" spans="1:64" x14ac:dyDescent="0.25">
      <c r="A120" s="81" t="s">
        <v>254</v>
      </c>
      <c r="B120" s="82" t="s">
        <v>254</v>
      </c>
      <c r="C120" s="81" t="s">
        <v>255</v>
      </c>
      <c r="D120" s="16">
        <v>37325</v>
      </c>
      <c r="E120" s="17"/>
      <c r="F120" s="2" t="s">
        <v>256</v>
      </c>
      <c r="G120" s="2" t="s">
        <v>257</v>
      </c>
      <c r="H120" s="10" t="s">
        <v>105</v>
      </c>
      <c r="I120" s="11" t="s">
        <v>53</v>
      </c>
      <c r="J120" s="11" t="s">
        <v>258</v>
      </c>
      <c r="K120" s="61"/>
      <c r="L120" s="11" t="s">
        <v>67</v>
      </c>
      <c r="M120" s="25"/>
      <c r="N120" s="82"/>
      <c r="O120" s="3" t="str">
        <f t="shared" si="90"/>
        <v>E</v>
      </c>
      <c r="P120" s="84">
        <v>84285.6</v>
      </c>
      <c r="Q120" s="84">
        <v>30964.880000000001</v>
      </c>
      <c r="R120" s="32"/>
      <c r="S120" s="3" t="str">
        <f t="shared" si="89"/>
        <v>E</v>
      </c>
      <c r="T120" s="84">
        <v>73749.899999999994</v>
      </c>
      <c r="U120" s="84">
        <v>27094.27</v>
      </c>
      <c r="V120" s="32"/>
      <c r="W120" s="3" t="str">
        <f t="shared" si="76"/>
        <v>E</v>
      </c>
      <c r="X120" s="84">
        <v>73749.899999999994</v>
      </c>
      <c r="Y120" s="84">
        <v>27094.27</v>
      </c>
      <c r="Z120" s="32"/>
      <c r="AA120" s="3" t="str">
        <f t="shared" si="77"/>
        <v>E</v>
      </c>
      <c r="AB120" s="84">
        <v>84285.6</v>
      </c>
      <c r="AC120" s="84">
        <v>30964.880000000001</v>
      </c>
      <c r="AD120" s="36"/>
      <c r="AE120" s="82"/>
      <c r="AF120" s="3" t="str">
        <f t="shared" si="78"/>
        <v>A</v>
      </c>
      <c r="AG120" s="84"/>
      <c r="AH120" s="84"/>
      <c r="AI120" s="39"/>
      <c r="AJ120" s="79" t="s">
        <v>38</v>
      </c>
      <c r="AK120" s="39"/>
      <c r="AL120" s="4">
        <f t="shared" si="83"/>
        <v>0</v>
      </c>
      <c r="AM120" s="4">
        <f t="shared" si="84"/>
        <v>0</v>
      </c>
      <c r="AN120" s="4">
        <f t="shared" si="79"/>
        <v>0</v>
      </c>
      <c r="AO120" s="39"/>
      <c r="AP120" s="8">
        <f t="shared" si="85"/>
        <v>316071</v>
      </c>
      <c r="AQ120" s="8">
        <f t="shared" si="86"/>
        <v>116118.3</v>
      </c>
      <c r="AR120" s="8">
        <f t="shared" si="80"/>
        <v>432189.3</v>
      </c>
      <c r="AS120" s="42"/>
      <c r="AT120" s="84"/>
      <c r="AU120" s="84"/>
      <c r="AV120" s="4">
        <f t="shared" si="81"/>
        <v>0</v>
      </c>
      <c r="AW120" s="50" t="str">
        <f t="shared" si="82"/>
        <v/>
      </c>
      <c r="AX120" s="1" t="s">
        <v>1666</v>
      </c>
      <c r="AY120" s="2" t="s">
        <v>1667</v>
      </c>
      <c r="AZ120" s="2">
        <v>84285.6</v>
      </c>
      <c r="BA120" s="73">
        <v>73749.899999999994</v>
      </c>
      <c r="BB120" s="73">
        <v>73749.899999999994</v>
      </c>
      <c r="BC120" s="73">
        <v>84285.6</v>
      </c>
      <c r="BD120" s="73"/>
      <c r="BE120" s="66">
        <v>0.04</v>
      </c>
      <c r="BF120" s="66">
        <v>0.05</v>
      </c>
      <c r="BG120" s="63">
        <v>44630</v>
      </c>
      <c r="BH120" s="74">
        <v>41820</v>
      </c>
      <c r="BI120" s="74">
        <v>41898</v>
      </c>
      <c r="BJ120" s="2"/>
      <c r="BK120" s="2"/>
      <c r="BL120" s="1" t="s">
        <v>104</v>
      </c>
    </row>
    <row r="121" spans="1:64" x14ac:dyDescent="0.25">
      <c r="A121" s="81" t="s">
        <v>254</v>
      </c>
      <c r="B121" s="82" t="s">
        <v>875</v>
      </c>
      <c r="C121" s="81" t="s">
        <v>876</v>
      </c>
      <c r="D121" s="16">
        <v>43777</v>
      </c>
      <c r="E121" s="17"/>
      <c r="F121" s="2" t="s">
        <v>256</v>
      </c>
      <c r="G121" s="2" t="s">
        <v>257</v>
      </c>
      <c r="H121" s="10" t="s">
        <v>105</v>
      </c>
      <c r="I121" s="11" t="s">
        <v>53</v>
      </c>
      <c r="J121" s="11" t="s">
        <v>258</v>
      </c>
      <c r="K121" s="61"/>
      <c r="L121" s="11" t="s">
        <v>67</v>
      </c>
      <c r="M121" s="25"/>
      <c r="N121" s="82"/>
      <c r="O121" s="3" t="str">
        <f t="shared" si="90"/>
        <v>E</v>
      </c>
      <c r="P121" s="84">
        <v>28989.439999999999</v>
      </c>
      <c r="Q121" s="84">
        <v>6702.32</v>
      </c>
      <c r="R121" s="32"/>
      <c r="S121" s="3" t="str">
        <f t="shared" si="89"/>
        <v>E</v>
      </c>
      <c r="T121" s="84">
        <v>25365.759999999998</v>
      </c>
      <c r="U121" s="84">
        <v>5864.53</v>
      </c>
      <c r="V121" s="32"/>
      <c r="W121" s="3" t="str">
        <f t="shared" si="76"/>
        <v>E</v>
      </c>
      <c r="X121" s="84">
        <v>25365.759999999998</v>
      </c>
      <c r="Y121" s="84">
        <v>5864.53</v>
      </c>
      <c r="Z121" s="32"/>
      <c r="AA121" s="3" t="str">
        <f t="shared" si="77"/>
        <v>E</v>
      </c>
      <c r="AB121" s="84">
        <v>28989.439999999999</v>
      </c>
      <c r="AC121" s="84">
        <v>6702.32</v>
      </c>
      <c r="AD121" s="36"/>
      <c r="AE121" s="82"/>
      <c r="AF121" s="3" t="str">
        <f t="shared" si="78"/>
        <v>A</v>
      </c>
      <c r="AG121" s="84"/>
      <c r="AH121" s="84"/>
      <c r="AI121" s="39"/>
      <c r="AJ121" s="79" t="s">
        <v>38</v>
      </c>
      <c r="AK121" s="39"/>
      <c r="AL121" s="4">
        <f t="shared" si="83"/>
        <v>0</v>
      </c>
      <c r="AM121" s="4">
        <f t="shared" si="84"/>
        <v>0</v>
      </c>
      <c r="AN121" s="4">
        <f t="shared" si="79"/>
        <v>0</v>
      </c>
      <c r="AO121" s="39"/>
      <c r="AP121" s="8">
        <f t="shared" si="85"/>
        <v>108710.39999999999</v>
      </c>
      <c r="AQ121" s="8">
        <f t="shared" si="86"/>
        <v>25133.699999999997</v>
      </c>
      <c r="AR121" s="8">
        <f t="shared" si="80"/>
        <v>133844.09999999998</v>
      </c>
      <c r="AS121" s="42"/>
      <c r="AT121" s="84"/>
      <c r="AU121" s="84"/>
      <c r="AV121" s="4">
        <f t="shared" si="81"/>
        <v>0</v>
      </c>
      <c r="AW121" s="50" t="str">
        <f t="shared" si="82"/>
        <v/>
      </c>
      <c r="AX121" s="1" t="s">
        <v>1666</v>
      </c>
      <c r="AY121" s="2" t="s">
        <v>1667</v>
      </c>
      <c r="AZ121" s="2">
        <v>28989.439999999999</v>
      </c>
      <c r="BA121" s="73">
        <v>25365.759999999998</v>
      </c>
      <c r="BB121" s="73">
        <v>25365.759999999998</v>
      </c>
      <c r="BC121" s="73">
        <v>28989.439999999999</v>
      </c>
      <c r="BD121" s="73"/>
      <c r="BE121" s="66">
        <v>0</v>
      </c>
      <c r="BF121" s="66">
        <v>0.05</v>
      </c>
      <c r="BG121" s="63">
        <v>44630</v>
      </c>
      <c r="BH121" s="2"/>
      <c r="BI121" s="2"/>
      <c r="BJ121" s="2"/>
      <c r="BK121" s="2"/>
      <c r="BL121" s="1" t="s">
        <v>104</v>
      </c>
    </row>
    <row r="122" spans="1:64" x14ac:dyDescent="0.25">
      <c r="A122" s="81" t="s">
        <v>259</v>
      </c>
      <c r="B122" s="82" t="s">
        <v>259</v>
      </c>
      <c r="C122" s="81" t="s">
        <v>260</v>
      </c>
      <c r="D122" s="16">
        <v>37356</v>
      </c>
      <c r="E122" s="17"/>
      <c r="F122" s="2" t="s">
        <v>52</v>
      </c>
      <c r="G122" s="2" t="s">
        <v>55</v>
      </c>
      <c r="H122" s="10" t="s">
        <v>57</v>
      </c>
      <c r="I122" s="11" t="s">
        <v>54</v>
      </c>
      <c r="J122" s="11" t="s">
        <v>131</v>
      </c>
      <c r="K122" s="61" t="s">
        <v>132</v>
      </c>
      <c r="L122" s="11" t="s">
        <v>67</v>
      </c>
      <c r="M122" s="25"/>
      <c r="N122" s="82"/>
      <c r="O122" s="3" t="str">
        <f t="shared" si="90"/>
        <v>A</v>
      </c>
      <c r="P122" s="84">
        <v>78258.600000000006</v>
      </c>
      <c r="Q122" s="84">
        <v>12884</v>
      </c>
      <c r="R122" s="32"/>
      <c r="S122" s="3" t="str">
        <f t="shared" si="89"/>
        <v>A</v>
      </c>
      <c r="T122" s="84">
        <v>71033.899999999994</v>
      </c>
      <c r="U122" s="84">
        <v>7429</v>
      </c>
      <c r="V122" s="32"/>
      <c r="W122" s="3" t="str">
        <f t="shared" si="76"/>
        <v>A</v>
      </c>
      <c r="X122" s="84">
        <v>69690.25</v>
      </c>
      <c r="Y122" s="84">
        <v>9315</v>
      </c>
      <c r="Z122" s="32"/>
      <c r="AA122" s="3" t="str">
        <f t="shared" si="77"/>
        <v>A</v>
      </c>
      <c r="AB122" s="84">
        <v>77860.150000000009</v>
      </c>
      <c r="AC122" s="84">
        <v>10242</v>
      </c>
      <c r="AD122" s="36"/>
      <c r="AE122" s="82"/>
      <c r="AF122" s="3" t="str">
        <f t="shared" si="78"/>
        <v>A</v>
      </c>
      <c r="AG122" s="84">
        <v>0</v>
      </c>
      <c r="AH122" s="84">
        <v>0</v>
      </c>
      <c r="AI122" s="39"/>
      <c r="AJ122" s="79" t="s">
        <v>1801</v>
      </c>
      <c r="AK122" s="39"/>
      <c r="AL122" s="4">
        <f t="shared" si="83"/>
        <v>296842.90000000002</v>
      </c>
      <c r="AM122" s="4">
        <f t="shared" si="84"/>
        <v>39870</v>
      </c>
      <c r="AN122" s="4">
        <f t="shared" si="79"/>
        <v>336712.9</v>
      </c>
      <c r="AO122" s="39"/>
      <c r="AP122" s="8">
        <f t="shared" si="85"/>
        <v>0</v>
      </c>
      <c r="AQ122" s="8">
        <f t="shared" si="86"/>
        <v>0</v>
      </c>
      <c r="AR122" s="8">
        <f t="shared" si="80"/>
        <v>0</v>
      </c>
      <c r="AS122" s="42"/>
      <c r="AT122" s="84">
        <v>296842.89999999997</v>
      </c>
      <c r="AU122" s="84">
        <v>39870</v>
      </c>
      <c r="AV122" s="4">
        <f t="shared" si="81"/>
        <v>336712.89999999997</v>
      </c>
      <c r="AW122" s="50" t="str">
        <f t="shared" si="82"/>
        <v/>
      </c>
      <c r="AX122" s="1" t="s">
        <v>1639</v>
      </c>
      <c r="AY122" s="2" t="s">
        <v>1640</v>
      </c>
      <c r="AZ122" s="2">
        <v>137956.16</v>
      </c>
      <c r="BA122" s="73">
        <v>120711.64</v>
      </c>
      <c r="BB122" s="73">
        <v>120711.64</v>
      </c>
      <c r="BC122" s="73">
        <v>137956.16</v>
      </c>
      <c r="BD122" s="73"/>
      <c r="BE122" s="66">
        <v>3.5000000000000003E-2</v>
      </c>
      <c r="BF122" s="66">
        <v>0.02</v>
      </c>
      <c r="BG122" s="63">
        <v>44661</v>
      </c>
      <c r="BH122" s="2"/>
      <c r="BI122" s="2"/>
      <c r="BJ122" s="2"/>
      <c r="BK122" s="2"/>
      <c r="BL122" s="1" t="s">
        <v>56</v>
      </c>
    </row>
    <row r="123" spans="1:64" x14ac:dyDescent="0.25">
      <c r="A123" s="81" t="s">
        <v>261</v>
      </c>
      <c r="B123" s="82" t="s">
        <v>261</v>
      </c>
      <c r="C123" s="81" t="s">
        <v>262</v>
      </c>
      <c r="D123" s="16">
        <v>37374</v>
      </c>
      <c r="E123" s="17"/>
      <c r="F123" s="2" t="s">
        <v>263</v>
      </c>
      <c r="G123" s="2" t="s">
        <v>264</v>
      </c>
      <c r="H123" s="10" t="s">
        <v>98</v>
      </c>
      <c r="I123" s="11" t="s">
        <v>53</v>
      </c>
      <c r="J123" s="11" t="s">
        <v>265</v>
      </c>
      <c r="K123" s="61"/>
      <c r="L123" s="11" t="s">
        <v>67</v>
      </c>
      <c r="M123" s="25"/>
      <c r="N123" s="82"/>
      <c r="O123" s="3" t="str">
        <f t="shared" si="90"/>
        <v>E</v>
      </c>
      <c r="P123" s="84">
        <v>125975.6</v>
      </c>
      <c r="Q123" s="84">
        <v>9060.32</v>
      </c>
      <c r="R123" s="32"/>
      <c r="S123" s="3" t="str">
        <f t="shared" si="89"/>
        <v>E</v>
      </c>
      <c r="T123" s="84">
        <v>110228.65</v>
      </c>
      <c r="U123" s="84">
        <v>7927.78</v>
      </c>
      <c r="V123" s="32"/>
      <c r="W123" s="3" t="str">
        <f t="shared" si="76"/>
        <v>E</v>
      </c>
      <c r="X123" s="84">
        <v>110228.65</v>
      </c>
      <c r="Y123" s="84">
        <v>7927.78</v>
      </c>
      <c r="Z123" s="32"/>
      <c r="AA123" s="3" t="str">
        <f t="shared" si="77"/>
        <v>E</v>
      </c>
      <c r="AB123" s="84">
        <v>125975.6</v>
      </c>
      <c r="AC123" s="84">
        <v>9060.32</v>
      </c>
      <c r="AD123" s="36"/>
      <c r="AE123" s="82"/>
      <c r="AF123" s="3" t="str">
        <f t="shared" si="78"/>
        <v>A</v>
      </c>
      <c r="AG123" s="84"/>
      <c r="AH123" s="84"/>
      <c r="AI123" s="39"/>
      <c r="AJ123" s="79" t="s">
        <v>38</v>
      </c>
      <c r="AK123" s="39"/>
      <c r="AL123" s="4">
        <f t="shared" si="83"/>
        <v>0</v>
      </c>
      <c r="AM123" s="4">
        <f t="shared" si="84"/>
        <v>0</v>
      </c>
      <c r="AN123" s="4">
        <f t="shared" si="79"/>
        <v>0</v>
      </c>
      <c r="AO123" s="39"/>
      <c r="AP123" s="8">
        <f t="shared" si="85"/>
        <v>472408.5</v>
      </c>
      <c r="AQ123" s="8">
        <f t="shared" si="86"/>
        <v>33976.199999999997</v>
      </c>
      <c r="AR123" s="8">
        <f t="shared" si="80"/>
        <v>506384.7</v>
      </c>
      <c r="AS123" s="42"/>
      <c r="AT123" s="84"/>
      <c r="AU123" s="84"/>
      <c r="AV123" s="4">
        <f t="shared" si="81"/>
        <v>0</v>
      </c>
      <c r="AW123" s="50" t="str">
        <f t="shared" si="82"/>
        <v/>
      </c>
      <c r="AX123" s="1" t="s">
        <v>1668</v>
      </c>
      <c r="AY123" s="2" t="s">
        <v>1669</v>
      </c>
      <c r="AZ123" s="2">
        <v>125975.6</v>
      </c>
      <c r="BA123" s="73">
        <v>110228.65</v>
      </c>
      <c r="BB123" s="73">
        <v>110228.65</v>
      </c>
      <c r="BC123" s="73">
        <v>125975.6</v>
      </c>
      <c r="BD123" s="73"/>
      <c r="BE123" s="66">
        <v>0.04</v>
      </c>
      <c r="BF123" s="66">
        <v>0.05</v>
      </c>
      <c r="BG123" s="63">
        <v>44679</v>
      </c>
      <c r="BH123" s="74">
        <v>43906</v>
      </c>
      <c r="BI123" s="74">
        <v>43969</v>
      </c>
      <c r="BJ123" s="2"/>
      <c r="BK123" s="2"/>
      <c r="BL123" s="1" t="s">
        <v>97</v>
      </c>
    </row>
    <row r="124" spans="1:64" x14ac:dyDescent="0.25">
      <c r="A124" s="81" t="s">
        <v>261</v>
      </c>
      <c r="B124" s="82" t="s">
        <v>1203</v>
      </c>
      <c r="C124" s="81" t="s">
        <v>1204</v>
      </c>
      <c r="D124" s="16">
        <v>45012</v>
      </c>
      <c r="E124" s="17"/>
      <c r="F124" s="2" t="s">
        <v>263</v>
      </c>
      <c r="G124" s="2" t="s">
        <v>264</v>
      </c>
      <c r="H124" s="10" t="s">
        <v>98</v>
      </c>
      <c r="I124" s="11" t="s">
        <v>53</v>
      </c>
      <c r="J124" s="11" t="s">
        <v>265</v>
      </c>
      <c r="K124" s="61"/>
      <c r="L124" s="11" t="s">
        <v>67</v>
      </c>
      <c r="M124" s="25"/>
      <c r="N124" s="82"/>
      <c r="O124" s="3" t="str">
        <f t="shared" si="90"/>
        <v>E</v>
      </c>
      <c r="P124" s="84">
        <v>83495.600000000006</v>
      </c>
      <c r="Q124" s="84">
        <v>1923.92</v>
      </c>
      <c r="R124" s="32"/>
      <c r="S124" s="3" t="str">
        <f t="shared" si="89"/>
        <v>E</v>
      </c>
      <c r="T124" s="84">
        <v>73058.649999999994</v>
      </c>
      <c r="U124" s="84">
        <v>1683.43</v>
      </c>
      <c r="V124" s="32"/>
      <c r="W124" s="3" t="str">
        <f t="shared" si="76"/>
        <v>E</v>
      </c>
      <c r="X124" s="84">
        <v>73058.649999999994</v>
      </c>
      <c r="Y124" s="84">
        <v>1683.43</v>
      </c>
      <c r="Z124" s="32"/>
      <c r="AA124" s="3" t="str">
        <f t="shared" si="77"/>
        <v>E</v>
      </c>
      <c r="AB124" s="84">
        <v>83495.600000000006</v>
      </c>
      <c r="AC124" s="84">
        <v>1923.92</v>
      </c>
      <c r="AD124" s="36"/>
      <c r="AE124" s="82"/>
      <c r="AF124" s="3" t="str">
        <f t="shared" si="78"/>
        <v>A</v>
      </c>
      <c r="AG124" s="84"/>
      <c r="AH124" s="84"/>
      <c r="AI124" s="39"/>
      <c r="AJ124" s="79" t="s">
        <v>38</v>
      </c>
      <c r="AK124" s="39"/>
      <c r="AL124" s="4">
        <f t="shared" si="83"/>
        <v>0</v>
      </c>
      <c r="AM124" s="4">
        <f t="shared" si="84"/>
        <v>0</v>
      </c>
      <c r="AN124" s="4">
        <f t="shared" si="79"/>
        <v>0</v>
      </c>
      <c r="AO124" s="39"/>
      <c r="AP124" s="8">
        <f t="shared" si="85"/>
        <v>313108.5</v>
      </c>
      <c r="AQ124" s="8">
        <f t="shared" si="86"/>
        <v>7214.7000000000007</v>
      </c>
      <c r="AR124" s="8">
        <f t="shared" si="80"/>
        <v>320323.20000000001</v>
      </c>
      <c r="AS124" s="42"/>
      <c r="AT124" s="84"/>
      <c r="AU124" s="84"/>
      <c r="AV124" s="4">
        <f t="shared" si="81"/>
        <v>0</v>
      </c>
      <c r="AW124" s="50" t="str">
        <f t="shared" si="82"/>
        <v/>
      </c>
      <c r="AX124" s="1" t="s">
        <v>1668</v>
      </c>
      <c r="AY124" s="2" t="s">
        <v>1669</v>
      </c>
      <c r="AZ124" s="2">
        <v>83495.600000000006</v>
      </c>
      <c r="BA124" s="73">
        <v>73058.649999999994</v>
      </c>
      <c r="BB124" s="73">
        <v>73058.649999999994</v>
      </c>
      <c r="BC124" s="73">
        <v>83495.600000000006</v>
      </c>
      <c r="BD124" s="73"/>
      <c r="BE124" s="66">
        <v>0</v>
      </c>
      <c r="BF124" s="66">
        <v>0.05</v>
      </c>
      <c r="BG124" s="63">
        <v>45011</v>
      </c>
      <c r="BH124" s="2"/>
      <c r="BI124" s="2"/>
      <c r="BJ124" s="2">
        <v>297000</v>
      </c>
      <c r="BK124" s="2">
        <v>5940</v>
      </c>
      <c r="BL124" s="1" t="s">
        <v>97</v>
      </c>
    </row>
    <row r="125" spans="1:64" x14ac:dyDescent="0.25">
      <c r="A125" s="81" t="s">
        <v>261</v>
      </c>
      <c r="B125" s="82" t="s">
        <v>1495</v>
      </c>
      <c r="C125" s="81" t="s">
        <v>1496</v>
      </c>
      <c r="D125" s="16">
        <v>45503</v>
      </c>
      <c r="E125" s="17"/>
      <c r="F125" s="2" t="s">
        <v>263</v>
      </c>
      <c r="G125" s="2" t="s">
        <v>264</v>
      </c>
      <c r="H125" s="10" t="s">
        <v>98</v>
      </c>
      <c r="I125" s="11" t="s">
        <v>53</v>
      </c>
      <c r="J125" s="11" t="s">
        <v>265</v>
      </c>
      <c r="K125" s="61"/>
      <c r="L125" s="11" t="s">
        <v>67</v>
      </c>
      <c r="M125" s="25"/>
      <c r="N125" s="82"/>
      <c r="O125" s="3" t="str">
        <f>IF($A125="","",IF(P125=AZ125,"E","A"))</f>
        <v>E</v>
      </c>
      <c r="P125" s="84">
        <v>96976.08</v>
      </c>
      <c r="Q125" s="84">
        <v>5079.28</v>
      </c>
      <c r="R125" s="32"/>
      <c r="S125" s="3" t="str">
        <f>IF($A125="","",IF(T125=BA125,"E","A"))</f>
        <v>E</v>
      </c>
      <c r="T125" s="84">
        <v>84854.07</v>
      </c>
      <c r="U125" s="84">
        <v>4444.37</v>
      </c>
      <c r="V125" s="32"/>
      <c r="W125" s="3" t="str">
        <f t="shared" si="76"/>
        <v>E</v>
      </c>
      <c r="X125" s="84">
        <v>84854.07</v>
      </c>
      <c r="Y125" s="84">
        <v>4444.37</v>
      </c>
      <c r="Z125" s="32"/>
      <c r="AA125" s="3" t="str">
        <f t="shared" si="77"/>
        <v>E</v>
      </c>
      <c r="AB125" s="84">
        <v>96976.08</v>
      </c>
      <c r="AC125" s="84">
        <v>5079.28</v>
      </c>
      <c r="AD125" s="36"/>
      <c r="AE125" s="82"/>
      <c r="AF125" s="3" t="str">
        <f t="shared" si="78"/>
        <v>A</v>
      </c>
      <c r="AG125" s="84"/>
      <c r="AH125" s="84"/>
      <c r="AI125" s="39"/>
      <c r="AJ125" s="79" t="s">
        <v>38</v>
      </c>
      <c r="AK125" s="39"/>
      <c r="AL125" s="4">
        <f t="shared" si="83"/>
        <v>0</v>
      </c>
      <c r="AM125" s="4">
        <f t="shared" si="84"/>
        <v>0</v>
      </c>
      <c r="AN125" s="4">
        <f t="shared" si="79"/>
        <v>0</v>
      </c>
      <c r="AO125" s="39"/>
      <c r="AP125" s="8">
        <f t="shared" si="85"/>
        <v>363660.30000000005</v>
      </c>
      <c r="AQ125" s="8">
        <f t="shared" si="86"/>
        <v>19047.3</v>
      </c>
      <c r="AR125" s="8">
        <f t="shared" si="80"/>
        <v>382707.60000000003</v>
      </c>
      <c r="AS125" s="42"/>
      <c r="AT125" s="84"/>
      <c r="AU125" s="84"/>
      <c r="AV125" s="4">
        <f t="shared" si="81"/>
        <v>0</v>
      </c>
      <c r="AW125" s="50" t="str">
        <f t="shared" si="82"/>
        <v/>
      </c>
      <c r="AX125" s="1" t="s">
        <v>1668</v>
      </c>
      <c r="AY125" s="2" t="s">
        <v>1669</v>
      </c>
      <c r="AZ125" s="2">
        <v>96976.08</v>
      </c>
      <c r="BA125" s="73">
        <v>84854.07</v>
      </c>
      <c r="BB125" s="73">
        <v>84854.07</v>
      </c>
      <c r="BC125" s="73">
        <v>96976.08</v>
      </c>
      <c r="BD125" s="73"/>
      <c r="BE125" s="66">
        <v>0</v>
      </c>
      <c r="BF125" s="66">
        <v>0.05</v>
      </c>
      <c r="BG125" s="63">
        <v>45503</v>
      </c>
      <c r="BH125" s="2"/>
      <c r="BI125" s="2"/>
      <c r="BJ125" s="2">
        <v>352800</v>
      </c>
      <c r="BK125" s="2">
        <v>18522</v>
      </c>
      <c r="BL125" s="1" t="s">
        <v>97</v>
      </c>
    </row>
    <row r="126" spans="1:64" x14ac:dyDescent="0.25">
      <c r="A126" s="81" t="s">
        <v>266</v>
      </c>
      <c r="B126" s="82" t="s">
        <v>266</v>
      </c>
      <c r="C126" s="81" t="s">
        <v>267</v>
      </c>
      <c r="D126" s="16">
        <v>37400</v>
      </c>
      <c r="E126" s="17"/>
      <c r="F126" s="2" t="s">
        <v>268</v>
      </c>
      <c r="G126" s="2" t="s">
        <v>269</v>
      </c>
      <c r="H126" s="10" t="s">
        <v>98</v>
      </c>
      <c r="I126" s="11" t="s">
        <v>53</v>
      </c>
      <c r="J126" s="11" t="s">
        <v>224</v>
      </c>
      <c r="K126" s="61"/>
      <c r="L126" s="11" t="s">
        <v>67</v>
      </c>
      <c r="M126" s="25"/>
      <c r="N126" s="82"/>
      <c r="O126" s="3" t="str">
        <f t="shared" ref="O126:O150" si="91">IF($A126="","",IF(P126=0,"A",IF(P126=AZ126,"E","A")))</f>
        <v>A</v>
      </c>
      <c r="P126" s="84">
        <v>109255</v>
      </c>
      <c r="Q126" s="84">
        <v>13033</v>
      </c>
      <c r="R126" s="32"/>
      <c r="S126" s="3" t="str">
        <f t="shared" ref="S126:S167" si="92">IF($A126="","",IF(T126=0,"A",IF(T126=BA126,"E","A")))</f>
        <v>A</v>
      </c>
      <c r="T126" s="84">
        <v>103776</v>
      </c>
      <c r="U126" s="84">
        <v>14258</v>
      </c>
      <c r="V126" s="32"/>
      <c r="W126" s="3" t="str">
        <f t="shared" si="76"/>
        <v>A</v>
      </c>
      <c r="X126" s="84">
        <v>83446</v>
      </c>
      <c r="Y126" s="84">
        <v>9477</v>
      </c>
      <c r="Z126" s="32"/>
      <c r="AA126" s="3" t="str">
        <f t="shared" si="77"/>
        <v>A</v>
      </c>
      <c r="AB126" s="84">
        <v>99152</v>
      </c>
      <c r="AC126" s="84">
        <v>8670</v>
      </c>
      <c r="AD126" s="36"/>
      <c r="AE126" s="82"/>
      <c r="AF126" s="3" t="str">
        <f t="shared" si="78"/>
        <v>A</v>
      </c>
      <c r="AG126" s="84">
        <v>0</v>
      </c>
      <c r="AH126" s="84">
        <v>0</v>
      </c>
      <c r="AI126" s="39"/>
      <c r="AJ126" s="79" t="s">
        <v>1801</v>
      </c>
      <c r="AK126" s="39"/>
      <c r="AL126" s="4">
        <f t="shared" si="83"/>
        <v>395629</v>
      </c>
      <c r="AM126" s="4">
        <f t="shared" si="84"/>
        <v>45438</v>
      </c>
      <c r="AN126" s="4">
        <f t="shared" si="79"/>
        <v>441067</v>
      </c>
      <c r="AO126" s="39"/>
      <c r="AP126" s="8">
        <f t="shared" si="85"/>
        <v>0</v>
      </c>
      <c r="AQ126" s="8">
        <f t="shared" si="86"/>
        <v>0</v>
      </c>
      <c r="AR126" s="8">
        <f t="shared" si="80"/>
        <v>0</v>
      </c>
      <c r="AS126" s="42"/>
      <c r="AT126" s="84">
        <v>395629</v>
      </c>
      <c r="AU126" s="84">
        <v>45438</v>
      </c>
      <c r="AV126" s="4">
        <f t="shared" si="81"/>
        <v>441067</v>
      </c>
      <c r="AW126" s="50" t="str">
        <f t="shared" si="82"/>
        <v/>
      </c>
      <c r="AX126" s="1" t="s">
        <v>1670</v>
      </c>
      <c r="AY126" s="2" t="s">
        <v>1671</v>
      </c>
      <c r="AZ126" s="2">
        <v>116107.36</v>
      </c>
      <c r="BA126" s="73">
        <v>101593.94</v>
      </c>
      <c r="BB126" s="73">
        <v>101593.94</v>
      </c>
      <c r="BC126" s="73">
        <v>116107.36</v>
      </c>
      <c r="BD126" s="73"/>
      <c r="BE126" s="66">
        <v>0.04</v>
      </c>
      <c r="BF126" s="66">
        <v>0.05</v>
      </c>
      <c r="BG126" s="63">
        <v>44705</v>
      </c>
      <c r="BH126" s="74">
        <v>43964</v>
      </c>
      <c r="BI126" s="74">
        <v>43967</v>
      </c>
      <c r="BJ126" s="2"/>
      <c r="BK126" s="2"/>
      <c r="BL126" s="1" t="s">
        <v>97</v>
      </c>
    </row>
    <row r="127" spans="1:64" x14ac:dyDescent="0.25">
      <c r="A127" s="81" t="s">
        <v>270</v>
      </c>
      <c r="B127" s="82" t="s">
        <v>270</v>
      </c>
      <c r="C127" s="81" t="s">
        <v>271</v>
      </c>
      <c r="D127" s="16">
        <v>37420</v>
      </c>
      <c r="E127" s="17"/>
      <c r="F127" s="2" t="s">
        <v>272</v>
      </c>
      <c r="G127" s="2" t="s">
        <v>273</v>
      </c>
      <c r="H127" s="10" t="s">
        <v>98</v>
      </c>
      <c r="I127" s="11" t="s">
        <v>53</v>
      </c>
      <c r="J127" s="11" t="s">
        <v>99</v>
      </c>
      <c r="K127" s="61"/>
      <c r="L127" s="11" t="s">
        <v>67</v>
      </c>
      <c r="M127" s="25"/>
      <c r="N127" s="82"/>
      <c r="O127" s="3" t="str">
        <f t="shared" si="91"/>
        <v>A</v>
      </c>
      <c r="P127" s="84">
        <v>115106</v>
      </c>
      <c r="Q127" s="84">
        <v>8248</v>
      </c>
      <c r="R127" s="32"/>
      <c r="S127" s="3" t="str">
        <f t="shared" si="92"/>
        <v>A</v>
      </c>
      <c r="T127" s="84">
        <v>109697</v>
      </c>
      <c r="U127" s="84">
        <v>10188</v>
      </c>
      <c r="V127" s="32"/>
      <c r="W127" s="3" t="str">
        <f t="shared" si="76"/>
        <v>A</v>
      </c>
      <c r="X127" s="84">
        <v>107194</v>
      </c>
      <c r="Y127" s="84">
        <v>7066</v>
      </c>
      <c r="Z127" s="32"/>
      <c r="AA127" s="3" t="str">
        <f t="shared" si="77"/>
        <v>A</v>
      </c>
      <c r="AB127" s="84">
        <v>120806</v>
      </c>
      <c r="AC127" s="84">
        <v>8584</v>
      </c>
      <c r="AD127" s="36"/>
      <c r="AE127" s="82"/>
      <c r="AF127" s="3" t="str">
        <f t="shared" si="78"/>
        <v>A</v>
      </c>
      <c r="AG127" s="84">
        <v>0</v>
      </c>
      <c r="AH127" s="84">
        <v>0</v>
      </c>
      <c r="AI127" s="39"/>
      <c r="AJ127" s="79" t="s">
        <v>1801</v>
      </c>
      <c r="AK127" s="39"/>
      <c r="AL127" s="4">
        <f t="shared" si="83"/>
        <v>452803</v>
      </c>
      <c r="AM127" s="4">
        <f t="shared" si="84"/>
        <v>34086</v>
      </c>
      <c r="AN127" s="4">
        <f t="shared" si="79"/>
        <v>486889</v>
      </c>
      <c r="AO127" s="39"/>
      <c r="AP127" s="8">
        <f t="shared" si="85"/>
        <v>0</v>
      </c>
      <c r="AQ127" s="8">
        <f t="shared" si="86"/>
        <v>0</v>
      </c>
      <c r="AR127" s="8">
        <f t="shared" si="80"/>
        <v>0</v>
      </c>
      <c r="AS127" s="42"/>
      <c r="AT127" s="84">
        <v>452803</v>
      </c>
      <c r="AU127" s="84">
        <v>34086</v>
      </c>
      <c r="AV127" s="4">
        <f t="shared" si="81"/>
        <v>486889</v>
      </c>
      <c r="AW127" s="50" t="str">
        <f t="shared" si="82"/>
        <v/>
      </c>
      <c r="AX127" s="1" t="s">
        <v>1672</v>
      </c>
      <c r="AY127" s="2" t="s">
        <v>1673</v>
      </c>
      <c r="AZ127" s="2">
        <v>89551.44</v>
      </c>
      <c r="BA127" s="73">
        <v>78357.509999999995</v>
      </c>
      <c r="BB127" s="73">
        <v>78357.509999999995</v>
      </c>
      <c r="BC127" s="73">
        <v>89551.44</v>
      </c>
      <c r="BD127" s="73"/>
      <c r="BE127" s="66">
        <v>0.04</v>
      </c>
      <c r="BF127" s="66">
        <v>0.05</v>
      </c>
      <c r="BG127" s="63">
        <v>44725</v>
      </c>
      <c r="BH127" s="74">
        <v>43926</v>
      </c>
      <c r="BI127" s="74">
        <v>43948</v>
      </c>
      <c r="BJ127" s="2"/>
      <c r="BK127" s="2"/>
      <c r="BL127" s="1" t="s">
        <v>237</v>
      </c>
    </row>
    <row r="128" spans="1:64" x14ac:dyDescent="0.25">
      <c r="A128" s="81" t="s">
        <v>270</v>
      </c>
      <c r="B128" s="82" t="s">
        <v>1177</v>
      </c>
      <c r="C128" s="81" t="s">
        <v>1178</v>
      </c>
      <c r="D128" s="16">
        <v>0</v>
      </c>
      <c r="E128" s="17"/>
      <c r="F128" s="2" t="s">
        <v>272</v>
      </c>
      <c r="G128" s="2" t="s">
        <v>273</v>
      </c>
      <c r="H128" s="10" t="s">
        <v>98</v>
      </c>
      <c r="I128" s="11" t="s">
        <v>53</v>
      </c>
      <c r="J128" s="11" t="s">
        <v>99</v>
      </c>
      <c r="K128" s="61"/>
      <c r="L128" s="11" t="s">
        <v>67</v>
      </c>
      <c r="M128" s="25"/>
      <c r="N128" s="82"/>
      <c r="O128" s="3" t="str">
        <f t="shared" si="91"/>
        <v>A</v>
      </c>
      <c r="P128" s="84">
        <v>61428</v>
      </c>
      <c r="Q128" s="84">
        <v>800</v>
      </c>
      <c r="R128" s="32"/>
      <c r="S128" s="3" t="str">
        <f t="shared" si="92"/>
        <v>A</v>
      </c>
      <c r="T128" s="84">
        <v>57001</v>
      </c>
      <c r="U128" s="84">
        <v>400</v>
      </c>
      <c r="V128" s="32"/>
      <c r="W128" s="3" t="str">
        <f t="shared" si="76"/>
        <v>A</v>
      </c>
      <c r="X128" s="84">
        <v>58680</v>
      </c>
      <c r="Y128" s="84">
        <v>560</v>
      </c>
      <c r="Z128" s="32"/>
      <c r="AA128" s="3" t="str">
        <f t="shared" si="77"/>
        <v>A</v>
      </c>
      <c r="AB128" s="84">
        <v>65934</v>
      </c>
      <c r="AC128" s="84">
        <v>400</v>
      </c>
      <c r="AD128" s="36"/>
      <c r="AE128" s="82"/>
      <c r="AF128" s="3" t="str">
        <f t="shared" si="78"/>
        <v>A</v>
      </c>
      <c r="AG128" s="84">
        <v>0</v>
      </c>
      <c r="AH128" s="84">
        <v>0</v>
      </c>
      <c r="AI128" s="39"/>
      <c r="AJ128" s="79" t="s">
        <v>1801</v>
      </c>
      <c r="AK128" s="39"/>
      <c r="AL128" s="4">
        <f t="shared" si="83"/>
        <v>243043</v>
      </c>
      <c r="AM128" s="4">
        <f t="shared" si="84"/>
        <v>2160</v>
      </c>
      <c r="AN128" s="4">
        <f t="shared" si="79"/>
        <v>245203</v>
      </c>
      <c r="AO128" s="39"/>
      <c r="AP128" s="8">
        <f t="shared" si="85"/>
        <v>0</v>
      </c>
      <c r="AQ128" s="8">
        <f t="shared" si="86"/>
        <v>0</v>
      </c>
      <c r="AR128" s="8">
        <f t="shared" si="80"/>
        <v>0</v>
      </c>
      <c r="AS128" s="42"/>
      <c r="AT128" s="84">
        <v>243043</v>
      </c>
      <c r="AU128" s="84">
        <v>2160</v>
      </c>
      <c r="AV128" s="4">
        <f t="shared" si="81"/>
        <v>245203</v>
      </c>
      <c r="AW128" s="50" t="str">
        <f t="shared" si="82"/>
        <v/>
      </c>
      <c r="AX128" s="1" t="s">
        <v>1672</v>
      </c>
      <c r="AY128" s="2" t="s">
        <v>1673</v>
      </c>
      <c r="AZ128" s="2">
        <v>35565.440000000002</v>
      </c>
      <c r="BA128" s="73">
        <v>31119.759999999998</v>
      </c>
      <c r="BB128" s="73">
        <v>31119.759999999998</v>
      </c>
      <c r="BC128" s="73">
        <v>35565.440000000002</v>
      </c>
      <c r="BD128" s="73"/>
      <c r="BE128" s="66">
        <v>0</v>
      </c>
      <c r="BF128" s="66">
        <v>0.05</v>
      </c>
      <c r="BG128" s="63">
        <v>44866</v>
      </c>
      <c r="BH128" s="2"/>
      <c r="BI128" s="2"/>
      <c r="BJ128" s="2">
        <v>132000</v>
      </c>
      <c r="BK128" s="2">
        <v>16500</v>
      </c>
      <c r="BL128" s="1" t="s">
        <v>237</v>
      </c>
    </row>
    <row r="129" spans="1:64" x14ac:dyDescent="0.25">
      <c r="A129" s="81" t="s">
        <v>274</v>
      </c>
      <c r="B129" s="82" t="s">
        <v>274</v>
      </c>
      <c r="C129" s="81" t="s">
        <v>275</v>
      </c>
      <c r="D129" s="16">
        <v>37436</v>
      </c>
      <c r="E129" s="17"/>
      <c r="F129" s="2" t="s">
        <v>235</v>
      </c>
      <c r="G129" s="2" t="s">
        <v>236</v>
      </c>
      <c r="H129" s="10" t="s">
        <v>98</v>
      </c>
      <c r="I129" s="11" t="s">
        <v>53</v>
      </c>
      <c r="J129" s="11" t="s">
        <v>238</v>
      </c>
      <c r="K129" s="61"/>
      <c r="L129" s="11" t="s">
        <v>67</v>
      </c>
      <c r="M129" s="25"/>
      <c r="N129" s="82"/>
      <c r="O129" s="3" t="str">
        <f t="shared" si="91"/>
        <v>A</v>
      </c>
      <c r="P129" s="84">
        <v>485368</v>
      </c>
      <c r="Q129" s="84">
        <v>55483</v>
      </c>
      <c r="R129" s="32"/>
      <c r="S129" s="3" t="str">
        <f t="shared" si="92"/>
        <v>A</v>
      </c>
      <c r="T129" s="84">
        <v>439527</v>
      </c>
      <c r="U129" s="84">
        <v>56355</v>
      </c>
      <c r="V129" s="32"/>
      <c r="W129" s="3" t="str">
        <f t="shared" si="76"/>
        <v>A</v>
      </c>
      <c r="X129" s="84">
        <v>412710</v>
      </c>
      <c r="Y129" s="84">
        <v>47876</v>
      </c>
      <c r="Z129" s="32"/>
      <c r="AA129" s="3" t="str">
        <f t="shared" si="77"/>
        <v>A</v>
      </c>
      <c r="AB129" s="84">
        <v>449759</v>
      </c>
      <c r="AC129" s="84">
        <v>47579</v>
      </c>
      <c r="AD129" s="36"/>
      <c r="AE129" s="82"/>
      <c r="AF129" s="3" t="str">
        <f t="shared" si="78"/>
        <v>A</v>
      </c>
      <c r="AG129" s="84">
        <v>0</v>
      </c>
      <c r="AH129" s="84">
        <v>0</v>
      </c>
      <c r="AI129" s="39"/>
      <c r="AJ129" s="79" t="s">
        <v>1801</v>
      </c>
      <c r="AK129" s="39"/>
      <c r="AL129" s="4">
        <f t="shared" si="83"/>
        <v>1787364</v>
      </c>
      <c r="AM129" s="4">
        <f t="shared" si="84"/>
        <v>207293</v>
      </c>
      <c r="AN129" s="4">
        <f t="shared" si="79"/>
        <v>1994657</v>
      </c>
      <c r="AO129" s="39"/>
      <c r="AP129" s="8">
        <f t="shared" si="85"/>
        <v>0</v>
      </c>
      <c r="AQ129" s="8">
        <f t="shared" si="86"/>
        <v>0</v>
      </c>
      <c r="AR129" s="8">
        <f t="shared" si="80"/>
        <v>0</v>
      </c>
      <c r="AS129" s="42"/>
      <c r="AT129" s="84">
        <v>1787364</v>
      </c>
      <c r="AU129" s="84">
        <v>207293</v>
      </c>
      <c r="AV129" s="4">
        <f t="shared" si="81"/>
        <v>1994657</v>
      </c>
      <c r="AW129" s="50" t="str">
        <f t="shared" si="82"/>
        <v/>
      </c>
      <c r="AX129" s="1" t="s">
        <v>1662</v>
      </c>
      <c r="AY129" s="2" t="s">
        <v>1663</v>
      </c>
      <c r="AZ129" s="2">
        <v>335889.52</v>
      </c>
      <c r="BA129" s="73">
        <v>293903.33</v>
      </c>
      <c r="BB129" s="73">
        <v>293903.33</v>
      </c>
      <c r="BC129" s="73">
        <v>335889.52</v>
      </c>
      <c r="BD129" s="73"/>
      <c r="BE129" s="66">
        <v>3.5000000000000003E-2</v>
      </c>
      <c r="BF129" s="66">
        <v>0.05</v>
      </c>
      <c r="BG129" s="63">
        <v>44741</v>
      </c>
      <c r="BH129" s="74">
        <v>43919</v>
      </c>
      <c r="BI129" s="74">
        <v>43920</v>
      </c>
      <c r="BJ129" s="2"/>
      <c r="BK129" s="2"/>
      <c r="BL129" s="1" t="s">
        <v>237</v>
      </c>
    </row>
    <row r="130" spans="1:64" x14ac:dyDescent="0.25">
      <c r="A130" s="81" t="s">
        <v>274</v>
      </c>
      <c r="B130" s="82" t="s">
        <v>707</v>
      </c>
      <c r="C130" s="81" t="s">
        <v>708</v>
      </c>
      <c r="D130" s="16">
        <v>38793</v>
      </c>
      <c r="E130" s="17"/>
      <c r="F130" s="2" t="s">
        <v>235</v>
      </c>
      <c r="G130" s="2" t="s">
        <v>236</v>
      </c>
      <c r="H130" s="10" t="s">
        <v>98</v>
      </c>
      <c r="I130" s="11" t="s">
        <v>53</v>
      </c>
      <c r="J130" s="11" t="s">
        <v>238</v>
      </c>
      <c r="K130" s="61"/>
      <c r="L130" s="11" t="s">
        <v>67</v>
      </c>
      <c r="M130" s="25"/>
      <c r="N130" s="82"/>
      <c r="O130" s="3" t="str">
        <f t="shared" si="91"/>
        <v>A</v>
      </c>
      <c r="P130" s="84">
        <v>424767</v>
      </c>
      <c r="Q130" s="84">
        <v>40976</v>
      </c>
      <c r="R130" s="32"/>
      <c r="S130" s="3" t="str">
        <f t="shared" si="92"/>
        <v>A</v>
      </c>
      <c r="T130" s="84">
        <v>390118</v>
      </c>
      <c r="U130" s="84">
        <v>41166</v>
      </c>
      <c r="V130" s="32"/>
      <c r="W130" s="3" t="str">
        <f t="shared" si="76"/>
        <v>A</v>
      </c>
      <c r="X130" s="84">
        <v>365270</v>
      </c>
      <c r="Y130" s="84">
        <v>35573</v>
      </c>
      <c r="Z130" s="32"/>
      <c r="AA130" s="3" t="str">
        <f t="shared" si="77"/>
        <v>A</v>
      </c>
      <c r="AB130" s="84">
        <v>417385</v>
      </c>
      <c r="AC130" s="84">
        <v>39672</v>
      </c>
      <c r="AD130" s="36"/>
      <c r="AE130" s="82"/>
      <c r="AF130" s="3" t="str">
        <f t="shared" si="78"/>
        <v>A</v>
      </c>
      <c r="AG130" s="84">
        <v>0</v>
      </c>
      <c r="AH130" s="84">
        <v>0</v>
      </c>
      <c r="AI130" s="39"/>
      <c r="AJ130" s="79" t="s">
        <v>1801</v>
      </c>
      <c r="AK130" s="39"/>
      <c r="AL130" s="4">
        <f t="shared" si="83"/>
        <v>1597540</v>
      </c>
      <c r="AM130" s="4">
        <f t="shared" si="84"/>
        <v>157387</v>
      </c>
      <c r="AN130" s="4">
        <f t="shared" si="79"/>
        <v>1754927</v>
      </c>
      <c r="AO130" s="39"/>
      <c r="AP130" s="8">
        <f t="shared" si="85"/>
        <v>0</v>
      </c>
      <c r="AQ130" s="8">
        <f t="shared" si="86"/>
        <v>0</v>
      </c>
      <c r="AR130" s="8">
        <f t="shared" si="80"/>
        <v>0</v>
      </c>
      <c r="AS130" s="42"/>
      <c r="AT130" s="84">
        <v>1597540</v>
      </c>
      <c r="AU130" s="84">
        <v>157387</v>
      </c>
      <c r="AV130" s="4">
        <f t="shared" si="81"/>
        <v>1754927</v>
      </c>
      <c r="AW130" s="50" t="str">
        <f t="shared" si="82"/>
        <v/>
      </c>
      <c r="AX130" s="1" t="s">
        <v>1662</v>
      </c>
      <c r="AY130" s="2" t="s">
        <v>1663</v>
      </c>
      <c r="AZ130" s="2">
        <v>246774.64</v>
      </c>
      <c r="BA130" s="73">
        <v>215927.81</v>
      </c>
      <c r="BB130" s="73">
        <v>215927.81</v>
      </c>
      <c r="BC130" s="73">
        <v>246774.64</v>
      </c>
      <c r="BD130" s="73"/>
      <c r="BE130" s="66">
        <v>3.5000000000000003E-2</v>
      </c>
      <c r="BF130" s="66">
        <v>0.05</v>
      </c>
      <c r="BG130" s="63">
        <v>44741</v>
      </c>
      <c r="BH130" s="74">
        <v>43919</v>
      </c>
      <c r="BI130" s="74">
        <v>43920</v>
      </c>
      <c r="BJ130" s="2"/>
      <c r="BK130" s="2"/>
      <c r="BL130" s="1" t="s">
        <v>237</v>
      </c>
    </row>
    <row r="131" spans="1:64" x14ac:dyDescent="0.25">
      <c r="A131" s="81" t="s">
        <v>276</v>
      </c>
      <c r="B131" s="82" t="s">
        <v>276</v>
      </c>
      <c r="C131" s="81" t="s">
        <v>277</v>
      </c>
      <c r="D131" s="16">
        <v>37436</v>
      </c>
      <c r="E131" s="17"/>
      <c r="F131" s="2" t="s">
        <v>243</v>
      </c>
      <c r="G131" s="2" t="s">
        <v>245</v>
      </c>
      <c r="H131" s="10" t="s">
        <v>98</v>
      </c>
      <c r="I131" s="11" t="s">
        <v>244</v>
      </c>
      <c r="J131" s="11" t="s">
        <v>278</v>
      </c>
      <c r="K131" s="61" t="s">
        <v>279</v>
      </c>
      <c r="L131" s="11" t="s">
        <v>67</v>
      </c>
      <c r="M131" s="25"/>
      <c r="N131" s="82"/>
      <c r="O131" s="3" t="str">
        <f t="shared" si="91"/>
        <v>A</v>
      </c>
      <c r="P131" s="84">
        <v>214258.88</v>
      </c>
      <c r="Q131" s="84">
        <v>14194</v>
      </c>
      <c r="R131" s="32"/>
      <c r="S131" s="3" t="str">
        <f t="shared" si="92"/>
        <v>A</v>
      </c>
      <c r="T131" s="84">
        <v>203869.61</v>
      </c>
      <c r="U131" s="84">
        <v>12728</v>
      </c>
      <c r="V131" s="32"/>
      <c r="W131" s="3" t="str">
        <f t="shared" si="76"/>
        <v>A</v>
      </c>
      <c r="X131" s="84">
        <v>198360.71000000002</v>
      </c>
      <c r="Y131" s="84">
        <v>13906</v>
      </c>
      <c r="Z131" s="32"/>
      <c r="AA131" s="3" t="str">
        <f t="shared" si="77"/>
        <v>A</v>
      </c>
      <c r="AB131" s="84">
        <v>224073.09</v>
      </c>
      <c r="AC131" s="84">
        <v>15699</v>
      </c>
      <c r="AD131" s="36"/>
      <c r="AE131" s="82"/>
      <c r="AF131" s="3" t="str">
        <f t="shared" si="78"/>
        <v>A</v>
      </c>
      <c r="AG131" s="84">
        <v>0</v>
      </c>
      <c r="AH131" s="84">
        <v>0</v>
      </c>
      <c r="AI131" s="39"/>
      <c r="AJ131" s="79" t="s">
        <v>1801</v>
      </c>
      <c r="AK131" s="39"/>
      <c r="AL131" s="4">
        <f t="shared" si="83"/>
        <v>840562.28999999992</v>
      </c>
      <c r="AM131" s="4">
        <f t="shared" si="84"/>
        <v>56527</v>
      </c>
      <c r="AN131" s="4">
        <f t="shared" si="79"/>
        <v>897089.28999999992</v>
      </c>
      <c r="AO131" s="39"/>
      <c r="AP131" s="8">
        <f t="shared" si="85"/>
        <v>0</v>
      </c>
      <c r="AQ131" s="8">
        <f t="shared" si="86"/>
        <v>0</v>
      </c>
      <c r="AR131" s="8">
        <f t="shared" si="80"/>
        <v>0</v>
      </c>
      <c r="AS131" s="42"/>
      <c r="AT131" s="84">
        <v>840562.29</v>
      </c>
      <c r="AU131" s="84">
        <v>56527</v>
      </c>
      <c r="AV131" s="4">
        <f t="shared" si="81"/>
        <v>897089.29</v>
      </c>
      <c r="AW131" s="50" t="str">
        <f t="shared" si="82"/>
        <v/>
      </c>
      <c r="AX131" s="1" t="s">
        <v>1639</v>
      </c>
      <c r="AY131" s="2" t="s">
        <v>1640</v>
      </c>
      <c r="AZ131" s="2">
        <v>163631.76</v>
      </c>
      <c r="BA131" s="73">
        <v>143177.79</v>
      </c>
      <c r="BB131" s="73">
        <v>143177.79</v>
      </c>
      <c r="BC131" s="73">
        <v>163631.76</v>
      </c>
      <c r="BD131" s="73"/>
      <c r="BE131" s="66">
        <v>3.5000000000000003E-2</v>
      </c>
      <c r="BF131" s="66">
        <v>0.02</v>
      </c>
      <c r="BG131" s="63">
        <v>44741</v>
      </c>
      <c r="BH131" s="74">
        <v>43909</v>
      </c>
      <c r="BI131" s="74">
        <v>43922</v>
      </c>
      <c r="BJ131" s="2"/>
      <c r="BK131" s="2"/>
      <c r="BL131" s="1" t="s">
        <v>97</v>
      </c>
    </row>
    <row r="132" spans="1:64" x14ac:dyDescent="0.25">
      <c r="A132" s="81" t="s">
        <v>276</v>
      </c>
      <c r="B132" s="82" t="s">
        <v>984</v>
      </c>
      <c r="C132" s="81" t="s">
        <v>985</v>
      </c>
      <c r="D132" s="16">
        <v>0</v>
      </c>
      <c r="E132" s="17"/>
      <c r="F132" s="2" t="s">
        <v>243</v>
      </c>
      <c r="G132" s="2" t="s">
        <v>245</v>
      </c>
      <c r="H132" s="10" t="s">
        <v>98</v>
      </c>
      <c r="I132" s="11" t="s">
        <v>244</v>
      </c>
      <c r="J132" s="11" t="s">
        <v>278</v>
      </c>
      <c r="K132" s="61" t="s">
        <v>279</v>
      </c>
      <c r="L132" s="11" t="s">
        <v>67</v>
      </c>
      <c r="M132" s="25"/>
      <c r="N132" s="82"/>
      <c r="O132" s="3" t="str">
        <f t="shared" si="91"/>
        <v>A</v>
      </c>
      <c r="P132" s="84">
        <v>104861</v>
      </c>
      <c r="Q132" s="84">
        <v>9040</v>
      </c>
      <c r="R132" s="32"/>
      <c r="S132" s="3" t="str">
        <f t="shared" si="92"/>
        <v>A</v>
      </c>
      <c r="T132" s="84">
        <v>93305</v>
      </c>
      <c r="U132" s="84">
        <v>8930</v>
      </c>
      <c r="V132" s="32"/>
      <c r="W132" s="3" t="str">
        <f t="shared" si="76"/>
        <v>A</v>
      </c>
      <c r="X132" s="84">
        <v>92355</v>
      </c>
      <c r="Y132" s="84">
        <v>7900</v>
      </c>
      <c r="Z132" s="32"/>
      <c r="AA132" s="3" t="str">
        <f t="shared" si="77"/>
        <v>A</v>
      </c>
      <c r="AB132" s="84">
        <v>108321</v>
      </c>
      <c r="AC132" s="84">
        <v>9380</v>
      </c>
      <c r="AD132" s="36"/>
      <c r="AE132" s="82"/>
      <c r="AF132" s="3" t="str">
        <f t="shared" si="78"/>
        <v>A</v>
      </c>
      <c r="AG132" s="84">
        <v>0</v>
      </c>
      <c r="AH132" s="84">
        <v>0</v>
      </c>
      <c r="AI132" s="39"/>
      <c r="AJ132" s="79" t="s">
        <v>1801</v>
      </c>
      <c r="AK132" s="39"/>
      <c r="AL132" s="4">
        <f t="shared" si="83"/>
        <v>398842</v>
      </c>
      <c r="AM132" s="4">
        <f t="shared" si="84"/>
        <v>35250</v>
      </c>
      <c r="AN132" s="4">
        <f t="shared" si="79"/>
        <v>434092</v>
      </c>
      <c r="AO132" s="39"/>
      <c r="AP132" s="8">
        <f t="shared" si="85"/>
        <v>0</v>
      </c>
      <c r="AQ132" s="8">
        <f t="shared" si="86"/>
        <v>0</v>
      </c>
      <c r="AR132" s="8">
        <f t="shared" si="80"/>
        <v>0</v>
      </c>
      <c r="AS132" s="42"/>
      <c r="AT132" s="84">
        <v>398842</v>
      </c>
      <c r="AU132" s="84">
        <v>35250</v>
      </c>
      <c r="AV132" s="4">
        <f t="shared" si="81"/>
        <v>434092</v>
      </c>
      <c r="AW132" s="50" t="str">
        <f t="shared" si="82"/>
        <v/>
      </c>
      <c r="AX132" s="1" t="s">
        <v>1639</v>
      </c>
      <c r="AY132" s="2" t="s">
        <v>1640</v>
      </c>
      <c r="AZ132" s="2">
        <v>42429.120000000003</v>
      </c>
      <c r="BA132" s="73">
        <v>37125.480000000003</v>
      </c>
      <c r="BB132" s="73">
        <v>37125.480000000003</v>
      </c>
      <c r="BC132" s="73">
        <v>42429.120000000003</v>
      </c>
      <c r="BD132" s="73"/>
      <c r="BE132" s="66">
        <v>0</v>
      </c>
      <c r="BF132" s="66">
        <v>0.02</v>
      </c>
      <c r="BG132" s="63">
        <v>44741</v>
      </c>
      <c r="BH132" s="2"/>
      <c r="BI132" s="2"/>
      <c r="BJ132" s="2">
        <v>153000</v>
      </c>
      <c r="BK132" s="2"/>
      <c r="BL132" s="1" t="s">
        <v>97</v>
      </c>
    </row>
    <row r="133" spans="1:64" x14ac:dyDescent="0.25">
      <c r="A133" s="81" t="s">
        <v>276</v>
      </c>
      <c r="B133" s="82" t="s">
        <v>986</v>
      </c>
      <c r="C133" s="81" t="s">
        <v>987</v>
      </c>
      <c r="D133" s="16">
        <v>0</v>
      </c>
      <c r="E133" s="17"/>
      <c r="F133" s="2" t="s">
        <v>243</v>
      </c>
      <c r="G133" s="2" t="s">
        <v>245</v>
      </c>
      <c r="H133" s="10" t="s">
        <v>98</v>
      </c>
      <c r="I133" s="11" t="s">
        <v>244</v>
      </c>
      <c r="J133" s="11" t="s">
        <v>278</v>
      </c>
      <c r="K133" s="61" t="s">
        <v>279</v>
      </c>
      <c r="L133" s="11" t="s">
        <v>67</v>
      </c>
      <c r="M133" s="25"/>
      <c r="N133" s="82"/>
      <c r="O133" s="3" t="str">
        <f t="shared" si="91"/>
        <v>A</v>
      </c>
      <c r="P133" s="84">
        <v>114580</v>
      </c>
      <c r="Q133" s="84">
        <v>6045</v>
      </c>
      <c r="R133" s="32"/>
      <c r="S133" s="3" t="str">
        <f t="shared" si="92"/>
        <v>A</v>
      </c>
      <c r="T133" s="84">
        <v>100743</v>
      </c>
      <c r="U133" s="84">
        <v>3690</v>
      </c>
      <c r="V133" s="32"/>
      <c r="W133" s="3" t="str">
        <f t="shared" si="76"/>
        <v>A</v>
      </c>
      <c r="X133" s="84">
        <v>97330</v>
      </c>
      <c r="Y133" s="84">
        <v>5345</v>
      </c>
      <c r="Z133" s="32"/>
      <c r="AA133" s="3" t="str">
        <f t="shared" si="77"/>
        <v>A</v>
      </c>
      <c r="AB133" s="84">
        <v>110018</v>
      </c>
      <c r="AC133" s="84">
        <v>5370</v>
      </c>
      <c r="AD133" s="36"/>
      <c r="AE133" s="82"/>
      <c r="AF133" s="3" t="str">
        <f t="shared" si="78"/>
        <v>A</v>
      </c>
      <c r="AG133" s="84">
        <v>0</v>
      </c>
      <c r="AH133" s="84">
        <v>0</v>
      </c>
      <c r="AI133" s="39"/>
      <c r="AJ133" s="79" t="s">
        <v>1801</v>
      </c>
      <c r="AK133" s="39"/>
      <c r="AL133" s="4">
        <f t="shared" si="83"/>
        <v>422671</v>
      </c>
      <c r="AM133" s="4">
        <f t="shared" si="84"/>
        <v>20450</v>
      </c>
      <c r="AN133" s="4">
        <f t="shared" si="79"/>
        <v>443121</v>
      </c>
      <c r="AO133" s="39"/>
      <c r="AP133" s="8">
        <f t="shared" si="85"/>
        <v>0</v>
      </c>
      <c r="AQ133" s="8">
        <f t="shared" si="86"/>
        <v>0</v>
      </c>
      <c r="AR133" s="8">
        <f t="shared" si="80"/>
        <v>0</v>
      </c>
      <c r="AS133" s="42"/>
      <c r="AT133" s="84">
        <v>422671</v>
      </c>
      <c r="AU133" s="84">
        <v>20450</v>
      </c>
      <c r="AV133" s="4">
        <f t="shared" si="81"/>
        <v>443121</v>
      </c>
      <c r="AW133" s="50" t="str">
        <f t="shared" si="82"/>
        <v/>
      </c>
      <c r="AX133" s="1" t="s">
        <v>1639</v>
      </c>
      <c r="AY133" s="2" t="s">
        <v>1640</v>
      </c>
      <c r="AZ133" s="2">
        <v>44177.52</v>
      </c>
      <c r="BA133" s="73">
        <v>38655.33</v>
      </c>
      <c r="BB133" s="73">
        <v>38655.33</v>
      </c>
      <c r="BC133" s="73">
        <v>44177.52</v>
      </c>
      <c r="BD133" s="73"/>
      <c r="BE133" s="66">
        <v>0</v>
      </c>
      <c r="BF133" s="66">
        <v>0.02</v>
      </c>
      <c r="BG133" s="63">
        <v>44741</v>
      </c>
      <c r="BH133" s="2"/>
      <c r="BI133" s="2"/>
      <c r="BJ133" s="2">
        <v>162000</v>
      </c>
      <c r="BK133" s="2"/>
      <c r="BL133" s="1" t="s">
        <v>97</v>
      </c>
    </row>
    <row r="134" spans="1:64" x14ac:dyDescent="0.25">
      <c r="A134" s="81" t="s">
        <v>276</v>
      </c>
      <c r="B134" s="82" t="s">
        <v>1216</v>
      </c>
      <c r="C134" s="81" t="s">
        <v>1217</v>
      </c>
      <c r="D134" s="16">
        <v>0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82"/>
      <c r="O134" s="3" t="str">
        <f t="shared" si="91"/>
        <v>A</v>
      </c>
      <c r="P134" s="84">
        <v>80586.5</v>
      </c>
      <c r="Q134" s="84">
        <v>3225</v>
      </c>
      <c r="R134" s="32"/>
      <c r="S134" s="3" t="str">
        <f t="shared" si="92"/>
        <v>A</v>
      </c>
      <c r="T134" s="84">
        <v>67407</v>
      </c>
      <c r="U134" s="84">
        <v>3150</v>
      </c>
      <c r="V134" s="32"/>
      <c r="W134" s="3" t="str">
        <f t="shared" si="76"/>
        <v>A</v>
      </c>
      <c r="X134" s="84">
        <v>61535</v>
      </c>
      <c r="Y134" s="84">
        <v>2370</v>
      </c>
      <c r="Z134" s="32"/>
      <c r="AA134" s="3" t="str">
        <f t="shared" si="77"/>
        <v>A</v>
      </c>
      <c r="AB134" s="84">
        <v>78636</v>
      </c>
      <c r="AC134" s="84">
        <v>2985</v>
      </c>
      <c r="AD134" s="36"/>
      <c r="AE134" s="82"/>
      <c r="AF134" s="3" t="str">
        <f t="shared" si="78"/>
        <v>A</v>
      </c>
      <c r="AG134" s="84">
        <v>0</v>
      </c>
      <c r="AH134" s="84">
        <v>0</v>
      </c>
      <c r="AI134" s="39"/>
      <c r="AJ134" s="79" t="s">
        <v>1801</v>
      </c>
      <c r="AK134" s="39"/>
      <c r="AL134" s="4">
        <f t="shared" si="83"/>
        <v>288164.5</v>
      </c>
      <c r="AM134" s="4">
        <f t="shared" si="84"/>
        <v>11730</v>
      </c>
      <c r="AN134" s="4">
        <f t="shared" si="79"/>
        <v>299894.5</v>
      </c>
      <c r="AO134" s="39"/>
      <c r="AP134" s="8">
        <f t="shared" si="85"/>
        <v>0</v>
      </c>
      <c r="AQ134" s="8">
        <f t="shared" si="86"/>
        <v>0</v>
      </c>
      <c r="AR134" s="8">
        <f t="shared" si="80"/>
        <v>0</v>
      </c>
      <c r="AS134" s="42"/>
      <c r="AT134" s="84">
        <v>288164.5</v>
      </c>
      <c r="AU134" s="84">
        <v>11730</v>
      </c>
      <c r="AV134" s="4">
        <f t="shared" si="81"/>
        <v>299894.5</v>
      </c>
      <c r="AW134" s="50" t="str">
        <f t="shared" si="82"/>
        <v/>
      </c>
      <c r="AX134" s="1" t="s">
        <v>1639</v>
      </c>
      <c r="AY134" s="2" t="s">
        <v>1640</v>
      </c>
      <c r="AZ134" s="2">
        <v>66470.960000000006</v>
      </c>
      <c r="BA134" s="73">
        <v>58162.09</v>
      </c>
      <c r="BB134" s="73">
        <v>58162.09</v>
      </c>
      <c r="BC134" s="73">
        <v>66470.960000000006</v>
      </c>
      <c r="BD134" s="73"/>
      <c r="BE134" s="66">
        <v>0</v>
      </c>
      <c r="BF134" s="66">
        <v>0.02</v>
      </c>
      <c r="BG134" s="63">
        <v>45041</v>
      </c>
      <c r="BH134" s="2"/>
      <c r="BI134" s="2"/>
      <c r="BJ134" s="2">
        <v>240000</v>
      </c>
      <c r="BK134" s="2"/>
      <c r="BL134" s="1" t="s">
        <v>97</v>
      </c>
    </row>
    <row r="135" spans="1:64" x14ac:dyDescent="0.25">
      <c r="A135" s="81" t="s">
        <v>280</v>
      </c>
      <c r="B135" s="82" t="s">
        <v>280</v>
      </c>
      <c r="C135" s="81" t="s">
        <v>281</v>
      </c>
      <c r="D135" s="16">
        <v>37450</v>
      </c>
      <c r="E135" s="17"/>
      <c r="F135" s="2" t="s">
        <v>52</v>
      </c>
      <c r="G135" s="2" t="s">
        <v>55</v>
      </c>
      <c r="H135" s="10" t="s">
        <v>57</v>
      </c>
      <c r="I135" s="11" t="s">
        <v>54</v>
      </c>
      <c r="J135" s="11" t="s">
        <v>139</v>
      </c>
      <c r="K135" s="61" t="s">
        <v>140</v>
      </c>
      <c r="L135" s="11" t="s">
        <v>67</v>
      </c>
      <c r="M135" s="25"/>
      <c r="N135" s="82"/>
      <c r="O135" s="3" t="str">
        <f t="shared" si="91"/>
        <v>A</v>
      </c>
      <c r="P135" s="84">
        <v>266475.83999999997</v>
      </c>
      <c r="Q135" s="84">
        <v>46955.62999999999</v>
      </c>
      <c r="R135" s="32"/>
      <c r="S135" s="3" t="str">
        <f t="shared" si="92"/>
        <v>A</v>
      </c>
      <c r="T135" s="84">
        <v>237190.06999999998</v>
      </c>
      <c r="U135" s="84">
        <v>42822.430000000008</v>
      </c>
      <c r="V135" s="32"/>
      <c r="W135" s="3" t="str">
        <f t="shared" si="76"/>
        <v>A</v>
      </c>
      <c r="X135" s="84">
        <v>241571.59</v>
      </c>
      <c r="Y135" s="84">
        <v>45874.11</v>
      </c>
      <c r="Z135" s="32"/>
      <c r="AA135" s="3" t="str">
        <f t="shared" si="77"/>
        <v>A</v>
      </c>
      <c r="AB135" s="84">
        <v>283841.20999999996</v>
      </c>
      <c r="AC135" s="84">
        <v>44204.31</v>
      </c>
      <c r="AD135" s="36"/>
      <c r="AE135" s="82"/>
      <c r="AF135" s="3" t="str">
        <f t="shared" si="78"/>
        <v>A</v>
      </c>
      <c r="AG135" s="84">
        <v>0</v>
      </c>
      <c r="AH135" s="84">
        <v>0</v>
      </c>
      <c r="AI135" s="39"/>
      <c r="AJ135" s="79" t="s">
        <v>1801</v>
      </c>
      <c r="AK135" s="39"/>
      <c r="AL135" s="4">
        <f t="shared" si="83"/>
        <v>1029078.7099999998</v>
      </c>
      <c r="AM135" s="4">
        <f t="shared" si="84"/>
        <v>179856.47999999998</v>
      </c>
      <c r="AN135" s="4">
        <f t="shared" si="79"/>
        <v>1208935.19</v>
      </c>
      <c r="AO135" s="39"/>
      <c r="AP135" s="8">
        <f t="shared" si="85"/>
        <v>0</v>
      </c>
      <c r="AQ135" s="8">
        <f t="shared" si="86"/>
        <v>0</v>
      </c>
      <c r="AR135" s="8">
        <f t="shared" si="80"/>
        <v>0</v>
      </c>
      <c r="AS135" s="42"/>
      <c r="AT135" s="84">
        <v>1029078.7100000001</v>
      </c>
      <c r="AU135" s="84">
        <v>179856.47999999998</v>
      </c>
      <c r="AV135" s="4">
        <f t="shared" si="81"/>
        <v>1208935.19</v>
      </c>
      <c r="AW135" s="50" t="str">
        <f t="shared" si="82"/>
        <v/>
      </c>
      <c r="AX135" s="1" t="s">
        <v>1639</v>
      </c>
      <c r="AY135" s="2" t="s">
        <v>1640</v>
      </c>
      <c r="AZ135" s="2">
        <v>208582.24</v>
      </c>
      <c r="BA135" s="73">
        <v>182509.46</v>
      </c>
      <c r="BB135" s="73">
        <v>182509.46</v>
      </c>
      <c r="BC135" s="73">
        <v>208582.24</v>
      </c>
      <c r="BD135" s="73"/>
      <c r="BE135" s="66">
        <v>3.5000000000000003E-2</v>
      </c>
      <c r="BF135" s="66">
        <v>0.02</v>
      </c>
      <c r="BG135" s="63">
        <v>44755</v>
      </c>
      <c r="BH135" s="2"/>
      <c r="BI135" s="2"/>
      <c r="BJ135" s="2"/>
      <c r="BK135" s="2"/>
      <c r="BL135" s="1" t="s">
        <v>56</v>
      </c>
    </row>
    <row r="136" spans="1:64" x14ac:dyDescent="0.25">
      <c r="A136" s="81" t="s">
        <v>282</v>
      </c>
      <c r="B136" s="82" t="s">
        <v>282</v>
      </c>
      <c r="C136" s="81" t="s">
        <v>283</v>
      </c>
      <c r="D136" s="16">
        <v>37580</v>
      </c>
      <c r="E136" s="17"/>
      <c r="F136" s="2" t="s">
        <v>52</v>
      </c>
      <c r="G136" s="2" t="s">
        <v>55</v>
      </c>
      <c r="H136" s="10" t="s">
        <v>57</v>
      </c>
      <c r="I136" s="11" t="s">
        <v>54</v>
      </c>
      <c r="J136" s="11" t="s">
        <v>83</v>
      </c>
      <c r="K136" s="61" t="s">
        <v>84</v>
      </c>
      <c r="L136" s="11" t="s">
        <v>67</v>
      </c>
      <c r="M136" s="25"/>
      <c r="N136" s="82"/>
      <c r="O136" s="3" t="str">
        <f t="shared" si="91"/>
        <v>A</v>
      </c>
      <c r="P136" s="84">
        <v>213327.15</v>
      </c>
      <c r="Q136" s="84">
        <v>29752</v>
      </c>
      <c r="R136" s="32"/>
      <c r="S136" s="3" t="str">
        <f t="shared" si="92"/>
        <v>A</v>
      </c>
      <c r="T136" s="84">
        <v>188096.80000000002</v>
      </c>
      <c r="U136" s="84">
        <v>26390</v>
      </c>
      <c r="V136" s="32"/>
      <c r="W136" s="3" t="str">
        <f t="shared" ref="W136:W199" si="93">IF($A136="","",IF(X136=0,"A",IF(X136=BB136,"E","A")))</f>
        <v>A</v>
      </c>
      <c r="X136" s="84">
        <v>195672.84999999998</v>
      </c>
      <c r="Y136" s="84">
        <v>30638</v>
      </c>
      <c r="Z136" s="32"/>
      <c r="AA136" s="3" t="str">
        <f t="shared" ref="AA136:AA199" si="94">IF($A136="","",IF(AB136=0,"A",IF(AB136=BC136,"E","A")))</f>
        <v>A</v>
      </c>
      <c r="AB136" s="84">
        <v>207540.85</v>
      </c>
      <c r="AC136" s="84">
        <v>32163</v>
      </c>
      <c r="AD136" s="36"/>
      <c r="AE136" s="82"/>
      <c r="AF136" s="3" t="str">
        <f t="shared" ref="AF136:AF199" si="95">IF($A136="","",IF(AG136=0,"A",IF(AG136=BD136,"E","A")))</f>
        <v>A</v>
      </c>
      <c r="AG136" s="84">
        <v>0</v>
      </c>
      <c r="AH136" s="84">
        <v>0</v>
      </c>
      <c r="AI136" s="39"/>
      <c r="AJ136" s="79" t="s">
        <v>1801</v>
      </c>
      <c r="AK136" s="39"/>
      <c r="AL136" s="4">
        <f t="shared" si="83"/>
        <v>804637.65</v>
      </c>
      <c r="AM136" s="4">
        <f t="shared" si="84"/>
        <v>118943</v>
      </c>
      <c r="AN136" s="4">
        <f t="shared" ref="AN136:AN199" si="96">SUM(AL136:AM136)</f>
        <v>923580.65</v>
      </c>
      <c r="AO136" s="39"/>
      <c r="AP136" s="8">
        <f t="shared" si="85"/>
        <v>0</v>
      </c>
      <c r="AQ136" s="8">
        <f t="shared" si="86"/>
        <v>0</v>
      </c>
      <c r="AR136" s="8">
        <f t="shared" ref="AR136:AR199" si="97">SUM(AP136:AQ136)</f>
        <v>0</v>
      </c>
      <c r="AS136" s="42"/>
      <c r="AT136" s="84">
        <v>804637.64999999991</v>
      </c>
      <c r="AU136" s="84">
        <v>118943</v>
      </c>
      <c r="AV136" s="4">
        <f t="shared" ref="AV136:AV199" si="98">SUM(AT136:AU136)</f>
        <v>923580.64999999991</v>
      </c>
      <c r="AW136" s="50" t="str">
        <f t="shared" ref="AW136:AW199" si="99">IF(AV136=0,"",IF(AN136=AV136,"","W"))</f>
        <v/>
      </c>
      <c r="AX136" s="1" t="s">
        <v>1639</v>
      </c>
      <c r="AY136" s="2" t="s">
        <v>1640</v>
      </c>
      <c r="AZ136" s="2">
        <v>327255.2</v>
      </c>
      <c r="BA136" s="73">
        <v>286348.3</v>
      </c>
      <c r="BB136" s="73">
        <v>286348.3</v>
      </c>
      <c r="BC136" s="73">
        <v>327255.2</v>
      </c>
      <c r="BD136" s="73"/>
      <c r="BE136" s="66">
        <v>3.5000000000000003E-2</v>
      </c>
      <c r="BF136" s="66">
        <v>0.02</v>
      </c>
      <c r="BG136" s="63">
        <v>44885</v>
      </c>
      <c r="BH136" s="74">
        <v>42965</v>
      </c>
      <c r="BI136" s="74">
        <v>43014</v>
      </c>
      <c r="BJ136" s="2"/>
      <c r="BK136" s="2"/>
      <c r="BL136" s="1" t="s">
        <v>56</v>
      </c>
    </row>
    <row r="137" spans="1:64" x14ac:dyDescent="0.25">
      <c r="A137" s="81" t="s">
        <v>284</v>
      </c>
      <c r="B137" s="82" t="s">
        <v>284</v>
      </c>
      <c r="C137" s="81" t="s">
        <v>285</v>
      </c>
      <c r="D137" s="16">
        <v>41590</v>
      </c>
      <c r="E137" s="17">
        <v>45713</v>
      </c>
      <c r="F137" s="2" t="s">
        <v>109</v>
      </c>
      <c r="G137" s="2" t="s">
        <v>111</v>
      </c>
      <c r="H137" s="10" t="s">
        <v>98</v>
      </c>
      <c r="I137" s="11" t="s">
        <v>110</v>
      </c>
      <c r="J137" s="11" t="s">
        <v>286</v>
      </c>
      <c r="K137" s="61" t="s">
        <v>287</v>
      </c>
      <c r="L137" s="11" t="s">
        <v>67</v>
      </c>
      <c r="M137" s="25"/>
      <c r="N137" s="82"/>
      <c r="O137" s="3" t="str">
        <f t="shared" si="91"/>
        <v>A</v>
      </c>
      <c r="P137" s="84"/>
      <c r="Q137" s="84"/>
      <c r="R137" s="32"/>
      <c r="S137" s="3" t="str">
        <f t="shared" si="92"/>
        <v>A</v>
      </c>
      <c r="T137" s="84"/>
      <c r="U137" s="84"/>
      <c r="V137" s="32"/>
      <c r="W137" s="3" t="str">
        <f t="shared" si="93"/>
        <v>A</v>
      </c>
      <c r="X137" s="84"/>
      <c r="Y137" s="84"/>
      <c r="Z137" s="32"/>
      <c r="AA137" s="3" t="str">
        <f t="shared" si="94"/>
        <v>A</v>
      </c>
      <c r="AB137" s="84"/>
      <c r="AC137" s="84"/>
      <c r="AD137" s="36"/>
      <c r="AE137" s="82"/>
      <c r="AF137" s="3" t="str">
        <f t="shared" si="95"/>
        <v>A</v>
      </c>
      <c r="AG137" s="84"/>
      <c r="AH137" s="84"/>
      <c r="AI137" s="39"/>
      <c r="AJ137" s="79" t="s">
        <v>1801</v>
      </c>
      <c r="AK137" s="39"/>
      <c r="AL137" s="4">
        <f t="shared" ref="AL137:AL200" si="100">IF($O137="A",P137,0)+IF($S137="A",T137,0)+IF($W137="A",X137,0)+IF($AA137="A",AB137,0)+IF($AF137="A",AG137,0)</f>
        <v>0</v>
      </c>
      <c r="AM137" s="4">
        <f t="shared" ref="AM137:AM200" si="101">IF($O137="A",Q137,0)+IF($S137="A",U137,0)+IF($W137="A",Y137,0)+IF($AA137="A",AC137,0)+IF($AF137="A",AH137,0)</f>
        <v>0</v>
      </c>
      <c r="AN137" s="4">
        <f t="shared" si="96"/>
        <v>0</v>
      </c>
      <c r="AO137" s="39"/>
      <c r="AP137" s="8">
        <f t="shared" ref="AP137:AP200" si="102">IF($O137="E",P137,0)+IF($S137="E",T137,0)+IF($W137="E",X137,0)+IF($AA137="E",AB137,0)+IF($AF137="E",AG137,0)</f>
        <v>0</v>
      </c>
      <c r="AQ137" s="8">
        <f t="shared" ref="AQ137:AQ200" si="103">IF($O137="E",Q137,0)+IF($S137="E",U137,0)+IF($W137="E",Y137,0)+IF($AA137="E",AC137,0)+IF($AF137="E",AH137,0)</f>
        <v>0</v>
      </c>
      <c r="AR137" s="8">
        <f t="shared" si="97"/>
        <v>0</v>
      </c>
      <c r="AS137" s="42"/>
      <c r="AT137" s="84"/>
      <c r="AU137" s="84"/>
      <c r="AV137" s="4">
        <f t="shared" si="98"/>
        <v>0</v>
      </c>
      <c r="AW137" s="50" t="str">
        <f t="shared" si="99"/>
        <v/>
      </c>
      <c r="AX137" s="1" t="s">
        <v>1647</v>
      </c>
      <c r="AY137" s="2" t="s">
        <v>1640</v>
      </c>
      <c r="AZ137" s="2"/>
      <c r="BA137" s="73"/>
      <c r="BB137" s="73"/>
      <c r="BC137" s="73"/>
      <c r="BD137" s="73"/>
      <c r="BE137" s="66">
        <v>3.5000000000000003E-2</v>
      </c>
      <c r="BF137" s="66">
        <v>0.02</v>
      </c>
      <c r="BG137" s="63">
        <v>45242</v>
      </c>
      <c r="BH137" s="74">
        <v>45713</v>
      </c>
      <c r="BI137" s="74">
        <v>41590</v>
      </c>
      <c r="BJ137" s="2"/>
      <c r="BK137" s="2"/>
      <c r="BL137" s="1" t="s">
        <v>237</v>
      </c>
    </row>
    <row r="138" spans="1:64" x14ac:dyDescent="0.25">
      <c r="A138" s="81" t="s">
        <v>288</v>
      </c>
      <c r="B138" s="82" t="s">
        <v>288</v>
      </c>
      <c r="C138" s="81" t="s">
        <v>289</v>
      </c>
      <c r="D138" s="16">
        <v>41183</v>
      </c>
      <c r="E138" s="17"/>
      <c r="F138" s="2" t="s">
        <v>243</v>
      </c>
      <c r="G138" s="2" t="s">
        <v>245</v>
      </c>
      <c r="H138" s="10" t="s">
        <v>98</v>
      </c>
      <c r="I138" s="11" t="s">
        <v>244</v>
      </c>
      <c r="J138" s="11" t="s">
        <v>278</v>
      </c>
      <c r="K138" s="61" t="s">
        <v>279</v>
      </c>
      <c r="L138" s="11" t="s">
        <v>67</v>
      </c>
      <c r="M138" s="25"/>
      <c r="N138" s="82"/>
      <c r="O138" s="3" t="str">
        <f t="shared" si="91"/>
        <v>A</v>
      </c>
      <c r="P138" s="84">
        <v>165286.85</v>
      </c>
      <c r="Q138" s="84">
        <v>7930</v>
      </c>
      <c r="R138" s="32"/>
      <c r="S138" s="3" t="str">
        <f t="shared" si="92"/>
        <v>A</v>
      </c>
      <c r="T138" s="84">
        <v>161835.6</v>
      </c>
      <c r="U138" s="84">
        <v>6731</v>
      </c>
      <c r="V138" s="32"/>
      <c r="W138" s="3" t="str">
        <f t="shared" si="93"/>
        <v>A</v>
      </c>
      <c r="X138" s="84">
        <v>140800.6</v>
      </c>
      <c r="Y138" s="84">
        <v>6429</v>
      </c>
      <c r="Z138" s="32"/>
      <c r="AA138" s="3" t="str">
        <f t="shared" si="94"/>
        <v>A</v>
      </c>
      <c r="AB138" s="84">
        <v>182203</v>
      </c>
      <c r="AC138" s="84">
        <v>6992</v>
      </c>
      <c r="AD138" s="36"/>
      <c r="AE138" s="82"/>
      <c r="AF138" s="3" t="str">
        <f t="shared" si="95"/>
        <v>A</v>
      </c>
      <c r="AG138" s="84">
        <v>0</v>
      </c>
      <c r="AH138" s="84">
        <v>0</v>
      </c>
      <c r="AI138" s="39"/>
      <c r="AJ138" s="79" t="s">
        <v>1801</v>
      </c>
      <c r="AK138" s="39"/>
      <c r="AL138" s="4">
        <f t="shared" si="100"/>
        <v>650126.05000000005</v>
      </c>
      <c r="AM138" s="4">
        <f t="shared" si="101"/>
        <v>28082</v>
      </c>
      <c r="AN138" s="4">
        <f t="shared" si="96"/>
        <v>678208.05</v>
      </c>
      <c r="AO138" s="39"/>
      <c r="AP138" s="8">
        <f t="shared" si="102"/>
        <v>0</v>
      </c>
      <c r="AQ138" s="8">
        <f t="shared" si="103"/>
        <v>0</v>
      </c>
      <c r="AR138" s="8">
        <f t="shared" si="97"/>
        <v>0</v>
      </c>
      <c r="AS138" s="42"/>
      <c r="AT138" s="84">
        <v>650126.05000000005</v>
      </c>
      <c r="AU138" s="84">
        <v>28082</v>
      </c>
      <c r="AV138" s="4">
        <f t="shared" si="98"/>
        <v>678208.05</v>
      </c>
      <c r="AW138" s="50" t="str">
        <f t="shared" si="99"/>
        <v/>
      </c>
      <c r="AX138" s="1" t="s">
        <v>1639</v>
      </c>
      <c r="AY138" s="2" t="s">
        <v>1640</v>
      </c>
      <c r="AZ138" s="2">
        <v>95625.36</v>
      </c>
      <c r="BA138" s="73">
        <v>83672.19</v>
      </c>
      <c r="BB138" s="73">
        <v>83672.19</v>
      </c>
      <c r="BC138" s="73">
        <v>95625.36</v>
      </c>
      <c r="BD138" s="73"/>
      <c r="BE138" s="66">
        <v>3.5000000000000003E-2</v>
      </c>
      <c r="BF138" s="66">
        <v>0.02</v>
      </c>
      <c r="BG138" s="63">
        <v>44835</v>
      </c>
      <c r="BH138" s="2"/>
      <c r="BI138" s="2"/>
      <c r="BJ138" s="2"/>
      <c r="BK138" s="2"/>
      <c r="BL138" s="1" t="s">
        <v>97</v>
      </c>
    </row>
    <row r="139" spans="1:64" x14ac:dyDescent="0.25">
      <c r="A139" s="81" t="s">
        <v>288</v>
      </c>
      <c r="B139" s="82" t="s">
        <v>711</v>
      </c>
      <c r="C139" s="81" t="s">
        <v>289</v>
      </c>
      <c r="D139" s="16">
        <v>41244</v>
      </c>
      <c r="E139" s="17"/>
      <c r="F139" s="2" t="s">
        <v>243</v>
      </c>
      <c r="G139" s="2" t="s">
        <v>245</v>
      </c>
      <c r="H139" s="10" t="s">
        <v>98</v>
      </c>
      <c r="I139" s="11" t="s">
        <v>244</v>
      </c>
      <c r="J139" s="11" t="s">
        <v>278</v>
      </c>
      <c r="K139" s="61" t="s">
        <v>279</v>
      </c>
      <c r="L139" s="11" t="s">
        <v>67</v>
      </c>
      <c r="M139" s="25"/>
      <c r="N139" s="82"/>
      <c r="O139" s="3" t="str">
        <f t="shared" si="91"/>
        <v>A</v>
      </c>
      <c r="P139" s="84">
        <v>9622</v>
      </c>
      <c r="Q139" s="84">
        <v>5128</v>
      </c>
      <c r="R139" s="32"/>
      <c r="S139" s="3" t="str">
        <f t="shared" si="92"/>
        <v>A</v>
      </c>
      <c r="T139" s="84">
        <v>10299</v>
      </c>
      <c r="U139" s="84">
        <v>4619</v>
      </c>
      <c r="V139" s="32"/>
      <c r="W139" s="3" t="str">
        <f t="shared" si="93"/>
        <v>A</v>
      </c>
      <c r="X139" s="84">
        <v>12471</v>
      </c>
      <c r="Y139" s="84">
        <v>8665</v>
      </c>
      <c r="Z139" s="32"/>
      <c r="AA139" s="3" t="str">
        <f t="shared" si="94"/>
        <v>A</v>
      </c>
      <c r="AB139" s="84">
        <v>13454</v>
      </c>
      <c r="AC139" s="84">
        <v>5792</v>
      </c>
      <c r="AD139" s="36"/>
      <c r="AE139" s="82"/>
      <c r="AF139" s="3" t="str">
        <f t="shared" si="95"/>
        <v>A</v>
      </c>
      <c r="AG139" s="84">
        <v>0</v>
      </c>
      <c r="AH139" s="84">
        <v>0</v>
      </c>
      <c r="AI139" s="39"/>
      <c r="AJ139" s="79" t="s">
        <v>1801</v>
      </c>
      <c r="AK139" s="39"/>
      <c r="AL139" s="4">
        <f t="shared" si="100"/>
        <v>45846</v>
      </c>
      <c r="AM139" s="4">
        <f t="shared" si="101"/>
        <v>24204</v>
      </c>
      <c r="AN139" s="4">
        <f t="shared" si="96"/>
        <v>70050</v>
      </c>
      <c r="AO139" s="39"/>
      <c r="AP139" s="8">
        <f t="shared" si="102"/>
        <v>0</v>
      </c>
      <c r="AQ139" s="8">
        <f t="shared" si="103"/>
        <v>0</v>
      </c>
      <c r="AR139" s="8">
        <f t="shared" si="97"/>
        <v>0</v>
      </c>
      <c r="AS139" s="42"/>
      <c r="AT139" s="84">
        <v>45846</v>
      </c>
      <c r="AU139" s="84">
        <v>24204</v>
      </c>
      <c r="AV139" s="4">
        <f t="shared" si="98"/>
        <v>70050</v>
      </c>
      <c r="AW139" s="50" t="str">
        <f t="shared" si="99"/>
        <v/>
      </c>
      <c r="AX139" s="1" t="s">
        <v>1639</v>
      </c>
      <c r="AY139" s="2" t="s">
        <v>1640</v>
      </c>
      <c r="AZ139" s="2">
        <v>7718.08</v>
      </c>
      <c r="BA139" s="73">
        <v>6753.32</v>
      </c>
      <c r="BB139" s="73">
        <v>6753.32</v>
      </c>
      <c r="BC139" s="73">
        <v>7718.08</v>
      </c>
      <c r="BD139" s="73"/>
      <c r="BE139" s="66">
        <v>3.5000000000000003E-2</v>
      </c>
      <c r="BF139" s="66">
        <v>0.02</v>
      </c>
      <c r="BG139" s="63">
        <v>44835</v>
      </c>
      <c r="BH139" s="74">
        <v>43910</v>
      </c>
      <c r="BI139" s="74">
        <v>43978</v>
      </c>
      <c r="BJ139" s="2"/>
      <c r="BK139" s="2"/>
      <c r="BL139" s="1" t="s">
        <v>97</v>
      </c>
    </row>
    <row r="140" spans="1:64" x14ac:dyDescent="0.25">
      <c r="A140" s="81" t="s">
        <v>288</v>
      </c>
      <c r="B140" s="82" t="s">
        <v>1023</v>
      </c>
      <c r="C140" s="81" t="s">
        <v>1024</v>
      </c>
      <c r="D140" s="16">
        <v>0</v>
      </c>
      <c r="E140" s="17"/>
      <c r="F140" s="2" t="s">
        <v>243</v>
      </c>
      <c r="G140" s="2" t="s">
        <v>245</v>
      </c>
      <c r="H140" s="10" t="s">
        <v>98</v>
      </c>
      <c r="I140" s="11" t="s">
        <v>244</v>
      </c>
      <c r="J140" s="11" t="s">
        <v>278</v>
      </c>
      <c r="K140" s="61" t="s">
        <v>279</v>
      </c>
      <c r="L140" s="11" t="s">
        <v>67</v>
      </c>
      <c r="M140" s="25"/>
      <c r="N140" s="82"/>
      <c r="O140" s="3" t="str">
        <f t="shared" si="91"/>
        <v>A</v>
      </c>
      <c r="P140" s="84">
        <v>70093</v>
      </c>
      <c r="Q140" s="84">
        <v>3890</v>
      </c>
      <c r="R140" s="32"/>
      <c r="S140" s="3" t="str">
        <f t="shared" si="92"/>
        <v>A</v>
      </c>
      <c r="T140" s="84">
        <v>71486</v>
      </c>
      <c r="U140" s="84">
        <v>3280</v>
      </c>
      <c r="V140" s="32"/>
      <c r="W140" s="3" t="str">
        <f t="shared" si="93"/>
        <v>A</v>
      </c>
      <c r="X140" s="84">
        <v>58011</v>
      </c>
      <c r="Y140" s="84">
        <v>2830</v>
      </c>
      <c r="Z140" s="32"/>
      <c r="AA140" s="3" t="str">
        <f t="shared" si="94"/>
        <v>A</v>
      </c>
      <c r="AB140" s="84">
        <v>83294</v>
      </c>
      <c r="AC140" s="84">
        <v>3570</v>
      </c>
      <c r="AD140" s="36"/>
      <c r="AE140" s="82"/>
      <c r="AF140" s="3" t="str">
        <f t="shared" si="95"/>
        <v>A</v>
      </c>
      <c r="AG140" s="84">
        <v>0</v>
      </c>
      <c r="AH140" s="84">
        <v>0</v>
      </c>
      <c r="AI140" s="39"/>
      <c r="AJ140" s="79" t="s">
        <v>1801</v>
      </c>
      <c r="AK140" s="39"/>
      <c r="AL140" s="4">
        <f t="shared" si="100"/>
        <v>282884</v>
      </c>
      <c r="AM140" s="4">
        <f t="shared" si="101"/>
        <v>13570</v>
      </c>
      <c r="AN140" s="4">
        <f t="shared" si="96"/>
        <v>296454</v>
      </c>
      <c r="AO140" s="39"/>
      <c r="AP140" s="8">
        <f t="shared" si="102"/>
        <v>0</v>
      </c>
      <c r="AQ140" s="8">
        <f t="shared" si="103"/>
        <v>0</v>
      </c>
      <c r="AR140" s="8">
        <f t="shared" si="97"/>
        <v>0</v>
      </c>
      <c r="AS140" s="42"/>
      <c r="AT140" s="84">
        <v>282884</v>
      </c>
      <c r="AU140" s="84">
        <v>13570</v>
      </c>
      <c r="AV140" s="4">
        <f t="shared" si="98"/>
        <v>296454</v>
      </c>
      <c r="AW140" s="50" t="str">
        <f t="shared" si="99"/>
        <v/>
      </c>
      <c r="AX140" s="1" t="s">
        <v>1639</v>
      </c>
      <c r="AY140" s="2" t="s">
        <v>1640</v>
      </c>
      <c r="AZ140" s="2">
        <v>18729.28</v>
      </c>
      <c r="BA140" s="73">
        <v>16388.12</v>
      </c>
      <c r="BB140" s="73">
        <v>16388.12</v>
      </c>
      <c r="BC140" s="73">
        <v>18729.28</v>
      </c>
      <c r="BD140" s="73"/>
      <c r="BE140" s="66">
        <v>0</v>
      </c>
      <c r="BF140" s="66">
        <v>0.02</v>
      </c>
      <c r="BG140" s="63">
        <v>44835</v>
      </c>
      <c r="BH140" s="2"/>
      <c r="BI140" s="2"/>
      <c r="BJ140" s="2">
        <v>70027.61</v>
      </c>
      <c r="BK140" s="2"/>
      <c r="BL140" s="1" t="s">
        <v>97</v>
      </c>
    </row>
    <row r="141" spans="1:64" x14ac:dyDescent="0.25">
      <c r="A141" s="81" t="s">
        <v>288</v>
      </c>
      <c r="B141" s="82" t="s">
        <v>1025</v>
      </c>
      <c r="C141" s="81" t="s">
        <v>1026</v>
      </c>
      <c r="D141" s="16">
        <v>0</v>
      </c>
      <c r="E141" s="17"/>
      <c r="F141" s="2" t="s">
        <v>243</v>
      </c>
      <c r="G141" s="2" t="s">
        <v>245</v>
      </c>
      <c r="H141" s="10" t="s">
        <v>98</v>
      </c>
      <c r="I141" s="11" t="s">
        <v>244</v>
      </c>
      <c r="J141" s="11" t="s">
        <v>278</v>
      </c>
      <c r="K141" s="61" t="s">
        <v>279</v>
      </c>
      <c r="L141" s="11" t="s">
        <v>67</v>
      </c>
      <c r="M141" s="25"/>
      <c r="N141" s="82"/>
      <c r="O141" s="3" t="str">
        <f t="shared" si="91"/>
        <v>A</v>
      </c>
      <c r="P141" s="84">
        <v>110205</v>
      </c>
      <c r="Q141" s="84">
        <v>4080</v>
      </c>
      <c r="R141" s="32"/>
      <c r="S141" s="3" t="str">
        <f t="shared" si="92"/>
        <v>A</v>
      </c>
      <c r="T141" s="84">
        <v>98090</v>
      </c>
      <c r="U141" s="84">
        <v>2930</v>
      </c>
      <c r="V141" s="32"/>
      <c r="W141" s="3" t="str">
        <f t="shared" si="93"/>
        <v>A</v>
      </c>
      <c r="X141" s="84">
        <v>92081</v>
      </c>
      <c r="Y141" s="84">
        <v>3480</v>
      </c>
      <c r="Z141" s="32"/>
      <c r="AA141" s="3" t="str">
        <f t="shared" si="94"/>
        <v>A</v>
      </c>
      <c r="AB141" s="84">
        <v>107649</v>
      </c>
      <c r="AC141" s="84">
        <v>5820</v>
      </c>
      <c r="AD141" s="36"/>
      <c r="AE141" s="82"/>
      <c r="AF141" s="3" t="str">
        <f t="shared" si="95"/>
        <v>A</v>
      </c>
      <c r="AG141" s="84">
        <v>0</v>
      </c>
      <c r="AH141" s="84">
        <v>0</v>
      </c>
      <c r="AI141" s="39"/>
      <c r="AJ141" s="79" t="s">
        <v>1801</v>
      </c>
      <c r="AK141" s="39"/>
      <c r="AL141" s="4">
        <f t="shared" si="100"/>
        <v>408025</v>
      </c>
      <c r="AM141" s="4">
        <f t="shared" si="101"/>
        <v>16310</v>
      </c>
      <c r="AN141" s="4">
        <f t="shared" si="96"/>
        <v>424335</v>
      </c>
      <c r="AO141" s="39"/>
      <c r="AP141" s="8">
        <f t="shared" si="102"/>
        <v>0</v>
      </c>
      <c r="AQ141" s="8">
        <f t="shared" si="103"/>
        <v>0</v>
      </c>
      <c r="AR141" s="8">
        <f t="shared" si="97"/>
        <v>0</v>
      </c>
      <c r="AS141" s="42"/>
      <c r="AT141" s="84">
        <v>408025</v>
      </c>
      <c r="AU141" s="84">
        <v>16310</v>
      </c>
      <c r="AV141" s="4">
        <f t="shared" si="98"/>
        <v>424335</v>
      </c>
      <c r="AW141" s="50" t="str">
        <f t="shared" si="99"/>
        <v/>
      </c>
      <c r="AX141" s="1" t="s">
        <v>1639</v>
      </c>
      <c r="AY141" s="2" t="s">
        <v>1640</v>
      </c>
      <c r="AZ141" s="2">
        <v>33699.519999999997</v>
      </c>
      <c r="BA141" s="73">
        <v>29487.08</v>
      </c>
      <c r="BB141" s="73">
        <v>29487.08</v>
      </c>
      <c r="BC141" s="73">
        <v>33699.519999999997</v>
      </c>
      <c r="BD141" s="73"/>
      <c r="BE141" s="66">
        <v>0</v>
      </c>
      <c r="BF141" s="66">
        <v>0.02</v>
      </c>
      <c r="BG141" s="63">
        <v>44835</v>
      </c>
      <c r="BH141" s="2"/>
      <c r="BI141" s="2"/>
      <c r="BJ141" s="2">
        <v>126000</v>
      </c>
      <c r="BK141" s="2"/>
      <c r="BL141" s="1" t="s">
        <v>97</v>
      </c>
    </row>
    <row r="142" spans="1:64" x14ac:dyDescent="0.25">
      <c r="A142" s="81" t="s">
        <v>288</v>
      </c>
      <c r="B142" s="82" t="s">
        <v>1033</v>
      </c>
      <c r="C142" s="81" t="s">
        <v>1034</v>
      </c>
      <c r="D142" s="16">
        <v>0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82"/>
      <c r="O142" s="3" t="str">
        <f t="shared" si="91"/>
        <v>A</v>
      </c>
      <c r="P142" s="84">
        <v>34576</v>
      </c>
      <c r="Q142" s="84">
        <v>2298</v>
      </c>
      <c r="R142" s="32"/>
      <c r="S142" s="3" t="str">
        <f t="shared" si="92"/>
        <v>A</v>
      </c>
      <c r="T142" s="84">
        <v>35058</v>
      </c>
      <c r="U142" s="84">
        <v>2085</v>
      </c>
      <c r="V142" s="32"/>
      <c r="W142" s="3" t="str">
        <f t="shared" si="93"/>
        <v>A</v>
      </c>
      <c r="X142" s="84">
        <v>28241</v>
      </c>
      <c r="Y142" s="84">
        <v>1075</v>
      </c>
      <c r="Z142" s="32"/>
      <c r="AA142" s="3" t="str">
        <f t="shared" si="94"/>
        <v>A</v>
      </c>
      <c r="AB142" s="84">
        <v>37542</v>
      </c>
      <c r="AC142" s="84">
        <v>2171</v>
      </c>
      <c r="AD142" s="36"/>
      <c r="AE142" s="82"/>
      <c r="AF142" s="3" t="str">
        <f t="shared" si="95"/>
        <v>A</v>
      </c>
      <c r="AG142" s="84">
        <v>0</v>
      </c>
      <c r="AH142" s="84">
        <v>0</v>
      </c>
      <c r="AI142" s="39"/>
      <c r="AJ142" s="79" t="s">
        <v>1801</v>
      </c>
      <c r="AK142" s="39"/>
      <c r="AL142" s="4">
        <f t="shared" si="100"/>
        <v>135417</v>
      </c>
      <c r="AM142" s="4">
        <f t="shared" si="101"/>
        <v>7629</v>
      </c>
      <c r="AN142" s="4">
        <f t="shared" si="96"/>
        <v>143046</v>
      </c>
      <c r="AO142" s="39"/>
      <c r="AP142" s="8">
        <f t="shared" si="102"/>
        <v>0</v>
      </c>
      <c r="AQ142" s="8">
        <f t="shared" si="103"/>
        <v>0</v>
      </c>
      <c r="AR142" s="8">
        <f t="shared" si="97"/>
        <v>0</v>
      </c>
      <c r="AS142" s="42"/>
      <c r="AT142" s="84">
        <v>135417</v>
      </c>
      <c r="AU142" s="84">
        <v>7629</v>
      </c>
      <c r="AV142" s="4">
        <f t="shared" si="98"/>
        <v>143046</v>
      </c>
      <c r="AW142" s="50" t="str">
        <f t="shared" si="99"/>
        <v/>
      </c>
      <c r="AX142" s="1" t="s">
        <v>1639</v>
      </c>
      <c r="AY142" s="2" t="s">
        <v>1640</v>
      </c>
      <c r="AZ142" s="2">
        <v>94089.04</v>
      </c>
      <c r="BA142" s="73">
        <v>82327.91</v>
      </c>
      <c r="BB142" s="73">
        <v>82327.91</v>
      </c>
      <c r="BC142" s="73">
        <v>94089.04</v>
      </c>
      <c r="BD142" s="73"/>
      <c r="BE142" s="66">
        <v>0</v>
      </c>
      <c r="BF142" s="66">
        <v>0.02</v>
      </c>
      <c r="BG142" s="63">
        <v>44835</v>
      </c>
      <c r="BH142" s="2"/>
      <c r="BI142" s="2"/>
      <c r="BJ142" s="2">
        <v>334152</v>
      </c>
      <c r="BK142" s="2">
        <v>41769</v>
      </c>
      <c r="BL142" s="1" t="s">
        <v>97</v>
      </c>
    </row>
    <row r="143" spans="1:64" x14ac:dyDescent="0.25">
      <c r="A143" s="81" t="s">
        <v>290</v>
      </c>
      <c r="B143" s="82" t="s">
        <v>290</v>
      </c>
      <c r="C143" s="81" t="s">
        <v>291</v>
      </c>
      <c r="D143" s="16">
        <v>39295</v>
      </c>
      <c r="E143" s="17"/>
      <c r="F143" s="2" t="s">
        <v>76</v>
      </c>
      <c r="G143" s="2" t="s">
        <v>78</v>
      </c>
      <c r="H143" s="10" t="s">
        <v>57</v>
      </c>
      <c r="I143" s="11" t="s">
        <v>77</v>
      </c>
      <c r="J143" s="11" t="s">
        <v>87</v>
      </c>
      <c r="K143" s="61" t="s">
        <v>88</v>
      </c>
      <c r="L143" s="11" t="s">
        <v>67</v>
      </c>
      <c r="M143" s="25"/>
      <c r="N143" s="82"/>
      <c r="O143" s="3" t="str">
        <f t="shared" si="91"/>
        <v>A</v>
      </c>
      <c r="P143" s="84">
        <v>208853.8</v>
      </c>
      <c r="Q143" s="84">
        <v>57469</v>
      </c>
      <c r="R143" s="32"/>
      <c r="S143" s="3" t="str">
        <f t="shared" si="92"/>
        <v>A</v>
      </c>
      <c r="T143" s="84">
        <v>211272.6</v>
      </c>
      <c r="U143" s="84">
        <v>56603</v>
      </c>
      <c r="V143" s="32"/>
      <c r="W143" s="3" t="str">
        <f t="shared" si="93"/>
        <v>A</v>
      </c>
      <c r="X143" s="84">
        <v>228350.4</v>
      </c>
      <c r="Y143" s="84">
        <v>53396</v>
      </c>
      <c r="Z143" s="32"/>
      <c r="AA143" s="3" t="str">
        <f t="shared" si="94"/>
        <v>A</v>
      </c>
      <c r="AB143" s="84">
        <v>209361.6</v>
      </c>
      <c r="AC143" s="84">
        <v>55700</v>
      </c>
      <c r="AD143" s="36"/>
      <c r="AE143" s="82"/>
      <c r="AF143" s="3" t="str">
        <f t="shared" si="95"/>
        <v>A</v>
      </c>
      <c r="AG143" s="84">
        <v>0</v>
      </c>
      <c r="AH143" s="84">
        <v>0</v>
      </c>
      <c r="AI143" s="39"/>
      <c r="AJ143" s="79" t="s">
        <v>1801</v>
      </c>
      <c r="AK143" s="39"/>
      <c r="AL143" s="4">
        <f t="shared" si="100"/>
        <v>857838.4</v>
      </c>
      <c r="AM143" s="4">
        <f t="shared" si="101"/>
        <v>223168</v>
      </c>
      <c r="AN143" s="4">
        <f t="shared" si="96"/>
        <v>1081006.3999999999</v>
      </c>
      <c r="AO143" s="39"/>
      <c r="AP143" s="8">
        <f t="shared" si="102"/>
        <v>0</v>
      </c>
      <c r="AQ143" s="8">
        <f t="shared" si="103"/>
        <v>0</v>
      </c>
      <c r="AR143" s="8">
        <f t="shared" si="97"/>
        <v>0</v>
      </c>
      <c r="AS143" s="42"/>
      <c r="AT143" s="84">
        <v>857838.4</v>
      </c>
      <c r="AU143" s="84">
        <v>223168</v>
      </c>
      <c r="AV143" s="4">
        <f t="shared" si="98"/>
        <v>1081006.3999999999</v>
      </c>
      <c r="AW143" s="50" t="str">
        <f t="shared" si="99"/>
        <v/>
      </c>
      <c r="AX143" s="1" t="s">
        <v>1639</v>
      </c>
      <c r="AY143" s="2" t="s">
        <v>1640</v>
      </c>
      <c r="AZ143" s="2">
        <v>146352.07999999999</v>
      </c>
      <c r="BA143" s="73">
        <v>128058.07</v>
      </c>
      <c r="BB143" s="73">
        <v>128058.07</v>
      </c>
      <c r="BC143" s="73">
        <v>146352.07999999999</v>
      </c>
      <c r="BD143" s="73"/>
      <c r="BE143" s="66">
        <v>3.5000000000000003E-2</v>
      </c>
      <c r="BF143" s="66">
        <v>0.02</v>
      </c>
      <c r="BG143" s="63">
        <v>44774</v>
      </c>
      <c r="BH143" s="74">
        <v>42156</v>
      </c>
      <c r="BI143" s="74">
        <v>42252</v>
      </c>
      <c r="BJ143" s="2"/>
      <c r="BK143" s="2"/>
      <c r="BL143" s="1" t="s">
        <v>56</v>
      </c>
    </row>
    <row r="144" spans="1:64" x14ac:dyDescent="0.25">
      <c r="A144" s="81" t="s">
        <v>290</v>
      </c>
      <c r="B144" s="82" t="s">
        <v>925</v>
      </c>
      <c r="C144" s="81" t="s">
        <v>926</v>
      </c>
      <c r="D144" s="16">
        <v>0</v>
      </c>
      <c r="E144" s="17"/>
      <c r="F144" s="2" t="s">
        <v>76</v>
      </c>
      <c r="G144" s="2" t="s">
        <v>78</v>
      </c>
      <c r="H144" s="10" t="s">
        <v>57</v>
      </c>
      <c r="I144" s="11" t="s">
        <v>77</v>
      </c>
      <c r="J144" s="11" t="s">
        <v>87</v>
      </c>
      <c r="K144" s="61" t="s">
        <v>88</v>
      </c>
      <c r="L144" s="11" t="s">
        <v>67</v>
      </c>
      <c r="M144" s="25"/>
      <c r="N144" s="82"/>
      <c r="O144" s="3" t="str">
        <f t="shared" si="91"/>
        <v>A</v>
      </c>
      <c r="P144" s="84">
        <v>29403.200000000001</v>
      </c>
      <c r="Q144" s="84">
        <v>5981</v>
      </c>
      <c r="R144" s="32"/>
      <c r="S144" s="3" t="str">
        <f t="shared" si="92"/>
        <v>A</v>
      </c>
      <c r="T144" s="84">
        <v>59495.8</v>
      </c>
      <c r="U144" s="84">
        <v>5376</v>
      </c>
      <c r="V144" s="32"/>
      <c r="W144" s="3" t="str">
        <f t="shared" si="93"/>
        <v>A</v>
      </c>
      <c r="X144" s="84">
        <v>74591.399999999994</v>
      </c>
      <c r="Y144" s="84">
        <v>4221</v>
      </c>
      <c r="Z144" s="32"/>
      <c r="AA144" s="3" t="str">
        <f t="shared" si="94"/>
        <v>A</v>
      </c>
      <c r="AB144" s="84">
        <v>57416.800000000003</v>
      </c>
      <c r="AC144" s="84">
        <v>5194</v>
      </c>
      <c r="AD144" s="36"/>
      <c r="AE144" s="82"/>
      <c r="AF144" s="3" t="str">
        <f t="shared" si="95"/>
        <v>A</v>
      </c>
      <c r="AG144" s="84">
        <v>0</v>
      </c>
      <c r="AH144" s="84">
        <v>0</v>
      </c>
      <c r="AI144" s="39"/>
      <c r="AJ144" s="79" t="s">
        <v>1801</v>
      </c>
      <c r="AK144" s="39"/>
      <c r="AL144" s="4">
        <f t="shared" si="100"/>
        <v>220907.2</v>
      </c>
      <c r="AM144" s="4">
        <f t="shared" si="101"/>
        <v>20772</v>
      </c>
      <c r="AN144" s="4">
        <f t="shared" si="96"/>
        <v>241679.2</v>
      </c>
      <c r="AO144" s="39"/>
      <c r="AP144" s="8">
        <f t="shared" si="102"/>
        <v>0</v>
      </c>
      <c r="AQ144" s="8">
        <f t="shared" si="103"/>
        <v>0</v>
      </c>
      <c r="AR144" s="8">
        <f t="shared" si="97"/>
        <v>0</v>
      </c>
      <c r="AS144" s="42"/>
      <c r="AT144" s="84">
        <v>220907.2</v>
      </c>
      <c r="AU144" s="84">
        <v>20772</v>
      </c>
      <c r="AV144" s="4">
        <f t="shared" si="98"/>
        <v>241679.2</v>
      </c>
      <c r="AW144" s="50" t="str">
        <f t="shared" si="99"/>
        <v/>
      </c>
      <c r="AX144" s="1" t="s">
        <v>1639</v>
      </c>
      <c r="AY144" s="2" t="s">
        <v>1640</v>
      </c>
      <c r="AZ144" s="2">
        <v>32235.040000000001</v>
      </c>
      <c r="BA144" s="73">
        <v>28205.66</v>
      </c>
      <c r="BB144" s="73">
        <v>28205.66</v>
      </c>
      <c r="BC144" s="73">
        <v>32235.040000000001</v>
      </c>
      <c r="BD144" s="73"/>
      <c r="BE144" s="66">
        <v>0</v>
      </c>
      <c r="BF144" s="66">
        <v>0.02</v>
      </c>
      <c r="BG144" s="63">
        <v>44774</v>
      </c>
      <c r="BH144" s="2"/>
      <c r="BI144" s="2"/>
      <c r="BJ144" s="2">
        <v>218756.57</v>
      </c>
      <c r="BK144" s="2">
        <v>24306.29</v>
      </c>
      <c r="BL144" s="1" t="s">
        <v>56</v>
      </c>
    </row>
    <row r="145" spans="1:64" x14ac:dyDescent="0.25">
      <c r="A145" s="81" t="s">
        <v>292</v>
      </c>
      <c r="B145" s="82" t="s">
        <v>292</v>
      </c>
      <c r="C145" s="81" t="s">
        <v>293</v>
      </c>
      <c r="D145" s="16">
        <v>37904</v>
      </c>
      <c r="E145" s="17"/>
      <c r="F145" s="2" t="s">
        <v>294</v>
      </c>
      <c r="G145" s="2" t="s">
        <v>295</v>
      </c>
      <c r="H145" s="10" t="s">
        <v>98</v>
      </c>
      <c r="I145" s="11" t="s">
        <v>53</v>
      </c>
      <c r="J145" s="11" t="s">
        <v>296</v>
      </c>
      <c r="K145" s="61"/>
      <c r="L145" s="11" t="s">
        <v>67</v>
      </c>
      <c r="M145" s="25"/>
      <c r="N145" s="82"/>
      <c r="O145" s="3" t="str">
        <f t="shared" si="91"/>
        <v>A</v>
      </c>
      <c r="P145" s="84">
        <v>164955</v>
      </c>
      <c r="Q145" s="84">
        <v>9308</v>
      </c>
      <c r="R145" s="32"/>
      <c r="S145" s="3" t="str">
        <f t="shared" si="92"/>
        <v>A</v>
      </c>
      <c r="T145" s="84">
        <v>167284</v>
      </c>
      <c r="U145" s="84">
        <v>8115</v>
      </c>
      <c r="V145" s="32"/>
      <c r="W145" s="3" t="str">
        <f t="shared" si="93"/>
        <v>A</v>
      </c>
      <c r="X145" s="84">
        <v>161353</v>
      </c>
      <c r="Y145" s="84">
        <v>7668</v>
      </c>
      <c r="Z145" s="32"/>
      <c r="AA145" s="3" t="str">
        <f t="shared" si="94"/>
        <v>A</v>
      </c>
      <c r="AB145" s="84">
        <v>192559</v>
      </c>
      <c r="AC145" s="84">
        <v>10014</v>
      </c>
      <c r="AD145" s="36"/>
      <c r="AE145" s="82"/>
      <c r="AF145" s="3" t="str">
        <f t="shared" si="95"/>
        <v>A</v>
      </c>
      <c r="AG145" s="84">
        <v>0</v>
      </c>
      <c r="AH145" s="84">
        <v>0</v>
      </c>
      <c r="AI145" s="39"/>
      <c r="AJ145" s="79" t="s">
        <v>1801</v>
      </c>
      <c r="AK145" s="39"/>
      <c r="AL145" s="4">
        <f t="shared" si="100"/>
        <v>686151</v>
      </c>
      <c r="AM145" s="4">
        <f t="shared" si="101"/>
        <v>35105</v>
      </c>
      <c r="AN145" s="4">
        <f t="shared" si="96"/>
        <v>721256</v>
      </c>
      <c r="AO145" s="39"/>
      <c r="AP145" s="8">
        <f t="shared" si="102"/>
        <v>0</v>
      </c>
      <c r="AQ145" s="8">
        <f t="shared" si="103"/>
        <v>0</v>
      </c>
      <c r="AR145" s="8">
        <f t="shared" si="97"/>
        <v>0</v>
      </c>
      <c r="AS145" s="42"/>
      <c r="AT145" s="84">
        <v>686151</v>
      </c>
      <c r="AU145" s="84">
        <v>35105</v>
      </c>
      <c r="AV145" s="4">
        <f t="shared" si="98"/>
        <v>721256</v>
      </c>
      <c r="AW145" s="50" t="str">
        <f t="shared" si="99"/>
        <v/>
      </c>
      <c r="AX145" s="1" t="s">
        <v>1674</v>
      </c>
      <c r="AY145" s="2" t="s">
        <v>1675</v>
      </c>
      <c r="AZ145" s="2">
        <v>169688.24</v>
      </c>
      <c r="BA145" s="73">
        <v>148477.21</v>
      </c>
      <c r="BB145" s="73">
        <v>148477.21</v>
      </c>
      <c r="BC145" s="73">
        <v>169688.24</v>
      </c>
      <c r="BD145" s="73"/>
      <c r="BE145" s="66">
        <v>4.4999999999999998E-2</v>
      </c>
      <c r="BF145" s="66">
        <v>0.05</v>
      </c>
      <c r="BG145" s="63">
        <v>45209</v>
      </c>
      <c r="BH145" s="74">
        <v>43913</v>
      </c>
      <c r="BI145" s="74">
        <v>43942</v>
      </c>
      <c r="BJ145" s="2"/>
      <c r="BK145" s="2"/>
      <c r="BL145" s="1" t="s">
        <v>97</v>
      </c>
    </row>
    <row r="146" spans="1:64" x14ac:dyDescent="0.25">
      <c r="A146" s="81" t="s">
        <v>292</v>
      </c>
      <c r="B146" s="82" t="s">
        <v>712</v>
      </c>
      <c r="C146" s="81" t="s">
        <v>713</v>
      </c>
      <c r="D146" s="16">
        <v>39024</v>
      </c>
      <c r="E146" s="17"/>
      <c r="F146" s="2" t="s">
        <v>294</v>
      </c>
      <c r="G146" s="2" t="s">
        <v>295</v>
      </c>
      <c r="H146" s="10" t="s">
        <v>98</v>
      </c>
      <c r="I146" s="11" t="s">
        <v>53</v>
      </c>
      <c r="J146" s="11" t="s">
        <v>296</v>
      </c>
      <c r="K146" s="61"/>
      <c r="L146" s="11" t="s">
        <v>67</v>
      </c>
      <c r="M146" s="25"/>
      <c r="N146" s="82"/>
      <c r="O146" s="3" t="str">
        <f t="shared" si="91"/>
        <v>A</v>
      </c>
      <c r="P146" s="84">
        <v>50171</v>
      </c>
      <c r="Q146" s="84">
        <v>7524</v>
      </c>
      <c r="R146" s="32"/>
      <c r="S146" s="3" t="str">
        <f t="shared" si="92"/>
        <v>A</v>
      </c>
      <c r="T146" s="84">
        <v>51835</v>
      </c>
      <c r="U146" s="84">
        <v>6016</v>
      </c>
      <c r="V146" s="32"/>
      <c r="W146" s="3" t="str">
        <f t="shared" si="93"/>
        <v>A</v>
      </c>
      <c r="X146" s="84">
        <v>46106</v>
      </c>
      <c r="Y146" s="84">
        <v>4774</v>
      </c>
      <c r="Z146" s="32"/>
      <c r="AA146" s="3" t="str">
        <f t="shared" si="94"/>
        <v>A</v>
      </c>
      <c r="AB146" s="84">
        <v>57889</v>
      </c>
      <c r="AC146" s="84">
        <v>5123</v>
      </c>
      <c r="AD146" s="36"/>
      <c r="AE146" s="82"/>
      <c r="AF146" s="3" t="str">
        <f t="shared" si="95"/>
        <v>A</v>
      </c>
      <c r="AG146" s="84">
        <v>0</v>
      </c>
      <c r="AH146" s="84">
        <v>0</v>
      </c>
      <c r="AI146" s="39"/>
      <c r="AJ146" s="79" t="s">
        <v>1801</v>
      </c>
      <c r="AK146" s="39"/>
      <c r="AL146" s="4">
        <f t="shared" si="100"/>
        <v>206001</v>
      </c>
      <c r="AM146" s="4">
        <f t="shared" si="101"/>
        <v>23437</v>
      </c>
      <c r="AN146" s="4">
        <f t="shared" si="96"/>
        <v>229438</v>
      </c>
      <c r="AO146" s="39"/>
      <c r="AP146" s="8">
        <f t="shared" si="102"/>
        <v>0</v>
      </c>
      <c r="AQ146" s="8">
        <f t="shared" si="103"/>
        <v>0</v>
      </c>
      <c r="AR146" s="8">
        <f t="shared" si="97"/>
        <v>0</v>
      </c>
      <c r="AS146" s="42"/>
      <c r="AT146" s="84">
        <v>206001</v>
      </c>
      <c r="AU146" s="84">
        <v>23437</v>
      </c>
      <c r="AV146" s="4">
        <f t="shared" si="98"/>
        <v>229438</v>
      </c>
      <c r="AW146" s="50" t="str">
        <f t="shared" si="99"/>
        <v/>
      </c>
      <c r="AX146" s="1" t="s">
        <v>1674</v>
      </c>
      <c r="AY146" s="2" t="s">
        <v>1675</v>
      </c>
      <c r="AZ146" s="2">
        <v>45124</v>
      </c>
      <c r="BA146" s="73">
        <v>39483.5</v>
      </c>
      <c r="BB146" s="73">
        <v>39483.5</v>
      </c>
      <c r="BC146" s="73">
        <v>45124</v>
      </c>
      <c r="BD146" s="73"/>
      <c r="BE146" s="66">
        <v>4.4999999999999998E-2</v>
      </c>
      <c r="BF146" s="66">
        <v>0.05</v>
      </c>
      <c r="BG146" s="63">
        <v>45209</v>
      </c>
      <c r="BH146" s="74">
        <v>45687</v>
      </c>
      <c r="BI146" s="74">
        <v>45693</v>
      </c>
      <c r="BJ146" s="2"/>
      <c r="BK146" s="2"/>
      <c r="BL146" s="1" t="s">
        <v>97</v>
      </c>
    </row>
    <row r="147" spans="1:64" x14ac:dyDescent="0.25">
      <c r="A147" s="81" t="s">
        <v>292</v>
      </c>
      <c r="B147" s="82" t="s">
        <v>1009</v>
      </c>
      <c r="C147" s="81" t="s">
        <v>1010</v>
      </c>
      <c r="D147" s="16">
        <v>34919</v>
      </c>
      <c r="E147" s="17"/>
      <c r="F147" s="2" t="s">
        <v>294</v>
      </c>
      <c r="G147" s="2" t="s">
        <v>295</v>
      </c>
      <c r="H147" s="10" t="s">
        <v>98</v>
      </c>
      <c r="I147" s="11" t="s">
        <v>53</v>
      </c>
      <c r="J147" s="11" t="s">
        <v>296</v>
      </c>
      <c r="K147" s="61"/>
      <c r="L147" s="11" t="s">
        <v>67</v>
      </c>
      <c r="M147" s="25"/>
      <c r="N147" s="82"/>
      <c r="O147" s="3" t="str">
        <f t="shared" si="91"/>
        <v>A</v>
      </c>
      <c r="P147" s="84">
        <v>37189</v>
      </c>
      <c r="Q147" s="84">
        <v>0</v>
      </c>
      <c r="R147" s="32"/>
      <c r="S147" s="3" t="str">
        <f t="shared" si="92"/>
        <v>A</v>
      </c>
      <c r="T147" s="84">
        <v>38634</v>
      </c>
      <c r="U147" s="84"/>
      <c r="V147" s="32"/>
      <c r="W147" s="3" t="str">
        <f t="shared" si="93"/>
        <v>A</v>
      </c>
      <c r="X147" s="84">
        <v>35725</v>
      </c>
      <c r="Y147" s="84"/>
      <c r="Z147" s="32"/>
      <c r="AA147" s="3" t="str">
        <f t="shared" si="94"/>
        <v>A</v>
      </c>
      <c r="AB147" s="84">
        <v>42379</v>
      </c>
      <c r="AC147" s="84"/>
      <c r="AD147" s="36"/>
      <c r="AE147" s="82"/>
      <c r="AF147" s="3" t="str">
        <f t="shared" si="95"/>
        <v>A</v>
      </c>
      <c r="AG147" s="84">
        <v>0</v>
      </c>
      <c r="AH147" s="84">
        <v>0</v>
      </c>
      <c r="AI147" s="39"/>
      <c r="AJ147" s="79" t="s">
        <v>1801</v>
      </c>
      <c r="AK147" s="39"/>
      <c r="AL147" s="4">
        <f t="shared" si="100"/>
        <v>153927</v>
      </c>
      <c r="AM147" s="4">
        <f t="shared" si="101"/>
        <v>0</v>
      </c>
      <c r="AN147" s="4">
        <f t="shared" si="96"/>
        <v>153927</v>
      </c>
      <c r="AO147" s="39"/>
      <c r="AP147" s="8">
        <f t="shared" si="102"/>
        <v>0</v>
      </c>
      <c r="AQ147" s="8">
        <f t="shared" si="103"/>
        <v>0</v>
      </c>
      <c r="AR147" s="8">
        <f t="shared" si="97"/>
        <v>0</v>
      </c>
      <c r="AS147" s="42"/>
      <c r="AT147" s="84">
        <v>153927</v>
      </c>
      <c r="AU147" s="84"/>
      <c r="AV147" s="4">
        <f t="shared" si="98"/>
        <v>153927</v>
      </c>
      <c r="AW147" s="50" t="str">
        <f t="shared" si="99"/>
        <v/>
      </c>
      <c r="AX147" s="1" t="s">
        <v>1674</v>
      </c>
      <c r="AY147" s="2" t="s">
        <v>1675</v>
      </c>
      <c r="AZ147" s="2">
        <v>58903.44</v>
      </c>
      <c r="BA147" s="73">
        <v>51540.51</v>
      </c>
      <c r="BB147" s="73">
        <v>51540.51</v>
      </c>
      <c r="BC147" s="73">
        <v>58903.44</v>
      </c>
      <c r="BD147" s="73"/>
      <c r="BE147" s="66">
        <v>3.5000000000000003E-2</v>
      </c>
      <c r="BF147" s="66">
        <v>0.05</v>
      </c>
      <c r="BG147" s="63">
        <v>45209</v>
      </c>
      <c r="BH147" s="2"/>
      <c r="BI147" s="2"/>
      <c r="BJ147" s="2">
        <v>216000</v>
      </c>
      <c r="BK147" s="2"/>
      <c r="BL147" s="1" t="s">
        <v>97</v>
      </c>
    </row>
    <row r="148" spans="1:64" x14ac:dyDescent="0.25">
      <c r="A148" s="81" t="s">
        <v>292</v>
      </c>
      <c r="B148" s="82" t="s">
        <v>1011</v>
      </c>
      <c r="C148" s="81" t="s">
        <v>1012</v>
      </c>
      <c r="D148" s="16">
        <v>42600</v>
      </c>
      <c r="E148" s="17"/>
      <c r="F148" s="2" t="s">
        <v>294</v>
      </c>
      <c r="G148" s="2" t="s">
        <v>295</v>
      </c>
      <c r="H148" s="10" t="s">
        <v>98</v>
      </c>
      <c r="I148" s="11" t="s">
        <v>53</v>
      </c>
      <c r="J148" s="11" t="s">
        <v>296</v>
      </c>
      <c r="K148" s="61"/>
      <c r="L148" s="11" t="s">
        <v>67</v>
      </c>
      <c r="M148" s="25"/>
      <c r="N148" s="82"/>
      <c r="O148" s="3" t="str">
        <f t="shared" si="91"/>
        <v>A</v>
      </c>
      <c r="P148" s="84">
        <v>149867</v>
      </c>
      <c r="Q148" s="84">
        <v>0</v>
      </c>
      <c r="R148" s="32"/>
      <c r="S148" s="3" t="str">
        <f t="shared" si="92"/>
        <v>A</v>
      </c>
      <c r="T148" s="84">
        <v>157612</v>
      </c>
      <c r="U148" s="84"/>
      <c r="V148" s="32"/>
      <c r="W148" s="3" t="str">
        <f t="shared" si="93"/>
        <v>A</v>
      </c>
      <c r="X148" s="84">
        <v>150334</v>
      </c>
      <c r="Y148" s="84"/>
      <c r="Z148" s="32"/>
      <c r="AA148" s="3" t="str">
        <f t="shared" si="94"/>
        <v>A</v>
      </c>
      <c r="AB148" s="84">
        <v>175736</v>
      </c>
      <c r="AC148" s="84"/>
      <c r="AD148" s="36"/>
      <c r="AE148" s="82"/>
      <c r="AF148" s="3" t="str">
        <f t="shared" si="95"/>
        <v>A</v>
      </c>
      <c r="AG148" s="84">
        <v>0</v>
      </c>
      <c r="AH148" s="84">
        <v>0</v>
      </c>
      <c r="AI148" s="39"/>
      <c r="AJ148" s="79" t="s">
        <v>1801</v>
      </c>
      <c r="AK148" s="39"/>
      <c r="AL148" s="4">
        <f t="shared" si="100"/>
        <v>633549</v>
      </c>
      <c r="AM148" s="4">
        <f t="shared" si="101"/>
        <v>0</v>
      </c>
      <c r="AN148" s="4">
        <f t="shared" si="96"/>
        <v>633549</v>
      </c>
      <c r="AO148" s="39"/>
      <c r="AP148" s="8">
        <f t="shared" si="102"/>
        <v>0</v>
      </c>
      <c r="AQ148" s="8">
        <f t="shared" si="103"/>
        <v>0</v>
      </c>
      <c r="AR148" s="8">
        <f t="shared" si="97"/>
        <v>0</v>
      </c>
      <c r="AS148" s="42"/>
      <c r="AT148" s="84">
        <v>633549</v>
      </c>
      <c r="AU148" s="84"/>
      <c r="AV148" s="4">
        <f t="shared" si="98"/>
        <v>633549</v>
      </c>
      <c r="AW148" s="50" t="str">
        <f t="shared" si="99"/>
        <v/>
      </c>
      <c r="AX148" s="1" t="s">
        <v>1674</v>
      </c>
      <c r="AY148" s="2" t="s">
        <v>1675</v>
      </c>
      <c r="AZ148" s="2">
        <v>33699.519999999997</v>
      </c>
      <c r="BA148" s="73">
        <v>29487.08</v>
      </c>
      <c r="BB148" s="73">
        <v>29487.08</v>
      </c>
      <c r="BC148" s="73">
        <v>33699.519999999997</v>
      </c>
      <c r="BD148" s="73"/>
      <c r="BE148" s="66">
        <v>4.4999999999999998E-2</v>
      </c>
      <c r="BF148" s="66">
        <v>0.05</v>
      </c>
      <c r="BG148" s="63">
        <v>45209</v>
      </c>
      <c r="BH148" s="2"/>
      <c r="BI148" s="2"/>
      <c r="BJ148" s="2">
        <v>126000</v>
      </c>
      <c r="BK148" s="2"/>
      <c r="BL148" s="1" t="s">
        <v>97</v>
      </c>
    </row>
    <row r="149" spans="1:64" x14ac:dyDescent="0.25">
      <c r="A149" s="81" t="s">
        <v>292</v>
      </c>
      <c r="B149" s="82" t="s">
        <v>1191</v>
      </c>
      <c r="C149" s="81" t="s">
        <v>1192</v>
      </c>
      <c r="D149" s="16">
        <v>37416</v>
      </c>
      <c r="E149" s="17">
        <v>45635</v>
      </c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82"/>
      <c r="O149" s="3" t="str">
        <f t="shared" si="91"/>
        <v>A</v>
      </c>
      <c r="P149" s="84"/>
      <c r="Q149" s="84"/>
      <c r="R149" s="32"/>
      <c r="S149" s="3" t="str">
        <f t="shared" si="92"/>
        <v>A</v>
      </c>
      <c r="T149" s="84"/>
      <c r="U149" s="84"/>
      <c r="V149" s="32"/>
      <c r="W149" s="3" t="str">
        <f t="shared" si="93"/>
        <v>A</v>
      </c>
      <c r="X149" s="84"/>
      <c r="Y149" s="84"/>
      <c r="Z149" s="32"/>
      <c r="AA149" s="3" t="str">
        <f t="shared" si="94"/>
        <v>A</v>
      </c>
      <c r="AB149" s="84"/>
      <c r="AC149" s="84"/>
      <c r="AD149" s="36"/>
      <c r="AE149" s="82"/>
      <c r="AF149" s="3" t="str">
        <f t="shared" si="95"/>
        <v>A</v>
      </c>
      <c r="AG149" s="84"/>
      <c r="AH149" s="84"/>
      <c r="AI149" s="39"/>
      <c r="AJ149" s="79" t="s">
        <v>1801</v>
      </c>
      <c r="AK149" s="39"/>
      <c r="AL149" s="4">
        <f t="shared" si="100"/>
        <v>0</v>
      </c>
      <c r="AM149" s="4">
        <f t="shared" si="101"/>
        <v>0</v>
      </c>
      <c r="AN149" s="4">
        <f t="shared" si="96"/>
        <v>0</v>
      </c>
      <c r="AO149" s="39"/>
      <c r="AP149" s="8">
        <f t="shared" si="102"/>
        <v>0</v>
      </c>
      <c r="AQ149" s="8">
        <f t="shared" si="103"/>
        <v>0</v>
      </c>
      <c r="AR149" s="8">
        <f t="shared" si="97"/>
        <v>0</v>
      </c>
      <c r="AS149" s="42"/>
      <c r="AT149" s="84"/>
      <c r="AU149" s="84"/>
      <c r="AV149" s="4">
        <f t="shared" si="98"/>
        <v>0</v>
      </c>
      <c r="AW149" s="50" t="str">
        <f t="shared" si="99"/>
        <v/>
      </c>
      <c r="AX149" s="1" t="s">
        <v>1674</v>
      </c>
      <c r="AY149" s="2" t="s">
        <v>1675</v>
      </c>
      <c r="AZ149" s="2"/>
      <c r="BA149" s="73"/>
      <c r="BB149" s="73"/>
      <c r="BC149" s="73"/>
      <c r="BD149" s="73"/>
      <c r="BE149" s="66">
        <v>4.4999999999999998E-2</v>
      </c>
      <c r="BF149" s="66">
        <v>0.05</v>
      </c>
      <c r="BG149" s="63">
        <v>45209</v>
      </c>
      <c r="BH149" s="74">
        <v>45635</v>
      </c>
      <c r="BI149" s="2"/>
      <c r="BJ149" s="2">
        <v>146145</v>
      </c>
      <c r="BK149" s="2">
        <v>2922.9</v>
      </c>
      <c r="BL149" s="1" t="s">
        <v>97</v>
      </c>
    </row>
    <row r="150" spans="1:64" x14ac:dyDescent="0.25">
      <c r="A150" s="81" t="s">
        <v>292</v>
      </c>
      <c r="B150" s="82" t="s">
        <v>1276</v>
      </c>
      <c r="C150" s="81" t="s">
        <v>1277</v>
      </c>
      <c r="D150" s="16">
        <v>0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82"/>
      <c r="O150" s="3" t="str">
        <f t="shared" si="91"/>
        <v>A</v>
      </c>
      <c r="P150" s="84">
        <v>43643</v>
      </c>
      <c r="Q150" s="84">
        <v>0</v>
      </c>
      <c r="R150" s="32"/>
      <c r="S150" s="3" t="str">
        <f t="shared" si="92"/>
        <v>A</v>
      </c>
      <c r="T150" s="84">
        <v>50860</v>
      </c>
      <c r="U150" s="84"/>
      <c r="V150" s="32"/>
      <c r="W150" s="3" t="str">
        <f t="shared" si="93"/>
        <v>A</v>
      </c>
      <c r="X150" s="84">
        <v>54091</v>
      </c>
      <c r="Y150" s="84"/>
      <c r="Z150" s="32"/>
      <c r="AA150" s="3" t="str">
        <f t="shared" si="94"/>
        <v>A</v>
      </c>
      <c r="AB150" s="84">
        <v>59540</v>
      </c>
      <c r="AC150" s="84"/>
      <c r="AD150" s="36"/>
      <c r="AE150" s="82"/>
      <c r="AF150" s="3" t="str">
        <f t="shared" si="95"/>
        <v>A</v>
      </c>
      <c r="AG150" s="84">
        <v>0</v>
      </c>
      <c r="AH150" s="84">
        <v>0</v>
      </c>
      <c r="AI150" s="39"/>
      <c r="AJ150" s="79" t="s">
        <v>1801</v>
      </c>
      <c r="AK150" s="39"/>
      <c r="AL150" s="4">
        <f t="shared" si="100"/>
        <v>208134</v>
      </c>
      <c r="AM150" s="4">
        <f t="shared" si="101"/>
        <v>0</v>
      </c>
      <c r="AN150" s="4">
        <f t="shared" si="96"/>
        <v>208134</v>
      </c>
      <c r="AO150" s="39"/>
      <c r="AP150" s="8">
        <f t="shared" si="102"/>
        <v>0</v>
      </c>
      <c r="AQ150" s="8">
        <f t="shared" si="103"/>
        <v>0</v>
      </c>
      <c r="AR150" s="8">
        <f t="shared" si="97"/>
        <v>0</v>
      </c>
      <c r="AS150" s="42"/>
      <c r="AT150" s="84">
        <v>208134</v>
      </c>
      <c r="AU150" s="84"/>
      <c r="AV150" s="4">
        <f t="shared" si="98"/>
        <v>208134</v>
      </c>
      <c r="AW150" s="50" t="str">
        <f t="shared" si="99"/>
        <v/>
      </c>
      <c r="AX150" s="1" t="s">
        <v>1674</v>
      </c>
      <c r="AY150" s="2" t="s">
        <v>1675</v>
      </c>
      <c r="AZ150" s="2">
        <v>67301.919999999998</v>
      </c>
      <c r="BA150" s="73">
        <v>58889.18</v>
      </c>
      <c r="BB150" s="73">
        <v>58889.18</v>
      </c>
      <c r="BC150" s="73">
        <v>67301.919999999998</v>
      </c>
      <c r="BD150" s="73"/>
      <c r="BE150" s="66">
        <v>0</v>
      </c>
      <c r="BF150" s="66">
        <v>0.05</v>
      </c>
      <c r="BG150" s="63">
        <v>45209</v>
      </c>
      <c r="BH150" s="2"/>
      <c r="BI150" s="2"/>
      <c r="BJ150" s="2">
        <v>243000</v>
      </c>
      <c r="BK150" s="2"/>
      <c r="BL150" s="1" t="s">
        <v>97</v>
      </c>
    </row>
    <row r="151" spans="1:64" x14ac:dyDescent="0.25">
      <c r="A151" s="81" t="s">
        <v>292</v>
      </c>
      <c r="B151" s="82" t="s">
        <v>1344</v>
      </c>
      <c r="C151" s="81" t="s">
        <v>1345</v>
      </c>
      <c r="D151" s="16">
        <v>0</v>
      </c>
      <c r="E151" s="17"/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82"/>
      <c r="O151" s="3" t="str">
        <f>IF($A151="","",IF(P151=AZ151,"E","A"))</f>
        <v>A</v>
      </c>
      <c r="P151" s="84">
        <v>69382</v>
      </c>
      <c r="Q151" s="84">
        <v>0</v>
      </c>
      <c r="R151" s="32"/>
      <c r="S151" s="3" t="str">
        <f t="shared" si="92"/>
        <v>A</v>
      </c>
      <c r="T151" s="84">
        <v>73919</v>
      </c>
      <c r="U151" s="84"/>
      <c r="V151" s="32"/>
      <c r="W151" s="3" t="str">
        <f t="shared" si="93"/>
        <v>A</v>
      </c>
      <c r="X151" s="84">
        <v>71194</v>
      </c>
      <c r="Y151" s="84"/>
      <c r="Z151" s="32"/>
      <c r="AA151" s="3" t="str">
        <f t="shared" si="94"/>
        <v>A</v>
      </c>
      <c r="AB151" s="84">
        <v>82676</v>
      </c>
      <c r="AC151" s="84"/>
      <c r="AD151" s="36"/>
      <c r="AE151" s="82"/>
      <c r="AF151" s="3" t="str">
        <f t="shared" si="95"/>
        <v>A</v>
      </c>
      <c r="AG151" s="84">
        <v>0</v>
      </c>
      <c r="AH151" s="84">
        <v>0</v>
      </c>
      <c r="AI151" s="39"/>
      <c r="AJ151" s="79" t="s">
        <v>1801</v>
      </c>
      <c r="AK151" s="39"/>
      <c r="AL151" s="4">
        <f t="shared" si="100"/>
        <v>297171</v>
      </c>
      <c r="AM151" s="4">
        <f t="shared" si="101"/>
        <v>0</v>
      </c>
      <c r="AN151" s="4">
        <f t="shared" si="96"/>
        <v>297171</v>
      </c>
      <c r="AO151" s="39"/>
      <c r="AP151" s="8">
        <f t="shared" si="102"/>
        <v>0</v>
      </c>
      <c r="AQ151" s="8">
        <f t="shared" si="103"/>
        <v>0</v>
      </c>
      <c r="AR151" s="8">
        <f t="shared" si="97"/>
        <v>0</v>
      </c>
      <c r="AS151" s="42"/>
      <c r="AT151" s="84">
        <v>297171</v>
      </c>
      <c r="AU151" s="84"/>
      <c r="AV151" s="4">
        <f t="shared" si="98"/>
        <v>297171</v>
      </c>
      <c r="AW151" s="50" t="str">
        <f t="shared" si="99"/>
        <v/>
      </c>
      <c r="AX151" s="1" t="s">
        <v>1674</v>
      </c>
      <c r="AY151" s="2" t="s">
        <v>1675</v>
      </c>
      <c r="AZ151" s="2">
        <v>89831.679999999993</v>
      </c>
      <c r="BA151" s="73">
        <v>78602.720000000001</v>
      </c>
      <c r="BB151" s="73">
        <v>78602.720000000001</v>
      </c>
      <c r="BC151" s="73">
        <v>89831.679999999993</v>
      </c>
      <c r="BD151" s="73"/>
      <c r="BE151" s="66">
        <v>0</v>
      </c>
      <c r="BF151" s="66">
        <v>0.05</v>
      </c>
      <c r="BG151" s="63">
        <v>45132</v>
      </c>
      <c r="BH151" s="2"/>
      <c r="BI151" s="2"/>
      <c r="BJ151" s="2">
        <v>324000</v>
      </c>
      <c r="BK151" s="2"/>
      <c r="BL151" s="1" t="s">
        <v>97</v>
      </c>
    </row>
    <row r="152" spans="1:64" x14ac:dyDescent="0.25">
      <c r="A152" s="81" t="s">
        <v>297</v>
      </c>
      <c r="B152" s="82" t="s">
        <v>297</v>
      </c>
      <c r="C152" s="81" t="s">
        <v>298</v>
      </c>
      <c r="D152" s="16">
        <v>38035</v>
      </c>
      <c r="E152" s="17"/>
      <c r="F152" s="2" t="s">
        <v>235</v>
      </c>
      <c r="G152" s="2" t="s">
        <v>236</v>
      </c>
      <c r="H152" s="10" t="s">
        <v>98</v>
      </c>
      <c r="I152" s="11" t="s">
        <v>53</v>
      </c>
      <c r="J152" s="11" t="s">
        <v>238</v>
      </c>
      <c r="K152" s="61"/>
      <c r="L152" s="11" t="s">
        <v>67</v>
      </c>
      <c r="M152" s="25"/>
      <c r="N152" s="82"/>
      <c r="O152" s="3" t="str">
        <f t="shared" ref="O152:O167" si="104">IF($A152="","",IF(P152=0,"A",IF(P152=AZ152,"E","A")))</f>
        <v>A</v>
      </c>
      <c r="P152" s="84">
        <v>702081</v>
      </c>
      <c r="Q152" s="84">
        <v>36118</v>
      </c>
      <c r="R152" s="32"/>
      <c r="S152" s="3" t="str">
        <f t="shared" si="92"/>
        <v>A</v>
      </c>
      <c r="T152" s="84">
        <v>635639</v>
      </c>
      <c r="U152" s="84">
        <v>37018</v>
      </c>
      <c r="V152" s="32"/>
      <c r="W152" s="3" t="str">
        <f t="shared" si="93"/>
        <v>A</v>
      </c>
      <c r="X152" s="84">
        <v>554447</v>
      </c>
      <c r="Y152" s="84">
        <v>32250</v>
      </c>
      <c r="Z152" s="32"/>
      <c r="AA152" s="3" t="str">
        <f t="shared" si="94"/>
        <v>A</v>
      </c>
      <c r="AB152" s="84">
        <v>617984</v>
      </c>
      <c r="AC152" s="84">
        <v>34005</v>
      </c>
      <c r="AD152" s="36"/>
      <c r="AE152" s="82"/>
      <c r="AF152" s="3" t="str">
        <f t="shared" si="95"/>
        <v>A</v>
      </c>
      <c r="AG152" s="84">
        <v>0</v>
      </c>
      <c r="AH152" s="84">
        <v>0</v>
      </c>
      <c r="AI152" s="39"/>
      <c r="AJ152" s="79" t="s">
        <v>1801</v>
      </c>
      <c r="AK152" s="39"/>
      <c r="AL152" s="4">
        <f t="shared" si="100"/>
        <v>2510151</v>
      </c>
      <c r="AM152" s="4">
        <f t="shared" si="101"/>
        <v>139391</v>
      </c>
      <c r="AN152" s="4">
        <f t="shared" si="96"/>
        <v>2649542</v>
      </c>
      <c r="AO152" s="39"/>
      <c r="AP152" s="8">
        <f t="shared" si="102"/>
        <v>0</v>
      </c>
      <c r="AQ152" s="8">
        <f t="shared" si="103"/>
        <v>0</v>
      </c>
      <c r="AR152" s="8">
        <f t="shared" si="97"/>
        <v>0</v>
      </c>
      <c r="AS152" s="42"/>
      <c r="AT152" s="84">
        <v>2510151</v>
      </c>
      <c r="AU152" s="84">
        <v>139391</v>
      </c>
      <c r="AV152" s="4">
        <f t="shared" si="98"/>
        <v>2649542</v>
      </c>
      <c r="AW152" s="50" t="str">
        <f t="shared" si="99"/>
        <v/>
      </c>
      <c r="AX152" s="1" t="s">
        <v>1662</v>
      </c>
      <c r="AY152" s="2" t="s">
        <v>1663</v>
      </c>
      <c r="AZ152" s="2">
        <v>355976</v>
      </c>
      <c r="BA152" s="73">
        <v>311479</v>
      </c>
      <c r="BB152" s="73">
        <v>311479</v>
      </c>
      <c r="BC152" s="73">
        <v>355976</v>
      </c>
      <c r="BD152" s="73"/>
      <c r="BE152" s="66">
        <v>3.5000000000000003E-2</v>
      </c>
      <c r="BF152" s="66">
        <v>0.05</v>
      </c>
      <c r="BG152" s="63">
        <v>45337</v>
      </c>
      <c r="BH152" s="74">
        <v>43919</v>
      </c>
      <c r="BI152" s="74">
        <v>43920</v>
      </c>
      <c r="BJ152" s="2"/>
      <c r="BK152" s="2"/>
      <c r="BL152" s="1" t="s">
        <v>237</v>
      </c>
    </row>
    <row r="153" spans="1:64" x14ac:dyDescent="0.25">
      <c r="A153" s="81" t="s">
        <v>297</v>
      </c>
      <c r="B153" s="82" t="s">
        <v>714</v>
      </c>
      <c r="C153" s="81" t="s">
        <v>715</v>
      </c>
      <c r="D153" s="16">
        <v>40664</v>
      </c>
      <c r="E153" s="17"/>
      <c r="F153" s="2" t="s">
        <v>235</v>
      </c>
      <c r="G153" s="2" t="s">
        <v>236</v>
      </c>
      <c r="H153" s="10" t="s">
        <v>98</v>
      </c>
      <c r="I153" s="11" t="s">
        <v>53</v>
      </c>
      <c r="J153" s="11" t="s">
        <v>238</v>
      </c>
      <c r="K153" s="61"/>
      <c r="L153" s="11" t="s">
        <v>67</v>
      </c>
      <c r="M153" s="25"/>
      <c r="N153" s="82"/>
      <c r="O153" s="3" t="str">
        <f t="shared" si="104"/>
        <v>A</v>
      </c>
      <c r="P153" s="84">
        <v>77404.7</v>
      </c>
      <c r="Q153" s="84">
        <v>9785</v>
      </c>
      <c r="R153" s="32"/>
      <c r="S153" s="3" t="str">
        <f t="shared" si="92"/>
        <v>A</v>
      </c>
      <c r="T153" s="84">
        <v>87749</v>
      </c>
      <c r="U153" s="84">
        <v>13606</v>
      </c>
      <c r="V153" s="32"/>
      <c r="W153" s="3" t="str">
        <f t="shared" si="93"/>
        <v>A</v>
      </c>
      <c r="X153" s="84">
        <v>85120</v>
      </c>
      <c r="Y153" s="84">
        <v>10913</v>
      </c>
      <c r="Z153" s="32"/>
      <c r="AA153" s="3" t="str">
        <f t="shared" si="94"/>
        <v>A</v>
      </c>
      <c r="AB153" s="84">
        <v>96960.4</v>
      </c>
      <c r="AC153" s="84">
        <v>10711</v>
      </c>
      <c r="AD153" s="36"/>
      <c r="AE153" s="82"/>
      <c r="AF153" s="3" t="str">
        <f t="shared" si="95"/>
        <v>A</v>
      </c>
      <c r="AG153" s="84">
        <v>0</v>
      </c>
      <c r="AH153" s="84">
        <v>0</v>
      </c>
      <c r="AI153" s="39"/>
      <c r="AJ153" s="79" t="s">
        <v>1801</v>
      </c>
      <c r="AK153" s="39"/>
      <c r="AL153" s="4">
        <f t="shared" si="100"/>
        <v>347234.1</v>
      </c>
      <c r="AM153" s="4">
        <f t="shared" si="101"/>
        <v>45015</v>
      </c>
      <c r="AN153" s="4">
        <f t="shared" si="96"/>
        <v>392249.1</v>
      </c>
      <c r="AO153" s="39"/>
      <c r="AP153" s="8">
        <f t="shared" si="102"/>
        <v>0</v>
      </c>
      <c r="AQ153" s="8">
        <f t="shared" si="103"/>
        <v>0</v>
      </c>
      <c r="AR153" s="8">
        <f t="shared" si="97"/>
        <v>0</v>
      </c>
      <c r="AS153" s="42"/>
      <c r="AT153" s="84">
        <v>347234.1</v>
      </c>
      <c r="AU153" s="84">
        <v>45015</v>
      </c>
      <c r="AV153" s="4">
        <f t="shared" si="98"/>
        <v>392249.1</v>
      </c>
      <c r="AW153" s="50" t="str">
        <f t="shared" si="99"/>
        <v/>
      </c>
      <c r="AX153" s="1" t="s">
        <v>1662</v>
      </c>
      <c r="AY153" s="2" t="s">
        <v>1663</v>
      </c>
      <c r="AZ153" s="2">
        <v>46658.8</v>
      </c>
      <c r="BA153" s="73">
        <v>40826.449999999997</v>
      </c>
      <c r="BB153" s="73">
        <v>40826.449999999997</v>
      </c>
      <c r="BC153" s="73">
        <v>46658.8</v>
      </c>
      <c r="BD153" s="73"/>
      <c r="BE153" s="66">
        <v>3.5000000000000003E-2</v>
      </c>
      <c r="BF153" s="66">
        <v>0.05</v>
      </c>
      <c r="BG153" s="63">
        <v>45337</v>
      </c>
      <c r="BH153" s="74">
        <v>43906</v>
      </c>
      <c r="BI153" s="74">
        <v>43927</v>
      </c>
      <c r="BJ153" s="2"/>
      <c r="BK153" s="2"/>
      <c r="BL153" s="1" t="s">
        <v>237</v>
      </c>
    </row>
    <row r="154" spans="1:64" x14ac:dyDescent="0.25">
      <c r="A154" s="81" t="s">
        <v>299</v>
      </c>
      <c r="B154" s="82" t="s">
        <v>299</v>
      </c>
      <c r="C154" s="81" t="s">
        <v>300</v>
      </c>
      <c r="D154" s="16">
        <v>38135</v>
      </c>
      <c r="E154" s="17"/>
      <c r="F154" s="2" t="s">
        <v>52</v>
      </c>
      <c r="G154" s="2" t="s">
        <v>55</v>
      </c>
      <c r="H154" s="10" t="s">
        <v>57</v>
      </c>
      <c r="I154" s="11" t="s">
        <v>54</v>
      </c>
      <c r="J154" s="11" t="s">
        <v>139</v>
      </c>
      <c r="K154" s="61" t="s">
        <v>140</v>
      </c>
      <c r="L154" s="11" t="s">
        <v>67</v>
      </c>
      <c r="M154" s="25"/>
      <c r="N154" s="82"/>
      <c r="O154" s="3" t="str">
        <f t="shared" si="104"/>
        <v>A</v>
      </c>
      <c r="P154" s="84">
        <v>167811.58</v>
      </c>
      <c r="Q154" s="84">
        <v>48341.71</v>
      </c>
      <c r="R154" s="32"/>
      <c r="S154" s="3" t="str">
        <f t="shared" si="92"/>
        <v>A</v>
      </c>
      <c r="T154" s="84">
        <v>152873.65</v>
      </c>
      <c r="U154" s="84">
        <v>39111</v>
      </c>
      <c r="V154" s="32"/>
      <c r="W154" s="3" t="str">
        <f t="shared" si="93"/>
        <v>A</v>
      </c>
      <c r="X154" s="84">
        <v>138134.6</v>
      </c>
      <c r="Y154" s="84">
        <v>39482.550000000003</v>
      </c>
      <c r="Z154" s="32"/>
      <c r="AA154" s="3" t="str">
        <f t="shared" si="94"/>
        <v>A</v>
      </c>
      <c r="AB154" s="84">
        <v>160108.20000000001</v>
      </c>
      <c r="AC154" s="84">
        <v>37917</v>
      </c>
      <c r="AD154" s="36"/>
      <c r="AE154" s="82"/>
      <c r="AF154" s="3" t="str">
        <f t="shared" si="95"/>
        <v>A</v>
      </c>
      <c r="AG154" s="84">
        <v>0</v>
      </c>
      <c r="AH154" s="84">
        <v>0</v>
      </c>
      <c r="AI154" s="39"/>
      <c r="AJ154" s="79" t="s">
        <v>1801</v>
      </c>
      <c r="AK154" s="39"/>
      <c r="AL154" s="4">
        <f t="shared" si="100"/>
        <v>618928.03</v>
      </c>
      <c r="AM154" s="4">
        <f t="shared" si="101"/>
        <v>164852.26</v>
      </c>
      <c r="AN154" s="4">
        <f t="shared" si="96"/>
        <v>783780.29</v>
      </c>
      <c r="AO154" s="39"/>
      <c r="AP154" s="8">
        <f t="shared" si="102"/>
        <v>0</v>
      </c>
      <c r="AQ154" s="8">
        <f t="shared" si="103"/>
        <v>0</v>
      </c>
      <c r="AR154" s="8">
        <f t="shared" si="97"/>
        <v>0</v>
      </c>
      <c r="AS154" s="42"/>
      <c r="AT154" s="84">
        <v>618928.02999999991</v>
      </c>
      <c r="AU154" s="84">
        <v>164852.26</v>
      </c>
      <c r="AV154" s="4">
        <f t="shared" si="98"/>
        <v>783780.28999999992</v>
      </c>
      <c r="AW154" s="50" t="str">
        <f t="shared" si="99"/>
        <v/>
      </c>
      <c r="AX154" s="1" t="s">
        <v>1639</v>
      </c>
      <c r="AY154" s="2" t="s">
        <v>1640</v>
      </c>
      <c r="AZ154" s="2">
        <v>157860.24</v>
      </c>
      <c r="BA154" s="73">
        <v>138127.71</v>
      </c>
      <c r="BB154" s="73">
        <v>138127.71</v>
      </c>
      <c r="BC154" s="73">
        <v>157860.24</v>
      </c>
      <c r="BD154" s="73"/>
      <c r="BE154" s="66">
        <v>2.5000000000000001E-2</v>
      </c>
      <c r="BF154" s="66">
        <v>0.02</v>
      </c>
      <c r="BG154" s="63">
        <v>45440</v>
      </c>
      <c r="BH154" s="2"/>
      <c r="BI154" s="2"/>
      <c r="BJ154" s="2"/>
      <c r="BK154" s="2"/>
      <c r="BL154" s="1" t="s">
        <v>56</v>
      </c>
    </row>
    <row r="155" spans="1:64" x14ac:dyDescent="0.25">
      <c r="A155" s="81" t="s">
        <v>299</v>
      </c>
      <c r="B155" s="82" t="s">
        <v>716</v>
      </c>
      <c r="C155" s="81" t="s">
        <v>717</v>
      </c>
      <c r="D155" s="16">
        <v>0</v>
      </c>
      <c r="E155" s="17"/>
      <c r="F155" s="2" t="s">
        <v>52</v>
      </c>
      <c r="G155" s="2" t="s">
        <v>55</v>
      </c>
      <c r="H155" s="10" t="s">
        <v>57</v>
      </c>
      <c r="I155" s="11" t="s">
        <v>54</v>
      </c>
      <c r="J155" s="11" t="s">
        <v>139</v>
      </c>
      <c r="K155" s="61" t="s">
        <v>140</v>
      </c>
      <c r="L155" s="11" t="s">
        <v>67</v>
      </c>
      <c r="M155" s="25"/>
      <c r="N155" s="82"/>
      <c r="O155" s="3" t="str">
        <f t="shared" si="104"/>
        <v>A</v>
      </c>
      <c r="P155" s="84">
        <v>42139</v>
      </c>
      <c r="Q155" s="84">
        <v>14426</v>
      </c>
      <c r="R155" s="32"/>
      <c r="S155" s="3" t="str">
        <f t="shared" si="92"/>
        <v>A</v>
      </c>
      <c r="T155" s="84">
        <v>34208</v>
      </c>
      <c r="U155" s="84">
        <v>12202</v>
      </c>
      <c r="V155" s="32"/>
      <c r="W155" s="3" t="str">
        <f t="shared" si="93"/>
        <v>A</v>
      </c>
      <c r="X155" s="84">
        <v>27448</v>
      </c>
      <c r="Y155" s="84">
        <v>9764</v>
      </c>
      <c r="Z155" s="32"/>
      <c r="AA155" s="3" t="str">
        <f t="shared" si="94"/>
        <v>A</v>
      </c>
      <c r="AB155" s="84">
        <v>30174</v>
      </c>
      <c r="AC155" s="84">
        <v>10725</v>
      </c>
      <c r="AD155" s="36"/>
      <c r="AE155" s="82"/>
      <c r="AF155" s="3" t="str">
        <f t="shared" si="95"/>
        <v>A</v>
      </c>
      <c r="AG155" s="84">
        <v>0</v>
      </c>
      <c r="AH155" s="84">
        <v>0</v>
      </c>
      <c r="AI155" s="39"/>
      <c r="AJ155" s="79" t="s">
        <v>1801</v>
      </c>
      <c r="AK155" s="39"/>
      <c r="AL155" s="4">
        <f t="shared" si="100"/>
        <v>133969</v>
      </c>
      <c r="AM155" s="4">
        <f t="shared" si="101"/>
        <v>47117</v>
      </c>
      <c r="AN155" s="4">
        <f t="shared" si="96"/>
        <v>181086</v>
      </c>
      <c r="AO155" s="39"/>
      <c r="AP155" s="8">
        <f t="shared" si="102"/>
        <v>0</v>
      </c>
      <c r="AQ155" s="8">
        <f t="shared" si="103"/>
        <v>0</v>
      </c>
      <c r="AR155" s="8">
        <f t="shared" si="97"/>
        <v>0</v>
      </c>
      <c r="AS155" s="42"/>
      <c r="AT155" s="84">
        <v>133969</v>
      </c>
      <c r="AU155" s="84">
        <v>47117</v>
      </c>
      <c r="AV155" s="4">
        <f t="shared" si="98"/>
        <v>181086</v>
      </c>
      <c r="AW155" s="50" t="str">
        <f t="shared" si="99"/>
        <v/>
      </c>
      <c r="AX155" s="1" t="s">
        <v>1639</v>
      </c>
      <c r="AY155" s="2" t="s">
        <v>1640</v>
      </c>
      <c r="AZ155" s="2">
        <v>15109.04</v>
      </c>
      <c r="BA155" s="73">
        <v>13220.41</v>
      </c>
      <c r="BB155" s="73">
        <v>13220.41</v>
      </c>
      <c r="BC155" s="73">
        <v>15109.04</v>
      </c>
      <c r="BD155" s="73"/>
      <c r="BE155" s="66">
        <v>0</v>
      </c>
      <c r="BF155" s="66">
        <v>0.02</v>
      </c>
      <c r="BG155" s="63">
        <v>45440</v>
      </c>
      <c r="BH155" s="2"/>
      <c r="BI155" s="2"/>
      <c r="BJ155" s="2"/>
      <c r="BK155" s="2"/>
      <c r="BL155" s="1" t="s">
        <v>56</v>
      </c>
    </row>
    <row r="156" spans="1:64" x14ac:dyDescent="0.25">
      <c r="A156" s="81" t="s">
        <v>301</v>
      </c>
      <c r="B156" s="82" t="s">
        <v>301</v>
      </c>
      <c r="C156" s="81" t="s">
        <v>302</v>
      </c>
      <c r="D156" s="16">
        <v>38250</v>
      </c>
      <c r="E156" s="17"/>
      <c r="F156" s="2" t="s">
        <v>294</v>
      </c>
      <c r="G156" s="2" t="s">
        <v>295</v>
      </c>
      <c r="H156" s="10" t="s">
        <v>98</v>
      </c>
      <c r="I156" s="11" t="s">
        <v>53</v>
      </c>
      <c r="J156" s="11" t="s">
        <v>296</v>
      </c>
      <c r="K156" s="61"/>
      <c r="L156" s="11" t="s">
        <v>67</v>
      </c>
      <c r="M156" s="25"/>
      <c r="N156" s="82"/>
      <c r="O156" s="3" t="str">
        <f t="shared" si="104"/>
        <v>A</v>
      </c>
      <c r="P156" s="84">
        <v>162468</v>
      </c>
      <c r="Q156" s="84">
        <v>13856</v>
      </c>
      <c r="R156" s="32"/>
      <c r="S156" s="3" t="str">
        <f t="shared" si="92"/>
        <v>A</v>
      </c>
      <c r="T156" s="84">
        <v>149153</v>
      </c>
      <c r="U156" s="84">
        <v>12900</v>
      </c>
      <c r="V156" s="32"/>
      <c r="W156" s="3" t="str">
        <f t="shared" si="93"/>
        <v>A</v>
      </c>
      <c r="X156" s="84">
        <v>142467</v>
      </c>
      <c r="Y156" s="84">
        <v>11801</v>
      </c>
      <c r="Z156" s="32"/>
      <c r="AA156" s="3" t="str">
        <f t="shared" si="94"/>
        <v>A</v>
      </c>
      <c r="AB156" s="84">
        <v>172744</v>
      </c>
      <c r="AC156" s="84">
        <v>10609</v>
      </c>
      <c r="AD156" s="36"/>
      <c r="AE156" s="82"/>
      <c r="AF156" s="3" t="str">
        <f t="shared" si="95"/>
        <v>A</v>
      </c>
      <c r="AG156" s="84">
        <v>0</v>
      </c>
      <c r="AH156" s="84">
        <v>0</v>
      </c>
      <c r="AI156" s="39"/>
      <c r="AJ156" s="79" t="s">
        <v>1801</v>
      </c>
      <c r="AK156" s="39"/>
      <c r="AL156" s="4">
        <f t="shared" si="100"/>
        <v>626832</v>
      </c>
      <c r="AM156" s="4">
        <f t="shared" si="101"/>
        <v>49166</v>
      </c>
      <c r="AN156" s="4">
        <f t="shared" si="96"/>
        <v>675998</v>
      </c>
      <c r="AO156" s="39"/>
      <c r="AP156" s="8">
        <f t="shared" si="102"/>
        <v>0</v>
      </c>
      <c r="AQ156" s="8">
        <f t="shared" si="103"/>
        <v>0</v>
      </c>
      <c r="AR156" s="8">
        <f t="shared" si="97"/>
        <v>0</v>
      </c>
      <c r="AS156" s="42"/>
      <c r="AT156" s="84">
        <v>626832</v>
      </c>
      <c r="AU156" s="84">
        <v>49166</v>
      </c>
      <c r="AV156" s="4">
        <f t="shared" si="98"/>
        <v>675998</v>
      </c>
      <c r="AW156" s="50" t="str">
        <f t="shared" si="99"/>
        <v/>
      </c>
      <c r="AX156" s="1" t="s">
        <v>1674</v>
      </c>
      <c r="AY156" s="2" t="s">
        <v>1675</v>
      </c>
      <c r="AZ156" s="2">
        <v>173182.07999999999</v>
      </c>
      <c r="BA156" s="73">
        <v>151534.32</v>
      </c>
      <c r="BB156" s="73">
        <v>151534.32</v>
      </c>
      <c r="BC156" s="73">
        <v>173182.07999999999</v>
      </c>
      <c r="BD156" s="73"/>
      <c r="BE156" s="66">
        <v>3.5000000000000003E-2</v>
      </c>
      <c r="BF156" s="66">
        <v>0.05</v>
      </c>
      <c r="BG156" s="63">
        <v>45555</v>
      </c>
      <c r="BH156" s="74">
        <v>43910</v>
      </c>
      <c r="BI156" s="74">
        <v>43965</v>
      </c>
      <c r="BJ156" s="2"/>
      <c r="BK156" s="2"/>
      <c r="BL156" s="1" t="s">
        <v>97</v>
      </c>
    </row>
    <row r="157" spans="1:64" x14ac:dyDescent="0.25">
      <c r="A157" s="81" t="s">
        <v>303</v>
      </c>
      <c r="B157" s="82" t="s">
        <v>303</v>
      </c>
      <c r="C157" s="81" t="s">
        <v>304</v>
      </c>
      <c r="D157" s="16">
        <v>38366</v>
      </c>
      <c r="E157" s="17"/>
      <c r="F157" s="2" t="s">
        <v>305</v>
      </c>
      <c r="G157" s="2" t="s">
        <v>306</v>
      </c>
      <c r="H157" s="10" t="s">
        <v>98</v>
      </c>
      <c r="I157" s="11" t="s">
        <v>53</v>
      </c>
      <c r="J157" s="11" t="s">
        <v>296</v>
      </c>
      <c r="K157" s="61"/>
      <c r="L157" s="11" t="s">
        <v>67</v>
      </c>
      <c r="M157" s="25"/>
      <c r="N157" s="82"/>
      <c r="O157" s="3" t="str">
        <f t="shared" si="104"/>
        <v>A</v>
      </c>
      <c r="P157" s="84">
        <v>383903</v>
      </c>
      <c r="Q157" s="84">
        <v>18423</v>
      </c>
      <c r="R157" s="32"/>
      <c r="S157" s="3" t="str">
        <f t="shared" si="92"/>
        <v>E</v>
      </c>
      <c r="T157" s="84">
        <v>190791.3</v>
      </c>
      <c r="U157" s="84">
        <v>10845.66</v>
      </c>
      <c r="V157" s="32"/>
      <c r="W157" s="3" t="str">
        <f t="shared" si="93"/>
        <v>A</v>
      </c>
      <c r="X157" s="84">
        <v>347741</v>
      </c>
      <c r="Y157" s="84">
        <v>17528</v>
      </c>
      <c r="Z157" s="32"/>
      <c r="AA157" s="3" t="str">
        <f t="shared" si="94"/>
        <v>A</v>
      </c>
      <c r="AB157" s="84">
        <v>410661</v>
      </c>
      <c r="AC157" s="84">
        <v>17552</v>
      </c>
      <c r="AD157" s="36"/>
      <c r="AE157" s="82"/>
      <c r="AF157" s="3" t="str">
        <f t="shared" si="95"/>
        <v>A</v>
      </c>
      <c r="AG157" s="84">
        <v>0</v>
      </c>
      <c r="AH157" s="84">
        <v>0</v>
      </c>
      <c r="AI157" s="39"/>
      <c r="AJ157" s="79" t="s">
        <v>38</v>
      </c>
      <c r="AK157" s="39"/>
      <c r="AL157" s="4">
        <f t="shared" si="100"/>
        <v>1142305</v>
      </c>
      <c r="AM157" s="4">
        <f t="shared" si="101"/>
        <v>53503</v>
      </c>
      <c r="AN157" s="4">
        <f t="shared" si="96"/>
        <v>1195808</v>
      </c>
      <c r="AO157" s="39"/>
      <c r="AP157" s="8">
        <f t="shared" si="102"/>
        <v>190791.3</v>
      </c>
      <c r="AQ157" s="8">
        <f t="shared" si="103"/>
        <v>10845.66</v>
      </c>
      <c r="AR157" s="8">
        <f t="shared" si="97"/>
        <v>201636.96</v>
      </c>
      <c r="AS157" s="42"/>
      <c r="AT157" s="84">
        <v>1142305</v>
      </c>
      <c r="AU157" s="84">
        <v>53503</v>
      </c>
      <c r="AV157" s="4">
        <f t="shared" si="98"/>
        <v>1195808</v>
      </c>
      <c r="AW157" s="50" t="str">
        <f t="shared" si="99"/>
        <v/>
      </c>
      <c r="AX157" s="1" t="s">
        <v>1676</v>
      </c>
      <c r="AY157" s="2" t="s">
        <v>1677</v>
      </c>
      <c r="AZ157" s="2">
        <v>218047.2</v>
      </c>
      <c r="BA157" s="73">
        <v>190791.3</v>
      </c>
      <c r="BB157" s="73">
        <v>190791.3</v>
      </c>
      <c r="BC157" s="73">
        <v>218047.2</v>
      </c>
      <c r="BD157" s="73"/>
      <c r="BE157" s="66">
        <v>3.5000000000000003E-2</v>
      </c>
      <c r="BF157" s="66">
        <v>0.05</v>
      </c>
      <c r="BG157" s="63">
        <v>45664</v>
      </c>
      <c r="BH157" s="2"/>
      <c r="BI157" s="2"/>
      <c r="BJ157" s="2"/>
      <c r="BK157" s="2"/>
      <c r="BL157" s="1" t="s">
        <v>237</v>
      </c>
    </row>
    <row r="158" spans="1:64" x14ac:dyDescent="0.25">
      <c r="A158" s="81" t="s">
        <v>303</v>
      </c>
      <c r="B158" s="82" t="s">
        <v>718</v>
      </c>
      <c r="C158" s="81" t="s">
        <v>719</v>
      </c>
      <c r="D158" s="16">
        <v>40482</v>
      </c>
      <c r="E158" s="17"/>
      <c r="F158" s="2" t="s">
        <v>305</v>
      </c>
      <c r="G158" s="2" t="s">
        <v>306</v>
      </c>
      <c r="H158" s="10" t="s">
        <v>98</v>
      </c>
      <c r="I158" s="11" t="s">
        <v>53</v>
      </c>
      <c r="J158" s="11" t="s">
        <v>296</v>
      </c>
      <c r="K158" s="61"/>
      <c r="L158" s="11" t="s">
        <v>67</v>
      </c>
      <c r="M158" s="25"/>
      <c r="N158" s="82"/>
      <c r="O158" s="3" t="str">
        <f t="shared" si="104"/>
        <v>A</v>
      </c>
      <c r="P158" s="84">
        <v>110260</v>
      </c>
      <c r="Q158" s="84">
        <v>5885</v>
      </c>
      <c r="R158" s="32"/>
      <c r="S158" s="3" t="str">
        <f t="shared" si="92"/>
        <v>E</v>
      </c>
      <c r="T158" s="84">
        <v>102717.58</v>
      </c>
      <c r="U158" s="84">
        <v>5731.11</v>
      </c>
      <c r="V158" s="32"/>
      <c r="W158" s="3" t="str">
        <f t="shared" si="93"/>
        <v>A</v>
      </c>
      <c r="X158" s="84">
        <v>88715</v>
      </c>
      <c r="Y158" s="84">
        <v>5113</v>
      </c>
      <c r="Z158" s="32"/>
      <c r="AA158" s="3" t="str">
        <f t="shared" si="94"/>
        <v>A</v>
      </c>
      <c r="AB158" s="84">
        <v>112302</v>
      </c>
      <c r="AC158" s="84">
        <v>5078</v>
      </c>
      <c r="AD158" s="36"/>
      <c r="AE158" s="82"/>
      <c r="AF158" s="3" t="str">
        <f t="shared" si="95"/>
        <v>A</v>
      </c>
      <c r="AG158" s="84">
        <v>0</v>
      </c>
      <c r="AH158" s="84">
        <v>0</v>
      </c>
      <c r="AI158" s="39"/>
      <c r="AJ158" s="79" t="s">
        <v>38</v>
      </c>
      <c r="AK158" s="39"/>
      <c r="AL158" s="4">
        <f t="shared" si="100"/>
        <v>311277</v>
      </c>
      <c r="AM158" s="4">
        <f t="shared" si="101"/>
        <v>16076</v>
      </c>
      <c r="AN158" s="4">
        <f t="shared" si="96"/>
        <v>327353</v>
      </c>
      <c r="AO158" s="39"/>
      <c r="AP158" s="8">
        <f t="shared" si="102"/>
        <v>102717.58</v>
      </c>
      <c r="AQ158" s="8">
        <f t="shared" si="103"/>
        <v>5731.11</v>
      </c>
      <c r="AR158" s="8">
        <f t="shared" si="97"/>
        <v>108448.69</v>
      </c>
      <c r="AS158" s="42"/>
      <c r="AT158" s="84">
        <v>311277</v>
      </c>
      <c r="AU158" s="84">
        <v>16076</v>
      </c>
      <c r="AV158" s="4">
        <f t="shared" si="98"/>
        <v>327353</v>
      </c>
      <c r="AW158" s="50" t="str">
        <f t="shared" si="99"/>
        <v/>
      </c>
      <c r="AX158" s="1" t="s">
        <v>1676</v>
      </c>
      <c r="AY158" s="2" t="s">
        <v>1677</v>
      </c>
      <c r="AZ158" s="2">
        <v>117391.52</v>
      </c>
      <c r="BA158" s="73">
        <v>102717.58</v>
      </c>
      <c r="BB158" s="73">
        <v>102717.58</v>
      </c>
      <c r="BC158" s="73">
        <v>117391.52</v>
      </c>
      <c r="BD158" s="73"/>
      <c r="BE158" s="66">
        <v>3.5000000000000003E-2</v>
      </c>
      <c r="BF158" s="66">
        <v>0.05</v>
      </c>
      <c r="BG158" s="63">
        <v>45664</v>
      </c>
      <c r="BH158" s="74">
        <v>44805</v>
      </c>
      <c r="BI158" s="74">
        <v>44870</v>
      </c>
      <c r="BJ158" s="2"/>
      <c r="BK158" s="2"/>
      <c r="BL158" s="1" t="s">
        <v>237</v>
      </c>
    </row>
    <row r="159" spans="1:64" x14ac:dyDescent="0.25">
      <c r="A159" s="81" t="s">
        <v>303</v>
      </c>
      <c r="B159" s="82" t="s">
        <v>720</v>
      </c>
      <c r="C159" s="81" t="s">
        <v>721</v>
      </c>
      <c r="D159" s="16">
        <v>40340</v>
      </c>
      <c r="E159" s="17"/>
      <c r="F159" s="2" t="s">
        <v>305</v>
      </c>
      <c r="G159" s="2" t="s">
        <v>306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82"/>
      <c r="O159" s="3" t="str">
        <f t="shared" si="104"/>
        <v>A</v>
      </c>
      <c r="P159" s="84">
        <v>138673</v>
      </c>
      <c r="Q159" s="84">
        <v>5225</v>
      </c>
      <c r="R159" s="32"/>
      <c r="S159" s="3" t="str">
        <f t="shared" si="92"/>
        <v>E</v>
      </c>
      <c r="T159" s="84">
        <v>72295.86</v>
      </c>
      <c r="U159" s="84">
        <v>6162.03</v>
      </c>
      <c r="V159" s="32"/>
      <c r="W159" s="3" t="str">
        <f t="shared" si="93"/>
        <v>A</v>
      </c>
      <c r="X159" s="84">
        <v>131242</v>
      </c>
      <c r="Y159" s="84">
        <v>8080</v>
      </c>
      <c r="Z159" s="32"/>
      <c r="AA159" s="3" t="str">
        <f t="shared" si="94"/>
        <v>A</v>
      </c>
      <c r="AB159" s="84">
        <v>151285</v>
      </c>
      <c r="AC159" s="84">
        <v>5125</v>
      </c>
      <c r="AD159" s="36"/>
      <c r="AE159" s="82"/>
      <c r="AF159" s="3" t="str">
        <f t="shared" si="95"/>
        <v>A</v>
      </c>
      <c r="AG159" s="84">
        <v>0</v>
      </c>
      <c r="AH159" s="84">
        <v>0</v>
      </c>
      <c r="AI159" s="39"/>
      <c r="AJ159" s="79" t="s">
        <v>38</v>
      </c>
      <c r="AK159" s="39"/>
      <c r="AL159" s="4">
        <f t="shared" si="100"/>
        <v>421200</v>
      </c>
      <c r="AM159" s="4">
        <f t="shared" si="101"/>
        <v>18430</v>
      </c>
      <c r="AN159" s="4">
        <f t="shared" si="96"/>
        <v>439630</v>
      </c>
      <c r="AO159" s="39"/>
      <c r="AP159" s="8">
        <f t="shared" si="102"/>
        <v>72295.86</v>
      </c>
      <c r="AQ159" s="8">
        <f t="shared" si="103"/>
        <v>6162.03</v>
      </c>
      <c r="AR159" s="8">
        <f t="shared" si="97"/>
        <v>78457.89</v>
      </c>
      <c r="AS159" s="42"/>
      <c r="AT159" s="84">
        <v>421200</v>
      </c>
      <c r="AU159" s="84">
        <v>18430</v>
      </c>
      <c r="AV159" s="4">
        <f t="shared" si="98"/>
        <v>439630</v>
      </c>
      <c r="AW159" s="50" t="str">
        <f t="shared" si="99"/>
        <v/>
      </c>
      <c r="AX159" s="1" t="s">
        <v>1676</v>
      </c>
      <c r="AY159" s="2" t="s">
        <v>1677</v>
      </c>
      <c r="AZ159" s="2">
        <v>82623.839999999997</v>
      </c>
      <c r="BA159" s="73">
        <v>72295.86</v>
      </c>
      <c r="BB159" s="73">
        <v>72295.86</v>
      </c>
      <c r="BC159" s="73">
        <v>82623.839999999997</v>
      </c>
      <c r="BD159" s="73"/>
      <c r="BE159" s="66">
        <v>3.5000000000000003E-2</v>
      </c>
      <c r="BF159" s="66">
        <v>0.05</v>
      </c>
      <c r="BG159" s="63">
        <v>45664</v>
      </c>
      <c r="BH159" s="74">
        <v>44325</v>
      </c>
      <c r="BI159" s="74">
        <v>44336</v>
      </c>
      <c r="BJ159" s="2"/>
      <c r="BK159" s="2"/>
      <c r="BL159" s="1" t="s">
        <v>237</v>
      </c>
    </row>
    <row r="160" spans="1:64" x14ac:dyDescent="0.25">
      <c r="A160" s="81" t="s">
        <v>307</v>
      </c>
      <c r="B160" s="82" t="s">
        <v>307</v>
      </c>
      <c r="C160" s="81" t="s">
        <v>308</v>
      </c>
      <c r="D160" s="16">
        <v>38523</v>
      </c>
      <c r="E160" s="17"/>
      <c r="F160" s="2" t="s">
        <v>309</v>
      </c>
      <c r="G160" s="2" t="s">
        <v>310</v>
      </c>
      <c r="H160" s="10" t="s">
        <v>105</v>
      </c>
      <c r="I160" s="11" t="s">
        <v>53</v>
      </c>
      <c r="J160" s="11" t="s">
        <v>312</v>
      </c>
      <c r="K160" s="61"/>
      <c r="L160" s="11" t="s">
        <v>67</v>
      </c>
      <c r="M160" s="25"/>
      <c r="N160" s="82"/>
      <c r="O160" s="3" t="str">
        <f t="shared" si="104"/>
        <v>A</v>
      </c>
      <c r="P160" s="84">
        <v>142224</v>
      </c>
      <c r="Q160" s="84">
        <v>15435</v>
      </c>
      <c r="R160" s="32"/>
      <c r="S160" s="3" t="str">
        <f t="shared" si="92"/>
        <v>A</v>
      </c>
      <c r="T160" s="84">
        <v>126669</v>
      </c>
      <c r="U160" s="84">
        <v>12675</v>
      </c>
      <c r="V160" s="32"/>
      <c r="W160" s="3" t="str">
        <f t="shared" si="93"/>
        <v>A</v>
      </c>
      <c r="X160" s="84">
        <v>119094</v>
      </c>
      <c r="Y160" s="84">
        <v>9665</v>
      </c>
      <c r="Z160" s="32"/>
      <c r="AA160" s="3" t="str">
        <f t="shared" si="94"/>
        <v>A</v>
      </c>
      <c r="AB160" s="84">
        <v>135026</v>
      </c>
      <c r="AC160" s="84">
        <v>10615</v>
      </c>
      <c r="AD160" s="36"/>
      <c r="AE160" s="82"/>
      <c r="AF160" s="3" t="str">
        <f t="shared" si="95"/>
        <v>A</v>
      </c>
      <c r="AG160" s="84">
        <v>0</v>
      </c>
      <c r="AH160" s="84">
        <v>0</v>
      </c>
      <c r="AI160" s="39"/>
      <c r="AJ160" s="79" t="s">
        <v>1801</v>
      </c>
      <c r="AK160" s="39"/>
      <c r="AL160" s="4">
        <f t="shared" si="100"/>
        <v>523013</v>
      </c>
      <c r="AM160" s="4">
        <f t="shared" si="101"/>
        <v>48390</v>
      </c>
      <c r="AN160" s="4">
        <f t="shared" si="96"/>
        <v>571403</v>
      </c>
      <c r="AO160" s="39"/>
      <c r="AP160" s="8">
        <f t="shared" si="102"/>
        <v>0</v>
      </c>
      <c r="AQ160" s="8">
        <f t="shared" si="103"/>
        <v>0</v>
      </c>
      <c r="AR160" s="8">
        <f t="shared" si="97"/>
        <v>0</v>
      </c>
      <c r="AS160" s="42"/>
      <c r="AT160" s="84">
        <v>523013</v>
      </c>
      <c r="AU160" s="84">
        <v>48390</v>
      </c>
      <c r="AV160" s="4">
        <f t="shared" si="98"/>
        <v>571403</v>
      </c>
      <c r="AW160" s="50" t="str">
        <f t="shared" si="99"/>
        <v/>
      </c>
      <c r="AX160" s="1" t="s">
        <v>1678</v>
      </c>
      <c r="AY160" s="2" t="s">
        <v>1679</v>
      </c>
      <c r="AZ160" s="2">
        <v>122630</v>
      </c>
      <c r="BA160" s="73">
        <v>107301.25</v>
      </c>
      <c r="BB160" s="73">
        <v>107301.25</v>
      </c>
      <c r="BC160" s="73">
        <v>122630</v>
      </c>
      <c r="BD160" s="73"/>
      <c r="BE160" s="66">
        <v>3.5000000000000003E-2</v>
      </c>
      <c r="BF160" s="66">
        <v>0.05</v>
      </c>
      <c r="BG160" s="63">
        <v>45826</v>
      </c>
      <c r="BH160" s="2"/>
      <c r="BI160" s="2"/>
      <c r="BJ160" s="2"/>
      <c r="BK160" s="2"/>
      <c r="BL160" s="1" t="s">
        <v>311</v>
      </c>
    </row>
    <row r="161" spans="1:64" x14ac:dyDescent="0.25">
      <c r="A161" s="81" t="s">
        <v>313</v>
      </c>
      <c r="B161" s="82" t="s">
        <v>313</v>
      </c>
      <c r="C161" s="81" t="s">
        <v>314</v>
      </c>
      <c r="D161" s="16">
        <v>38583</v>
      </c>
      <c r="E161" s="17"/>
      <c r="F161" s="2" t="s">
        <v>154</v>
      </c>
      <c r="G161" s="2" t="s">
        <v>155</v>
      </c>
      <c r="H161" s="10" t="s">
        <v>57</v>
      </c>
      <c r="I161" s="11" t="s">
        <v>53</v>
      </c>
      <c r="J161" s="11" t="s">
        <v>156</v>
      </c>
      <c r="K161" s="61"/>
      <c r="L161" s="11" t="s">
        <v>67</v>
      </c>
      <c r="M161" s="25"/>
      <c r="N161" s="82"/>
      <c r="O161" s="3" t="str">
        <f t="shared" si="104"/>
        <v>A</v>
      </c>
      <c r="P161" s="84">
        <v>368113</v>
      </c>
      <c r="Q161" s="84">
        <v>41648</v>
      </c>
      <c r="R161" s="32"/>
      <c r="S161" s="3" t="str">
        <f t="shared" si="92"/>
        <v>A</v>
      </c>
      <c r="T161" s="84">
        <v>314426</v>
      </c>
      <c r="U161" s="84">
        <v>30628</v>
      </c>
      <c r="V161" s="32"/>
      <c r="W161" s="3" t="str">
        <f t="shared" si="93"/>
        <v>A</v>
      </c>
      <c r="X161" s="84">
        <v>293605</v>
      </c>
      <c r="Y161" s="84">
        <v>25912</v>
      </c>
      <c r="Z161" s="32"/>
      <c r="AA161" s="3" t="str">
        <f t="shared" si="94"/>
        <v>A</v>
      </c>
      <c r="AB161" s="84">
        <v>331721</v>
      </c>
      <c r="AC161" s="84">
        <v>36517</v>
      </c>
      <c r="AD161" s="36"/>
      <c r="AE161" s="82"/>
      <c r="AF161" s="3" t="str">
        <f t="shared" si="95"/>
        <v>A</v>
      </c>
      <c r="AG161" s="84">
        <v>0</v>
      </c>
      <c r="AH161" s="84">
        <v>0</v>
      </c>
      <c r="AI161" s="39"/>
      <c r="AJ161" s="79" t="s">
        <v>1801</v>
      </c>
      <c r="AK161" s="39"/>
      <c r="AL161" s="4">
        <f t="shared" si="100"/>
        <v>1307865</v>
      </c>
      <c r="AM161" s="4">
        <f t="shared" si="101"/>
        <v>134705</v>
      </c>
      <c r="AN161" s="4">
        <f t="shared" si="96"/>
        <v>1442570</v>
      </c>
      <c r="AO161" s="39"/>
      <c r="AP161" s="8">
        <f t="shared" si="102"/>
        <v>0</v>
      </c>
      <c r="AQ161" s="8">
        <f t="shared" si="103"/>
        <v>0</v>
      </c>
      <c r="AR161" s="8">
        <f t="shared" si="97"/>
        <v>0</v>
      </c>
      <c r="AS161" s="42"/>
      <c r="AT161" s="84">
        <v>1307865</v>
      </c>
      <c r="AU161" s="84">
        <v>134705</v>
      </c>
      <c r="AV161" s="4">
        <f t="shared" si="98"/>
        <v>1442570</v>
      </c>
      <c r="AW161" s="50" t="str">
        <f t="shared" si="99"/>
        <v/>
      </c>
      <c r="AX161" s="1" t="s">
        <v>1652</v>
      </c>
      <c r="AY161" s="2" t="s">
        <v>1653</v>
      </c>
      <c r="AZ161" s="2">
        <v>300327.44</v>
      </c>
      <c r="BA161" s="73">
        <v>262786.51</v>
      </c>
      <c r="BB161" s="73">
        <v>262786.51</v>
      </c>
      <c r="BC161" s="73">
        <v>300327.44</v>
      </c>
      <c r="BD161" s="73"/>
      <c r="BE161" s="66">
        <v>3.5000000000000003E-2</v>
      </c>
      <c r="BF161" s="66">
        <v>0.05</v>
      </c>
      <c r="BG161" s="63">
        <v>44062</v>
      </c>
      <c r="BH161" s="74">
        <v>43919</v>
      </c>
      <c r="BI161" s="74">
        <v>43934</v>
      </c>
      <c r="BJ161" s="2"/>
      <c r="BK161" s="2"/>
      <c r="BL161" s="1" t="s">
        <v>56</v>
      </c>
    </row>
    <row r="162" spans="1:64" x14ac:dyDescent="0.25">
      <c r="A162" s="81" t="s">
        <v>315</v>
      </c>
      <c r="B162" s="82" t="s">
        <v>315</v>
      </c>
      <c r="C162" s="81" t="s">
        <v>316</v>
      </c>
      <c r="D162" s="16">
        <v>39295</v>
      </c>
      <c r="E162" s="17">
        <v>45821</v>
      </c>
      <c r="F162" s="2" t="s">
        <v>317</v>
      </c>
      <c r="G162" s="2" t="s">
        <v>318</v>
      </c>
      <c r="H162" s="10" t="s">
        <v>57</v>
      </c>
      <c r="I162" s="11" t="s">
        <v>53</v>
      </c>
      <c r="J162" s="11" t="s">
        <v>319</v>
      </c>
      <c r="K162" s="61"/>
      <c r="L162" s="11" t="s">
        <v>67</v>
      </c>
      <c r="M162" s="25"/>
      <c r="N162" s="82"/>
      <c r="O162" s="3" t="str">
        <f t="shared" si="104"/>
        <v>A</v>
      </c>
      <c r="P162" s="84">
        <v>56218</v>
      </c>
      <c r="Q162" s="84">
        <v>4862</v>
      </c>
      <c r="R162" s="32"/>
      <c r="S162" s="3" t="str">
        <f t="shared" si="92"/>
        <v>A</v>
      </c>
      <c r="T162" s="84">
        <v>34105</v>
      </c>
      <c r="U162" s="84">
        <v>3005</v>
      </c>
      <c r="V162" s="32"/>
      <c r="W162" s="3" t="str">
        <f t="shared" si="93"/>
        <v>A</v>
      </c>
      <c r="X162" s="84">
        <v>0</v>
      </c>
      <c r="Y162" s="84">
        <v>0</v>
      </c>
      <c r="Z162" s="32"/>
      <c r="AA162" s="3" t="str">
        <f t="shared" si="94"/>
        <v>A</v>
      </c>
      <c r="AB162" s="84">
        <v>0</v>
      </c>
      <c r="AC162" s="84">
        <v>0</v>
      </c>
      <c r="AD162" s="36"/>
      <c r="AE162" s="82"/>
      <c r="AF162" s="3" t="str">
        <f t="shared" si="95"/>
        <v>A</v>
      </c>
      <c r="AG162" s="84">
        <v>0</v>
      </c>
      <c r="AH162" s="84">
        <v>0</v>
      </c>
      <c r="AI162" s="39"/>
      <c r="AJ162" s="79" t="s">
        <v>1801</v>
      </c>
      <c r="AK162" s="39"/>
      <c r="AL162" s="4">
        <f t="shared" si="100"/>
        <v>90323</v>
      </c>
      <c r="AM162" s="4">
        <f t="shared" si="101"/>
        <v>7867</v>
      </c>
      <c r="AN162" s="4">
        <f t="shared" si="96"/>
        <v>98190</v>
      </c>
      <c r="AO162" s="39"/>
      <c r="AP162" s="8">
        <f t="shared" si="102"/>
        <v>0</v>
      </c>
      <c r="AQ162" s="8">
        <f t="shared" si="103"/>
        <v>0</v>
      </c>
      <c r="AR162" s="8">
        <f t="shared" si="97"/>
        <v>0</v>
      </c>
      <c r="AS162" s="42"/>
      <c r="AT162" s="84">
        <v>90323</v>
      </c>
      <c r="AU162" s="84">
        <v>7867</v>
      </c>
      <c r="AV162" s="4">
        <f t="shared" si="98"/>
        <v>98190</v>
      </c>
      <c r="AW162" s="50" t="str">
        <f t="shared" si="99"/>
        <v/>
      </c>
      <c r="AX162" s="1" t="s">
        <v>1680</v>
      </c>
      <c r="AY162" s="2" t="s">
        <v>1681</v>
      </c>
      <c r="AZ162" s="2">
        <v>205243.04</v>
      </c>
      <c r="BA162" s="73">
        <v>179587.66</v>
      </c>
      <c r="BB162" s="73"/>
      <c r="BC162" s="73"/>
      <c r="BD162" s="73"/>
      <c r="BE162" s="66">
        <v>3.5000000000000003E-2</v>
      </c>
      <c r="BF162" s="66">
        <v>0.05</v>
      </c>
      <c r="BG162" s="63">
        <v>44774</v>
      </c>
      <c r="BH162" s="2"/>
      <c r="BI162" s="2"/>
      <c r="BJ162" s="2"/>
      <c r="BK162" s="2"/>
      <c r="BL162" s="1" t="s">
        <v>56</v>
      </c>
    </row>
    <row r="163" spans="1:64" x14ac:dyDescent="0.25">
      <c r="A163" s="81" t="s">
        <v>315</v>
      </c>
      <c r="B163" s="82" t="s">
        <v>727</v>
      </c>
      <c r="C163" s="81" t="s">
        <v>728</v>
      </c>
      <c r="D163" s="16">
        <v>43146</v>
      </c>
      <c r="E163" s="17">
        <v>45821</v>
      </c>
      <c r="F163" s="2" t="s">
        <v>317</v>
      </c>
      <c r="G163" s="2" t="s">
        <v>318</v>
      </c>
      <c r="H163" s="10" t="s">
        <v>57</v>
      </c>
      <c r="I163" s="11" t="s">
        <v>53</v>
      </c>
      <c r="J163" s="11" t="s">
        <v>319</v>
      </c>
      <c r="K163" s="61"/>
      <c r="L163" s="11" t="s">
        <v>67</v>
      </c>
      <c r="M163" s="25"/>
      <c r="N163" s="82"/>
      <c r="O163" s="3" t="str">
        <f t="shared" si="104"/>
        <v>A</v>
      </c>
      <c r="P163" s="84"/>
      <c r="Q163" s="84"/>
      <c r="R163" s="32"/>
      <c r="S163" s="3" t="str">
        <f t="shared" si="92"/>
        <v>A</v>
      </c>
      <c r="T163" s="84"/>
      <c r="U163" s="84"/>
      <c r="V163" s="32"/>
      <c r="W163" s="3" t="str">
        <f t="shared" si="93"/>
        <v>A</v>
      </c>
      <c r="X163" s="84"/>
      <c r="Y163" s="84"/>
      <c r="Z163" s="32"/>
      <c r="AA163" s="3" t="str">
        <f t="shared" si="94"/>
        <v>A</v>
      </c>
      <c r="AB163" s="84"/>
      <c r="AC163" s="84"/>
      <c r="AD163" s="36"/>
      <c r="AE163" s="82"/>
      <c r="AF163" s="3" t="str">
        <f t="shared" si="95"/>
        <v>A</v>
      </c>
      <c r="AG163" s="84"/>
      <c r="AH163" s="84"/>
      <c r="AI163" s="39"/>
      <c r="AJ163" s="79" t="s">
        <v>1801</v>
      </c>
      <c r="AK163" s="39"/>
      <c r="AL163" s="4">
        <f t="shared" si="100"/>
        <v>0</v>
      </c>
      <c r="AM163" s="4">
        <f t="shared" si="101"/>
        <v>0</v>
      </c>
      <c r="AN163" s="4">
        <f t="shared" si="96"/>
        <v>0</v>
      </c>
      <c r="AO163" s="39"/>
      <c r="AP163" s="8">
        <f t="shared" si="102"/>
        <v>0</v>
      </c>
      <c r="AQ163" s="8">
        <f t="shared" si="103"/>
        <v>0</v>
      </c>
      <c r="AR163" s="8">
        <f t="shared" si="97"/>
        <v>0</v>
      </c>
      <c r="AS163" s="42"/>
      <c r="AT163" s="84"/>
      <c r="AU163" s="84"/>
      <c r="AV163" s="4">
        <f t="shared" si="98"/>
        <v>0</v>
      </c>
      <c r="AW163" s="50" t="str">
        <f t="shared" si="99"/>
        <v/>
      </c>
      <c r="AX163" s="1" t="s">
        <v>1680</v>
      </c>
      <c r="AY163" s="2" t="s">
        <v>1681</v>
      </c>
      <c r="AZ163" s="2"/>
      <c r="BA163" s="73"/>
      <c r="BB163" s="73"/>
      <c r="BC163" s="73"/>
      <c r="BD163" s="73"/>
      <c r="BE163" s="66">
        <v>0.04</v>
      </c>
      <c r="BF163" s="66">
        <v>0.05</v>
      </c>
      <c r="BG163" s="63">
        <v>44774</v>
      </c>
      <c r="BH163" s="74">
        <v>45658</v>
      </c>
      <c r="BI163" s="2"/>
      <c r="BJ163" s="2"/>
      <c r="BK163" s="2"/>
      <c r="BL163" s="1" t="s">
        <v>56</v>
      </c>
    </row>
    <row r="164" spans="1:64" x14ac:dyDescent="0.25">
      <c r="A164" s="81" t="s">
        <v>315</v>
      </c>
      <c r="B164" s="82" t="s">
        <v>729</v>
      </c>
      <c r="C164" s="81" t="s">
        <v>730</v>
      </c>
      <c r="D164" s="16">
        <v>41902</v>
      </c>
      <c r="E164" s="17">
        <v>45821</v>
      </c>
      <c r="F164" s="2" t="s">
        <v>317</v>
      </c>
      <c r="G164" s="2" t="s">
        <v>318</v>
      </c>
      <c r="H164" s="10" t="s">
        <v>57</v>
      </c>
      <c r="I164" s="11" t="s">
        <v>53</v>
      </c>
      <c r="J164" s="11" t="s">
        <v>319</v>
      </c>
      <c r="K164" s="61"/>
      <c r="L164" s="11" t="s">
        <v>67</v>
      </c>
      <c r="M164" s="25"/>
      <c r="N164" s="82"/>
      <c r="O164" s="3" t="str">
        <f t="shared" si="104"/>
        <v>A</v>
      </c>
      <c r="P164" s="84">
        <v>21433</v>
      </c>
      <c r="Q164" s="84">
        <v>2974</v>
      </c>
      <c r="R164" s="32"/>
      <c r="S164" s="3" t="str">
        <f t="shared" si="92"/>
        <v>A</v>
      </c>
      <c r="T164" s="84">
        <v>13289</v>
      </c>
      <c r="U164" s="84">
        <v>1813</v>
      </c>
      <c r="V164" s="32"/>
      <c r="W164" s="3" t="str">
        <f t="shared" si="93"/>
        <v>A</v>
      </c>
      <c r="X164" s="84">
        <v>0</v>
      </c>
      <c r="Y164" s="84">
        <v>0</v>
      </c>
      <c r="Z164" s="32"/>
      <c r="AA164" s="3" t="str">
        <f t="shared" si="94"/>
        <v>A</v>
      </c>
      <c r="AB164" s="84">
        <v>0</v>
      </c>
      <c r="AC164" s="84">
        <v>0</v>
      </c>
      <c r="AD164" s="36"/>
      <c r="AE164" s="82"/>
      <c r="AF164" s="3" t="str">
        <f t="shared" si="95"/>
        <v>A</v>
      </c>
      <c r="AG164" s="84">
        <v>0</v>
      </c>
      <c r="AH164" s="84">
        <v>0</v>
      </c>
      <c r="AI164" s="39"/>
      <c r="AJ164" s="79" t="s">
        <v>1801</v>
      </c>
      <c r="AK164" s="39"/>
      <c r="AL164" s="4">
        <f t="shared" si="100"/>
        <v>34722</v>
      </c>
      <c r="AM164" s="4">
        <f t="shared" si="101"/>
        <v>4787</v>
      </c>
      <c r="AN164" s="4">
        <f t="shared" si="96"/>
        <v>39509</v>
      </c>
      <c r="AO164" s="39"/>
      <c r="AP164" s="8">
        <f t="shared" si="102"/>
        <v>0</v>
      </c>
      <c r="AQ164" s="8">
        <f t="shared" si="103"/>
        <v>0</v>
      </c>
      <c r="AR164" s="8">
        <f t="shared" si="97"/>
        <v>0</v>
      </c>
      <c r="AS164" s="42"/>
      <c r="AT164" s="84">
        <v>34722</v>
      </c>
      <c r="AU164" s="84">
        <v>4787</v>
      </c>
      <c r="AV164" s="4">
        <f t="shared" si="98"/>
        <v>39509</v>
      </c>
      <c r="AW164" s="50" t="str">
        <f t="shared" si="99"/>
        <v/>
      </c>
      <c r="AX164" s="1" t="s">
        <v>1680</v>
      </c>
      <c r="AY164" s="2" t="s">
        <v>1681</v>
      </c>
      <c r="AZ164" s="2">
        <v>54254.879999999997</v>
      </c>
      <c r="BA164" s="73">
        <v>47473.02</v>
      </c>
      <c r="BB164" s="73"/>
      <c r="BC164" s="73"/>
      <c r="BD164" s="73"/>
      <c r="BE164" s="66">
        <v>3.5000000000000003E-2</v>
      </c>
      <c r="BF164" s="66">
        <v>0.05</v>
      </c>
      <c r="BG164" s="63">
        <v>44774</v>
      </c>
      <c r="BH164" s="2"/>
      <c r="BI164" s="2"/>
      <c r="BJ164" s="2"/>
      <c r="BK164" s="2"/>
      <c r="BL164" s="1" t="s">
        <v>56</v>
      </c>
    </row>
    <row r="165" spans="1:64" x14ac:dyDescent="0.25">
      <c r="A165" s="81" t="s">
        <v>320</v>
      </c>
      <c r="B165" s="82" t="s">
        <v>320</v>
      </c>
      <c r="C165" s="81" t="s">
        <v>321</v>
      </c>
      <c r="D165" s="16">
        <v>38620</v>
      </c>
      <c r="E165" s="17"/>
      <c r="F165" s="2" t="s">
        <v>52</v>
      </c>
      <c r="G165" s="2" t="s">
        <v>55</v>
      </c>
      <c r="H165" s="10" t="s">
        <v>57</v>
      </c>
      <c r="I165" s="11" t="s">
        <v>54</v>
      </c>
      <c r="J165" s="11" t="s">
        <v>131</v>
      </c>
      <c r="K165" s="61" t="s">
        <v>132</v>
      </c>
      <c r="L165" s="11" t="s">
        <v>67</v>
      </c>
      <c r="M165" s="25"/>
      <c r="N165" s="82"/>
      <c r="O165" s="3" t="str">
        <f t="shared" si="104"/>
        <v>A</v>
      </c>
      <c r="P165" s="84">
        <v>86188.9</v>
      </c>
      <c r="Q165" s="84">
        <v>15257</v>
      </c>
      <c r="R165" s="32"/>
      <c r="S165" s="3" t="str">
        <f t="shared" si="92"/>
        <v>A</v>
      </c>
      <c r="T165" s="84">
        <v>78384.3</v>
      </c>
      <c r="U165" s="84">
        <v>14813</v>
      </c>
      <c r="V165" s="32"/>
      <c r="W165" s="3" t="str">
        <f t="shared" si="93"/>
        <v>A</v>
      </c>
      <c r="X165" s="84">
        <v>76389.55</v>
      </c>
      <c r="Y165" s="84">
        <v>13881</v>
      </c>
      <c r="Z165" s="32"/>
      <c r="AA165" s="3" t="str">
        <f t="shared" si="94"/>
        <v>A</v>
      </c>
      <c r="AB165" s="84">
        <v>94161.7</v>
      </c>
      <c r="AC165" s="84">
        <v>13422</v>
      </c>
      <c r="AD165" s="36"/>
      <c r="AE165" s="82"/>
      <c r="AF165" s="3" t="str">
        <f t="shared" si="95"/>
        <v>A</v>
      </c>
      <c r="AG165" s="84">
        <v>0</v>
      </c>
      <c r="AH165" s="84">
        <v>0</v>
      </c>
      <c r="AI165" s="39"/>
      <c r="AJ165" s="79" t="s">
        <v>1801</v>
      </c>
      <c r="AK165" s="39"/>
      <c r="AL165" s="4">
        <f t="shared" si="100"/>
        <v>335124.45</v>
      </c>
      <c r="AM165" s="4">
        <f t="shared" si="101"/>
        <v>57373</v>
      </c>
      <c r="AN165" s="4">
        <f t="shared" si="96"/>
        <v>392497.45</v>
      </c>
      <c r="AO165" s="39"/>
      <c r="AP165" s="8">
        <f t="shared" si="102"/>
        <v>0</v>
      </c>
      <c r="AQ165" s="8">
        <f t="shared" si="103"/>
        <v>0</v>
      </c>
      <c r="AR165" s="8">
        <f t="shared" si="97"/>
        <v>0</v>
      </c>
      <c r="AS165" s="42"/>
      <c r="AT165" s="84">
        <v>335124.45</v>
      </c>
      <c r="AU165" s="84">
        <v>57373</v>
      </c>
      <c r="AV165" s="4">
        <f t="shared" si="98"/>
        <v>392497.45</v>
      </c>
      <c r="AW165" s="50" t="str">
        <f t="shared" si="99"/>
        <v/>
      </c>
      <c r="AX165" s="1" t="s">
        <v>1639</v>
      </c>
      <c r="AY165" s="2" t="s">
        <v>1640</v>
      </c>
      <c r="AZ165" s="2">
        <v>143841.60000000001</v>
      </c>
      <c r="BA165" s="73">
        <v>125861.4</v>
      </c>
      <c r="BB165" s="73">
        <v>125861.4</v>
      </c>
      <c r="BC165" s="73">
        <v>143841.60000000001</v>
      </c>
      <c r="BD165" s="73"/>
      <c r="BE165" s="66">
        <v>2.5000000000000001E-2</v>
      </c>
      <c r="BF165" s="66">
        <v>0.02</v>
      </c>
      <c r="BG165" s="63">
        <v>44092</v>
      </c>
      <c r="BH165" s="2"/>
      <c r="BI165" s="2"/>
      <c r="BJ165" s="2"/>
      <c r="BK165" s="2"/>
      <c r="BL165" s="1" t="s">
        <v>56</v>
      </c>
    </row>
    <row r="166" spans="1:64" x14ac:dyDescent="0.25">
      <c r="A166" s="81" t="s">
        <v>322</v>
      </c>
      <c r="B166" s="82" t="s">
        <v>322</v>
      </c>
      <c r="C166" s="81" t="s">
        <v>323</v>
      </c>
      <c r="D166" s="16">
        <v>39721</v>
      </c>
      <c r="E166" s="17"/>
      <c r="F166" s="2" t="s">
        <v>324</v>
      </c>
      <c r="G166" s="2" t="s">
        <v>325</v>
      </c>
      <c r="H166" s="10" t="s">
        <v>98</v>
      </c>
      <c r="I166" s="11" t="s">
        <v>53</v>
      </c>
      <c r="J166" s="11" t="s">
        <v>265</v>
      </c>
      <c r="K166" s="61"/>
      <c r="L166" s="11" t="s">
        <v>67</v>
      </c>
      <c r="M166" s="25"/>
      <c r="N166" s="82"/>
      <c r="O166" s="3" t="str">
        <f t="shared" si="104"/>
        <v>A</v>
      </c>
      <c r="P166" s="84">
        <v>221122</v>
      </c>
      <c r="Q166" s="84">
        <v>13270</v>
      </c>
      <c r="R166" s="32"/>
      <c r="S166" s="3" t="str">
        <f t="shared" si="92"/>
        <v>A</v>
      </c>
      <c r="T166" s="84">
        <v>176559</v>
      </c>
      <c r="U166" s="84">
        <v>13177</v>
      </c>
      <c r="V166" s="32"/>
      <c r="W166" s="3" t="str">
        <f t="shared" si="93"/>
        <v>A</v>
      </c>
      <c r="X166" s="84">
        <v>170976</v>
      </c>
      <c r="Y166" s="84">
        <v>14141</v>
      </c>
      <c r="Z166" s="32"/>
      <c r="AA166" s="3" t="str">
        <f t="shared" si="94"/>
        <v>A</v>
      </c>
      <c r="AB166" s="84">
        <v>211556</v>
      </c>
      <c r="AC166" s="84">
        <v>15440</v>
      </c>
      <c r="AD166" s="36"/>
      <c r="AE166" s="82"/>
      <c r="AF166" s="3" t="str">
        <f t="shared" si="95"/>
        <v>A</v>
      </c>
      <c r="AG166" s="84">
        <v>0</v>
      </c>
      <c r="AH166" s="84">
        <v>0</v>
      </c>
      <c r="AI166" s="39"/>
      <c r="AJ166" s="79" t="s">
        <v>1801</v>
      </c>
      <c r="AK166" s="39"/>
      <c r="AL166" s="4">
        <f t="shared" si="100"/>
        <v>780213</v>
      </c>
      <c r="AM166" s="4">
        <f t="shared" si="101"/>
        <v>56028</v>
      </c>
      <c r="AN166" s="4">
        <f t="shared" si="96"/>
        <v>836241</v>
      </c>
      <c r="AO166" s="39"/>
      <c r="AP166" s="8">
        <f t="shared" si="102"/>
        <v>0</v>
      </c>
      <c r="AQ166" s="8">
        <f t="shared" si="103"/>
        <v>0</v>
      </c>
      <c r="AR166" s="8">
        <f t="shared" si="97"/>
        <v>0</v>
      </c>
      <c r="AS166" s="42"/>
      <c r="AT166" s="84">
        <v>780213</v>
      </c>
      <c r="AU166" s="84">
        <v>56028</v>
      </c>
      <c r="AV166" s="4">
        <f t="shared" si="98"/>
        <v>836241</v>
      </c>
      <c r="AW166" s="50" t="str">
        <f t="shared" si="99"/>
        <v/>
      </c>
      <c r="AX166" s="1" t="s">
        <v>1682</v>
      </c>
      <c r="AY166" s="2" t="s">
        <v>1683</v>
      </c>
      <c r="AZ166" s="2">
        <v>162177.76</v>
      </c>
      <c r="BA166" s="73">
        <v>141905.54</v>
      </c>
      <c r="BB166" s="73">
        <v>141905.54</v>
      </c>
      <c r="BC166" s="73">
        <v>162177.76</v>
      </c>
      <c r="BD166" s="73"/>
      <c r="BE166" s="66">
        <v>4.4999999999999998E-2</v>
      </c>
      <c r="BF166" s="66">
        <v>0.05</v>
      </c>
      <c r="BG166" s="63">
        <v>45199</v>
      </c>
      <c r="BH166" s="74">
        <v>43906</v>
      </c>
      <c r="BI166" s="74">
        <v>43967</v>
      </c>
      <c r="BJ166" s="2"/>
      <c r="BK166" s="2"/>
      <c r="BL166" s="1" t="s">
        <v>97</v>
      </c>
    </row>
    <row r="167" spans="1:64" x14ac:dyDescent="0.25">
      <c r="A167" s="81" t="s">
        <v>326</v>
      </c>
      <c r="B167" s="82" t="s">
        <v>326</v>
      </c>
      <c r="C167" s="81" t="s">
        <v>327</v>
      </c>
      <c r="D167" s="16">
        <v>38705</v>
      </c>
      <c r="E167" s="17"/>
      <c r="F167" s="2" t="s">
        <v>328</v>
      </c>
      <c r="G167" s="2" t="s">
        <v>329</v>
      </c>
      <c r="H167" s="10" t="s">
        <v>105</v>
      </c>
      <c r="I167" s="11" t="s">
        <v>53</v>
      </c>
      <c r="J167" s="11" t="s">
        <v>145</v>
      </c>
      <c r="K167" s="61"/>
      <c r="L167" s="11" t="s">
        <v>67</v>
      </c>
      <c r="M167" s="25"/>
      <c r="N167" s="82"/>
      <c r="O167" s="3" t="str">
        <f t="shared" si="104"/>
        <v>E</v>
      </c>
      <c r="P167" s="84">
        <v>149453.51999999999</v>
      </c>
      <c r="Q167" s="84">
        <v>26237.759999999998</v>
      </c>
      <c r="R167" s="32"/>
      <c r="S167" s="3" t="str">
        <f t="shared" si="92"/>
        <v>E</v>
      </c>
      <c r="T167" s="84">
        <v>130771.83</v>
      </c>
      <c r="U167" s="84">
        <v>22958.04</v>
      </c>
      <c r="V167" s="32"/>
      <c r="W167" s="3" t="str">
        <f t="shared" si="93"/>
        <v>E</v>
      </c>
      <c r="X167" s="84">
        <v>130771.83</v>
      </c>
      <c r="Y167" s="84">
        <v>22958.04</v>
      </c>
      <c r="Z167" s="32"/>
      <c r="AA167" s="3" t="str">
        <f t="shared" si="94"/>
        <v>E</v>
      </c>
      <c r="AB167" s="84">
        <v>149453.51999999999</v>
      </c>
      <c r="AC167" s="84">
        <v>26237.759999999998</v>
      </c>
      <c r="AD167" s="36"/>
      <c r="AE167" s="82"/>
      <c r="AF167" s="3" t="str">
        <f t="shared" si="95"/>
        <v>A</v>
      </c>
      <c r="AG167" s="84"/>
      <c r="AH167" s="84"/>
      <c r="AI167" s="39"/>
      <c r="AJ167" s="79" t="s">
        <v>38</v>
      </c>
      <c r="AK167" s="39"/>
      <c r="AL167" s="4">
        <f t="shared" si="100"/>
        <v>0</v>
      </c>
      <c r="AM167" s="4">
        <f t="shared" si="101"/>
        <v>0</v>
      </c>
      <c r="AN167" s="4">
        <f t="shared" si="96"/>
        <v>0</v>
      </c>
      <c r="AO167" s="39"/>
      <c r="AP167" s="8">
        <f t="shared" si="102"/>
        <v>560450.69999999995</v>
      </c>
      <c r="AQ167" s="8">
        <f t="shared" si="103"/>
        <v>98391.599999999991</v>
      </c>
      <c r="AR167" s="8">
        <f t="shared" si="97"/>
        <v>658842.29999999993</v>
      </c>
      <c r="AS167" s="42"/>
      <c r="AT167" s="84"/>
      <c r="AU167" s="84"/>
      <c r="AV167" s="4">
        <f t="shared" si="98"/>
        <v>0</v>
      </c>
      <c r="AW167" s="50" t="str">
        <f t="shared" si="99"/>
        <v/>
      </c>
      <c r="AX167" s="1" t="s">
        <v>1684</v>
      </c>
      <c r="AY167" s="2" t="s">
        <v>1685</v>
      </c>
      <c r="AZ167" s="2">
        <v>149453.51999999999</v>
      </c>
      <c r="BA167" s="73">
        <v>130771.83</v>
      </c>
      <c r="BB167" s="73">
        <v>130771.83</v>
      </c>
      <c r="BC167" s="73">
        <v>149453.51999999999</v>
      </c>
      <c r="BD167" s="73"/>
      <c r="BE167" s="66">
        <v>3.5000000000000003E-2</v>
      </c>
      <c r="BF167" s="66">
        <v>0.05</v>
      </c>
      <c r="BG167" s="63">
        <v>44183</v>
      </c>
      <c r="BH167" s="2"/>
      <c r="BI167" s="2"/>
      <c r="BJ167" s="2"/>
      <c r="BK167" s="2"/>
      <c r="BL167" s="1" t="s">
        <v>311</v>
      </c>
    </row>
    <row r="168" spans="1:64" x14ac:dyDescent="0.25">
      <c r="A168" s="81" t="s">
        <v>326</v>
      </c>
      <c r="B168" s="82" t="s">
        <v>1452</v>
      </c>
      <c r="C168" s="81" t="s">
        <v>1453</v>
      </c>
      <c r="D168" s="16">
        <v>45331</v>
      </c>
      <c r="E168" s="17"/>
      <c r="F168" s="2" t="s">
        <v>328</v>
      </c>
      <c r="G168" s="2" t="s">
        <v>329</v>
      </c>
      <c r="H168" s="10" t="s">
        <v>105</v>
      </c>
      <c r="I168" s="11" t="s">
        <v>53</v>
      </c>
      <c r="J168" s="11" t="s">
        <v>145</v>
      </c>
      <c r="K168" s="61"/>
      <c r="L168" s="11" t="s">
        <v>67</v>
      </c>
      <c r="M168" s="25"/>
      <c r="N168" s="82"/>
      <c r="O168" s="3" t="str">
        <f>IF($A168="","",IF(P168=AZ168,"E","A"))</f>
        <v>E</v>
      </c>
      <c r="P168" s="84">
        <v>47639.28</v>
      </c>
      <c r="Q168" s="84">
        <v>3013.92</v>
      </c>
      <c r="R168" s="32"/>
      <c r="S168" s="3" t="str">
        <f>IF($A168="","",IF(T168=BA168,"E","A"))</f>
        <v>E</v>
      </c>
      <c r="T168" s="84">
        <v>41684.370000000003</v>
      </c>
      <c r="U168" s="84">
        <v>2637.18</v>
      </c>
      <c r="V168" s="32"/>
      <c r="W168" s="3" t="str">
        <f t="shared" si="93"/>
        <v>E</v>
      </c>
      <c r="X168" s="84">
        <v>41684.370000000003</v>
      </c>
      <c r="Y168" s="84">
        <v>2637.18</v>
      </c>
      <c r="Z168" s="32"/>
      <c r="AA168" s="3" t="str">
        <f t="shared" si="94"/>
        <v>E</v>
      </c>
      <c r="AB168" s="84">
        <v>47639.28</v>
      </c>
      <c r="AC168" s="84">
        <v>3013.92</v>
      </c>
      <c r="AD168" s="36"/>
      <c r="AE168" s="82"/>
      <c r="AF168" s="3" t="str">
        <f t="shared" si="95"/>
        <v>A</v>
      </c>
      <c r="AG168" s="84"/>
      <c r="AH168" s="84"/>
      <c r="AI168" s="39"/>
      <c r="AJ168" s="79" t="s">
        <v>38</v>
      </c>
      <c r="AK168" s="39"/>
      <c r="AL168" s="4">
        <f t="shared" si="100"/>
        <v>0</v>
      </c>
      <c r="AM168" s="4">
        <f t="shared" si="101"/>
        <v>0</v>
      </c>
      <c r="AN168" s="4">
        <f t="shared" si="96"/>
        <v>0</v>
      </c>
      <c r="AO168" s="39"/>
      <c r="AP168" s="8">
        <f t="shared" si="102"/>
        <v>178647.3</v>
      </c>
      <c r="AQ168" s="8">
        <f t="shared" si="103"/>
        <v>11302.2</v>
      </c>
      <c r="AR168" s="8">
        <f t="shared" si="97"/>
        <v>189949.5</v>
      </c>
      <c r="AS168" s="42"/>
      <c r="AT168" s="84"/>
      <c r="AU168" s="84"/>
      <c r="AV168" s="4">
        <f t="shared" si="98"/>
        <v>0</v>
      </c>
      <c r="AW168" s="50" t="str">
        <f t="shared" si="99"/>
        <v/>
      </c>
      <c r="AX168" s="1" t="s">
        <v>1684</v>
      </c>
      <c r="AY168" s="2" t="s">
        <v>1685</v>
      </c>
      <c r="AZ168" s="2">
        <v>47639.28</v>
      </c>
      <c r="BA168" s="73">
        <v>41684.370000000003</v>
      </c>
      <c r="BB168" s="73">
        <v>41684.370000000003</v>
      </c>
      <c r="BC168" s="73">
        <v>47639.28</v>
      </c>
      <c r="BD168" s="73"/>
      <c r="BE168" s="66">
        <v>0</v>
      </c>
      <c r="BF168" s="66">
        <v>0.05</v>
      </c>
      <c r="BG168" s="63">
        <v>45329</v>
      </c>
      <c r="BH168" s="2"/>
      <c r="BI168" s="2"/>
      <c r="BJ168" s="2">
        <v>172134</v>
      </c>
      <c r="BK168" s="2">
        <v>9037.0400000000009</v>
      </c>
      <c r="BL168" s="1" t="s">
        <v>104</v>
      </c>
    </row>
    <row r="169" spans="1:64" x14ac:dyDescent="0.25">
      <c r="A169" s="81" t="s">
        <v>330</v>
      </c>
      <c r="B169" s="82" t="s">
        <v>330</v>
      </c>
      <c r="C169" s="81" t="s">
        <v>331</v>
      </c>
      <c r="D169" s="16">
        <v>38794</v>
      </c>
      <c r="E169" s="17"/>
      <c r="F169" s="2" t="s">
        <v>52</v>
      </c>
      <c r="G169" s="2" t="s">
        <v>55</v>
      </c>
      <c r="H169" s="10" t="s">
        <v>57</v>
      </c>
      <c r="I169" s="11" t="s">
        <v>54</v>
      </c>
      <c r="J169" s="11" t="s">
        <v>139</v>
      </c>
      <c r="K169" s="61" t="s">
        <v>140</v>
      </c>
      <c r="L169" s="11" t="s">
        <v>67</v>
      </c>
      <c r="M169" s="25"/>
      <c r="N169" s="82"/>
      <c r="O169" s="3" t="str">
        <f>IF($A169="","",IF(P169=0,"A",IF(P169=AZ169,"E","A")))</f>
        <v>A</v>
      </c>
      <c r="P169" s="84">
        <v>103022.39999999999</v>
      </c>
      <c r="Q169" s="84">
        <v>11695.8</v>
      </c>
      <c r="R169" s="32"/>
      <c r="S169" s="3" t="str">
        <f>IF($A169="","",IF(T169=0,"A",IF(T169=BA169,"E","A")))</f>
        <v>A</v>
      </c>
      <c r="T169" s="84">
        <v>96627.15</v>
      </c>
      <c r="U169" s="84">
        <v>14234</v>
      </c>
      <c r="V169" s="32"/>
      <c r="W169" s="3" t="str">
        <f t="shared" si="93"/>
        <v>A</v>
      </c>
      <c r="X169" s="84">
        <v>88842.95</v>
      </c>
      <c r="Y169" s="84">
        <v>10843</v>
      </c>
      <c r="Z169" s="32"/>
      <c r="AA169" s="3" t="str">
        <f t="shared" si="94"/>
        <v>A</v>
      </c>
      <c r="AB169" s="84">
        <v>102697.8</v>
      </c>
      <c r="AC169" s="84">
        <v>13284.25</v>
      </c>
      <c r="AD169" s="36"/>
      <c r="AE169" s="82"/>
      <c r="AF169" s="3" t="str">
        <f t="shared" si="95"/>
        <v>A</v>
      </c>
      <c r="AG169" s="84">
        <v>0</v>
      </c>
      <c r="AH169" s="84">
        <v>0</v>
      </c>
      <c r="AI169" s="39"/>
      <c r="AJ169" s="79" t="s">
        <v>1801</v>
      </c>
      <c r="AK169" s="39"/>
      <c r="AL169" s="4">
        <f t="shared" si="100"/>
        <v>391190.3</v>
      </c>
      <c r="AM169" s="4">
        <f t="shared" si="101"/>
        <v>50057.05</v>
      </c>
      <c r="AN169" s="4">
        <f t="shared" si="96"/>
        <v>441247.35</v>
      </c>
      <c r="AO169" s="39"/>
      <c r="AP169" s="8">
        <f t="shared" si="102"/>
        <v>0</v>
      </c>
      <c r="AQ169" s="8">
        <f t="shared" si="103"/>
        <v>0</v>
      </c>
      <c r="AR169" s="8">
        <f t="shared" si="97"/>
        <v>0</v>
      </c>
      <c r="AS169" s="42"/>
      <c r="AT169" s="84">
        <v>391190.3</v>
      </c>
      <c r="AU169" s="84">
        <v>50057.05</v>
      </c>
      <c r="AV169" s="4">
        <f t="shared" si="98"/>
        <v>441247.35</v>
      </c>
      <c r="AW169" s="50" t="str">
        <f t="shared" si="99"/>
        <v/>
      </c>
      <c r="AX169" s="1" t="s">
        <v>1639</v>
      </c>
      <c r="AY169" s="2" t="s">
        <v>1640</v>
      </c>
      <c r="AZ169" s="2">
        <v>124074.16</v>
      </c>
      <c r="BA169" s="73">
        <v>108564.89</v>
      </c>
      <c r="BB169" s="73">
        <v>108564.89</v>
      </c>
      <c r="BC169" s="73">
        <v>124074.16</v>
      </c>
      <c r="BD169" s="73"/>
      <c r="BE169" s="66">
        <v>2.5000000000000001E-2</v>
      </c>
      <c r="BF169" s="66">
        <v>0.02</v>
      </c>
      <c r="BG169" s="63">
        <v>44272</v>
      </c>
      <c r="BH169" s="2"/>
      <c r="BI169" s="2"/>
      <c r="BJ169" s="2"/>
      <c r="BK169" s="2"/>
      <c r="BL169" s="1" t="s">
        <v>56</v>
      </c>
    </row>
    <row r="170" spans="1:64" x14ac:dyDescent="0.25">
      <c r="A170" s="81" t="s">
        <v>330</v>
      </c>
      <c r="B170" s="82" t="s">
        <v>731</v>
      </c>
      <c r="C170" s="81" t="s">
        <v>732</v>
      </c>
      <c r="D170" s="16">
        <v>43218</v>
      </c>
      <c r="E170" s="17"/>
      <c r="F170" s="2" t="s">
        <v>52</v>
      </c>
      <c r="G170" s="2" t="s">
        <v>55</v>
      </c>
      <c r="H170" s="10" t="s">
        <v>57</v>
      </c>
      <c r="I170" s="11" t="s">
        <v>54</v>
      </c>
      <c r="J170" s="11" t="s">
        <v>139</v>
      </c>
      <c r="K170" s="61" t="s">
        <v>140</v>
      </c>
      <c r="L170" s="11" t="s">
        <v>67</v>
      </c>
      <c r="M170" s="25"/>
      <c r="N170" s="82"/>
      <c r="O170" s="3" t="str">
        <f>IF($A170="","",IF(P170=0,"A",IF(P170=AZ170,"E","A")))</f>
        <v>A</v>
      </c>
      <c r="P170" s="84">
        <v>37091</v>
      </c>
      <c r="Q170" s="84">
        <v>9583</v>
      </c>
      <c r="R170" s="32"/>
      <c r="S170" s="3" t="str">
        <f>IF($A170="","",IF(T170=0,"A",IF(T170=BA170,"E","A")))</f>
        <v>A</v>
      </c>
      <c r="T170" s="84">
        <v>32809</v>
      </c>
      <c r="U170" s="84">
        <v>6642</v>
      </c>
      <c r="V170" s="32"/>
      <c r="W170" s="3" t="str">
        <f t="shared" si="93"/>
        <v>A</v>
      </c>
      <c r="X170" s="84">
        <v>29513</v>
      </c>
      <c r="Y170" s="84">
        <v>6971</v>
      </c>
      <c r="Z170" s="32"/>
      <c r="AA170" s="3" t="str">
        <f t="shared" si="94"/>
        <v>A</v>
      </c>
      <c r="AB170" s="84">
        <v>33476</v>
      </c>
      <c r="AC170" s="84">
        <v>7012</v>
      </c>
      <c r="AD170" s="36"/>
      <c r="AE170" s="82"/>
      <c r="AF170" s="3" t="str">
        <f t="shared" si="95"/>
        <v>A</v>
      </c>
      <c r="AG170" s="84">
        <v>0</v>
      </c>
      <c r="AH170" s="84">
        <v>0</v>
      </c>
      <c r="AI170" s="39"/>
      <c r="AJ170" s="79" t="s">
        <v>1801</v>
      </c>
      <c r="AK170" s="39"/>
      <c r="AL170" s="4">
        <f t="shared" si="100"/>
        <v>132889</v>
      </c>
      <c r="AM170" s="4">
        <f t="shared" si="101"/>
        <v>30208</v>
      </c>
      <c r="AN170" s="4">
        <f t="shared" si="96"/>
        <v>163097</v>
      </c>
      <c r="AO170" s="39"/>
      <c r="AP170" s="8">
        <f t="shared" si="102"/>
        <v>0</v>
      </c>
      <c r="AQ170" s="8">
        <f t="shared" si="103"/>
        <v>0</v>
      </c>
      <c r="AR170" s="8">
        <f t="shared" si="97"/>
        <v>0</v>
      </c>
      <c r="AS170" s="42"/>
      <c r="AT170" s="84">
        <v>132889</v>
      </c>
      <c r="AU170" s="84">
        <v>30208</v>
      </c>
      <c r="AV170" s="4">
        <f t="shared" si="98"/>
        <v>163097</v>
      </c>
      <c r="AW170" s="50" t="str">
        <f t="shared" si="99"/>
        <v/>
      </c>
      <c r="AX170" s="1" t="s">
        <v>1639</v>
      </c>
      <c r="AY170" s="2" t="s">
        <v>1640</v>
      </c>
      <c r="AZ170" s="2">
        <v>41241.279999999999</v>
      </c>
      <c r="BA170" s="73">
        <v>36086.120000000003</v>
      </c>
      <c r="BB170" s="73">
        <v>36086.120000000003</v>
      </c>
      <c r="BC170" s="73">
        <v>41241.279999999999</v>
      </c>
      <c r="BD170" s="73"/>
      <c r="BE170" s="66">
        <v>0</v>
      </c>
      <c r="BF170" s="66">
        <v>0.02</v>
      </c>
      <c r="BG170" s="63">
        <v>44272</v>
      </c>
      <c r="BH170" s="2"/>
      <c r="BI170" s="2"/>
      <c r="BJ170" s="2"/>
      <c r="BK170" s="2"/>
      <c r="BL170" s="1" t="s">
        <v>56</v>
      </c>
    </row>
    <row r="171" spans="1:64" x14ac:dyDescent="0.25">
      <c r="A171" s="81" t="s">
        <v>330</v>
      </c>
      <c r="B171" s="82" t="s">
        <v>1322</v>
      </c>
      <c r="C171" s="81" t="s">
        <v>1323</v>
      </c>
      <c r="D171" s="16">
        <v>45238</v>
      </c>
      <c r="E171" s="17"/>
      <c r="F171" s="2" t="s">
        <v>52</v>
      </c>
      <c r="G171" s="2" t="s">
        <v>55</v>
      </c>
      <c r="H171" s="10" t="s">
        <v>57</v>
      </c>
      <c r="I171" s="11" t="s">
        <v>54</v>
      </c>
      <c r="J171" s="11" t="s">
        <v>139</v>
      </c>
      <c r="K171" s="61" t="s">
        <v>140</v>
      </c>
      <c r="L171" s="11" t="s">
        <v>67</v>
      </c>
      <c r="M171" s="25"/>
      <c r="N171" s="82"/>
      <c r="O171" s="3" t="str">
        <f>IF($A171="","",IF(P171=AZ171,"E","A"))</f>
        <v>A</v>
      </c>
      <c r="P171" s="84">
        <v>15057</v>
      </c>
      <c r="Q171" s="84">
        <v>3329</v>
      </c>
      <c r="R171" s="32"/>
      <c r="S171" s="3" t="str">
        <f>IF($A171="","",IF(T171=0,"A",IF(T171=BA171,"E","A")))</f>
        <v>E</v>
      </c>
      <c r="T171" s="84">
        <v>90502.720000000001</v>
      </c>
      <c r="U171" s="84">
        <v>4487.28</v>
      </c>
      <c r="V171" s="32"/>
      <c r="W171" s="3" t="str">
        <f t="shared" si="93"/>
        <v>E</v>
      </c>
      <c r="X171" s="84">
        <v>90502.720000000001</v>
      </c>
      <c r="Y171" s="84">
        <v>4487.28</v>
      </c>
      <c r="Z171" s="32"/>
      <c r="AA171" s="3" t="str">
        <f t="shared" si="94"/>
        <v>E</v>
      </c>
      <c r="AB171" s="84">
        <v>103431.67999999999</v>
      </c>
      <c r="AC171" s="84">
        <v>5128.32</v>
      </c>
      <c r="AD171" s="36"/>
      <c r="AE171" s="82"/>
      <c r="AF171" s="3" t="str">
        <f t="shared" si="95"/>
        <v>A</v>
      </c>
      <c r="AG171" s="84">
        <v>0</v>
      </c>
      <c r="AH171" s="84">
        <v>0</v>
      </c>
      <c r="AI171" s="39"/>
      <c r="AJ171" s="79" t="s">
        <v>38</v>
      </c>
      <c r="AK171" s="39"/>
      <c r="AL171" s="4">
        <f t="shared" si="100"/>
        <v>15057</v>
      </c>
      <c r="AM171" s="4">
        <f t="shared" si="101"/>
        <v>3329</v>
      </c>
      <c r="AN171" s="4">
        <f t="shared" si="96"/>
        <v>18386</v>
      </c>
      <c r="AO171" s="39"/>
      <c r="AP171" s="8">
        <f t="shared" si="102"/>
        <v>284437.12</v>
      </c>
      <c r="AQ171" s="8">
        <f t="shared" si="103"/>
        <v>14102.88</v>
      </c>
      <c r="AR171" s="8">
        <f t="shared" si="97"/>
        <v>298540</v>
      </c>
      <c r="AS171" s="42"/>
      <c r="AT171" s="84">
        <v>15057</v>
      </c>
      <c r="AU171" s="84">
        <v>3329</v>
      </c>
      <c r="AV171" s="4">
        <f t="shared" si="98"/>
        <v>18386</v>
      </c>
      <c r="AW171" s="50" t="str">
        <f t="shared" si="99"/>
        <v/>
      </c>
      <c r="AX171" s="1" t="s">
        <v>1639</v>
      </c>
      <c r="AY171" s="2" t="s">
        <v>1640</v>
      </c>
      <c r="AZ171" s="2">
        <v>103431.67999999999</v>
      </c>
      <c r="BA171" s="73">
        <v>90502.720000000001</v>
      </c>
      <c r="BB171" s="73">
        <v>90502.720000000001</v>
      </c>
      <c r="BC171" s="73">
        <v>103431.67999999999</v>
      </c>
      <c r="BD171" s="73"/>
      <c r="BE171" s="66">
        <v>0</v>
      </c>
      <c r="BF171" s="66">
        <v>0.02</v>
      </c>
      <c r="BG171" s="63">
        <v>45227</v>
      </c>
      <c r="BH171" s="2"/>
      <c r="BI171" s="2"/>
      <c r="BJ171" s="2">
        <v>379470</v>
      </c>
      <c r="BK171" s="2">
        <v>19922.18</v>
      </c>
      <c r="BL171" s="1" t="s">
        <v>56</v>
      </c>
    </row>
    <row r="172" spans="1:64" x14ac:dyDescent="0.25">
      <c r="A172" s="81" t="s">
        <v>332</v>
      </c>
      <c r="B172" s="82" t="s">
        <v>332</v>
      </c>
      <c r="C172" s="81" t="s">
        <v>333</v>
      </c>
      <c r="D172" s="16">
        <v>41832</v>
      </c>
      <c r="E172" s="17"/>
      <c r="F172" s="2" t="s">
        <v>243</v>
      </c>
      <c r="G172" s="2" t="s">
        <v>245</v>
      </c>
      <c r="H172" s="10" t="s">
        <v>105</v>
      </c>
      <c r="I172" s="11" t="s">
        <v>244</v>
      </c>
      <c r="J172" s="11" t="s">
        <v>334</v>
      </c>
      <c r="K172" s="61" t="s">
        <v>335</v>
      </c>
      <c r="L172" s="11" t="s">
        <v>67</v>
      </c>
      <c r="M172" s="25"/>
      <c r="N172" s="82"/>
      <c r="O172" s="3" t="str">
        <f>IF($A172="","",IF(P172=0,"A",IF(P172=AZ172,"E","A")))</f>
        <v>A</v>
      </c>
      <c r="P172" s="84">
        <v>151745.1</v>
      </c>
      <c r="Q172" s="84">
        <v>13626</v>
      </c>
      <c r="R172" s="32"/>
      <c r="S172" s="3" t="str">
        <f>IF($A172="","",IF(T172=0,"A",IF(T172=BA172,"E","A")))</f>
        <v>A</v>
      </c>
      <c r="T172" s="84">
        <v>117904.97</v>
      </c>
      <c r="U172" s="84">
        <v>9241</v>
      </c>
      <c r="V172" s="32"/>
      <c r="W172" s="3" t="str">
        <f t="shared" si="93"/>
        <v>A</v>
      </c>
      <c r="X172" s="84">
        <v>122184</v>
      </c>
      <c r="Y172" s="84">
        <v>9828</v>
      </c>
      <c r="Z172" s="32"/>
      <c r="AA172" s="3" t="str">
        <f t="shared" si="94"/>
        <v>A</v>
      </c>
      <c r="AB172" s="84">
        <v>136297.29999999999</v>
      </c>
      <c r="AC172" s="84">
        <v>11050</v>
      </c>
      <c r="AD172" s="36"/>
      <c r="AE172" s="82"/>
      <c r="AF172" s="3" t="str">
        <f t="shared" si="95"/>
        <v>A</v>
      </c>
      <c r="AG172" s="84">
        <v>0</v>
      </c>
      <c r="AH172" s="84">
        <v>0</v>
      </c>
      <c r="AI172" s="39"/>
      <c r="AJ172" s="79" t="s">
        <v>1801</v>
      </c>
      <c r="AK172" s="39"/>
      <c r="AL172" s="4">
        <f t="shared" si="100"/>
        <v>528131.37</v>
      </c>
      <c r="AM172" s="4">
        <f t="shared" si="101"/>
        <v>43745</v>
      </c>
      <c r="AN172" s="4">
        <f t="shared" si="96"/>
        <v>571876.37</v>
      </c>
      <c r="AO172" s="39"/>
      <c r="AP172" s="8">
        <f t="shared" si="102"/>
        <v>0</v>
      </c>
      <c r="AQ172" s="8">
        <f t="shared" si="103"/>
        <v>0</v>
      </c>
      <c r="AR172" s="8">
        <f t="shared" si="97"/>
        <v>0</v>
      </c>
      <c r="AS172" s="42"/>
      <c r="AT172" s="84">
        <v>528131.37</v>
      </c>
      <c r="AU172" s="84">
        <v>43745</v>
      </c>
      <c r="AV172" s="4">
        <f t="shared" si="98"/>
        <v>571876.37</v>
      </c>
      <c r="AW172" s="50" t="str">
        <f t="shared" si="99"/>
        <v/>
      </c>
      <c r="AX172" s="1" t="s">
        <v>1639</v>
      </c>
      <c r="AY172" s="2" t="s">
        <v>1640</v>
      </c>
      <c r="AZ172" s="2">
        <v>77381.52</v>
      </c>
      <c r="BA172" s="73">
        <v>67708.83</v>
      </c>
      <c r="BB172" s="73">
        <v>67708.83</v>
      </c>
      <c r="BC172" s="73">
        <v>77381.52</v>
      </c>
      <c r="BD172" s="73"/>
      <c r="BE172" s="66">
        <v>3.5000000000000003E-2</v>
      </c>
      <c r="BF172" s="66">
        <v>0.02</v>
      </c>
      <c r="BG172" s="63">
        <v>45315</v>
      </c>
      <c r="BH172" s="74">
        <v>44854</v>
      </c>
      <c r="BI172" s="74">
        <v>44877</v>
      </c>
      <c r="BJ172" s="2"/>
      <c r="BK172" s="2"/>
      <c r="BL172" s="1" t="s">
        <v>219</v>
      </c>
    </row>
    <row r="173" spans="1:64" x14ac:dyDescent="0.25">
      <c r="A173" s="81" t="s">
        <v>332</v>
      </c>
      <c r="B173" s="82" t="s">
        <v>733</v>
      </c>
      <c r="C173" s="81" t="s">
        <v>734</v>
      </c>
      <c r="D173" s="16">
        <v>43124</v>
      </c>
      <c r="E173" s="17"/>
      <c r="F173" s="2" t="s">
        <v>243</v>
      </c>
      <c r="G173" s="2" t="s">
        <v>245</v>
      </c>
      <c r="H173" s="10" t="s">
        <v>105</v>
      </c>
      <c r="I173" s="11" t="s">
        <v>244</v>
      </c>
      <c r="J173" s="11" t="s">
        <v>334</v>
      </c>
      <c r="K173" s="61" t="s">
        <v>335</v>
      </c>
      <c r="L173" s="11" t="s">
        <v>67</v>
      </c>
      <c r="M173" s="25"/>
      <c r="N173" s="82"/>
      <c r="O173" s="3" t="str">
        <f>IF($A173="","",IF(P173=0,"A",IF(P173=AZ173,"E","A")))</f>
        <v>A</v>
      </c>
      <c r="P173" s="84">
        <v>79692.5</v>
      </c>
      <c r="Q173" s="84">
        <v>14523</v>
      </c>
      <c r="R173" s="32"/>
      <c r="S173" s="3" t="str">
        <f>IF($A173="","",IF(T173=0,"A",IF(T173=BA173,"E","A")))</f>
        <v>A</v>
      </c>
      <c r="T173" s="84">
        <v>71679.5</v>
      </c>
      <c r="U173" s="84">
        <v>12179</v>
      </c>
      <c r="V173" s="32"/>
      <c r="W173" s="3" t="str">
        <f t="shared" si="93"/>
        <v>A</v>
      </c>
      <c r="X173" s="84">
        <v>79292.25</v>
      </c>
      <c r="Y173" s="84">
        <v>10220</v>
      </c>
      <c r="Z173" s="32"/>
      <c r="AA173" s="3" t="str">
        <f t="shared" si="94"/>
        <v>A</v>
      </c>
      <c r="AB173" s="84">
        <v>82952.350000000006</v>
      </c>
      <c r="AC173" s="84">
        <v>13151</v>
      </c>
      <c r="AD173" s="36"/>
      <c r="AE173" s="82"/>
      <c r="AF173" s="3" t="str">
        <f t="shared" si="95"/>
        <v>A</v>
      </c>
      <c r="AG173" s="84">
        <v>0</v>
      </c>
      <c r="AH173" s="84">
        <v>0</v>
      </c>
      <c r="AI173" s="39"/>
      <c r="AJ173" s="79" t="s">
        <v>1801</v>
      </c>
      <c r="AK173" s="39"/>
      <c r="AL173" s="4">
        <f t="shared" si="100"/>
        <v>313616.59999999998</v>
      </c>
      <c r="AM173" s="4">
        <f t="shared" si="101"/>
        <v>50073</v>
      </c>
      <c r="AN173" s="4">
        <f t="shared" si="96"/>
        <v>363689.6</v>
      </c>
      <c r="AO173" s="39"/>
      <c r="AP173" s="8">
        <f t="shared" si="102"/>
        <v>0</v>
      </c>
      <c r="AQ173" s="8">
        <f t="shared" si="103"/>
        <v>0</v>
      </c>
      <c r="AR173" s="8">
        <f t="shared" si="97"/>
        <v>0</v>
      </c>
      <c r="AS173" s="42"/>
      <c r="AT173" s="84">
        <v>313616.59999999998</v>
      </c>
      <c r="AU173" s="84">
        <v>50073</v>
      </c>
      <c r="AV173" s="4">
        <f t="shared" si="98"/>
        <v>363689.6</v>
      </c>
      <c r="AW173" s="50" t="str">
        <f t="shared" si="99"/>
        <v/>
      </c>
      <c r="AX173" s="1" t="s">
        <v>1639</v>
      </c>
      <c r="AY173" s="2" t="s">
        <v>1640</v>
      </c>
      <c r="AZ173" s="2">
        <v>38436.720000000001</v>
      </c>
      <c r="BA173" s="73">
        <v>33632.129999999997</v>
      </c>
      <c r="BB173" s="73">
        <v>33632.129999999997</v>
      </c>
      <c r="BC173" s="73">
        <v>38436.720000000001</v>
      </c>
      <c r="BD173" s="73"/>
      <c r="BE173" s="66">
        <v>0.04</v>
      </c>
      <c r="BF173" s="66">
        <v>0.02</v>
      </c>
      <c r="BG173" s="63">
        <v>45315</v>
      </c>
      <c r="BH173" s="2"/>
      <c r="BI173" s="2"/>
      <c r="BJ173" s="2"/>
      <c r="BK173" s="2"/>
      <c r="BL173" s="1" t="s">
        <v>219</v>
      </c>
    </row>
    <row r="174" spans="1:64" x14ac:dyDescent="0.25">
      <c r="A174" s="81" t="s">
        <v>332</v>
      </c>
      <c r="B174" s="82" t="s">
        <v>1594</v>
      </c>
      <c r="C174" s="81" t="s">
        <v>1595</v>
      </c>
      <c r="D174" s="16">
        <v>45818</v>
      </c>
      <c r="E174" s="17"/>
      <c r="F174" s="2" t="s">
        <v>904</v>
      </c>
      <c r="G174" s="2" t="s">
        <v>906</v>
      </c>
      <c r="H174" s="10" t="s">
        <v>105</v>
      </c>
      <c r="I174" s="11" t="s">
        <v>905</v>
      </c>
      <c r="J174" s="11" t="s">
        <v>1202</v>
      </c>
      <c r="K174" s="61" t="s">
        <v>335</v>
      </c>
      <c r="L174" s="11" t="s">
        <v>67</v>
      </c>
      <c r="M174" s="25"/>
      <c r="N174" s="82"/>
      <c r="O174" s="3" t="str">
        <f>IF($A174="","",IF(P174=AZ174,"E","A"))</f>
        <v>A</v>
      </c>
      <c r="P174" s="84">
        <v>26360</v>
      </c>
      <c r="Q174" s="84">
        <v>860</v>
      </c>
      <c r="R174" s="32"/>
      <c r="S174" s="3" t="str">
        <f>IF($A174="","",IF(T174=BA174,"E","A"))</f>
        <v>A</v>
      </c>
      <c r="T174" s="84">
        <v>46340</v>
      </c>
      <c r="U174" s="84">
        <v>1505</v>
      </c>
      <c r="V174" s="32"/>
      <c r="W174" s="3" t="str">
        <f t="shared" si="93"/>
        <v>A</v>
      </c>
      <c r="X174" s="84">
        <v>31152</v>
      </c>
      <c r="Y174" s="84">
        <v>770</v>
      </c>
      <c r="Z174" s="32"/>
      <c r="AA174" s="3" t="str">
        <f t="shared" si="94"/>
        <v>A</v>
      </c>
      <c r="AB174" s="84">
        <v>31026</v>
      </c>
      <c r="AC174" s="84">
        <v>1020</v>
      </c>
      <c r="AD174" s="36"/>
      <c r="AE174" s="82"/>
      <c r="AF174" s="3" t="str">
        <f t="shared" si="95"/>
        <v>A</v>
      </c>
      <c r="AG174" s="84">
        <v>0</v>
      </c>
      <c r="AH174" s="84">
        <v>0</v>
      </c>
      <c r="AI174" s="39"/>
      <c r="AJ174" s="79" t="s">
        <v>1801</v>
      </c>
      <c r="AK174" s="39"/>
      <c r="AL174" s="4">
        <f t="shared" si="100"/>
        <v>134878</v>
      </c>
      <c r="AM174" s="4">
        <f t="shared" si="101"/>
        <v>4155</v>
      </c>
      <c r="AN174" s="4">
        <f t="shared" si="96"/>
        <v>139033</v>
      </c>
      <c r="AO174" s="39"/>
      <c r="AP174" s="8">
        <f t="shared" si="102"/>
        <v>0</v>
      </c>
      <c r="AQ174" s="8">
        <f t="shared" si="103"/>
        <v>0</v>
      </c>
      <c r="AR174" s="8">
        <f t="shared" si="97"/>
        <v>0</v>
      </c>
      <c r="AS174" s="42"/>
      <c r="AT174" s="84">
        <v>134878</v>
      </c>
      <c r="AU174" s="84">
        <v>4155</v>
      </c>
      <c r="AV174" s="4">
        <f t="shared" si="98"/>
        <v>139033</v>
      </c>
      <c r="AW174" s="50" t="str">
        <f t="shared" si="99"/>
        <v/>
      </c>
      <c r="AX174" s="1" t="s">
        <v>1740</v>
      </c>
      <c r="AY174" s="2" t="s">
        <v>1741</v>
      </c>
      <c r="AZ174" s="2"/>
      <c r="BA174" s="73">
        <v>46212.04</v>
      </c>
      <c r="BB174" s="73">
        <v>46212.04</v>
      </c>
      <c r="BC174" s="73">
        <v>52813.760000000002</v>
      </c>
      <c r="BD174" s="73"/>
      <c r="BE174" s="66">
        <v>0</v>
      </c>
      <c r="BF174" s="66">
        <v>0</v>
      </c>
      <c r="BG174" s="63">
        <v>45811</v>
      </c>
      <c r="BH174" s="2"/>
      <c r="BI174" s="2"/>
      <c r="BJ174" s="2">
        <v>204000</v>
      </c>
      <c r="BK174" s="2"/>
      <c r="BL174" s="1" t="s">
        <v>219</v>
      </c>
    </row>
    <row r="175" spans="1:64" x14ac:dyDescent="0.25">
      <c r="A175" s="81" t="s">
        <v>336</v>
      </c>
      <c r="B175" s="82" t="s">
        <v>336</v>
      </c>
      <c r="C175" s="81" t="s">
        <v>337</v>
      </c>
      <c r="D175" s="16">
        <v>38940</v>
      </c>
      <c r="E175" s="17"/>
      <c r="F175" s="2" t="s">
        <v>187</v>
      </c>
      <c r="G175" s="2" t="s">
        <v>189</v>
      </c>
      <c r="H175" s="10" t="s">
        <v>57</v>
      </c>
      <c r="I175" s="11" t="s">
        <v>188</v>
      </c>
      <c r="J175" s="11" t="s">
        <v>338</v>
      </c>
      <c r="K175" s="61" t="s">
        <v>339</v>
      </c>
      <c r="L175" s="11" t="s">
        <v>67</v>
      </c>
      <c r="M175" s="25"/>
      <c r="N175" s="82"/>
      <c r="O175" s="3" t="str">
        <f>IF($A175="","",IF(P175=0,"A",IF(P175=AZ175,"E","A")))</f>
        <v>A</v>
      </c>
      <c r="P175" s="84">
        <v>105856.6</v>
      </c>
      <c r="Q175" s="84">
        <v>24343</v>
      </c>
      <c r="R175" s="32"/>
      <c r="S175" s="3" t="str">
        <f t="shared" ref="S175:S182" si="105">IF($A175="","",IF(T175=0,"A",IF(T175=BA175,"E","A")))</f>
        <v>A</v>
      </c>
      <c r="T175" s="84">
        <v>89571</v>
      </c>
      <c r="U175" s="84">
        <v>23023.5</v>
      </c>
      <c r="V175" s="32"/>
      <c r="W175" s="3" t="str">
        <f t="shared" si="93"/>
        <v>A</v>
      </c>
      <c r="X175" s="84">
        <v>74538</v>
      </c>
      <c r="Y175" s="84">
        <v>16906</v>
      </c>
      <c r="Z175" s="32"/>
      <c r="AA175" s="3" t="str">
        <f t="shared" si="94"/>
        <v>A</v>
      </c>
      <c r="AB175" s="84">
        <v>83846.5</v>
      </c>
      <c r="AC175" s="84">
        <v>18356</v>
      </c>
      <c r="AD175" s="36"/>
      <c r="AE175" s="82"/>
      <c r="AF175" s="3" t="str">
        <f t="shared" si="95"/>
        <v>A</v>
      </c>
      <c r="AG175" s="84">
        <v>0</v>
      </c>
      <c r="AH175" s="84">
        <v>0</v>
      </c>
      <c r="AI175" s="39"/>
      <c r="AJ175" s="79" t="s">
        <v>1801</v>
      </c>
      <c r="AK175" s="39"/>
      <c r="AL175" s="4">
        <f t="shared" si="100"/>
        <v>353812.1</v>
      </c>
      <c r="AM175" s="4">
        <f t="shared" si="101"/>
        <v>82628.5</v>
      </c>
      <c r="AN175" s="4">
        <f t="shared" si="96"/>
        <v>436440.6</v>
      </c>
      <c r="AO175" s="39"/>
      <c r="AP175" s="8">
        <f t="shared" si="102"/>
        <v>0</v>
      </c>
      <c r="AQ175" s="8">
        <f t="shared" si="103"/>
        <v>0</v>
      </c>
      <c r="AR175" s="8">
        <f t="shared" si="97"/>
        <v>0</v>
      </c>
      <c r="AS175" s="42"/>
      <c r="AT175" s="84">
        <v>353812.1</v>
      </c>
      <c r="AU175" s="84">
        <v>82628.5</v>
      </c>
      <c r="AV175" s="4">
        <f t="shared" si="98"/>
        <v>436440.6</v>
      </c>
      <c r="AW175" s="50" t="str">
        <f t="shared" si="99"/>
        <v/>
      </c>
      <c r="AX175" s="1" t="s">
        <v>1639</v>
      </c>
      <c r="AY175" s="2" t="s">
        <v>1640</v>
      </c>
      <c r="AZ175" s="2">
        <v>77255.759999999995</v>
      </c>
      <c r="BA175" s="73">
        <v>67598.789999999994</v>
      </c>
      <c r="BB175" s="73">
        <v>67598.789999999994</v>
      </c>
      <c r="BC175" s="73">
        <v>77255.759999999995</v>
      </c>
      <c r="BD175" s="73"/>
      <c r="BE175" s="66">
        <v>2.5000000000000001E-2</v>
      </c>
      <c r="BF175" s="66">
        <v>0.02</v>
      </c>
      <c r="BG175" s="63">
        <v>44418</v>
      </c>
      <c r="BH175" s="2"/>
      <c r="BI175" s="2"/>
      <c r="BJ175" s="2"/>
      <c r="BK175" s="2"/>
      <c r="BL175" s="1" t="s">
        <v>56</v>
      </c>
    </row>
    <row r="176" spans="1:64" x14ac:dyDescent="0.25">
      <c r="A176" s="81" t="s">
        <v>336</v>
      </c>
      <c r="B176" s="82" t="s">
        <v>735</v>
      </c>
      <c r="C176" s="81" t="s">
        <v>736</v>
      </c>
      <c r="D176" s="16">
        <v>40804</v>
      </c>
      <c r="E176" s="17"/>
      <c r="F176" s="2" t="s">
        <v>187</v>
      </c>
      <c r="G176" s="2" t="s">
        <v>189</v>
      </c>
      <c r="H176" s="10" t="s">
        <v>57</v>
      </c>
      <c r="I176" s="11" t="s">
        <v>188</v>
      </c>
      <c r="J176" s="11" t="s">
        <v>338</v>
      </c>
      <c r="K176" s="61" t="s">
        <v>339</v>
      </c>
      <c r="L176" s="11" t="s">
        <v>67</v>
      </c>
      <c r="M176" s="25"/>
      <c r="N176" s="82"/>
      <c r="O176" s="3" t="str">
        <f>IF($A176="","",IF(P176=0,"A",IF(P176=AZ176,"E","A")))</f>
        <v>A</v>
      </c>
      <c r="P176" s="84">
        <v>77145</v>
      </c>
      <c r="Q176" s="84">
        <v>22022</v>
      </c>
      <c r="R176" s="32"/>
      <c r="S176" s="3" t="str">
        <f t="shared" si="105"/>
        <v>A</v>
      </c>
      <c r="T176" s="84">
        <v>68166</v>
      </c>
      <c r="U176" s="84">
        <v>16846</v>
      </c>
      <c r="V176" s="32"/>
      <c r="W176" s="3" t="str">
        <f t="shared" si="93"/>
        <v>A</v>
      </c>
      <c r="X176" s="84">
        <v>59718</v>
      </c>
      <c r="Y176" s="84">
        <v>15691</v>
      </c>
      <c r="Z176" s="32"/>
      <c r="AA176" s="3" t="str">
        <f t="shared" si="94"/>
        <v>A</v>
      </c>
      <c r="AB176" s="84">
        <v>60874</v>
      </c>
      <c r="AC176" s="84">
        <v>17836</v>
      </c>
      <c r="AD176" s="36"/>
      <c r="AE176" s="82"/>
      <c r="AF176" s="3" t="str">
        <f t="shared" si="95"/>
        <v>A</v>
      </c>
      <c r="AG176" s="84">
        <v>0</v>
      </c>
      <c r="AH176" s="84">
        <v>0</v>
      </c>
      <c r="AI176" s="39"/>
      <c r="AJ176" s="79" t="s">
        <v>1801</v>
      </c>
      <c r="AK176" s="39"/>
      <c r="AL176" s="4">
        <f t="shared" si="100"/>
        <v>265903</v>
      </c>
      <c r="AM176" s="4">
        <f t="shared" si="101"/>
        <v>72395</v>
      </c>
      <c r="AN176" s="4">
        <f t="shared" si="96"/>
        <v>338298</v>
      </c>
      <c r="AO176" s="39"/>
      <c r="AP176" s="8">
        <f t="shared" si="102"/>
        <v>0</v>
      </c>
      <c r="AQ176" s="8">
        <f t="shared" si="103"/>
        <v>0</v>
      </c>
      <c r="AR176" s="8">
        <f t="shared" si="97"/>
        <v>0</v>
      </c>
      <c r="AS176" s="42"/>
      <c r="AT176" s="84">
        <v>265903</v>
      </c>
      <c r="AU176" s="84">
        <v>72395</v>
      </c>
      <c r="AV176" s="4">
        <f t="shared" si="98"/>
        <v>338298</v>
      </c>
      <c r="AW176" s="50" t="str">
        <f t="shared" si="99"/>
        <v/>
      </c>
      <c r="AX176" s="1" t="s">
        <v>1639</v>
      </c>
      <c r="AY176" s="2" t="s">
        <v>1640</v>
      </c>
      <c r="AZ176" s="2">
        <v>84111.44</v>
      </c>
      <c r="BA176" s="73">
        <v>73597.509999999995</v>
      </c>
      <c r="BB176" s="73">
        <v>73597.509999999995</v>
      </c>
      <c r="BC176" s="73">
        <v>84111.44</v>
      </c>
      <c r="BD176" s="73"/>
      <c r="BE176" s="66">
        <v>2.5000000000000001E-2</v>
      </c>
      <c r="BF176" s="66">
        <v>0.02</v>
      </c>
      <c r="BG176" s="63">
        <v>44418</v>
      </c>
      <c r="BH176" s="2"/>
      <c r="BI176" s="2"/>
      <c r="BJ176" s="2"/>
      <c r="BK176" s="2"/>
      <c r="BL176" s="1" t="s">
        <v>56</v>
      </c>
    </row>
    <row r="177" spans="1:64" x14ac:dyDescent="0.25">
      <c r="A177" s="81" t="s">
        <v>340</v>
      </c>
      <c r="B177" s="82" t="s">
        <v>340</v>
      </c>
      <c r="C177" s="81" t="s">
        <v>341</v>
      </c>
      <c r="D177" s="16">
        <v>39018</v>
      </c>
      <c r="E177" s="17"/>
      <c r="F177" s="2" t="s">
        <v>342</v>
      </c>
      <c r="G177" s="2" t="s">
        <v>343</v>
      </c>
      <c r="H177" s="10" t="s">
        <v>57</v>
      </c>
      <c r="I177" s="11" t="s">
        <v>53</v>
      </c>
      <c r="J177" s="11" t="s">
        <v>156</v>
      </c>
      <c r="K177" s="61"/>
      <c r="L177" s="11" t="s">
        <v>67</v>
      </c>
      <c r="M177" s="25"/>
      <c r="N177" s="82"/>
      <c r="O177" s="3" t="str">
        <f>IF($A177="","",IF(P177=0,"A",IF(P177=AZ177,"E","A")))</f>
        <v>A</v>
      </c>
      <c r="P177" s="84">
        <v>408163</v>
      </c>
      <c r="Q177" s="84">
        <v>145883</v>
      </c>
      <c r="R177" s="32"/>
      <c r="S177" s="3" t="str">
        <f t="shared" si="105"/>
        <v>A</v>
      </c>
      <c r="T177" s="84">
        <v>370042</v>
      </c>
      <c r="U177" s="84">
        <v>134973</v>
      </c>
      <c r="V177" s="32"/>
      <c r="W177" s="3" t="str">
        <f t="shared" si="93"/>
        <v>A</v>
      </c>
      <c r="X177" s="84">
        <v>335210</v>
      </c>
      <c r="Y177" s="84">
        <v>108531</v>
      </c>
      <c r="Z177" s="32"/>
      <c r="AA177" s="3" t="str">
        <f t="shared" si="94"/>
        <v>A</v>
      </c>
      <c r="AB177" s="84">
        <v>370480</v>
      </c>
      <c r="AC177" s="84">
        <v>117822</v>
      </c>
      <c r="AD177" s="36"/>
      <c r="AE177" s="82"/>
      <c r="AF177" s="3" t="str">
        <f t="shared" si="95"/>
        <v>A</v>
      </c>
      <c r="AG177" s="84">
        <v>0</v>
      </c>
      <c r="AH177" s="84">
        <v>0</v>
      </c>
      <c r="AI177" s="39"/>
      <c r="AJ177" s="79" t="s">
        <v>1801</v>
      </c>
      <c r="AK177" s="39"/>
      <c r="AL177" s="4">
        <f t="shared" si="100"/>
        <v>1483895</v>
      </c>
      <c r="AM177" s="4">
        <f t="shared" si="101"/>
        <v>507209</v>
      </c>
      <c r="AN177" s="4">
        <f t="shared" si="96"/>
        <v>1991104</v>
      </c>
      <c r="AO177" s="39"/>
      <c r="AP177" s="8">
        <f t="shared" si="102"/>
        <v>0</v>
      </c>
      <c r="AQ177" s="8">
        <f t="shared" si="103"/>
        <v>0</v>
      </c>
      <c r="AR177" s="8">
        <f t="shared" si="97"/>
        <v>0</v>
      </c>
      <c r="AS177" s="42"/>
      <c r="AT177" s="84">
        <v>1483895</v>
      </c>
      <c r="AU177" s="84">
        <v>507209</v>
      </c>
      <c r="AV177" s="4">
        <f t="shared" si="98"/>
        <v>1991104</v>
      </c>
      <c r="AW177" s="50" t="str">
        <f t="shared" si="99"/>
        <v/>
      </c>
      <c r="AX177" s="1" t="s">
        <v>1686</v>
      </c>
      <c r="AY177" s="2" t="s">
        <v>1687</v>
      </c>
      <c r="AZ177" s="2">
        <v>380144.56</v>
      </c>
      <c r="BA177" s="73">
        <v>332626.49</v>
      </c>
      <c r="BB177" s="73">
        <v>332626.49</v>
      </c>
      <c r="BC177" s="73">
        <v>380144.56</v>
      </c>
      <c r="BD177" s="73"/>
      <c r="BE177" s="66">
        <v>3.5000000000000003E-2</v>
      </c>
      <c r="BF177" s="66">
        <v>0.05</v>
      </c>
      <c r="BG177" s="63">
        <v>44496</v>
      </c>
      <c r="BH177" s="74">
        <v>43919</v>
      </c>
      <c r="BI177" s="74">
        <v>43934</v>
      </c>
      <c r="BJ177" s="2"/>
      <c r="BK177" s="2"/>
      <c r="BL177" s="1" t="s">
        <v>56</v>
      </c>
    </row>
    <row r="178" spans="1:64" x14ac:dyDescent="0.25">
      <c r="A178" s="81" t="s">
        <v>340</v>
      </c>
      <c r="B178" s="82" t="s">
        <v>1298</v>
      </c>
      <c r="C178" s="81" t="s">
        <v>1299</v>
      </c>
      <c r="D178" s="16">
        <v>45227</v>
      </c>
      <c r="E178" s="17"/>
      <c r="F178" s="2" t="s">
        <v>342</v>
      </c>
      <c r="G178" s="2" t="s">
        <v>343</v>
      </c>
      <c r="H178" s="10" t="s">
        <v>57</v>
      </c>
      <c r="I178" s="11" t="s">
        <v>53</v>
      </c>
      <c r="J178" s="11" t="s">
        <v>156</v>
      </c>
      <c r="K178" s="61"/>
      <c r="L178" s="11" t="s">
        <v>67</v>
      </c>
      <c r="M178" s="25"/>
      <c r="N178" s="82"/>
      <c r="O178" s="3" t="str">
        <f>IF($A178="","",IF(P178=AZ178,"E","A"))</f>
        <v>A</v>
      </c>
      <c r="P178" s="84">
        <v>59165</v>
      </c>
      <c r="Q178" s="84">
        <v>28624</v>
      </c>
      <c r="R178" s="32"/>
      <c r="S178" s="3" t="str">
        <f t="shared" si="105"/>
        <v>A</v>
      </c>
      <c r="T178" s="84">
        <v>50735</v>
      </c>
      <c r="U178" s="84">
        <v>28249</v>
      </c>
      <c r="V178" s="32"/>
      <c r="W178" s="3" t="str">
        <f t="shared" si="93"/>
        <v>A</v>
      </c>
      <c r="X178" s="84">
        <v>47355</v>
      </c>
      <c r="Y178" s="84">
        <v>24042</v>
      </c>
      <c r="Z178" s="32"/>
      <c r="AA178" s="3" t="str">
        <f t="shared" si="94"/>
        <v>A</v>
      </c>
      <c r="AB178" s="84">
        <v>56565</v>
      </c>
      <c r="AC178" s="84">
        <v>25375</v>
      </c>
      <c r="AD178" s="36"/>
      <c r="AE178" s="82"/>
      <c r="AF178" s="3" t="str">
        <f t="shared" si="95"/>
        <v>A</v>
      </c>
      <c r="AG178" s="84">
        <v>0</v>
      </c>
      <c r="AH178" s="84">
        <v>0</v>
      </c>
      <c r="AI178" s="39"/>
      <c r="AJ178" s="79" t="s">
        <v>1801</v>
      </c>
      <c r="AK178" s="39"/>
      <c r="AL178" s="4">
        <f t="shared" si="100"/>
        <v>213820</v>
      </c>
      <c r="AM178" s="4">
        <f t="shared" si="101"/>
        <v>106290</v>
      </c>
      <c r="AN178" s="4">
        <f t="shared" si="96"/>
        <v>320110</v>
      </c>
      <c r="AO178" s="39"/>
      <c r="AP178" s="8">
        <f t="shared" si="102"/>
        <v>0</v>
      </c>
      <c r="AQ178" s="8">
        <f t="shared" si="103"/>
        <v>0</v>
      </c>
      <c r="AR178" s="8">
        <f t="shared" si="97"/>
        <v>0</v>
      </c>
      <c r="AS178" s="42"/>
      <c r="AT178" s="84">
        <v>213820</v>
      </c>
      <c r="AU178" s="84">
        <v>106290</v>
      </c>
      <c r="AV178" s="4">
        <f t="shared" si="98"/>
        <v>320110</v>
      </c>
      <c r="AW178" s="50" t="str">
        <f t="shared" si="99"/>
        <v/>
      </c>
      <c r="AX178" s="1" t="s">
        <v>1686</v>
      </c>
      <c r="AY178" s="2" t="s">
        <v>1687</v>
      </c>
      <c r="AZ178" s="2">
        <v>108654</v>
      </c>
      <c r="BA178" s="73">
        <v>95072.25</v>
      </c>
      <c r="BB178" s="73">
        <v>95072.25</v>
      </c>
      <c r="BC178" s="73">
        <v>108654</v>
      </c>
      <c r="BD178" s="73"/>
      <c r="BE178" s="66">
        <v>0</v>
      </c>
      <c r="BF178" s="66">
        <v>0.05</v>
      </c>
      <c r="BG178" s="63">
        <v>45225</v>
      </c>
      <c r="BH178" s="2"/>
      <c r="BI178" s="2"/>
      <c r="BJ178" s="2">
        <v>398629.69</v>
      </c>
      <c r="BK178" s="2">
        <v>44292.19</v>
      </c>
      <c r="BL178" s="1" t="s">
        <v>56</v>
      </c>
    </row>
    <row r="179" spans="1:64" x14ac:dyDescent="0.25">
      <c r="A179" s="81" t="s">
        <v>344</v>
      </c>
      <c r="B179" s="82" t="s">
        <v>344</v>
      </c>
      <c r="C179" s="81" t="s">
        <v>345</v>
      </c>
      <c r="D179" s="16">
        <v>39299</v>
      </c>
      <c r="E179" s="17"/>
      <c r="F179" s="2" t="s">
        <v>217</v>
      </c>
      <c r="G179" s="2" t="s">
        <v>218</v>
      </c>
      <c r="H179" s="10" t="s">
        <v>105</v>
      </c>
      <c r="I179" s="11" t="s">
        <v>53</v>
      </c>
      <c r="J179" s="11" t="s">
        <v>106</v>
      </c>
      <c r="K179" s="61"/>
      <c r="L179" s="11" t="s">
        <v>67</v>
      </c>
      <c r="M179" s="25"/>
      <c r="N179" s="82"/>
      <c r="O179" s="3" t="str">
        <f>IF($A179="","",IF(P179=0,"A",IF(P179=AZ179,"E","A")))</f>
        <v>A</v>
      </c>
      <c r="P179" s="84">
        <v>270257</v>
      </c>
      <c r="Q179" s="84">
        <v>36872</v>
      </c>
      <c r="R179" s="32"/>
      <c r="S179" s="3" t="str">
        <f t="shared" si="105"/>
        <v>A</v>
      </c>
      <c r="T179" s="84">
        <v>227492</v>
      </c>
      <c r="U179" s="84">
        <v>37077</v>
      </c>
      <c r="V179" s="32"/>
      <c r="W179" s="3" t="str">
        <f t="shared" si="93"/>
        <v>A</v>
      </c>
      <c r="X179" s="84">
        <v>203790</v>
      </c>
      <c r="Y179" s="84">
        <v>28881</v>
      </c>
      <c r="Z179" s="32"/>
      <c r="AA179" s="3" t="str">
        <f t="shared" si="94"/>
        <v>A</v>
      </c>
      <c r="AB179" s="84">
        <v>198867</v>
      </c>
      <c r="AC179" s="84">
        <v>25033</v>
      </c>
      <c r="AD179" s="36"/>
      <c r="AE179" s="82"/>
      <c r="AF179" s="3" t="str">
        <f t="shared" si="95"/>
        <v>A</v>
      </c>
      <c r="AG179" s="84">
        <v>0</v>
      </c>
      <c r="AH179" s="84">
        <v>0</v>
      </c>
      <c r="AI179" s="39"/>
      <c r="AJ179" s="79" t="s">
        <v>1801</v>
      </c>
      <c r="AK179" s="39"/>
      <c r="AL179" s="4">
        <f t="shared" si="100"/>
        <v>900406</v>
      </c>
      <c r="AM179" s="4">
        <f t="shared" si="101"/>
        <v>127863</v>
      </c>
      <c r="AN179" s="4">
        <f t="shared" si="96"/>
        <v>1028269</v>
      </c>
      <c r="AO179" s="39"/>
      <c r="AP179" s="8">
        <f t="shared" si="102"/>
        <v>0</v>
      </c>
      <c r="AQ179" s="8">
        <f t="shared" si="103"/>
        <v>0</v>
      </c>
      <c r="AR179" s="8">
        <f t="shared" si="97"/>
        <v>0</v>
      </c>
      <c r="AS179" s="42"/>
      <c r="AT179" s="84">
        <v>900406</v>
      </c>
      <c r="AU179" s="84">
        <v>127863</v>
      </c>
      <c r="AV179" s="4">
        <f t="shared" si="98"/>
        <v>1028269</v>
      </c>
      <c r="AW179" s="50" t="str">
        <f t="shared" si="99"/>
        <v/>
      </c>
      <c r="AX179" s="1" t="s">
        <v>1658</v>
      </c>
      <c r="AY179" s="2" t="s">
        <v>1659</v>
      </c>
      <c r="AZ179" s="2">
        <v>148200.56</v>
      </c>
      <c r="BA179" s="73">
        <v>129675.49</v>
      </c>
      <c r="BB179" s="73">
        <v>129675.49</v>
      </c>
      <c r="BC179" s="73">
        <v>148200.56</v>
      </c>
      <c r="BD179" s="73"/>
      <c r="BE179" s="66">
        <v>0.04</v>
      </c>
      <c r="BF179" s="66">
        <v>0.05</v>
      </c>
      <c r="BG179" s="63">
        <v>44778</v>
      </c>
      <c r="BH179" s="2"/>
      <c r="BI179" s="2"/>
      <c r="BJ179" s="2"/>
      <c r="BK179" s="2"/>
      <c r="BL179" s="1" t="s">
        <v>219</v>
      </c>
    </row>
    <row r="180" spans="1:64" x14ac:dyDescent="0.25">
      <c r="A180" s="81" t="s">
        <v>344</v>
      </c>
      <c r="B180" s="82" t="s">
        <v>1387</v>
      </c>
      <c r="C180" s="81" t="s">
        <v>1388</v>
      </c>
      <c r="D180" s="16">
        <v>45177</v>
      </c>
      <c r="E180" s="17"/>
      <c r="F180" s="2" t="s">
        <v>217</v>
      </c>
      <c r="G180" s="2" t="s">
        <v>218</v>
      </c>
      <c r="H180" s="10" t="s">
        <v>105</v>
      </c>
      <c r="I180" s="11" t="s">
        <v>53</v>
      </c>
      <c r="J180" s="11" t="s">
        <v>106</v>
      </c>
      <c r="K180" s="61"/>
      <c r="L180" s="11" t="s">
        <v>67</v>
      </c>
      <c r="M180" s="25"/>
      <c r="N180" s="82"/>
      <c r="O180" s="3" t="str">
        <f>IF($A180="","",IF(P180=AZ180,"E","A"))</f>
        <v>A</v>
      </c>
      <c r="P180" s="84">
        <v>50207</v>
      </c>
      <c r="Q180" s="84">
        <v>10710</v>
      </c>
      <c r="R180" s="32"/>
      <c r="S180" s="3" t="str">
        <f t="shared" si="105"/>
        <v>A</v>
      </c>
      <c r="T180" s="84">
        <v>47926</v>
      </c>
      <c r="U180" s="84">
        <v>9415</v>
      </c>
      <c r="V180" s="32"/>
      <c r="W180" s="3" t="str">
        <f t="shared" si="93"/>
        <v>A</v>
      </c>
      <c r="X180" s="84">
        <v>38400</v>
      </c>
      <c r="Y180" s="84">
        <v>8169</v>
      </c>
      <c r="Z180" s="32"/>
      <c r="AA180" s="3" t="str">
        <f t="shared" si="94"/>
        <v>A</v>
      </c>
      <c r="AB180" s="84">
        <v>38499</v>
      </c>
      <c r="AC180" s="84">
        <v>6745</v>
      </c>
      <c r="AD180" s="36"/>
      <c r="AE180" s="82"/>
      <c r="AF180" s="3" t="str">
        <f t="shared" si="95"/>
        <v>A</v>
      </c>
      <c r="AG180" s="84">
        <v>0</v>
      </c>
      <c r="AH180" s="84">
        <v>0</v>
      </c>
      <c r="AI180" s="39"/>
      <c r="AJ180" s="79" t="s">
        <v>1801</v>
      </c>
      <c r="AK180" s="39"/>
      <c r="AL180" s="4">
        <f t="shared" si="100"/>
        <v>175032</v>
      </c>
      <c r="AM180" s="4">
        <f t="shared" si="101"/>
        <v>35039</v>
      </c>
      <c r="AN180" s="4">
        <f t="shared" si="96"/>
        <v>210071</v>
      </c>
      <c r="AO180" s="39"/>
      <c r="AP180" s="8">
        <f t="shared" si="102"/>
        <v>0</v>
      </c>
      <c r="AQ180" s="8">
        <f t="shared" si="103"/>
        <v>0</v>
      </c>
      <c r="AR180" s="8">
        <f t="shared" si="97"/>
        <v>0</v>
      </c>
      <c r="AS180" s="42"/>
      <c r="AT180" s="84">
        <v>175032</v>
      </c>
      <c r="AU180" s="84">
        <v>35039</v>
      </c>
      <c r="AV180" s="4">
        <f t="shared" si="98"/>
        <v>210071</v>
      </c>
      <c r="AW180" s="50" t="str">
        <f t="shared" si="99"/>
        <v/>
      </c>
      <c r="AX180" s="1" t="s">
        <v>1658</v>
      </c>
      <c r="AY180" s="2" t="s">
        <v>1659</v>
      </c>
      <c r="AZ180" s="2">
        <v>114417.44</v>
      </c>
      <c r="BA180" s="73">
        <v>100115.26</v>
      </c>
      <c r="BB180" s="73">
        <v>100115.26</v>
      </c>
      <c r="BC180" s="73">
        <v>114417.44</v>
      </c>
      <c r="BD180" s="73"/>
      <c r="BE180" s="66">
        <v>0</v>
      </c>
      <c r="BF180" s="66">
        <v>0.05</v>
      </c>
      <c r="BG180" s="63">
        <v>45177</v>
      </c>
      <c r="BH180" s="2"/>
      <c r="BI180" s="2"/>
      <c r="BJ180" s="2">
        <v>414936</v>
      </c>
      <c r="BK180" s="2">
        <v>21784.14</v>
      </c>
      <c r="BL180" s="1" t="s">
        <v>219</v>
      </c>
    </row>
    <row r="181" spans="1:64" x14ac:dyDescent="0.25">
      <c r="A181" s="81" t="s">
        <v>346</v>
      </c>
      <c r="B181" s="82" t="s">
        <v>346</v>
      </c>
      <c r="C181" s="81" t="s">
        <v>347</v>
      </c>
      <c r="D181" s="16">
        <v>39353</v>
      </c>
      <c r="E181" s="17"/>
      <c r="F181" s="2" t="s">
        <v>348</v>
      </c>
      <c r="G181" s="2" t="s">
        <v>349</v>
      </c>
      <c r="H181" s="10" t="s">
        <v>105</v>
      </c>
      <c r="I181" s="11" t="s">
        <v>53</v>
      </c>
      <c r="J181" s="11" t="s">
        <v>350</v>
      </c>
      <c r="K181" s="61"/>
      <c r="L181" s="11" t="s">
        <v>67</v>
      </c>
      <c r="M181" s="25"/>
      <c r="N181" s="82"/>
      <c r="O181" s="3" t="str">
        <f>IF($A181="","",IF(P181=0,"A",IF(P181=AZ181,"E","A")))</f>
        <v>A</v>
      </c>
      <c r="P181" s="84">
        <v>97659</v>
      </c>
      <c r="Q181" s="84">
        <v>15726</v>
      </c>
      <c r="R181" s="32"/>
      <c r="S181" s="3" t="str">
        <f t="shared" si="105"/>
        <v>A</v>
      </c>
      <c r="T181" s="84">
        <v>90024</v>
      </c>
      <c r="U181" s="84">
        <v>20102</v>
      </c>
      <c r="V181" s="32"/>
      <c r="W181" s="3" t="str">
        <f t="shared" si="93"/>
        <v>A</v>
      </c>
      <c r="X181" s="84">
        <v>92594</v>
      </c>
      <c r="Y181" s="84">
        <v>14615</v>
      </c>
      <c r="Z181" s="32"/>
      <c r="AA181" s="3" t="str">
        <f t="shared" si="94"/>
        <v>A</v>
      </c>
      <c r="AB181" s="84">
        <v>89919</v>
      </c>
      <c r="AC181" s="84">
        <v>12747</v>
      </c>
      <c r="AD181" s="36"/>
      <c r="AE181" s="82"/>
      <c r="AF181" s="3" t="str">
        <f t="shared" si="95"/>
        <v>A</v>
      </c>
      <c r="AG181" s="84">
        <v>0</v>
      </c>
      <c r="AH181" s="84">
        <v>0</v>
      </c>
      <c r="AI181" s="39"/>
      <c r="AJ181" s="79" t="s">
        <v>1801</v>
      </c>
      <c r="AK181" s="39"/>
      <c r="AL181" s="4">
        <f t="shared" si="100"/>
        <v>370196</v>
      </c>
      <c r="AM181" s="4">
        <f t="shared" si="101"/>
        <v>63190</v>
      </c>
      <c r="AN181" s="4">
        <f t="shared" si="96"/>
        <v>433386</v>
      </c>
      <c r="AO181" s="39"/>
      <c r="AP181" s="8">
        <f t="shared" si="102"/>
        <v>0</v>
      </c>
      <c r="AQ181" s="8">
        <f t="shared" si="103"/>
        <v>0</v>
      </c>
      <c r="AR181" s="8">
        <f t="shared" si="97"/>
        <v>0</v>
      </c>
      <c r="AS181" s="42"/>
      <c r="AT181" s="84">
        <v>370196</v>
      </c>
      <c r="AU181" s="84">
        <v>63190</v>
      </c>
      <c r="AV181" s="4">
        <f t="shared" si="98"/>
        <v>433386</v>
      </c>
      <c r="AW181" s="50" t="str">
        <f t="shared" si="99"/>
        <v/>
      </c>
      <c r="AX181" s="1" t="s">
        <v>1688</v>
      </c>
      <c r="AY181" s="2" t="s">
        <v>1689</v>
      </c>
      <c r="AZ181" s="2">
        <v>102170.4</v>
      </c>
      <c r="BA181" s="73">
        <v>89399.1</v>
      </c>
      <c r="BB181" s="73">
        <v>89399.1</v>
      </c>
      <c r="BC181" s="73">
        <v>102170.4</v>
      </c>
      <c r="BD181" s="73"/>
      <c r="BE181" s="66">
        <v>0.04</v>
      </c>
      <c r="BF181" s="66">
        <v>0.05</v>
      </c>
      <c r="BG181" s="63">
        <v>44828</v>
      </c>
      <c r="BH181" s="2"/>
      <c r="BI181" s="2"/>
      <c r="BJ181" s="2"/>
      <c r="BK181" s="2"/>
      <c r="BL181" s="1" t="s">
        <v>219</v>
      </c>
    </row>
    <row r="182" spans="1:64" x14ac:dyDescent="0.25">
      <c r="A182" s="81" t="s">
        <v>346</v>
      </c>
      <c r="B182" s="82" t="s">
        <v>737</v>
      </c>
      <c r="C182" s="81" t="s">
        <v>738</v>
      </c>
      <c r="D182" s="16">
        <v>41518</v>
      </c>
      <c r="E182" s="17"/>
      <c r="F182" s="2" t="s">
        <v>348</v>
      </c>
      <c r="G182" s="2" t="s">
        <v>349</v>
      </c>
      <c r="H182" s="10" t="s">
        <v>105</v>
      </c>
      <c r="I182" s="11" t="s">
        <v>53</v>
      </c>
      <c r="J182" s="11" t="s">
        <v>350</v>
      </c>
      <c r="K182" s="61"/>
      <c r="L182" s="11" t="s">
        <v>67</v>
      </c>
      <c r="M182" s="25"/>
      <c r="N182" s="82"/>
      <c r="O182" s="3" t="str">
        <f>IF($A182="","",IF(P182=0,"A",IF(P182=AZ182,"E","A")))</f>
        <v>A</v>
      </c>
      <c r="P182" s="84">
        <v>82951</v>
      </c>
      <c r="Q182" s="84">
        <v>10249</v>
      </c>
      <c r="R182" s="32"/>
      <c r="S182" s="3" t="str">
        <f t="shared" si="105"/>
        <v>A</v>
      </c>
      <c r="T182" s="84">
        <v>75826</v>
      </c>
      <c r="U182" s="84">
        <v>17315</v>
      </c>
      <c r="V182" s="32"/>
      <c r="W182" s="3" t="str">
        <f t="shared" si="93"/>
        <v>A</v>
      </c>
      <c r="X182" s="84">
        <v>66023</v>
      </c>
      <c r="Y182" s="84">
        <v>18270</v>
      </c>
      <c r="Z182" s="32"/>
      <c r="AA182" s="3" t="str">
        <f t="shared" si="94"/>
        <v>A</v>
      </c>
      <c r="AB182" s="84">
        <v>76020</v>
      </c>
      <c r="AC182" s="84">
        <v>16737</v>
      </c>
      <c r="AD182" s="36"/>
      <c r="AE182" s="82"/>
      <c r="AF182" s="3" t="str">
        <f t="shared" si="95"/>
        <v>A</v>
      </c>
      <c r="AG182" s="84">
        <v>0</v>
      </c>
      <c r="AH182" s="84">
        <v>0</v>
      </c>
      <c r="AI182" s="39"/>
      <c r="AJ182" s="79" t="s">
        <v>1801</v>
      </c>
      <c r="AK182" s="39"/>
      <c r="AL182" s="4">
        <f t="shared" si="100"/>
        <v>300820</v>
      </c>
      <c r="AM182" s="4">
        <f t="shared" si="101"/>
        <v>62571</v>
      </c>
      <c r="AN182" s="4">
        <f t="shared" si="96"/>
        <v>363391</v>
      </c>
      <c r="AO182" s="39"/>
      <c r="AP182" s="8">
        <f t="shared" si="102"/>
        <v>0</v>
      </c>
      <c r="AQ182" s="8">
        <f t="shared" si="103"/>
        <v>0</v>
      </c>
      <c r="AR182" s="8">
        <f t="shared" si="97"/>
        <v>0</v>
      </c>
      <c r="AS182" s="42"/>
      <c r="AT182" s="84">
        <v>300820</v>
      </c>
      <c r="AU182" s="84">
        <v>62571</v>
      </c>
      <c r="AV182" s="4">
        <f t="shared" si="98"/>
        <v>363391</v>
      </c>
      <c r="AW182" s="50" t="str">
        <f t="shared" si="99"/>
        <v/>
      </c>
      <c r="AX182" s="1" t="s">
        <v>1688</v>
      </c>
      <c r="AY182" s="2" t="s">
        <v>1689</v>
      </c>
      <c r="AZ182" s="2">
        <v>97608.4</v>
      </c>
      <c r="BA182" s="73">
        <v>85407.35</v>
      </c>
      <c r="BB182" s="73">
        <v>85407.35</v>
      </c>
      <c r="BC182" s="73">
        <v>97608.4</v>
      </c>
      <c r="BD182" s="73"/>
      <c r="BE182" s="66">
        <v>0.04</v>
      </c>
      <c r="BF182" s="66">
        <v>0.05</v>
      </c>
      <c r="BG182" s="63">
        <v>44828</v>
      </c>
      <c r="BH182" s="2"/>
      <c r="BI182" s="2"/>
      <c r="BJ182" s="2"/>
      <c r="BK182" s="2"/>
      <c r="BL182" s="1" t="s">
        <v>219</v>
      </c>
    </row>
    <row r="183" spans="1:64" x14ac:dyDescent="0.25">
      <c r="A183" s="81" t="s">
        <v>346</v>
      </c>
      <c r="B183" s="82" t="s">
        <v>1483</v>
      </c>
      <c r="C183" s="81" t="s">
        <v>1484</v>
      </c>
      <c r="D183" s="16">
        <v>0</v>
      </c>
      <c r="E183" s="17"/>
      <c r="F183" s="2" t="s">
        <v>348</v>
      </c>
      <c r="G183" s="2" t="s">
        <v>349</v>
      </c>
      <c r="H183" s="10" t="s">
        <v>105</v>
      </c>
      <c r="I183" s="11" t="s">
        <v>53</v>
      </c>
      <c r="J183" s="11" t="s">
        <v>350</v>
      </c>
      <c r="K183" s="61"/>
      <c r="L183" s="11" t="s">
        <v>67</v>
      </c>
      <c r="M183" s="25"/>
      <c r="N183" s="82"/>
      <c r="O183" s="3" t="str">
        <f>IF($A183="","",IF(P183=AZ183,"E","A"))</f>
        <v>A</v>
      </c>
      <c r="P183" s="84">
        <v>103423</v>
      </c>
      <c r="Q183" s="84">
        <v>0</v>
      </c>
      <c r="R183" s="32"/>
      <c r="S183" s="3" t="str">
        <f>IF($A183="","",IF(T183=BA183,"E","A"))</f>
        <v>A</v>
      </c>
      <c r="T183" s="84">
        <v>101134</v>
      </c>
      <c r="U183" s="84">
        <v>15</v>
      </c>
      <c r="V183" s="32"/>
      <c r="W183" s="3" t="str">
        <f t="shared" si="93"/>
        <v>A</v>
      </c>
      <c r="X183" s="84">
        <v>88360</v>
      </c>
      <c r="Y183" s="84">
        <v>210</v>
      </c>
      <c r="Z183" s="32"/>
      <c r="AA183" s="3" t="str">
        <f t="shared" si="94"/>
        <v>A</v>
      </c>
      <c r="AB183" s="84">
        <v>95453</v>
      </c>
      <c r="AC183" s="84">
        <v>360</v>
      </c>
      <c r="AD183" s="36"/>
      <c r="AE183" s="82"/>
      <c r="AF183" s="3" t="str">
        <f t="shared" si="95"/>
        <v>A</v>
      </c>
      <c r="AG183" s="84">
        <v>0</v>
      </c>
      <c r="AH183" s="84">
        <v>0</v>
      </c>
      <c r="AI183" s="39"/>
      <c r="AJ183" s="79" t="s">
        <v>1801</v>
      </c>
      <c r="AK183" s="39"/>
      <c r="AL183" s="4">
        <f t="shared" si="100"/>
        <v>388370</v>
      </c>
      <c r="AM183" s="4">
        <f t="shared" si="101"/>
        <v>585</v>
      </c>
      <c r="AN183" s="4">
        <f t="shared" si="96"/>
        <v>388955</v>
      </c>
      <c r="AO183" s="39"/>
      <c r="AP183" s="8">
        <f t="shared" si="102"/>
        <v>0</v>
      </c>
      <c r="AQ183" s="8">
        <f t="shared" si="103"/>
        <v>0</v>
      </c>
      <c r="AR183" s="8">
        <f t="shared" si="97"/>
        <v>0</v>
      </c>
      <c r="AS183" s="42"/>
      <c r="AT183" s="84">
        <v>388370</v>
      </c>
      <c r="AU183" s="84">
        <v>585</v>
      </c>
      <c r="AV183" s="4">
        <f t="shared" si="98"/>
        <v>388955</v>
      </c>
      <c r="AW183" s="50" t="str">
        <f t="shared" si="99"/>
        <v/>
      </c>
      <c r="AX183" s="1" t="s">
        <v>1688</v>
      </c>
      <c r="AY183" s="2" t="s">
        <v>1689</v>
      </c>
      <c r="AZ183" s="2">
        <v>71308.08</v>
      </c>
      <c r="BA183" s="73">
        <v>62394.57</v>
      </c>
      <c r="BB183" s="73">
        <v>62394.57</v>
      </c>
      <c r="BC183" s="73">
        <v>71308.08</v>
      </c>
      <c r="BD183" s="73"/>
      <c r="BE183" s="66">
        <v>0</v>
      </c>
      <c r="BF183" s="66">
        <v>0.05</v>
      </c>
      <c r="BG183" s="63">
        <v>45463</v>
      </c>
      <c r="BH183" s="2"/>
      <c r="BI183" s="2"/>
      <c r="BJ183" s="2">
        <v>264960.96000000002</v>
      </c>
      <c r="BK183" s="2"/>
      <c r="BL183" s="1" t="s">
        <v>219</v>
      </c>
    </row>
    <row r="184" spans="1:64" x14ac:dyDescent="0.25">
      <c r="A184" s="81" t="s">
        <v>351</v>
      </c>
      <c r="B184" s="82" t="s">
        <v>351</v>
      </c>
      <c r="C184" s="81" t="s">
        <v>352</v>
      </c>
      <c r="D184" s="16">
        <v>41734</v>
      </c>
      <c r="E184" s="17"/>
      <c r="F184" s="2" t="s">
        <v>243</v>
      </c>
      <c r="G184" s="2" t="s">
        <v>245</v>
      </c>
      <c r="H184" s="10" t="s">
        <v>105</v>
      </c>
      <c r="I184" s="11" t="s">
        <v>244</v>
      </c>
      <c r="J184" s="11" t="s">
        <v>334</v>
      </c>
      <c r="K184" s="61" t="s">
        <v>335</v>
      </c>
      <c r="L184" s="11" t="s">
        <v>67</v>
      </c>
      <c r="M184" s="25"/>
      <c r="N184" s="82"/>
      <c r="O184" s="3" t="str">
        <f t="shared" ref="O184:O202" si="106">IF($A184="","",IF(P184=0,"A",IF(P184=AZ184,"E","A")))</f>
        <v>A</v>
      </c>
      <c r="P184" s="84">
        <v>120238.10999999999</v>
      </c>
      <c r="Q184" s="84">
        <v>16826</v>
      </c>
      <c r="R184" s="32"/>
      <c r="S184" s="3" t="str">
        <f t="shared" ref="S184:S203" si="107">IF($A184="","",IF(T184=0,"A",IF(T184=BA184,"E","A")))</f>
        <v>A</v>
      </c>
      <c r="T184" s="84">
        <v>100299</v>
      </c>
      <c r="U184" s="84">
        <v>15877</v>
      </c>
      <c r="V184" s="32"/>
      <c r="W184" s="3" t="str">
        <f t="shared" si="93"/>
        <v>A</v>
      </c>
      <c r="X184" s="84">
        <v>94254.87</v>
      </c>
      <c r="Y184" s="84">
        <v>14506.89</v>
      </c>
      <c r="Z184" s="32"/>
      <c r="AA184" s="3" t="str">
        <f t="shared" si="94"/>
        <v>A</v>
      </c>
      <c r="AB184" s="84">
        <v>108490.93</v>
      </c>
      <c r="AC184" s="84">
        <v>14014.38</v>
      </c>
      <c r="AD184" s="36"/>
      <c r="AE184" s="82"/>
      <c r="AF184" s="3" t="str">
        <f t="shared" si="95"/>
        <v>A</v>
      </c>
      <c r="AG184" s="84">
        <v>0</v>
      </c>
      <c r="AH184" s="84">
        <v>0</v>
      </c>
      <c r="AI184" s="39"/>
      <c r="AJ184" s="79" t="s">
        <v>1801</v>
      </c>
      <c r="AK184" s="39"/>
      <c r="AL184" s="4">
        <f t="shared" si="100"/>
        <v>423282.91</v>
      </c>
      <c r="AM184" s="4">
        <f t="shared" si="101"/>
        <v>61224.27</v>
      </c>
      <c r="AN184" s="4">
        <f t="shared" si="96"/>
        <v>484507.18</v>
      </c>
      <c r="AO184" s="39"/>
      <c r="AP184" s="8">
        <f t="shared" si="102"/>
        <v>0</v>
      </c>
      <c r="AQ184" s="8">
        <f t="shared" si="103"/>
        <v>0</v>
      </c>
      <c r="AR184" s="8">
        <f t="shared" si="97"/>
        <v>0</v>
      </c>
      <c r="AS184" s="42"/>
      <c r="AT184" s="84">
        <v>423282.91</v>
      </c>
      <c r="AU184" s="84">
        <v>61224.27</v>
      </c>
      <c r="AV184" s="4">
        <f t="shared" si="98"/>
        <v>484507.18</v>
      </c>
      <c r="AW184" s="50" t="str">
        <f t="shared" si="99"/>
        <v/>
      </c>
      <c r="AX184" s="1" t="s">
        <v>1639</v>
      </c>
      <c r="AY184" s="2" t="s">
        <v>1640</v>
      </c>
      <c r="AZ184" s="2">
        <v>112343.52</v>
      </c>
      <c r="BA184" s="73">
        <v>98300.58</v>
      </c>
      <c r="BB184" s="73">
        <v>98300.58</v>
      </c>
      <c r="BC184" s="73">
        <v>112343.52</v>
      </c>
      <c r="BD184" s="73"/>
      <c r="BE184" s="66">
        <v>0</v>
      </c>
      <c r="BF184" s="66">
        <v>0.02</v>
      </c>
      <c r="BG184" s="63">
        <v>45387</v>
      </c>
      <c r="BH184" s="74">
        <v>41651</v>
      </c>
      <c r="BI184" s="74">
        <v>41734</v>
      </c>
      <c r="BJ184" s="2"/>
      <c r="BK184" s="2"/>
      <c r="BL184" s="1" t="s">
        <v>219</v>
      </c>
    </row>
    <row r="185" spans="1:64" x14ac:dyDescent="0.25">
      <c r="A185" s="81" t="s">
        <v>351</v>
      </c>
      <c r="B185" s="82" t="s">
        <v>1237</v>
      </c>
      <c r="C185" s="81" t="s">
        <v>1238</v>
      </c>
      <c r="D185" s="16">
        <v>45046</v>
      </c>
      <c r="E185" s="17"/>
      <c r="F185" s="2" t="s">
        <v>243</v>
      </c>
      <c r="G185" s="2" t="s">
        <v>245</v>
      </c>
      <c r="H185" s="10" t="s">
        <v>105</v>
      </c>
      <c r="I185" s="11" t="s">
        <v>244</v>
      </c>
      <c r="J185" s="11" t="s">
        <v>334</v>
      </c>
      <c r="K185" s="61" t="s">
        <v>335</v>
      </c>
      <c r="L185" s="11" t="s">
        <v>67</v>
      </c>
      <c r="M185" s="25"/>
      <c r="N185" s="82"/>
      <c r="O185" s="3" t="str">
        <f t="shared" si="106"/>
        <v>A</v>
      </c>
      <c r="P185" s="84">
        <v>37612</v>
      </c>
      <c r="Q185" s="84">
        <v>8887</v>
      </c>
      <c r="R185" s="32"/>
      <c r="S185" s="3" t="str">
        <f t="shared" si="107"/>
        <v>A</v>
      </c>
      <c r="T185" s="84">
        <v>30466</v>
      </c>
      <c r="U185" s="84">
        <v>7500</v>
      </c>
      <c r="V185" s="32"/>
      <c r="W185" s="3" t="str">
        <f t="shared" si="93"/>
        <v>A</v>
      </c>
      <c r="X185" s="84">
        <v>32631</v>
      </c>
      <c r="Y185" s="84">
        <v>8432</v>
      </c>
      <c r="Z185" s="32"/>
      <c r="AA185" s="3" t="str">
        <f t="shared" si="94"/>
        <v>A</v>
      </c>
      <c r="AB185" s="84">
        <v>32719</v>
      </c>
      <c r="AC185" s="84">
        <v>9447</v>
      </c>
      <c r="AD185" s="36"/>
      <c r="AE185" s="82"/>
      <c r="AF185" s="3" t="str">
        <f t="shared" si="95"/>
        <v>A</v>
      </c>
      <c r="AG185" s="84">
        <v>0</v>
      </c>
      <c r="AH185" s="84">
        <v>0</v>
      </c>
      <c r="AI185" s="39"/>
      <c r="AJ185" s="79" t="s">
        <v>1801</v>
      </c>
      <c r="AK185" s="39"/>
      <c r="AL185" s="4">
        <f t="shared" si="100"/>
        <v>133428</v>
      </c>
      <c r="AM185" s="4">
        <f t="shared" si="101"/>
        <v>34266</v>
      </c>
      <c r="AN185" s="4">
        <f t="shared" si="96"/>
        <v>167694</v>
      </c>
      <c r="AO185" s="39"/>
      <c r="AP185" s="8">
        <f t="shared" si="102"/>
        <v>0</v>
      </c>
      <c r="AQ185" s="8">
        <f t="shared" si="103"/>
        <v>0</v>
      </c>
      <c r="AR185" s="8">
        <f t="shared" si="97"/>
        <v>0</v>
      </c>
      <c r="AS185" s="42"/>
      <c r="AT185" s="84">
        <v>133428</v>
      </c>
      <c r="AU185" s="84">
        <v>34266</v>
      </c>
      <c r="AV185" s="4">
        <f t="shared" si="98"/>
        <v>167694</v>
      </c>
      <c r="AW185" s="50" t="str">
        <f t="shared" si="99"/>
        <v/>
      </c>
      <c r="AX185" s="1" t="s">
        <v>1639</v>
      </c>
      <c r="AY185" s="2" t="s">
        <v>1640</v>
      </c>
      <c r="AZ185" s="2">
        <v>83047.92</v>
      </c>
      <c r="BA185" s="73">
        <v>72666.929999999993</v>
      </c>
      <c r="BB185" s="73">
        <v>72666.929999999993</v>
      </c>
      <c r="BC185" s="73">
        <v>83047.92</v>
      </c>
      <c r="BD185" s="73"/>
      <c r="BE185" s="66">
        <v>0</v>
      </c>
      <c r="BF185" s="66">
        <v>0.02</v>
      </c>
      <c r="BG185" s="63">
        <v>45387</v>
      </c>
      <c r="BH185" s="2"/>
      <c r="BI185" s="2"/>
      <c r="BJ185" s="2">
        <v>299852.28000000003</v>
      </c>
      <c r="BK185" s="2">
        <v>33316.92</v>
      </c>
      <c r="BL185" s="1" t="s">
        <v>219</v>
      </c>
    </row>
    <row r="186" spans="1:64" x14ac:dyDescent="0.25">
      <c r="A186" s="81" t="s">
        <v>353</v>
      </c>
      <c r="B186" s="82" t="s">
        <v>353</v>
      </c>
      <c r="C186" s="81" t="s">
        <v>354</v>
      </c>
      <c r="D186" s="16">
        <v>39546</v>
      </c>
      <c r="E186" s="17"/>
      <c r="F186" s="2" t="s">
        <v>76</v>
      </c>
      <c r="G186" s="2" t="s">
        <v>78</v>
      </c>
      <c r="H186" s="10" t="s">
        <v>57</v>
      </c>
      <c r="I186" s="11" t="s">
        <v>77</v>
      </c>
      <c r="J186" s="11" t="s">
        <v>87</v>
      </c>
      <c r="K186" s="61" t="s">
        <v>88</v>
      </c>
      <c r="L186" s="11" t="s">
        <v>67</v>
      </c>
      <c r="M186" s="25"/>
      <c r="N186" s="82"/>
      <c r="O186" s="3" t="str">
        <f t="shared" si="106"/>
        <v>A</v>
      </c>
      <c r="P186" s="84">
        <v>351780</v>
      </c>
      <c r="Q186" s="84">
        <v>119827</v>
      </c>
      <c r="R186" s="32"/>
      <c r="S186" s="3" t="str">
        <f t="shared" si="107"/>
        <v>A</v>
      </c>
      <c r="T186" s="84">
        <v>311022</v>
      </c>
      <c r="U186" s="84">
        <v>110818</v>
      </c>
      <c r="V186" s="32"/>
      <c r="W186" s="3" t="str">
        <f t="shared" si="93"/>
        <v>A</v>
      </c>
      <c r="X186" s="84">
        <v>263212.5</v>
      </c>
      <c r="Y186" s="84">
        <v>82025</v>
      </c>
      <c r="Z186" s="32"/>
      <c r="AA186" s="3" t="str">
        <f t="shared" si="94"/>
        <v>A</v>
      </c>
      <c r="AB186" s="84">
        <v>288921</v>
      </c>
      <c r="AC186" s="84">
        <v>101497</v>
      </c>
      <c r="AD186" s="36"/>
      <c r="AE186" s="82"/>
      <c r="AF186" s="3" t="str">
        <f t="shared" si="95"/>
        <v>A</v>
      </c>
      <c r="AG186" s="84">
        <v>0</v>
      </c>
      <c r="AH186" s="84">
        <v>0</v>
      </c>
      <c r="AI186" s="39"/>
      <c r="AJ186" s="79" t="s">
        <v>1801</v>
      </c>
      <c r="AK186" s="39"/>
      <c r="AL186" s="4">
        <f t="shared" si="100"/>
        <v>1214935.5</v>
      </c>
      <c r="AM186" s="4">
        <f t="shared" si="101"/>
        <v>414167</v>
      </c>
      <c r="AN186" s="4">
        <f t="shared" si="96"/>
        <v>1629102.5</v>
      </c>
      <c r="AO186" s="39"/>
      <c r="AP186" s="8">
        <f t="shared" si="102"/>
        <v>0</v>
      </c>
      <c r="AQ186" s="8">
        <f t="shared" si="103"/>
        <v>0</v>
      </c>
      <c r="AR186" s="8">
        <f t="shared" si="97"/>
        <v>0</v>
      </c>
      <c r="AS186" s="42"/>
      <c r="AT186" s="84">
        <v>1214935.5</v>
      </c>
      <c r="AU186" s="84">
        <v>414167</v>
      </c>
      <c r="AV186" s="4">
        <f t="shared" si="98"/>
        <v>1629102.5</v>
      </c>
      <c r="AW186" s="50" t="str">
        <f t="shared" si="99"/>
        <v/>
      </c>
      <c r="AX186" s="1" t="s">
        <v>1639</v>
      </c>
      <c r="AY186" s="2" t="s">
        <v>1640</v>
      </c>
      <c r="AZ186" s="2">
        <v>235762.56</v>
      </c>
      <c r="BA186" s="73">
        <v>206292.24</v>
      </c>
      <c r="BB186" s="73">
        <v>206292.24</v>
      </c>
      <c r="BC186" s="73">
        <v>235762.56</v>
      </c>
      <c r="BD186" s="73"/>
      <c r="BE186" s="66">
        <v>3.5000000000000003E-2</v>
      </c>
      <c r="BF186" s="66">
        <v>0.02</v>
      </c>
      <c r="BG186" s="63">
        <v>45014</v>
      </c>
      <c r="BH186" s="2"/>
      <c r="BI186" s="2"/>
      <c r="BJ186" s="2"/>
      <c r="BK186" s="2"/>
      <c r="BL186" s="1" t="s">
        <v>56</v>
      </c>
    </row>
    <row r="187" spans="1:64" x14ac:dyDescent="0.25">
      <c r="A187" s="81" t="s">
        <v>353</v>
      </c>
      <c r="B187" s="82" t="s">
        <v>741</v>
      </c>
      <c r="C187" s="81" t="s">
        <v>742</v>
      </c>
      <c r="D187" s="16">
        <v>42108</v>
      </c>
      <c r="E187" s="17"/>
      <c r="F187" s="2" t="s">
        <v>76</v>
      </c>
      <c r="G187" s="2" t="s">
        <v>78</v>
      </c>
      <c r="H187" s="10" t="s">
        <v>57</v>
      </c>
      <c r="I187" s="11" t="s">
        <v>77</v>
      </c>
      <c r="J187" s="11" t="s">
        <v>87</v>
      </c>
      <c r="K187" s="61" t="s">
        <v>88</v>
      </c>
      <c r="L187" s="11" t="s">
        <v>67</v>
      </c>
      <c r="M187" s="25"/>
      <c r="N187" s="82"/>
      <c r="O187" s="3" t="str">
        <f t="shared" si="106"/>
        <v>A</v>
      </c>
      <c r="P187" s="84">
        <v>21863</v>
      </c>
      <c r="Q187" s="84">
        <v>18488</v>
      </c>
      <c r="R187" s="32"/>
      <c r="S187" s="3" t="str">
        <f t="shared" si="107"/>
        <v>A</v>
      </c>
      <c r="T187" s="84">
        <v>17398</v>
      </c>
      <c r="U187" s="84">
        <v>12883</v>
      </c>
      <c r="V187" s="32"/>
      <c r="W187" s="3" t="str">
        <f t="shared" si="93"/>
        <v>A</v>
      </c>
      <c r="X187" s="84">
        <v>17272</v>
      </c>
      <c r="Y187" s="84">
        <v>11126</v>
      </c>
      <c r="Z187" s="32"/>
      <c r="AA187" s="3" t="str">
        <f t="shared" si="94"/>
        <v>A</v>
      </c>
      <c r="AB187" s="84">
        <v>20538</v>
      </c>
      <c r="AC187" s="84">
        <v>12284</v>
      </c>
      <c r="AD187" s="36"/>
      <c r="AE187" s="82"/>
      <c r="AF187" s="3" t="str">
        <f t="shared" si="95"/>
        <v>A</v>
      </c>
      <c r="AG187" s="84">
        <v>0</v>
      </c>
      <c r="AH187" s="84">
        <v>0</v>
      </c>
      <c r="AI187" s="39"/>
      <c r="AJ187" s="79" t="s">
        <v>1801</v>
      </c>
      <c r="AK187" s="39"/>
      <c r="AL187" s="4">
        <f t="shared" si="100"/>
        <v>77071</v>
      </c>
      <c r="AM187" s="4">
        <f t="shared" si="101"/>
        <v>54781</v>
      </c>
      <c r="AN187" s="4">
        <f t="shared" si="96"/>
        <v>131852</v>
      </c>
      <c r="AO187" s="39"/>
      <c r="AP187" s="8">
        <f t="shared" si="102"/>
        <v>0</v>
      </c>
      <c r="AQ187" s="8">
        <f t="shared" si="103"/>
        <v>0</v>
      </c>
      <c r="AR187" s="8">
        <f t="shared" si="97"/>
        <v>0</v>
      </c>
      <c r="AS187" s="42"/>
      <c r="AT187" s="84">
        <v>77071</v>
      </c>
      <c r="AU187" s="84">
        <v>54781</v>
      </c>
      <c r="AV187" s="4">
        <f t="shared" si="98"/>
        <v>131852</v>
      </c>
      <c r="AW187" s="50" t="str">
        <f t="shared" si="99"/>
        <v/>
      </c>
      <c r="AX187" s="1" t="s">
        <v>1639</v>
      </c>
      <c r="AY187" s="2" t="s">
        <v>1640</v>
      </c>
      <c r="AZ187" s="2">
        <v>24062.799999999999</v>
      </c>
      <c r="BA187" s="73">
        <v>21054.95</v>
      </c>
      <c r="BB187" s="73">
        <v>21054.95</v>
      </c>
      <c r="BC187" s="73">
        <v>24062.799999999999</v>
      </c>
      <c r="BD187" s="73"/>
      <c r="BE187" s="66">
        <v>3.5000000000000003E-2</v>
      </c>
      <c r="BF187" s="66">
        <v>0.02</v>
      </c>
      <c r="BG187" s="63">
        <v>45014</v>
      </c>
      <c r="BH187" s="2"/>
      <c r="BI187" s="2"/>
      <c r="BJ187" s="2"/>
      <c r="BK187" s="2"/>
      <c r="BL187" s="1" t="s">
        <v>56</v>
      </c>
    </row>
    <row r="188" spans="1:64" x14ac:dyDescent="0.25">
      <c r="A188" s="81" t="s">
        <v>355</v>
      </c>
      <c r="B188" s="82" t="s">
        <v>355</v>
      </c>
      <c r="C188" s="81" t="s">
        <v>356</v>
      </c>
      <c r="D188" s="16">
        <v>39596</v>
      </c>
      <c r="E188" s="17"/>
      <c r="F188" s="2" t="s">
        <v>52</v>
      </c>
      <c r="G188" s="2" t="s">
        <v>55</v>
      </c>
      <c r="H188" s="10" t="s">
        <v>57</v>
      </c>
      <c r="I188" s="11" t="s">
        <v>54</v>
      </c>
      <c r="J188" s="11" t="s">
        <v>131</v>
      </c>
      <c r="K188" s="61" t="s">
        <v>132</v>
      </c>
      <c r="L188" s="11" t="s">
        <v>67</v>
      </c>
      <c r="M188" s="25"/>
      <c r="N188" s="82"/>
      <c r="O188" s="3" t="str">
        <f t="shared" si="106"/>
        <v>A</v>
      </c>
      <c r="P188" s="84">
        <v>69576.95</v>
      </c>
      <c r="Q188" s="84">
        <v>13918</v>
      </c>
      <c r="R188" s="32"/>
      <c r="S188" s="3" t="str">
        <f t="shared" si="107"/>
        <v>A</v>
      </c>
      <c r="T188" s="84">
        <v>63879.4</v>
      </c>
      <c r="U188" s="84">
        <v>12345</v>
      </c>
      <c r="V188" s="32"/>
      <c r="W188" s="3" t="str">
        <f t="shared" si="93"/>
        <v>A</v>
      </c>
      <c r="X188" s="84">
        <v>70770.8</v>
      </c>
      <c r="Y188" s="84">
        <v>14221</v>
      </c>
      <c r="Z188" s="32"/>
      <c r="AA188" s="3" t="str">
        <f t="shared" si="94"/>
        <v>A</v>
      </c>
      <c r="AB188" s="84">
        <v>76928.600000000006</v>
      </c>
      <c r="AC188" s="84">
        <v>15491</v>
      </c>
      <c r="AD188" s="36"/>
      <c r="AE188" s="82"/>
      <c r="AF188" s="3" t="str">
        <f t="shared" si="95"/>
        <v>A</v>
      </c>
      <c r="AG188" s="84">
        <v>0</v>
      </c>
      <c r="AH188" s="84">
        <v>0</v>
      </c>
      <c r="AI188" s="39"/>
      <c r="AJ188" s="79" t="s">
        <v>1801</v>
      </c>
      <c r="AK188" s="39"/>
      <c r="AL188" s="4">
        <f t="shared" si="100"/>
        <v>281155.75</v>
      </c>
      <c r="AM188" s="4">
        <f t="shared" si="101"/>
        <v>55975</v>
      </c>
      <c r="AN188" s="4">
        <f t="shared" si="96"/>
        <v>337130.75</v>
      </c>
      <c r="AO188" s="39"/>
      <c r="AP188" s="8">
        <f t="shared" si="102"/>
        <v>0</v>
      </c>
      <c r="AQ188" s="8">
        <f t="shared" si="103"/>
        <v>0</v>
      </c>
      <c r="AR188" s="8">
        <f t="shared" si="97"/>
        <v>0</v>
      </c>
      <c r="AS188" s="42"/>
      <c r="AT188" s="84">
        <v>281155.75</v>
      </c>
      <c r="AU188" s="84">
        <v>55975</v>
      </c>
      <c r="AV188" s="4">
        <f t="shared" si="98"/>
        <v>337130.75</v>
      </c>
      <c r="AW188" s="50" t="str">
        <f t="shared" si="99"/>
        <v/>
      </c>
      <c r="AX188" s="1" t="s">
        <v>1639</v>
      </c>
      <c r="AY188" s="2" t="s">
        <v>1640</v>
      </c>
      <c r="AZ188" s="2">
        <v>102788.24</v>
      </c>
      <c r="BA188" s="73">
        <v>89939.71</v>
      </c>
      <c r="BB188" s="73">
        <v>89939.71</v>
      </c>
      <c r="BC188" s="73">
        <v>102788.24</v>
      </c>
      <c r="BD188" s="73"/>
      <c r="BE188" s="66">
        <v>3.5000000000000003E-2</v>
      </c>
      <c r="BF188" s="66">
        <v>0.02</v>
      </c>
      <c r="BG188" s="63">
        <v>45069</v>
      </c>
      <c r="BH188" s="2"/>
      <c r="BI188" s="2"/>
      <c r="BJ188" s="2"/>
      <c r="BK188" s="2"/>
      <c r="BL188" s="1" t="s">
        <v>56</v>
      </c>
    </row>
    <row r="189" spans="1:64" x14ac:dyDescent="0.25">
      <c r="A189" s="81" t="s">
        <v>357</v>
      </c>
      <c r="B189" s="82" t="s">
        <v>357</v>
      </c>
      <c r="C189" s="81" t="s">
        <v>358</v>
      </c>
      <c r="D189" s="16">
        <v>41460</v>
      </c>
      <c r="E189" s="17"/>
      <c r="F189" s="2" t="s">
        <v>109</v>
      </c>
      <c r="G189" s="2" t="s">
        <v>111</v>
      </c>
      <c r="H189" s="10" t="s">
        <v>105</v>
      </c>
      <c r="I189" s="11" t="s">
        <v>110</v>
      </c>
      <c r="J189" s="11" t="s">
        <v>229</v>
      </c>
      <c r="K189" s="61" t="s">
        <v>230</v>
      </c>
      <c r="L189" s="11" t="s">
        <v>67</v>
      </c>
      <c r="M189" s="25"/>
      <c r="N189" s="82"/>
      <c r="O189" s="3" t="str">
        <f t="shared" si="106"/>
        <v>A</v>
      </c>
      <c r="P189" s="84">
        <v>74701</v>
      </c>
      <c r="Q189" s="84">
        <v>24413</v>
      </c>
      <c r="R189" s="32"/>
      <c r="S189" s="3" t="str">
        <f t="shared" si="107"/>
        <v>A</v>
      </c>
      <c r="T189" s="84">
        <v>76785</v>
      </c>
      <c r="U189" s="84">
        <v>16087</v>
      </c>
      <c r="V189" s="32"/>
      <c r="W189" s="3" t="str">
        <f t="shared" si="93"/>
        <v>A</v>
      </c>
      <c r="X189" s="84">
        <v>48109.82</v>
      </c>
      <c r="Y189" s="84">
        <v>16563.73</v>
      </c>
      <c r="Z189" s="32"/>
      <c r="AA189" s="3" t="str">
        <f t="shared" si="94"/>
        <v>A</v>
      </c>
      <c r="AB189" s="84">
        <v>77123</v>
      </c>
      <c r="AC189" s="84">
        <v>15946</v>
      </c>
      <c r="AD189" s="36"/>
      <c r="AE189" s="82"/>
      <c r="AF189" s="3" t="str">
        <f t="shared" si="95"/>
        <v>A</v>
      </c>
      <c r="AG189" s="84">
        <v>0</v>
      </c>
      <c r="AH189" s="84">
        <v>0</v>
      </c>
      <c r="AI189" s="39"/>
      <c r="AJ189" s="79" t="s">
        <v>1801</v>
      </c>
      <c r="AK189" s="39"/>
      <c r="AL189" s="4">
        <f t="shared" si="100"/>
        <v>276718.82</v>
      </c>
      <c r="AM189" s="4">
        <f t="shared" si="101"/>
        <v>73009.73</v>
      </c>
      <c r="AN189" s="4">
        <f t="shared" si="96"/>
        <v>349728.55</v>
      </c>
      <c r="AO189" s="39"/>
      <c r="AP189" s="8">
        <f t="shared" si="102"/>
        <v>0</v>
      </c>
      <c r="AQ189" s="8">
        <f t="shared" si="103"/>
        <v>0</v>
      </c>
      <c r="AR189" s="8">
        <f t="shared" si="97"/>
        <v>0</v>
      </c>
      <c r="AS189" s="42"/>
      <c r="AT189" s="84">
        <v>276718.82</v>
      </c>
      <c r="AU189" s="84">
        <v>73009.73000000001</v>
      </c>
      <c r="AV189" s="4">
        <f t="shared" si="98"/>
        <v>349728.55000000005</v>
      </c>
      <c r="AW189" s="50" t="str">
        <f t="shared" si="99"/>
        <v/>
      </c>
      <c r="AX189" s="1" t="s">
        <v>1647</v>
      </c>
      <c r="AY189" s="2" t="s">
        <v>1640</v>
      </c>
      <c r="AZ189" s="2">
        <v>169526.8</v>
      </c>
      <c r="BA189" s="73">
        <v>148335.95000000001</v>
      </c>
      <c r="BB189" s="73">
        <v>148335.95000000001</v>
      </c>
      <c r="BC189" s="73">
        <v>169526.8</v>
      </c>
      <c r="BD189" s="73"/>
      <c r="BE189" s="66">
        <v>0</v>
      </c>
      <c r="BF189" s="66">
        <v>0.02</v>
      </c>
      <c r="BG189" s="63">
        <v>45091</v>
      </c>
      <c r="BH189" s="74">
        <v>44984</v>
      </c>
      <c r="BI189" s="74">
        <v>45011</v>
      </c>
      <c r="BJ189" s="2"/>
      <c r="BK189" s="2"/>
      <c r="BL189" s="1" t="s">
        <v>219</v>
      </c>
    </row>
    <row r="190" spans="1:64" x14ac:dyDescent="0.25">
      <c r="A190" s="81" t="s">
        <v>359</v>
      </c>
      <c r="B190" s="82" t="s">
        <v>359</v>
      </c>
      <c r="C190" s="81" t="s">
        <v>360</v>
      </c>
      <c r="D190" s="16">
        <v>39647</v>
      </c>
      <c r="E190" s="17"/>
      <c r="F190" s="2" t="s">
        <v>187</v>
      </c>
      <c r="G190" s="2" t="s">
        <v>189</v>
      </c>
      <c r="H190" s="10" t="s">
        <v>57</v>
      </c>
      <c r="I190" s="11" t="s">
        <v>188</v>
      </c>
      <c r="J190" s="11" t="s">
        <v>338</v>
      </c>
      <c r="K190" s="61" t="s">
        <v>339</v>
      </c>
      <c r="L190" s="11" t="s">
        <v>67</v>
      </c>
      <c r="M190" s="25"/>
      <c r="N190" s="82"/>
      <c r="O190" s="3" t="str">
        <f t="shared" si="106"/>
        <v>A</v>
      </c>
      <c r="P190" s="84">
        <v>138483</v>
      </c>
      <c r="Q190" s="84">
        <v>45681</v>
      </c>
      <c r="R190" s="32"/>
      <c r="S190" s="3" t="str">
        <f t="shared" si="107"/>
        <v>A</v>
      </c>
      <c r="T190" s="84">
        <v>115417.5</v>
      </c>
      <c r="U190" s="84">
        <v>27665</v>
      </c>
      <c r="V190" s="32"/>
      <c r="W190" s="3" t="str">
        <f t="shared" si="93"/>
        <v>A</v>
      </c>
      <c r="X190" s="84">
        <v>94798.6</v>
      </c>
      <c r="Y190" s="84">
        <v>27115</v>
      </c>
      <c r="Z190" s="32"/>
      <c r="AA190" s="3" t="str">
        <f t="shared" si="94"/>
        <v>A</v>
      </c>
      <c r="AB190" s="84">
        <v>107960</v>
      </c>
      <c r="AC190" s="84">
        <v>31495</v>
      </c>
      <c r="AD190" s="36"/>
      <c r="AE190" s="82"/>
      <c r="AF190" s="3" t="str">
        <f t="shared" si="95"/>
        <v>A</v>
      </c>
      <c r="AG190" s="84">
        <v>0</v>
      </c>
      <c r="AH190" s="84">
        <v>0</v>
      </c>
      <c r="AI190" s="39"/>
      <c r="AJ190" s="79" t="s">
        <v>1801</v>
      </c>
      <c r="AK190" s="39"/>
      <c r="AL190" s="4">
        <f t="shared" si="100"/>
        <v>456659.1</v>
      </c>
      <c r="AM190" s="4">
        <f t="shared" si="101"/>
        <v>131956</v>
      </c>
      <c r="AN190" s="4">
        <f t="shared" si="96"/>
        <v>588615.1</v>
      </c>
      <c r="AO190" s="39"/>
      <c r="AP190" s="8">
        <f t="shared" si="102"/>
        <v>0</v>
      </c>
      <c r="AQ190" s="8">
        <f t="shared" si="103"/>
        <v>0</v>
      </c>
      <c r="AR190" s="8">
        <f t="shared" si="97"/>
        <v>0</v>
      </c>
      <c r="AS190" s="42"/>
      <c r="AT190" s="84">
        <v>456659.1</v>
      </c>
      <c r="AU190" s="84">
        <v>131956</v>
      </c>
      <c r="AV190" s="4">
        <f t="shared" si="98"/>
        <v>588615.1</v>
      </c>
      <c r="AW190" s="50" t="str">
        <f t="shared" si="99"/>
        <v/>
      </c>
      <c r="AX190" s="1" t="s">
        <v>1639</v>
      </c>
      <c r="AY190" s="2" t="s">
        <v>1640</v>
      </c>
      <c r="AZ190" s="2">
        <v>109960.32000000001</v>
      </c>
      <c r="BA190" s="73">
        <v>96215.28</v>
      </c>
      <c r="BB190" s="73">
        <v>96215.28</v>
      </c>
      <c r="BC190" s="73">
        <v>109960.32000000001</v>
      </c>
      <c r="BD190" s="73"/>
      <c r="BE190" s="66">
        <v>3.5000000000000003E-2</v>
      </c>
      <c r="BF190" s="66">
        <v>0.02</v>
      </c>
      <c r="BG190" s="63">
        <v>45118</v>
      </c>
      <c r="BH190" s="2"/>
      <c r="BI190" s="2"/>
      <c r="BJ190" s="2"/>
      <c r="BK190" s="2"/>
      <c r="BL190" s="1" t="s">
        <v>56</v>
      </c>
    </row>
    <row r="191" spans="1:64" x14ac:dyDescent="0.25">
      <c r="A191" s="81" t="s">
        <v>359</v>
      </c>
      <c r="B191" s="82" t="s">
        <v>743</v>
      </c>
      <c r="C191" s="81" t="s">
        <v>744</v>
      </c>
      <c r="D191" s="16">
        <v>43068</v>
      </c>
      <c r="E191" s="17"/>
      <c r="F191" s="2" t="s">
        <v>187</v>
      </c>
      <c r="G191" s="2" t="s">
        <v>189</v>
      </c>
      <c r="H191" s="10" t="s">
        <v>57</v>
      </c>
      <c r="I191" s="11" t="s">
        <v>188</v>
      </c>
      <c r="J191" s="11" t="s">
        <v>338</v>
      </c>
      <c r="K191" s="61" t="s">
        <v>339</v>
      </c>
      <c r="L191" s="11" t="s">
        <v>67</v>
      </c>
      <c r="M191" s="25"/>
      <c r="N191" s="82"/>
      <c r="O191" s="3" t="str">
        <f t="shared" si="106"/>
        <v>A</v>
      </c>
      <c r="P191" s="84">
        <v>2897</v>
      </c>
      <c r="Q191" s="84">
        <v>7639</v>
      </c>
      <c r="R191" s="32"/>
      <c r="S191" s="3" t="str">
        <f t="shared" si="107"/>
        <v>A</v>
      </c>
      <c r="T191" s="84">
        <v>-800</v>
      </c>
      <c r="U191" s="84">
        <v>6525</v>
      </c>
      <c r="V191" s="32"/>
      <c r="W191" s="3" t="str">
        <f t="shared" si="93"/>
        <v>A</v>
      </c>
      <c r="X191" s="84">
        <v>622</v>
      </c>
      <c r="Y191" s="84">
        <v>7974</v>
      </c>
      <c r="Z191" s="32"/>
      <c r="AA191" s="3" t="str">
        <f t="shared" si="94"/>
        <v>A</v>
      </c>
      <c r="AB191" s="84">
        <v>273</v>
      </c>
      <c r="AC191" s="84">
        <v>13080</v>
      </c>
      <c r="AD191" s="36"/>
      <c r="AE191" s="82"/>
      <c r="AF191" s="3" t="str">
        <f t="shared" si="95"/>
        <v>A</v>
      </c>
      <c r="AG191" s="84">
        <v>0</v>
      </c>
      <c r="AH191" s="84">
        <v>0</v>
      </c>
      <c r="AI191" s="39"/>
      <c r="AJ191" s="79" t="s">
        <v>1801</v>
      </c>
      <c r="AK191" s="39"/>
      <c r="AL191" s="4">
        <f t="shared" si="100"/>
        <v>2992</v>
      </c>
      <c r="AM191" s="4">
        <f t="shared" si="101"/>
        <v>35218</v>
      </c>
      <c r="AN191" s="4">
        <f t="shared" si="96"/>
        <v>38210</v>
      </c>
      <c r="AO191" s="39"/>
      <c r="AP191" s="8">
        <f t="shared" si="102"/>
        <v>0</v>
      </c>
      <c r="AQ191" s="8">
        <f t="shared" si="103"/>
        <v>0</v>
      </c>
      <c r="AR191" s="8">
        <f t="shared" si="97"/>
        <v>0</v>
      </c>
      <c r="AS191" s="42"/>
      <c r="AT191" s="84">
        <v>2992</v>
      </c>
      <c r="AU191" s="84">
        <v>35218</v>
      </c>
      <c r="AV191" s="4">
        <f t="shared" si="98"/>
        <v>38210</v>
      </c>
      <c r="AW191" s="50" t="str">
        <f t="shared" si="99"/>
        <v/>
      </c>
      <c r="AX191" s="1" t="s">
        <v>1639</v>
      </c>
      <c r="AY191" s="2" t="s">
        <v>1640</v>
      </c>
      <c r="AZ191" s="2">
        <v>17778.240000000002</v>
      </c>
      <c r="BA191" s="73">
        <v>15555.96</v>
      </c>
      <c r="BB191" s="73">
        <v>15555.96</v>
      </c>
      <c r="BC191" s="73">
        <v>17778.240000000002</v>
      </c>
      <c r="BD191" s="73"/>
      <c r="BE191" s="66">
        <v>0.04</v>
      </c>
      <c r="BF191" s="66">
        <v>0.02</v>
      </c>
      <c r="BG191" s="63">
        <v>45118</v>
      </c>
      <c r="BH191" s="74">
        <v>43943</v>
      </c>
      <c r="BI191" s="74">
        <v>43983</v>
      </c>
      <c r="BJ191" s="2"/>
      <c r="BK191" s="2"/>
      <c r="BL191" s="1" t="s">
        <v>56</v>
      </c>
    </row>
    <row r="192" spans="1:64" x14ac:dyDescent="0.25">
      <c r="A192" s="81" t="s">
        <v>361</v>
      </c>
      <c r="B192" s="82" t="s">
        <v>361</v>
      </c>
      <c r="C192" s="81" t="s">
        <v>362</v>
      </c>
      <c r="D192" s="16">
        <v>39688</v>
      </c>
      <c r="E192" s="17"/>
      <c r="F192" s="2" t="s">
        <v>187</v>
      </c>
      <c r="G192" s="2" t="s">
        <v>189</v>
      </c>
      <c r="H192" s="10" t="s">
        <v>57</v>
      </c>
      <c r="I192" s="11" t="s">
        <v>188</v>
      </c>
      <c r="J192" s="11" t="s">
        <v>338</v>
      </c>
      <c r="K192" s="61" t="s">
        <v>339</v>
      </c>
      <c r="L192" s="11" t="s">
        <v>67</v>
      </c>
      <c r="M192" s="25"/>
      <c r="N192" s="82"/>
      <c r="O192" s="3" t="str">
        <f t="shared" si="106"/>
        <v>A</v>
      </c>
      <c r="P192" s="84">
        <v>266497.55</v>
      </c>
      <c r="Q192" s="84">
        <v>45728.55</v>
      </c>
      <c r="R192" s="32"/>
      <c r="S192" s="3" t="str">
        <f t="shared" si="107"/>
        <v>A</v>
      </c>
      <c r="T192" s="84">
        <v>226472.74000000002</v>
      </c>
      <c r="U192" s="84">
        <v>37388</v>
      </c>
      <c r="V192" s="32"/>
      <c r="W192" s="3" t="str">
        <f t="shared" si="93"/>
        <v>A</v>
      </c>
      <c r="X192" s="84">
        <v>183257.25</v>
      </c>
      <c r="Y192" s="84">
        <v>33055.85</v>
      </c>
      <c r="Z192" s="32"/>
      <c r="AA192" s="3" t="str">
        <f t="shared" si="94"/>
        <v>A</v>
      </c>
      <c r="AB192" s="84">
        <v>206940.31</v>
      </c>
      <c r="AC192" s="84">
        <v>37300.74</v>
      </c>
      <c r="AD192" s="36"/>
      <c r="AE192" s="82"/>
      <c r="AF192" s="3" t="str">
        <f t="shared" si="95"/>
        <v>A</v>
      </c>
      <c r="AG192" s="84">
        <v>0</v>
      </c>
      <c r="AH192" s="84">
        <v>0</v>
      </c>
      <c r="AI192" s="39"/>
      <c r="AJ192" s="79" t="s">
        <v>1801</v>
      </c>
      <c r="AK192" s="39"/>
      <c r="AL192" s="4">
        <f t="shared" si="100"/>
        <v>883167.85000000009</v>
      </c>
      <c r="AM192" s="4">
        <f t="shared" si="101"/>
        <v>153473.13999999998</v>
      </c>
      <c r="AN192" s="4">
        <f t="shared" si="96"/>
        <v>1036640.9900000001</v>
      </c>
      <c r="AO192" s="39"/>
      <c r="AP192" s="8">
        <f t="shared" si="102"/>
        <v>0</v>
      </c>
      <c r="AQ192" s="8">
        <f t="shared" si="103"/>
        <v>0</v>
      </c>
      <c r="AR192" s="8">
        <f t="shared" si="97"/>
        <v>0</v>
      </c>
      <c r="AS192" s="42"/>
      <c r="AT192" s="84">
        <v>883167.85</v>
      </c>
      <c r="AU192" s="84">
        <v>153473.14000000001</v>
      </c>
      <c r="AV192" s="4">
        <f t="shared" si="98"/>
        <v>1036640.99</v>
      </c>
      <c r="AW192" s="50" t="str">
        <f t="shared" si="99"/>
        <v/>
      </c>
      <c r="AX192" s="1" t="s">
        <v>1639</v>
      </c>
      <c r="AY192" s="2" t="s">
        <v>1640</v>
      </c>
      <c r="AZ192" s="2">
        <v>187820.56</v>
      </c>
      <c r="BA192" s="73">
        <v>164342.99</v>
      </c>
      <c r="BB192" s="73">
        <v>164342.99</v>
      </c>
      <c r="BC192" s="73">
        <v>187820.56</v>
      </c>
      <c r="BD192" s="73"/>
      <c r="BE192" s="66">
        <v>3.5000000000000003E-2</v>
      </c>
      <c r="BF192" s="66">
        <v>0.02</v>
      </c>
      <c r="BG192" s="63">
        <v>45160</v>
      </c>
      <c r="BH192" s="2"/>
      <c r="BI192" s="2"/>
      <c r="BJ192" s="2"/>
      <c r="BK192" s="2"/>
      <c r="BL192" s="1" t="s">
        <v>56</v>
      </c>
    </row>
    <row r="193" spans="1:64" x14ac:dyDescent="0.25">
      <c r="A193" s="81" t="s">
        <v>361</v>
      </c>
      <c r="B193" s="82" t="s">
        <v>819</v>
      </c>
      <c r="C193" s="81" t="s">
        <v>820</v>
      </c>
      <c r="D193" s="16">
        <v>0</v>
      </c>
      <c r="E193" s="17"/>
      <c r="F193" s="2" t="s">
        <v>187</v>
      </c>
      <c r="G193" s="2" t="s">
        <v>189</v>
      </c>
      <c r="H193" s="10" t="s">
        <v>57</v>
      </c>
      <c r="I193" s="11" t="s">
        <v>188</v>
      </c>
      <c r="J193" s="11" t="s">
        <v>338</v>
      </c>
      <c r="K193" s="61" t="s">
        <v>339</v>
      </c>
      <c r="L193" s="11" t="s">
        <v>67</v>
      </c>
      <c r="M193" s="25"/>
      <c r="N193" s="82"/>
      <c r="O193" s="3" t="str">
        <f t="shared" si="106"/>
        <v>A</v>
      </c>
      <c r="P193" s="84">
        <v>-321</v>
      </c>
      <c r="Q193" s="84">
        <v>4878</v>
      </c>
      <c r="R193" s="32"/>
      <c r="S193" s="3" t="str">
        <f t="shared" si="107"/>
        <v>A</v>
      </c>
      <c r="T193" s="84">
        <v>412</v>
      </c>
      <c r="U193" s="84">
        <v>3464</v>
      </c>
      <c r="V193" s="32"/>
      <c r="W193" s="3" t="str">
        <f t="shared" si="93"/>
        <v>A</v>
      </c>
      <c r="X193" s="84">
        <v>-347</v>
      </c>
      <c r="Y193" s="84">
        <v>3070</v>
      </c>
      <c r="Z193" s="32"/>
      <c r="AA193" s="3" t="str">
        <f t="shared" si="94"/>
        <v>A</v>
      </c>
      <c r="AB193" s="84">
        <v>-729</v>
      </c>
      <c r="AC193" s="84">
        <v>4358</v>
      </c>
      <c r="AD193" s="36"/>
      <c r="AE193" s="82"/>
      <c r="AF193" s="3" t="str">
        <f t="shared" si="95"/>
        <v>A</v>
      </c>
      <c r="AG193" s="84">
        <v>0</v>
      </c>
      <c r="AH193" s="84">
        <v>0</v>
      </c>
      <c r="AI193" s="39"/>
      <c r="AJ193" s="79" t="s">
        <v>1801</v>
      </c>
      <c r="AK193" s="39"/>
      <c r="AL193" s="4">
        <f t="shared" si="100"/>
        <v>-985</v>
      </c>
      <c r="AM193" s="4">
        <f t="shared" si="101"/>
        <v>15770</v>
      </c>
      <c r="AN193" s="4">
        <f t="shared" si="96"/>
        <v>14785</v>
      </c>
      <c r="AO193" s="39"/>
      <c r="AP193" s="8">
        <f t="shared" si="102"/>
        <v>0</v>
      </c>
      <c r="AQ193" s="8">
        <f t="shared" si="103"/>
        <v>0</v>
      </c>
      <c r="AR193" s="8">
        <f t="shared" si="97"/>
        <v>0</v>
      </c>
      <c r="AS193" s="42"/>
      <c r="AT193" s="84">
        <v>-985</v>
      </c>
      <c r="AU193" s="84">
        <v>15770</v>
      </c>
      <c r="AV193" s="4">
        <f t="shared" si="98"/>
        <v>14785</v>
      </c>
      <c r="AW193" s="50" t="str">
        <f t="shared" si="99"/>
        <v/>
      </c>
      <c r="AX193" s="1" t="s">
        <v>1639</v>
      </c>
      <c r="AY193" s="2" t="s">
        <v>1640</v>
      </c>
      <c r="AZ193" s="2">
        <v>9135.0400000000009</v>
      </c>
      <c r="BA193" s="73">
        <v>7993.16</v>
      </c>
      <c r="BB193" s="73">
        <v>7993.16</v>
      </c>
      <c r="BC193" s="73">
        <v>9135.0400000000009</v>
      </c>
      <c r="BD193" s="73"/>
      <c r="BE193" s="66">
        <v>0</v>
      </c>
      <c r="BF193" s="66">
        <v>0.02</v>
      </c>
      <c r="BG193" s="63">
        <v>45160</v>
      </c>
      <c r="BH193" s="2"/>
      <c r="BI193" s="2"/>
      <c r="BJ193" s="2"/>
      <c r="BK193" s="2"/>
      <c r="BL193" s="1" t="s">
        <v>56</v>
      </c>
    </row>
    <row r="194" spans="1:64" x14ac:dyDescent="0.25">
      <c r="A194" s="81" t="s">
        <v>368</v>
      </c>
      <c r="B194" s="82" t="s">
        <v>368</v>
      </c>
      <c r="C194" s="81" t="s">
        <v>369</v>
      </c>
      <c r="D194" s="16">
        <v>39790</v>
      </c>
      <c r="E194" s="17"/>
      <c r="F194" s="2" t="s">
        <v>370</v>
      </c>
      <c r="G194" s="2" t="s">
        <v>371</v>
      </c>
      <c r="H194" s="10" t="s">
        <v>57</v>
      </c>
      <c r="I194" s="11" t="s">
        <v>53</v>
      </c>
      <c r="J194" s="11" t="s">
        <v>156</v>
      </c>
      <c r="K194" s="61"/>
      <c r="L194" s="11" t="s">
        <v>67</v>
      </c>
      <c r="M194" s="25"/>
      <c r="N194" s="82"/>
      <c r="O194" s="3" t="str">
        <f t="shared" si="106"/>
        <v>A</v>
      </c>
      <c r="P194" s="84">
        <v>224163</v>
      </c>
      <c r="Q194" s="84">
        <v>64057</v>
      </c>
      <c r="R194" s="32"/>
      <c r="S194" s="3" t="str">
        <f t="shared" si="107"/>
        <v>A</v>
      </c>
      <c r="T194" s="84">
        <v>192026</v>
      </c>
      <c r="U194" s="84">
        <v>50562</v>
      </c>
      <c r="V194" s="32"/>
      <c r="W194" s="3" t="str">
        <f t="shared" si="93"/>
        <v>A</v>
      </c>
      <c r="X194" s="84">
        <v>176321</v>
      </c>
      <c r="Y194" s="84">
        <v>51224</v>
      </c>
      <c r="Z194" s="32"/>
      <c r="AA194" s="3" t="str">
        <f t="shared" si="94"/>
        <v>A</v>
      </c>
      <c r="AB194" s="84">
        <v>200062</v>
      </c>
      <c r="AC194" s="84">
        <v>43722</v>
      </c>
      <c r="AD194" s="36"/>
      <c r="AE194" s="82"/>
      <c r="AF194" s="3" t="str">
        <f t="shared" si="95"/>
        <v>A</v>
      </c>
      <c r="AG194" s="84">
        <v>0</v>
      </c>
      <c r="AH194" s="84">
        <v>0</v>
      </c>
      <c r="AI194" s="39"/>
      <c r="AJ194" s="79" t="s">
        <v>1801</v>
      </c>
      <c r="AK194" s="39"/>
      <c r="AL194" s="4">
        <f t="shared" si="100"/>
        <v>792572</v>
      </c>
      <c r="AM194" s="4">
        <f t="shared" si="101"/>
        <v>209565</v>
      </c>
      <c r="AN194" s="4">
        <f t="shared" si="96"/>
        <v>1002137</v>
      </c>
      <c r="AO194" s="39"/>
      <c r="AP194" s="8">
        <f t="shared" si="102"/>
        <v>0</v>
      </c>
      <c r="AQ194" s="8">
        <f t="shared" si="103"/>
        <v>0</v>
      </c>
      <c r="AR194" s="8">
        <f t="shared" si="97"/>
        <v>0</v>
      </c>
      <c r="AS194" s="42"/>
      <c r="AT194" s="84">
        <v>792572</v>
      </c>
      <c r="AU194" s="84">
        <v>209565</v>
      </c>
      <c r="AV194" s="4">
        <f t="shared" si="98"/>
        <v>1002137</v>
      </c>
      <c r="AW194" s="50" t="str">
        <f t="shared" si="99"/>
        <v/>
      </c>
      <c r="AX194" s="1" t="s">
        <v>1692</v>
      </c>
      <c r="AY194" s="2" t="s">
        <v>1693</v>
      </c>
      <c r="AZ194" s="2">
        <v>192368.96</v>
      </c>
      <c r="BA194" s="73">
        <v>168322.84</v>
      </c>
      <c r="BB194" s="73">
        <v>168322.84</v>
      </c>
      <c r="BC194" s="73">
        <v>192368.96</v>
      </c>
      <c r="BD194" s="73"/>
      <c r="BE194" s="66">
        <v>4.4999999999999998E-2</v>
      </c>
      <c r="BF194" s="66">
        <v>0.05</v>
      </c>
      <c r="BG194" s="63">
        <v>45260</v>
      </c>
      <c r="BH194" s="2"/>
      <c r="BI194" s="2"/>
      <c r="BJ194" s="2"/>
      <c r="BK194" s="2"/>
      <c r="BL194" s="1" t="s">
        <v>56</v>
      </c>
    </row>
    <row r="195" spans="1:64" x14ac:dyDescent="0.25">
      <c r="A195" s="81" t="s">
        <v>368</v>
      </c>
      <c r="B195" s="82" t="s">
        <v>745</v>
      </c>
      <c r="C195" s="81" t="s">
        <v>746</v>
      </c>
      <c r="D195" s="16">
        <v>43128</v>
      </c>
      <c r="E195" s="17"/>
      <c r="F195" s="2" t="s">
        <v>370</v>
      </c>
      <c r="G195" s="2" t="s">
        <v>371</v>
      </c>
      <c r="H195" s="10" t="s">
        <v>57</v>
      </c>
      <c r="I195" s="11" t="s">
        <v>53</v>
      </c>
      <c r="J195" s="11" t="s">
        <v>156</v>
      </c>
      <c r="K195" s="61"/>
      <c r="L195" s="11" t="s">
        <v>67</v>
      </c>
      <c r="M195" s="25"/>
      <c r="N195" s="82"/>
      <c r="O195" s="3" t="str">
        <f t="shared" si="106"/>
        <v>A</v>
      </c>
      <c r="P195" s="84">
        <v>115058</v>
      </c>
      <c r="Q195" s="84">
        <v>29776</v>
      </c>
      <c r="R195" s="32"/>
      <c r="S195" s="3" t="str">
        <f t="shared" si="107"/>
        <v>A</v>
      </c>
      <c r="T195" s="84">
        <v>100054</v>
      </c>
      <c r="U195" s="84">
        <v>24102</v>
      </c>
      <c r="V195" s="32"/>
      <c r="W195" s="3" t="str">
        <f t="shared" si="93"/>
        <v>A</v>
      </c>
      <c r="X195" s="84">
        <v>83838</v>
      </c>
      <c r="Y195" s="84">
        <v>23346</v>
      </c>
      <c r="Z195" s="32"/>
      <c r="AA195" s="3" t="str">
        <f t="shared" si="94"/>
        <v>A</v>
      </c>
      <c r="AB195" s="84">
        <v>103527</v>
      </c>
      <c r="AC195" s="84">
        <v>25174</v>
      </c>
      <c r="AD195" s="36"/>
      <c r="AE195" s="82"/>
      <c r="AF195" s="3" t="str">
        <f t="shared" si="95"/>
        <v>A</v>
      </c>
      <c r="AG195" s="84">
        <v>0</v>
      </c>
      <c r="AH195" s="84">
        <v>0</v>
      </c>
      <c r="AI195" s="39"/>
      <c r="AJ195" s="79" t="s">
        <v>1801</v>
      </c>
      <c r="AK195" s="39"/>
      <c r="AL195" s="4">
        <f t="shared" si="100"/>
        <v>402477</v>
      </c>
      <c r="AM195" s="4">
        <f t="shared" si="101"/>
        <v>102398</v>
      </c>
      <c r="AN195" s="4">
        <f t="shared" si="96"/>
        <v>504875</v>
      </c>
      <c r="AO195" s="39"/>
      <c r="AP195" s="8">
        <f t="shared" si="102"/>
        <v>0</v>
      </c>
      <c r="AQ195" s="8">
        <f t="shared" si="103"/>
        <v>0</v>
      </c>
      <c r="AR195" s="8">
        <f t="shared" si="97"/>
        <v>0</v>
      </c>
      <c r="AS195" s="42"/>
      <c r="AT195" s="84">
        <v>402477</v>
      </c>
      <c r="AU195" s="84">
        <v>102398</v>
      </c>
      <c r="AV195" s="4">
        <f t="shared" si="98"/>
        <v>504875</v>
      </c>
      <c r="AW195" s="50" t="str">
        <f t="shared" si="99"/>
        <v/>
      </c>
      <c r="AX195" s="1" t="s">
        <v>1692</v>
      </c>
      <c r="AY195" s="2" t="s">
        <v>1693</v>
      </c>
      <c r="AZ195" s="2">
        <v>66621.919999999998</v>
      </c>
      <c r="BA195" s="73">
        <v>58294.18</v>
      </c>
      <c r="BB195" s="73">
        <v>58294.18</v>
      </c>
      <c r="BC195" s="73">
        <v>66621.919999999998</v>
      </c>
      <c r="BD195" s="73"/>
      <c r="BE195" s="66">
        <v>4.4999999999999998E-2</v>
      </c>
      <c r="BF195" s="66">
        <v>0.05</v>
      </c>
      <c r="BG195" s="63">
        <v>45260</v>
      </c>
      <c r="BH195" s="2"/>
      <c r="BI195" s="2"/>
      <c r="BJ195" s="2"/>
      <c r="BK195" s="2"/>
      <c r="BL195" s="1" t="s">
        <v>56</v>
      </c>
    </row>
    <row r="196" spans="1:64" x14ac:dyDescent="0.25">
      <c r="A196" s="81" t="s">
        <v>368</v>
      </c>
      <c r="B196" s="82" t="s">
        <v>970</v>
      </c>
      <c r="C196" s="81" t="s">
        <v>971</v>
      </c>
      <c r="D196" s="16">
        <v>0</v>
      </c>
      <c r="E196" s="17"/>
      <c r="F196" s="2" t="s">
        <v>370</v>
      </c>
      <c r="G196" s="2" t="s">
        <v>371</v>
      </c>
      <c r="H196" s="10" t="s">
        <v>57</v>
      </c>
      <c r="I196" s="11" t="s">
        <v>53</v>
      </c>
      <c r="J196" s="11" t="s">
        <v>156</v>
      </c>
      <c r="K196" s="61"/>
      <c r="L196" s="11" t="s">
        <v>67</v>
      </c>
      <c r="M196" s="25"/>
      <c r="N196" s="82"/>
      <c r="O196" s="3" t="str">
        <f t="shared" si="106"/>
        <v>A</v>
      </c>
      <c r="P196" s="84">
        <v>201976</v>
      </c>
      <c r="Q196" s="84">
        <v>41211</v>
      </c>
      <c r="R196" s="32"/>
      <c r="S196" s="3" t="str">
        <f t="shared" si="107"/>
        <v>A</v>
      </c>
      <c r="T196" s="84">
        <v>151098</v>
      </c>
      <c r="U196" s="84">
        <v>24227</v>
      </c>
      <c r="V196" s="32"/>
      <c r="W196" s="3" t="str">
        <f t="shared" si="93"/>
        <v>A</v>
      </c>
      <c r="X196" s="84">
        <v>143928</v>
      </c>
      <c r="Y196" s="84">
        <v>21569</v>
      </c>
      <c r="Z196" s="32"/>
      <c r="AA196" s="3" t="str">
        <f t="shared" si="94"/>
        <v>A</v>
      </c>
      <c r="AB196" s="84">
        <v>160914</v>
      </c>
      <c r="AC196" s="84">
        <v>23893</v>
      </c>
      <c r="AD196" s="36"/>
      <c r="AE196" s="82"/>
      <c r="AF196" s="3" t="str">
        <f t="shared" si="95"/>
        <v>A</v>
      </c>
      <c r="AG196" s="84">
        <v>0</v>
      </c>
      <c r="AH196" s="84">
        <v>0</v>
      </c>
      <c r="AI196" s="39"/>
      <c r="AJ196" s="79" t="s">
        <v>1801</v>
      </c>
      <c r="AK196" s="39"/>
      <c r="AL196" s="4">
        <f t="shared" si="100"/>
        <v>657916</v>
      </c>
      <c r="AM196" s="4">
        <f t="shared" si="101"/>
        <v>110900</v>
      </c>
      <c r="AN196" s="4">
        <f t="shared" si="96"/>
        <v>768816</v>
      </c>
      <c r="AO196" s="39"/>
      <c r="AP196" s="8">
        <f t="shared" si="102"/>
        <v>0</v>
      </c>
      <c r="AQ196" s="8">
        <f t="shared" si="103"/>
        <v>0</v>
      </c>
      <c r="AR196" s="8">
        <f t="shared" si="97"/>
        <v>0</v>
      </c>
      <c r="AS196" s="42"/>
      <c r="AT196" s="84">
        <v>657916</v>
      </c>
      <c r="AU196" s="84">
        <v>110900</v>
      </c>
      <c r="AV196" s="4">
        <f t="shared" si="98"/>
        <v>768816</v>
      </c>
      <c r="AW196" s="50" t="str">
        <f t="shared" si="99"/>
        <v/>
      </c>
      <c r="AX196" s="1" t="s">
        <v>1692</v>
      </c>
      <c r="AY196" s="2" t="s">
        <v>1693</v>
      </c>
      <c r="AZ196" s="2">
        <v>90278.32</v>
      </c>
      <c r="BA196" s="73">
        <v>78993.53</v>
      </c>
      <c r="BB196" s="73">
        <v>78993.53</v>
      </c>
      <c r="BC196" s="73">
        <v>90278.32</v>
      </c>
      <c r="BD196" s="73"/>
      <c r="BE196" s="66">
        <v>0</v>
      </c>
      <c r="BF196" s="66">
        <v>0.05</v>
      </c>
      <c r="BG196" s="63">
        <v>45260</v>
      </c>
      <c r="BH196" s="2"/>
      <c r="BI196" s="2"/>
      <c r="BJ196" s="2">
        <v>339568.6</v>
      </c>
      <c r="BK196" s="2">
        <v>37729.839999999997</v>
      </c>
      <c r="BL196" s="1" t="s">
        <v>56</v>
      </c>
    </row>
    <row r="197" spans="1:64" x14ac:dyDescent="0.25">
      <c r="A197" s="81" t="s">
        <v>372</v>
      </c>
      <c r="B197" s="82" t="s">
        <v>372</v>
      </c>
      <c r="C197" s="81" t="s">
        <v>373</v>
      </c>
      <c r="D197" s="16">
        <v>39801</v>
      </c>
      <c r="E197" s="17"/>
      <c r="F197" s="2" t="s">
        <v>374</v>
      </c>
      <c r="G197" s="2" t="s">
        <v>375</v>
      </c>
      <c r="H197" s="10" t="s">
        <v>98</v>
      </c>
      <c r="I197" s="11" t="s">
        <v>53</v>
      </c>
      <c r="J197" s="11" t="s">
        <v>238</v>
      </c>
      <c r="K197" s="61"/>
      <c r="L197" s="11" t="s">
        <v>67</v>
      </c>
      <c r="M197" s="25"/>
      <c r="N197" s="82"/>
      <c r="O197" s="3" t="str">
        <f t="shared" si="106"/>
        <v>A</v>
      </c>
      <c r="P197" s="84">
        <v>184440</v>
      </c>
      <c r="Q197" s="84">
        <v>31820</v>
      </c>
      <c r="R197" s="32"/>
      <c r="S197" s="3" t="str">
        <f t="shared" si="107"/>
        <v>A</v>
      </c>
      <c r="T197" s="84">
        <v>167560</v>
      </c>
      <c r="U197" s="84">
        <v>30925</v>
      </c>
      <c r="V197" s="32"/>
      <c r="W197" s="3" t="str">
        <f t="shared" si="93"/>
        <v>A</v>
      </c>
      <c r="X197" s="84">
        <v>150067</v>
      </c>
      <c r="Y197" s="84">
        <v>21840</v>
      </c>
      <c r="Z197" s="32"/>
      <c r="AA197" s="3" t="str">
        <f t="shared" si="94"/>
        <v>A</v>
      </c>
      <c r="AB197" s="84">
        <v>165583</v>
      </c>
      <c r="AC197" s="84">
        <v>23175</v>
      </c>
      <c r="AD197" s="36"/>
      <c r="AE197" s="82"/>
      <c r="AF197" s="3" t="str">
        <f t="shared" si="95"/>
        <v>A</v>
      </c>
      <c r="AG197" s="84">
        <v>0</v>
      </c>
      <c r="AH197" s="84">
        <v>0</v>
      </c>
      <c r="AI197" s="39"/>
      <c r="AJ197" s="79" t="s">
        <v>1801</v>
      </c>
      <c r="AK197" s="39"/>
      <c r="AL197" s="4">
        <f t="shared" si="100"/>
        <v>667650</v>
      </c>
      <c r="AM197" s="4">
        <f t="shared" si="101"/>
        <v>107760</v>
      </c>
      <c r="AN197" s="4">
        <f t="shared" si="96"/>
        <v>775410</v>
      </c>
      <c r="AO197" s="39"/>
      <c r="AP197" s="8">
        <f t="shared" si="102"/>
        <v>0</v>
      </c>
      <c r="AQ197" s="8">
        <f t="shared" si="103"/>
        <v>0</v>
      </c>
      <c r="AR197" s="8">
        <f t="shared" si="97"/>
        <v>0</v>
      </c>
      <c r="AS197" s="42"/>
      <c r="AT197" s="84">
        <v>667650</v>
      </c>
      <c r="AU197" s="84">
        <v>107760</v>
      </c>
      <c r="AV197" s="4">
        <f t="shared" si="98"/>
        <v>775410</v>
      </c>
      <c r="AW197" s="50" t="str">
        <f t="shared" si="99"/>
        <v/>
      </c>
      <c r="AX197" s="1" t="s">
        <v>1694</v>
      </c>
      <c r="AY197" s="2" t="s">
        <v>1695</v>
      </c>
      <c r="AZ197" s="2">
        <v>167572.72</v>
      </c>
      <c r="BA197" s="73">
        <v>146626.13</v>
      </c>
      <c r="BB197" s="73">
        <v>146626.13</v>
      </c>
      <c r="BC197" s="73">
        <v>167572.72</v>
      </c>
      <c r="BD197" s="73"/>
      <c r="BE197" s="66">
        <v>4.4999999999999998E-2</v>
      </c>
      <c r="BF197" s="66">
        <v>0.05</v>
      </c>
      <c r="BG197" s="63">
        <v>45270</v>
      </c>
      <c r="BH197" s="74">
        <v>43924</v>
      </c>
      <c r="BI197" s="74">
        <v>43928</v>
      </c>
      <c r="BJ197" s="2"/>
      <c r="BK197" s="2"/>
      <c r="BL197" s="1" t="s">
        <v>237</v>
      </c>
    </row>
    <row r="198" spans="1:64" x14ac:dyDescent="0.25">
      <c r="A198" s="81" t="s">
        <v>376</v>
      </c>
      <c r="B198" s="82" t="s">
        <v>376</v>
      </c>
      <c r="C198" s="81" t="s">
        <v>377</v>
      </c>
      <c r="D198" s="16">
        <v>39961</v>
      </c>
      <c r="E198" s="17"/>
      <c r="F198" s="2" t="s">
        <v>52</v>
      </c>
      <c r="G198" s="2" t="s">
        <v>55</v>
      </c>
      <c r="H198" s="10" t="s">
        <v>57</v>
      </c>
      <c r="I198" s="11" t="s">
        <v>54</v>
      </c>
      <c r="J198" s="11" t="s">
        <v>58</v>
      </c>
      <c r="K198" s="61" t="s">
        <v>59</v>
      </c>
      <c r="L198" s="11" t="s">
        <v>67</v>
      </c>
      <c r="M198" s="25"/>
      <c r="N198" s="82"/>
      <c r="O198" s="3" t="str">
        <f t="shared" si="106"/>
        <v>A</v>
      </c>
      <c r="P198" s="84">
        <v>103071</v>
      </c>
      <c r="Q198" s="84">
        <v>27217</v>
      </c>
      <c r="R198" s="32"/>
      <c r="S198" s="3" t="str">
        <f t="shared" si="107"/>
        <v>A</v>
      </c>
      <c r="T198" s="84">
        <v>97434</v>
      </c>
      <c r="U198" s="84">
        <v>27062</v>
      </c>
      <c r="V198" s="32"/>
      <c r="W198" s="3" t="str">
        <f t="shared" si="93"/>
        <v>A</v>
      </c>
      <c r="X198" s="84">
        <v>91308</v>
      </c>
      <c r="Y198" s="84">
        <v>22884</v>
      </c>
      <c r="Z198" s="32"/>
      <c r="AA198" s="3" t="str">
        <f t="shared" si="94"/>
        <v>A</v>
      </c>
      <c r="AB198" s="84">
        <v>98746</v>
      </c>
      <c r="AC198" s="84">
        <v>24015</v>
      </c>
      <c r="AD198" s="36"/>
      <c r="AE198" s="82"/>
      <c r="AF198" s="3" t="str">
        <f t="shared" si="95"/>
        <v>A</v>
      </c>
      <c r="AG198" s="84">
        <v>0</v>
      </c>
      <c r="AH198" s="84">
        <v>0</v>
      </c>
      <c r="AI198" s="39"/>
      <c r="AJ198" s="79" t="s">
        <v>1801</v>
      </c>
      <c r="AK198" s="39"/>
      <c r="AL198" s="4">
        <f t="shared" si="100"/>
        <v>390559</v>
      </c>
      <c r="AM198" s="4">
        <f t="shared" si="101"/>
        <v>101178</v>
      </c>
      <c r="AN198" s="4">
        <f t="shared" si="96"/>
        <v>491737</v>
      </c>
      <c r="AO198" s="39"/>
      <c r="AP198" s="8">
        <f t="shared" si="102"/>
        <v>0</v>
      </c>
      <c r="AQ198" s="8">
        <f t="shared" si="103"/>
        <v>0</v>
      </c>
      <c r="AR198" s="8">
        <f t="shared" si="97"/>
        <v>0</v>
      </c>
      <c r="AS198" s="42"/>
      <c r="AT198" s="84">
        <v>390559</v>
      </c>
      <c r="AU198" s="84">
        <v>101178</v>
      </c>
      <c r="AV198" s="4">
        <f t="shared" si="98"/>
        <v>491737</v>
      </c>
      <c r="AW198" s="50" t="str">
        <f t="shared" si="99"/>
        <v/>
      </c>
      <c r="AX198" s="1" t="s">
        <v>1639</v>
      </c>
      <c r="AY198" s="2" t="s">
        <v>1640</v>
      </c>
      <c r="AZ198" s="2">
        <v>157270.56</v>
      </c>
      <c r="BA198" s="73">
        <v>137611.74</v>
      </c>
      <c r="BB198" s="73">
        <v>137611.74</v>
      </c>
      <c r="BC198" s="73">
        <v>157270.56</v>
      </c>
      <c r="BD198" s="73"/>
      <c r="BE198" s="66">
        <v>2.5000000000000001E-2</v>
      </c>
      <c r="BF198" s="66">
        <v>0.02</v>
      </c>
      <c r="BG198" s="63">
        <v>45437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376</v>
      </c>
      <c r="B199" s="82" t="s">
        <v>747</v>
      </c>
      <c r="C199" s="81" t="s">
        <v>748</v>
      </c>
      <c r="D199" s="16">
        <v>36130</v>
      </c>
      <c r="E199" s="17"/>
      <c r="F199" s="2" t="s">
        <v>52</v>
      </c>
      <c r="G199" s="2" t="s">
        <v>55</v>
      </c>
      <c r="H199" s="10" t="s">
        <v>57</v>
      </c>
      <c r="I199" s="11" t="s">
        <v>54</v>
      </c>
      <c r="J199" s="11" t="s">
        <v>58</v>
      </c>
      <c r="K199" s="61" t="s">
        <v>59</v>
      </c>
      <c r="L199" s="11" t="s">
        <v>67</v>
      </c>
      <c r="M199" s="25"/>
      <c r="N199" s="82"/>
      <c r="O199" s="3" t="str">
        <f t="shared" si="106"/>
        <v>A</v>
      </c>
      <c r="P199" s="84">
        <v>34116</v>
      </c>
      <c r="Q199" s="84">
        <v>9680</v>
      </c>
      <c r="R199" s="32"/>
      <c r="S199" s="3" t="str">
        <f t="shared" si="107"/>
        <v>A</v>
      </c>
      <c r="T199" s="84">
        <v>31453</v>
      </c>
      <c r="U199" s="84">
        <v>9092</v>
      </c>
      <c r="V199" s="32"/>
      <c r="W199" s="3" t="str">
        <f t="shared" si="93"/>
        <v>A</v>
      </c>
      <c r="X199" s="84">
        <v>28865</v>
      </c>
      <c r="Y199" s="84">
        <v>10589</v>
      </c>
      <c r="Z199" s="32"/>
      <c r="AA199" s="3" t="str">
        <f t="shared" si="94"/>
        <v>A</v>
      </c>
      <c r="AB199" s="84">
        <v>34787</v>
      </c>
      <c r="AC199" s="84">
        <v>12169</v>
      </c>
      <c r="AD199" s="36"/>
      <c r="AE199" s="82"/>
      <c r="AF199" s="3" t="str">
        <f t="shared" si="95"/>
        <v>A</v>
      </c>
      <c r="AG199" s="84">
        <v>0</v>
      </c>
      <c r="AH199" s="84">
        <v>0</v>
      </c>
      <c r="AI199" s="39"/>
      <c r="AJ199" s="79" t="s">
        <v>1801</v>
      </c>
      <c r="AK199" s="39"/>
      <c r="AL199" s="4">
        <f t="shared" si="100"/>
        <v>129221</v>
      </c>
      <c r="AM199" s="4">
        <f t="shared" si="101"/>
        <v>41530</v>
      </c>
      <c r="AN199" s="4">
        <f t="shared" si="96"/>
        <v>170751</v>
      </c>
      <c r="AO199" s="39"/>
      <c r="AP199" s="8">
        <f t="shared" si="102"/>
        <v>0</v>
      </c>
      <c r="AQ199" s="8">
        <f t="shared" si="103"/>
        <v>0</v>
      </c>
      <c r="AR199" s="8">
        <f t="shared" si="97"/>
        <v>0</v>
      </c>
      <c r="AS199" s="42"/>
      <c r="AT199" s="84">
        <v>129221</v>
      </c>
      <c r="AU199" s="84">
        <v>41530</v>
      </c>
      <c r="AV199" s="4">
        <f t="shared" si="98"/>
        <v>170751</v>
      </c>
      <c r="AW199" s="50" t="str">
        <f t="shared" si="99"/>
        <v/>
      </c>
      <c r="AX199" s="1" t="s">
        <v>1639</v>
      </c>
      <c r="AY199" s="2" t="s">
        <v>1640</v>
      </c>
      <c r="AZ199" s="2">
        <v>47557.440000000002</v>
      </c>
      <c r="BA199" s="73">
        <v>41612.76</v>
      </c>
      <c r="BB199" s="73">
        <v>41612.76</v>
      </c>
      <c r="BC199" s="73">
        <v>47557.440000000002</v>
      </c>
      <c r="BD199" s="73"/>
      <c r="BE199" s="66">
        <v>2.5000000000000001E-2</v>
      </c>
      <c r="BF199" s="66">
        <v>0.02</v>
      </c>
      <c r="BG199" s="63">
        <v>45437</v>
      </c>
      <c r="BH199" s="74">
        <v>43940</v>
      </c>
      <c r="BI199" s="74">
        <v>43983</v>
      </c>
      <c r="BJ199" s="2"/>
      <c r="BK199" s="2"/>
      <c r="BL199" s="1" t="s">
        <v>56</v>
      </c>
    </row>
    <row r="200" spans="1:64" x14ac:dyDescent="0.25">
      <c r="A200" s="81" t="s">
        <v>376</v>
      </c>
      <c r="B200" s="82" t="s">
        <v>1262</v>
      </c>
      <c r="C200" s="81" t="s">
        <v>1263</v>
      </c>
      <c r="D200" s="16">
        <v>45164</v>
      </c>
      <c r="E200" s="17">
        <v>45809</v>
      </c>
      <c r="F200" s="2" t="s">
        <v>52</v>
      </c>
      <c r="G200" s="2" t="s">
        <v>55</v>
      </c>
      <c r="H200" s="10" t="s">
        <v>57</v>
      </c>
      <c r="I200" s="11" t="s">
        <v>54</v>
      </c>
      <c r="J200" s="11" t="s">
        <v>58</v>
      </c>
      <c r="K200" s="61" t="s">
        <v>59</v>
      </c>
      <c r="L200" s="11" t="s">
        <v>67</v>
      </c>
      <c r="M200" s="25"/>
      <c r="N200" s="82"/>
      <c r="O200" s="3" t="str">
        <f t="shared" si="106"/>
        <v>A</v>
      </c>
      <c r="P200" s="84"/>
      <c r="Q200" s="84"/>
      <c r="R200" s="32"/>
      <c r="S200" s="3" t="str">
        <f t="shared" si="107"/>
        <v>A</v>
      </c>
      <c r="T200" s="84"/>
      <c r="U200" s="84"/>
      <c r="V200" s="32"/>
      <c r="W200" s="3" t="str">
        <f t="shared" ref="W200:W263" si="108">IF($A200="","",IF(X200=0,"A",IF(X200=BB200,"E","A")))</f>
        <v>A</v>
      </c>
      <c r="X200" s="84"/>
      <c r="Y200" s="84"/>
      <c r="Z200" s="32"/>
      <c r="AA200" s="3" t="str">
        <f t="shared" ref="AA200:AA263" si="109">IF($A200="","",IF(AB200=0,"A",IF(AB200=BC200,"E","A")))</f>
        <v>A</v>
      </c>
      <c r="AB200" s="84"/>
      <c r="AC200" s="84"/>
      <c r="AD200" s="36"/>
      <c r="AE200" s="82"/>
      <c r="AF200" s="3" t="str">
        <f t="shared" ref="AF200:AF263" si="110">IF($A200="","",IF(AG200=0,"A",IF(AG200=BD200,"E","A")))</f>
        <v>A</v>
      </c>
      <c r="AG200" s="84"/>
      <c r="AH200" s="84"/>
      <c r="AI200" s="39"/>
      <c r="AJ200" s="79" t="s">
        <v>1801</v>
      </c>
      <c r="AK200" s="39"/>
      <c r="AL200" s="4">
        <f t="shared" si="100"/>
        <v>0</v>
      </c>
      <c r="AM200" s="4">
        <f t="shared" si="101"/>
        <v>0</v>
      </c>
      <c r="AN200" s="4">
        <f t="shared" ref="AN200:AN263" si="111">SUM(AL200:AM200)</f>
        <v>0</v>
      </c>
      <c r="AO200" s="39"/>
      <c r="AP200" s="8">
        <f t="shared" si="102"/>
        <v>0</v>
      </c>
      <c r="AQ200" s="8">
        <f t="shared" si="103"/>
        <v>0</v>
      </c>
      <c r="AR200" s="8">
        <f t="shared" ref="AR200:AR263" si="112">SUM(AP200:AQ200)</f>
        <v>0</v>
      </c>
      <c r="AS200" s="42"/>
      <c r="AT200" s="84"/>
      <c r="AU200" s="84"/>
      <c r="AV200" s="4">
        <f t="shared" ref="AV200:AV263" si="113">SUM(AT200:AU200)</f>
        <v>0</v>
      </c>
      <c r="AW200" s="50" t="str">
        <f t="shared" ref="AW200:AW263" si="114">IF(AV200=0,"",IF(AN200=AV200,"","W"))</f>
        <v/>
      </c>
      <c r="AX200" s="1" t="s">
        <v>1639</v>
      </c>
      <c r="AY200" s="2" t="s">
        <v>1640</v>
      </c>
      <c r="AZ200" s="2"/>
      <c r="BA200" s="73"/>
      <c r="BB200" s="73"/>
      <c r="BC200" s="73"/>
      <c r="BD200" s="73"/>
      <c r="BE200" s="66">
        <v>0</v>
      </c>
      <c r="BF200" s="66">
        <v>0.02</v>
      </c>
      <c r="BG200" s="63">
        <v>45157</v>
      </c>
      <c r="BH200" s="2"/>
      <c r="BI200" s="2"/>
      <c r="BJ200" s="2">
        <v>423878.40000000002</v>
      </c>
      <c r="BK200" s="2">
        <v>47097.599999999999</v>
      </c>
      <c r="BL200" s="1" t="s">
        <v>56</v>
      </c>
    </row>
    <row r="201" spans="1:64" x14ac:dyDescent="0.25">
      <c r="A201" s="81" t="s">
        <v>378</v>
      </c>
      <c r="B201" s="82" t="s">
        <v>378</v>
      </c>
      <c r="C201" s="81" t="s">
        <v>379</v>
      </c>
      <c r="D201" s="16">
        <v>41632</v>
      </c>
      <c r="E201" s="17"/>
      <c r="F201" s="2" t="s">
        <v>243</v>
      </c>
      <c r="G201" s="2" t="s">
        <v>245</v>
      </c>
      <c r="H201" s="10" t="s">
        <v>98</v>
      </c>
      <c r="I201" s="11" t="s">
        <v>244</v>
      </c>
      <c r="J201" s="11" t="s">
        <v>278</v>
      </c>
      <c r="K201" s="61" t="s">
        <v>279</v>
      </c>
      <c r="L201" s="11" t="s">
        <v>67</v>
      </c>
      <c r="M201" s="25"/>
      <c r="N201" s="82"/>
      <c r="O201" s="3" t="str">
        <f t="shared" si="106"/>
        <v>A</v>
      </c>
      <c r="P201" s="84">
        <v>148358.66</v>
      </c>
      <c r="Q201" s="84">
        <v>5537</v>
      </c>
      <c r="R201" s="32"/>
      <c r="S201" s="3" t="str">
        <f t="shared" si="107"/>
        <v>A</v>
      </c>
      <c r="T201" s="84">
        <v>131421.25</v>
      </c>
      <c r="U201" s="84">
        <v>5521</v>
      </c>
      <c r="V201" s="32"/>
      <c r="W201" s="3" t="str">
        <f t="shared" si="108"/>
        <v>A</v>
      </c>
      <c r="X201" s="84">
        <v>112607.94</v>
      </c>
      <c r="Y201" s="84">
        <v>5048</v>
      </c>
      <c r="Z201" s="32"/>
      <c r="AA201" s="3" t="str">
        <f t="shared" si="109"/>
        <v>A</v>
      </c>
      <c r="AB201" s="84">
        <v>167615.76</v>
      </c>
      <c r="AC201" s="84">
        <v>5520</v>
      </c>
      <c r="AD201" s="36"/>
      <c r="AE201" s="82"/>
      <c r="AF201" s="3" t="str">
        <f t="shared" si="110"/>
        <v>A</v>
      </c>
      <c r="AG201" s="84">
        <v>0</v>
      </c>
      <c r="AH201" s="84">
        <v>0</v>
      </c>
      <c r="AI201" s="39"/>
      <c r="AJ201" s="79" t="s">
        <v>1801</v>
      </c>
      <c r="AK201" s="39"/>
      <c r="AL201" s="4">
        <f t="shared" ref="AL201:AL264" si="115">IF($O201="A",P201,0)+IF($S201="A",T201,0)+IF($W201="A",X201,0)+IF($AA201="A",AB201,0)+IF($AF201="A",AG201,0)</f>
        <v>560003.6100000001</v>
      </c>
      <c r="AM201" s="4">
        <f t="shared" ref="AM201:AM264" si="116">IF($O201="A",Q201,0)+IF($S201="A",U201,0)+IF($W201="A",Y201,0)+IF($AA201="A",AC201,0)+IF($AF201="A",AH201,0)</f>
        <v>21626</v>
      </c>
      <c r="AN201" s="4">
        <f t="shared" si="111"/>
        <v>581629.6100000001</v>
      </c>
      <c r="AO201" s="39"/>
      <c r="AP201" s="8">
        <f t="shared" ref="AP201:AP264" si="117">IF($O201="E",P201,0)+IF($S201="E",T201,0)+IF($W201="E",X201,0)+IF($AA201="E",AB201,0)+IF($AF201="E",AG201,0)</f>
        <v>0</v>
      </c>
      <c r="AQ201" s="8">
        <f t="shared" ref="AQ201:AQ264" si="118">IF($O201="E",Q201,0)+IF($S201="E",U201,0)+IF($W201="E",Y201,0)+IF($AA201="E",AC201,0)+IF($AF201="E",AH201,0)</f>
        <v>0</v>
      </c>
      <c r="AR201" s="8">
        <f t="shared" si="112"/>
        <v>0</v>
      </c>
      <c r="AS201" s="42"/>
      <c r="AT201" s="84">
        <v>560003.61</v>
      </c>
      <c r="AU201" s="84">
        <v>21626</v>
      </c>
      <c r="AV201" s="4">
        <f t="shared" si="113"/>
        <v>581629.61</v>
      </c>
      <c r="AW201" s="50" t="str">
        <f t="shared" si="114"/>
        <v/>
      </c>
      <c r="AX201" s="1" t="s">
        <v>1639</v>
      </c>
      <c r="AY201" s="2" t="s">
        <v>1640</v>
      </c>
      <c r="AZ201" s="2">
        <v>163871.04000000001</v>
      </c>
      <c r="BA201" s="73">
        <v>143387.16</v>
      </c>
      <c r="BB201" s="73">
        <v>143387.16</v>
      </c>
      <c r="BC201" s="73">
        <v>163871.04000000001</v>
      </c>
      <c r="BD201" s="73"/>
      <c r="BE201" s="66">
        <v>3.5000000000000003E-2</v>
      </c>
      <c r="BF201" s="66">
        <v>0.02</v>
      </c>
      <c r="BG201" s="63">
        <v>45242</v>
      </c>
      <c r="BH201" s="74">
        <v>43909</v>
      </c>
      <c r="BI201" s="74">
        <v>43918</v>
      </c>
      <c r="BJ201" s="2"/>
      <c r="BK201" s="2"/>
      <c r="BL201" s="1" t="s">
        <v>97</v>
      </c>
    </row>
    <row r="202" spans="1:64" x14ac:dyDescent="0.25">
      <c r="A202" s="81" t="s">
        <v>378</v>
      </c>
      <c r="B202" s="82" t="s">
        <v>1142</v>
      </c>
      <c r="C202" s="81" t="s">
        <v>1143</v>
      </c>
      <c r="D202" s="16">
        <v>0</v>
      </c>
      <c r="E202" s="17"/>
      <c r="F202" s="2" t="s">
        <v>243</v>
      </c>
      <c r="G202" s="2" t="s">
        <v>245</v>
      </c>
      <c r="H202" s="10" t="s">
        <v>98</v>
      </c>
      <c r="I202" s="11" t="s">
        <v>244</v>
      </c>
      <c r="J202" s="11" t="s">
        <v>278</v>
      </c>
      <c r="K202" s="61" t="s">
        <v>279</v>
      </c>
      <c r="L202" s="11" t="s">
        <v>67</v>
      </c>
      <c r="M202" s="25"/>
      <c r="N202" s="82"/>
      <c r="O202" s="3" t="str">
        <f t="shared" si="106"/>
        <v>A</v>
      </c>
      <c r="P202" s="84">
        <v>201803</v>
      </c>
      <c r="Q202" s="84">
        <v>0</v>
      </c>
      <c r="R202" s="32"/>
      <c r="S202" s="3" t="str">
        <f t="shared" si="107"/>
        <v>A</v>
      </c>
      <c r="T202" s="84">
        <v>172232</v>
      </c>
      <c r="U202" s="84">
        <v>130</v>
      </c>
      <c r="V202" s="32"/>
      <c r="W202" s="3" t="str">
        <f t="shared" si="108"/>
        <v>A</v>
      </c>
      <c r="X202" s="84">
        <v>161132</v>
      </c>
      <c r="Y202" s="84">
        <v>0</v>
      </c>
      <c r="Z202" s="32"/>
      <c r="AA202" s="3" t="str">
        <f t="shared" si="109"/>
        <v>A</v>
      </c>
      <c r="AB202" s="84">
        <v>179466</v>
      </c>
      <c r="AC202" s="84">
        <v>0</v>
      </c>
      <c r="AD202" s="36"/>
      <c r="AE202" s="82"/>
      <c r="AF202" s="3" t="str">
        <f t="shared" si="110"/>
        <v>A</v>
      </c>
      <c r="AG202" s="84">
        <v>0</v>
      </c>
      <c r="AH202" s="84">
        <v>0</v>
      </c>
      <c r="AI202" s="39"/>
      <c r="AJ202" s="79" t="s">
        <v>1801</v>
      </c>
      <c r="AK202" s="39"/>
      <c r="AL202" s="4">
        <f t="shared" si="115"/>
        <v>714633</v>
      </c>
      <c r="AM202" s="4">
        <f t="shared" si="116"/>
        <v>130</v>
      </c>
      <c r="AN202" s="4">
        <f t="shared" si="111"/>
        <v>714763</v>
      </c>
      <c r="AO202" s="39"/>
      <c r="AP202" s="8">
        <f t="shared" si="117"/>
        <v>0</v>
      </c>
      <c r="AQ202" s="8">
        <f t="shared" si="118"/>
        <v>0</v>
      </c>
      <c r="AR202" s="8">
        <f t="shared" si="112"/>
        <v>0</v>
      </c>
      <c r="AS202" s="42"/>
      <c r="AT202" s="84">
        <v>714633</v>
      </c>
      <c r="AU202" s="84">
        <v>130</v>
      </c>
      <c r="AV202" s="4">
        <f t="shared" si="113"/>
        <v>714763</v>
      </c>
      <c r="AW202" s="50" t="str">
        <f t="shared" si="114"/>
        <v/>
      </c>
      <c r="AX202" s="1" t="s">
        <v>1639</v>
      </c>
      <c r="AY202" s="2" t="s">
        <v>1640</v>
      </c>
      <c r="AZ202" s="2">
        <v>59659.839999999997</v>
      </c>
      <c r="BA202" s="73">
        <v>52202.36</v>
      </c>
      <c r="BB202" s="73">
        <v>52202.36</v>
      </c>
      <c r="BC202" s="73">
        <v>59659.839999999997</v>
      </c>
      <c r="BD202" s="73"/>
      <c r="BE202" s="66">
        <v>0</v>
      </c>
      <c r="BF202" s="66">
        <v>0.02</v>
      </c>
      <c r="BG202" s="63">
        <v>45242</v>
      </c>
      <c r="BH202" s="2"/>
      <c r="BI202" s="2"/>
      <c r="BJ202" s="2">
        <v>225000</v>
      </c>
      <c r="BK202" s="2"/>
      <c r="BL202" s="1" t="s">
        <v>97</v>
      </c>
    </row>
    <row r="203" spans="1:64" x14ac:dyDescent="0.25">
      <c r="A203" s="81" t="s">
        <v>378</v>
      </c>
      <c r="B203" s="82" t="s">
        <v>1352</v>
      </c>
      <c r="C203" s="81" t="s">
        <v>1353</v>
      </c>
      <c r="D203" s="16">
        <v>45219</v>
      </c>
      <c r="E203" s="17"/>
      <c r="F203" s="2" t="s">
        <v>243</v>
      </c>
      <c r="G203" s="2" t="s">
        <v>245</v>
      </c>
      <c r="H203" s="10" t="s">
        <v>98</v>
      </c>
      <c r="I203" s="11" t="s">
        <v>244</v>
      </c>
      <c r="J203" s="11" t="s">
        <v>278</v>
      </c>
      <c r="K203" s="61" t="s">
        <v>279</v>
      </c>
      <c r="L203" s="11" t="s">
        <v>67</v>
      </c>
      <c r="M203" s="25"/>
      <c r="N203" s="82"/>
      <c r="O203" s="3" t="str">
        <f>IF($A203="","",IF(P203=AZ203,"E","A"))</f>
        <v>A</v>
      </c>
      <c r="P203" s="84">
        <v>56053</v>
      </c>
      <c r="Q203" s="84">
        <v>3435</v>
      </c>
      <c r="R203" s="32"/>
      <c r="S203" s="3" t="str">
        <f t="shared" si="107"/>
        <v>A</v>
      </c>
      <c r="T203" s="84">
        <v>51712.5</v>
      </c>
      <c r="U203" s="84">
        <v>3404</v>
      </c>
      <c r="V203" s="32"/>
      <c r="W203" s="3" t="str">
        <f t="shared" si="108"/>
        <v>A</v>
      </c>
      <c r="X203" s="84">
        <v>53315.5</v>
      </c>
      <c r="Y203" s="84">
        <v>2120</v>
      </c>
      <c r="Z203" s="32"/>
      <c r="AA203" s="3" t="str">
        <f t="shared" si="109"/>
        <v>A</v>
      </c>
      <c r="AB203" s="84">
        <v>53724.5</v>
      </c>
      <c r="AC203" s="84">
        <v>2450</v>
      </c>
      <c r="AD203" s="36"/>
      <c r="AE203" s="82"/>
      <c r="AF203" s="3" t="str">
        <f t="shared" si="110"/>
        <v>A</v>
      </c>
      <c r="AG203" s="84">
        <v>0</v>
      </c>
      <c r="AH203" s="84">
        <v>0</v>
      </c>
      <c r="AI203" s="39"/>
      <c r="AJ203" s="79" t="s">
        <v>1801</v>
      </c>
      <c r="AK203" s="39"/>
      <c r="AL203" s="4">
        <f t="shared" si="115"/>
        <v>214805.5</v>
      </c>
      <c r="AM203" s="4">
        <f t="shared" si="116"/>
        <v>11409</v>
      </c>
      <c r="AN203" s="4">
        <f t="shared" si="111"/>
        <v>226214.5</v>
      </c>
      <c r="AO203" s="39"/>
      <c r="AP203" s="8">
        <f t="shared" si="117"/>
        <v>0</v>
      </c>
      <c r="AQ203" s="8">
        <f t="shared" si="118"/>
        <v>0</v>
      </c>
      <c r="AR203" s="8">
        <f t="shared" si="112"/>
        <v>0</v>
      </c>
      <c r="AS203" s="42"/>
      <c r="AT203" s="84">
        <v>214805.5</v>
      </c>
      <c r="AU203" s="84">
        <v>11409</v>
      </c>
      <c r="AV203" s="4">
        <f t="shared" si="113"/>
        <v>226214.5</v>
      </c>
      <c r="AW203" s="50" t="str">
        <f t="shared" si="114"/>
        <v/>
      </c>
      <c r="AX203" s="1" t="s">
        <v>1639</v>
      </c>
      <c r="AY203" s="2" t="s">
        <v>1640</v>
      </c>
      <c r="AZ203" s="2">
        <v>98124.479999999996</v>
      </c>
      <c r="BA203" s="73">
        <v>85858.92</v>
      </c>
      <c r="BB203" s="73">
        <v>85858.92</v>
      </c>
      <c r="BC203" s="73">
        <v>98124.479999999996</v>
      </c>
      <c r="BD203" s="73"/>
      <c r="BE203" s="66">
        <v>0</v>
      </c>
      <c r="BF203" s="66">
        <v>0.02</v>
      </c>
      <c r="BG203" s="63">
        <v>45242</v>
      </c>
      <c r="BH203" s="2"/>
      <c r="BI203" s="2"/>
      <c r="BJ203" s="2">
        <v>360000</v>
      </c>
      <c r="BK203" s="2"/>
      <c r="BL203" s="1" t="s">
        <v>97</v>
      </c>
    </row>
    <row r="204" spans="1:64" x14ac:dyDescent="0.25">
      <c r="A204" s="81" t="s">
        <v>378</v>
      </c>
      <c r="B204" s="82" t="s">
        <v>1446</v>
      </c>
      <c r="C204" s="81" t="s">
        <v>1447</v>
      </c>
      <c r="D204" s="16">
        <v>45357</v>
      </c>
      <c r="E204" s="17">
        <v>45665</v>
      </c>
      <c r="F204" s="2" t="s">
        <v>243</v>
      </c>
      <c r="G204" s="2" t="s">
        <v>245</v>
      </c>
      <c r="H204" s="10" t="s">
        <v>98</v>
      </c>
      <c r="I204" s="11" t="s">
        <v>244</v>
      </c>
      <c r="J204" s="11" t="s">
        <v>278</v>
      </c>
      <c r="K204" s="61" t="s">
        <v>279</v>
      </c>
      <c r="L204" s="11" t="s">
        <v>67</v>
      </c>
      <c r="M204" s="25"/>
      <c r="N204" s="82"/>
      <c r="O204" s="3" t="str">
        <f>IF($A204="","",IF(P204=AZ204,"E","A"))</f>
        <v>E</v>
      </c>
      <c r="P204" s="84"/>
      <c r="Q204" s="84"/>
      <c r="R204" s="32"/>
      <c r="S204" s="3" t="str">
        <f>IF($A204="","",IF(T204=BA204,"E","A"))</f>
        <v>E</v>
      </c>
      <c r="T204" s="84"/>
      <c r="U204" s="84"/>
      <c r="V204" s="32"/>
      <c r="W204" s="3" t="str">
        <f t="shared" si="108"/>
        <v>A</v>
      </c>
      <c r="X204" s="84"/>
      <c r="Y204" s="84"/>
      <c r="Z204" s="32"/>
      <c r="AA204" s="3" t="str">
        <f t="shared" si="109"/>
        <v>A</v>
      </c>
      <c r="AB204" s="84"/>
      <c r="AC204" s="84"/>
      <c r="AD204" s="36"/>
      <c r="AE204" s="82"/>
      <c r="AF204" s="3" t="str">
        <f t="shared" si="110"/>
        <v>A</v>
      </c>
      <c r="AG204" s="84"/>
      <c r="AH204" s="84"/>
      <c r="AI204" s="39"/>
      <c r="AJ204" s="79" t="s">
        <v>38</v>
      </c>
      <c r="AK204" s="39"/>
      <c r="AL204" s="4">
        <f t="shared" si="115"/>
        <v>0</v>
      </c>
      <c r="AM204" s="4">
        <f t="shared" si="116"/>
        <v>0</v>
      </c>
      <c r="AN204" s="4">
        <f t="shared" si="111"/>
        <v>0</v>
      </c>
      <c r="AO204" s="39"/>
      <c r="AP204" s="8">
        <f t="shared" si="117"/>
        <v>0</v>
      </c>
      <c r="AQ204" s="8">
        <f t="shared" si="118"/>
        <v>0</v>
      </c>
      <c r="AR204" s="8">
        <f t="shared" si="112"/>
        <v>0</v>
      </c>
      <c r="AS204" s="42"/>
      <c r="AT204" s="84"/>
      <c r="AU204" s="84"/>
      <c r="AV204" s="4">
        <f t="shared" si="113"/>
        <v>0</v>
      </c>
      <c r="AW204" s="50" t="str">
        <f t="shared" si="114"/>
        <v/>
      </c>
      <c r="AX204" s="1" t="s">
        <v>1639</v>
      </c>
      <c r="AY204" s="2" t="s">
        <v>1640</v>
      </c>
      <c r="AZ204" s="2"/>
      <c r="BA204" s="73"/>
      <c r="BB204" s="73"/>
      <c r="BC204" s="73"/>
      <c r="BD204" s="73"/>
      <c r="BE204" s="66">
        <v>0</v>
      </c>
      <c r="BF204" s="66">
        <v>0.02</v>
      </c>
      <c r="BG204" s="63">
        <v>45357</v>
      </c>
      <c r="BH204" s="74">
        <v>45665</v>
      </c>
      <c r="BI204" s="2"/>
      <c r="BJ204" s="2">
        <v>405000</v>
      </c>
      <c r="BK204" s="2">
        <v>12656.25</v>
      </c>
      <c r="BL204" s="1" t="s">
        <v>97</v>
      </c>
    </row>
    <row r="205" spans="1:64" x14ac:dyDescent="0.25">
      <c r="A205" s="81" t="s">
        <v>380</v>
      </c>
      <c r="B205" s="82" t="s">
        <v>380</v>
      </c>
      <c r="C205" s="81" t="s">
        <v>381</v>
      </c>
      <c r="D205" s="16">
        <v>40139</v>
      </c>
      <c r="E205" s="17"/>
      <c r="F205" s="2" t="s">
        <v>382</v>
      </c>
      <c r="G205" s="2" t="s">
        <v>383</v>
      </c>
      <c r="H205" s="10" t="s">
        <v>57</v>
      </c>
      <c r="I205" s="11" t="s">
        <v>53</v>
      </c>
      <c r="J205" s="11" t="s">
        <v>384</v>
      </c>
      <c r="K205" s="61"/>
      <c r="L205" s="11" t="s">
        <v>67</v>
      </c>
      <c r="M205" s="25"/>
      <c r="N205" s="82"/>
      <c r="O205" s="3" t="str">
        <f>IF($A205="","",IF(P205=0,"A",IF(P205=AZ205,"E","A")))</f>
        <v>A</v>
      </c>
      <c r="P205" s="84">
        <v>33510</v>
      </c>
      <c r="Q205" s="84">
        <v>11228</v>
      </c>
      <c r="R205" s="32"/>
      <c r="S205" s="3" t="str">
        <f>IF($A205="","",IF(T205=0,"A",IF(T205=BA205,"E","A")))</f>
        <v>A</v>
      </c>
      <c r="T205" s="84">
        <v>25731</v>
      </c>
      <c r="U205" s="84">
        <v>9220</v>
      </c>
      <c r="V205" s="32"/>
      <c r="W205" s="3" t="str">
        <f t="shared" si="108"/>
        <v>A</v>
      </c>
      <c r="X205" s="84">
        <v>25975</v>
      </c>
      <c r="Y205" s="84">
        <v>9624</v>
      </c>
      <c r="Z205" s="32"/>
      <c r="AA205" s="3" t="str">
        <f t="shared" si="109"/>
        <v>E</v>
      </c>
      <c r="AB205" s="84">
        <v>91968.72</v>
      </c>
      <c r="AC205" s="84">
        <v>15547.84</v>
      </c>
      <c r="AD205" s="36"/>
      <c r="AE205" s="82"/>
      <c r="AF205" s="3" t="str">
        <f t="shared" si="110"/>
        <v>A</v>
      </c>
      <c r="AG205" s="84">
        <v>0</v>
      </c>
      <c r="AH205" s="84">
        <v>0</v>
      </c>
      <c r="AI205" s="39"/>
      <c r="AJ205" s="79" t="s">
        <v>38</v>
      </c>
      <c r="AK205" s="39"/>
      <c r="AL205" s="4">
        <f t="shared" si="115"/>
        <v>85216</v>
      </c>
      <c r="AM205" s="4">
        <f t="shared" si="116"/>
        <v>30072</v>
      </c>
      <c r="AN205" s="4">
        <f t="shared" si="111"/>
        <v>115288</v>
      </c>
      <c r="AO205" s="39"/>
      <c r="AP205" s="8">
        <f t="shared" si="117"/>
        <v>91968.72</v>
      </c>
      <c r="AQ205" s="8">
        <f t="shared" si="118"/>
        <v>15547.84</v>
      </c>
      <c r="AR205" s="8">
        <f t="shared" si="112"/>
        <v>107516.56</v>
      </c>
      <c r="AS205" s="42"/>
      <c r="AT205" s="84">
        <v>85216</v>
      </c>
      <c r="AU205" s="84">
        <v>30072</v>
      </c>
      <c r="AV205" s="4">
        <f t="shared" si="113"/>
        <v>115288</v>
      </c>
      <c r="AW205" s="50" t="str">
        <f t="shared" si="114"/>
        <v/>
      </c>
      <c r="AX205" s="1" t="s">
        <v>1696</v>
      </c>
      <c r="AY205" s="2" t="s">
        <v>1697</v>
      </c>
      <c r="AZ205" s="2">
        <v>91968.72</v>
      </c>
      <c r="BA205" s="73">
        <v>80472.63</v>
      </c>
      <c r="BB205" s="73">
        <v>80472.63</v>
      </c>
      <c r="BC205" s="73">
        <v>91968.72</v>
      </c>
      <c r="BD205" s="73"/>
      <c r="BE205" s="66">
        <v>3.5000000000000003E-2</v>
      </c>
      <c r="BF205" s="66">
        <v>0.05</v>
      </c>
      <c r="BG205" s="63">
        <v>45611</v>
      </c>
      <c r="BH205" s="2"/>
      <c r="BI205" s="2"/>
      <c r="BJ205" s="2"/>
      <c r="BK205" s="2"/>
      <c r="BL205" s="1" t="s">
        <v>56</v>
      </c>
    </row>
    <row r="206" spans="1:64" x14ac:dyDescent="0.25">
      <c r="A206" s="81" t="s">
        <v>385</v>
      </c>
      <c r="B206" s="82" t="s">
        <v>385</v>
      </c>
      <c r="C206" s="81" t="s">
        <v>386</v>
      </c>
      <c r="D206" s="16">
        <v>40137</v>
      </c>
      <c r="E206" s="17"/>
      <c r="F206" s="2" t="s">
        <v>342</v>
      </c>
      <c r="G206" s="2" t="s">
        <v>343</v>
      </c>
      <c r="H206" s="10" t="s">
        <v>57</v>
      </c>
      <c r="I206" s="11" t="s">
        <v>53</v>
      </c>
      <c r="J206" s="11" t="s">
        <v>387</v>
      </c>
      <c r="K206" s="61"/>
      <c r="L206" s="11" t="s">
        <v>67</v>
      </c>
      <c r="M206" s="25"/>
      <c r="N206" s="82"/>
      <c r="O206" s="3" t="str">
        <f>IF($A206="","",IF(P206=0,"A",IF(P206=AZ206,"E","A")))</f>
        <v>A</v>
      </c>
      <c r="P206" s="84">
        <v>104395</v>
      </c>
      <c r="Q206" s="84">
        <v>69770</v>
      </c>
      <c r="R206" s="32"/>
      <c r="S206" s="3" t="str">
        <f>IF($A206="","",IF(T206=0,"A",IF(T206=BA206,"E","A")))</f>
        <v>A</v>
      </c>
      <c r="T206" s="84">
        <v>86475</v>
      </c>
      <c r="U206" s="84">
        <v>68072</v>
      </c>
      <c r="V206" s="32"/>
      <c r="W206" s="3" t="str">
        <f t="shared" si="108"/>
        <v>A</v>
      </c>
      <c r="X206" s="84">
        <v>81420</v>
      </c>
      <c r="Y206" s="84">
        <v>53290</v>
      </c>
      <c r="Z206" s="32"/>
      <c r="AA206" s="3" t="str">
        <f t="shared" si="109"/>
        <v>A</v>
      </c>
      <c r="AB206" s="84">
        <v>89595</v>
      </c>
      <c r="AC206" s="84">
        <v>56934</v>
      </c>
      <c r="AD206" s="36"/>
      <c r="AE206" s="82"/>
      <c r="AF206" s="3" t="str">
        <f t="shared" si="110"/>
        <v>A</v>
      </c>
      <c r="AG206" s="84">
        <v>0</v>
      </c>
      <c r="AH206" s="84">
        <v>0</v>
      </c>
      <c r="AI206" s="39"/>
      <c r="AJ206" s="79" t="s">
        <v>1801</v>
      </c>
      <c r="AK206" s="39"/>
      <c r="AL206" s="4">
        <f t="shared" si="115"/>
        <v>361885</v>
      </c>
      <c r="AM206" s="4">
        <f t="shared" si="116"/>
        <v>248066</v>
      </c>
      <c r="AN206" s="4">
        <f t="shared" si="111"/>
        <v>609951</v>
      </c>
      <c r="AO206" s="39"/>
      <c r="AP206" s="8">
        <f t="shared" si="117"/>
        <v>0</v>
      </c>
      <c r="AQ206" s="8">
        <f t="shared" si="118"/>
        <v>0</v>
      </c>
      <c r="AR206" s="8">
        <f t="shared" si="112"/>
        <v>0</v>
      </c>
      <c r="AS206" s="42"/>
      <c r="AT206" s="84">
        <v>361885</v>
      </c>
      <c r="AU206" s="84">
        <v>248066</v>
      </c>
      <c r="AV206" s="4">
        <f t="shared" si="113"/>
        <v>609951</v>
      </c>
      <c r="AW206" s="50" t="str">
        <f t="shared" si="114"/>
        <v/>
      </c>
      <c r="AX206" s="1" t="s">
        <v>1686</v>
      </c>
      <c r="AY206" s="2" t="s">
        <v>1687</v>
      </c>
      <c r="AZ206" s="2">
        <v>111892.16</v>
      </c>
      <c r="BA206" s="73">
        <v>97905.64</v>
      </c>
      <c r="BB206" s="73">
        <v>97905.64</v>
      </c>
      <c r="BC206" s="73">
        <v>111892.16</v>
      </c>
      <c r="BD206" s="73"/>
      <c r="BE206" s="66">
        <v>3.5000000000000003E-2</v>
      </c>
      <c r="BF206" s="66">
        <v>0.05</v>
      </c>
      <c r="BG206" s="63">
        <v>45616</v>
      </c>
      <c r="BH206" s="74">
        <v>43919</v>
      </c>
      <c r="BI206" s="74">
        <v>43985</v>
      </c>
      <c r="BJ206" s="2"/>
      <c r="BK206" s="2"/>
      <c r="BL206" s="1" t="s">
        <v>56</v>
      </c>
    </row>
    <row r="207" spans="1:64" x14ac:dyDescent="0.25">
      <c r="A207" s="81" t="s">
        <v>385</v>
      </c>
      <c r="B207" s="82" t="s">
        <v>749</v>
      </c>
      <c r="C207" s="81" t="s">
        <v>750</v>
      </c>
      <c r="D207" s="16">
        <v>40531</v>
      </c>
      <c r="E207" s="17"/>
      <c r="F207" s="2" t="s">
        <v>342</v>
      </c>
      <c r="G207" s="2" t="s">
        <v>343</v>
      </c>
      <c r="H207" s="10" t="s">
        <v>57</v>
      </c>
      <c r="I207" s="11" t="s">
        <v>53</v>
      </c>
      <c r="J207" s="11" t="s">
        <v>387</v>
      </c>
      <c r="K207" s="61"/>
      <c r="L207" s="11" t="s">
        <v>67</v>
      </c>
      <c r="M207" s="25"/>
      <c r="N207" s="82"/>
      <c r="O207" s="3" t="str">
        <f>IF($A207="","",IF(P207=0,"A",IF(P207=AZ207,"E","A")))</f>
        <v>A</v>
      </c>
      <c r="P207" s="84">
        <v>92940</v>
      </c>
      <c r="Q207" s="84">
        <v>39287</v>
      </c>
      <c r="R207" s="32"/>
      <c r="S207" s="3" t="str">
        <f>IF($A207="","",IF(T207=0,"A",IF(T207=BA207,"E","A")))</f>
        <v>A</v>
      </c>
      <c r="T207" s="84">
        <v>81995</v>
      </c>
      <c r="U207" s="84">
        <v>42567</v>
      </c>
      <c r="V207" s="32"/>
      <c r="W207" s="3" t="str">
        <f t="shared" si="108"/>
        <v>A</v>
      </c>
      <c r="X207" s="84">
        <v>80515</v>
      </c>
      <c r="Y207" s="84">
        <v>30903</v>
      </c>
      <c r="Z207" s="32"/>
      <c r="AA207" s="3" t="str">
        <f t="shared" si="109"/>
        <v>A</v>
      </c>
      <c r="AB207" s="84">
        <v>84535</v>
      </c>
      <c r="AC207" s="84">
        <v>32038</v>
      </c>
      <c r="AD207" s="36"/>
      <c r="AE207" s="82"/>
      <c r="AF207" s="3" t="str">
        <f t="shared" si="110"/>
        <v>A</v>
      </c>
      <c r="AG207" s="84">
        <v>0</v>
      </c>
      <c r="AH207" s="84">
        <v>0</v>
      </c>
      <c r="AI207" s="39"/>
      <c r="AJ207" s="79" t="s">
        <v>1801</v>
      </c>
      <c r="AK207" s="39"/>
      <c r="AL207" s="4">
        <f t="shared" si="115"/>
        <v>339985</v>
      </c>
      <c r="AM207" s="4">
        <f t="shared" si="116"/>
        <v>144795</v>
      </c>
      <c r="AN207" s="4">
        <f t="shared" si="111"/>
        <v>484780</v>
      </c>
      <c r="AO207" s="39"/>
      <c r="AP207" s="8">
        <f t="shared" si="117"/>
        <v>0</v>
      </c>
      <c r="AQ207" s="8">
        <f t="shared" si="118"/>
        <v>0</v>
      </c>
      <c r="AR207" s="8">
        <f t="shared" si="112"/>
        <v>0</v>
      </c>
      <c r="AS207" s="42"/>
      <c r="AT207" s="84">
        <v>339985</v>
      </c>
      <c r="AU207" s="84">
        <v>144795</v>
      </c>
      <c r="AV207" s="4">
        <f t="shared" si="113"/>
        <v>484780</v>
      </c>
      <c r="AW207" s="50" t="str">
        <f t="shared" si="114"/>
        <v/>
      </c>
      <c r="AX207" s="1" t="s">
        <v>1686</v>
      </c>
      <c r="AY207" s="2" t="s">
        <v>1687</v>
      </c>
      <c r="AZ207" s="2">
        <v>130740.64</v>
      </c>
      <c r="BA207" s="73">
        <v>114398.06</v>
      </c>
      <c r="BB207" s="73">
        <v>114398.06</v>
      </c>
      <c r="BC207" s="73">
        <v>130740.64</v>
      </c>
      <c r="BD207" s="73"/>
      <c r="BE207" s="66">
        <v>3.5000000000000003E-2</v>
      </c>
      <c r="BF207" s="66">
        <v>0.05</v>
      </c>
      <c r="BG207" s="63">
        <v>45616</v>
      </c>
      <c r="BH207" s="74">
        <v>43919</v>
      </c>
      <c r="BI207" s="74">
        <v>43976</v>
      </c>
      <c r="BJ207" s="2"/>
      <c r="BK207" s="2"/>
      <c r="BL207" s="1" t="s">
        <v>56</v>
      </c>
    </row>
    <row r="208" spans="1:64" x14ac:dyDescent="0.25">
      <c r="A208" s="81" t="s">
        <v>388</v>
      </c>
      <c r="B208" s="82" t="s">
        <v>388</v>
      </c>
      <c r="C208" s="81" t="s">
        <v>389</v>
      </c>
      <c r="D208" s="16">
        <v>40157</v>
      </c>
      <c r="E208" s="17"/>
      <c r="F208" s="2" t="s">
        <v>390</v>
      </c>
      <c r="G208" s="2" t="s">
        <v>391</v>
      </c>
      <c r="H208" s="10" t="s">
        <v>98</v>
      </c>
      <c r="I208" s="11" t="s">
        <v>53</v>
      </c>
      <c r="J208" s="11" t="s">
        <v>224</v>
      </c>
      <c r="K208" s="61"/>
      <c r="L208" s="11" t="s">
        <v>67</v>
      </c>
      <c r="M208" s="25"/>
      <c r="N208" s="82"/>
      <c r="O208" s="3" t="str">
        <f>IF($A208="","",IF(P208=0,"A",IF(P208=AZ208,"E","A")))</f>
        <v>A</v>
      </c>
      <c r="P208" s="84">
        <v>274256.25</v>
      </c>
      <c r="Q208" s="84">
        <v>9293</v>
      </c>
      <c r="R208" s="32"/>
      <c r="S208" s="3" t="str">
        <f>IF($A208="","",IF(T208=0,"A",IF(T208=BA208,"E","A")))</f>
        <v>A</v>
      </c>
      <c r="T208" s="84">
        <v>222846.85</v>
      </c>
      <c r="U208" s="84">
        <v>4905</v>
      </c>
      <c r="V208" s="32"/>
      <c r="W208" s="3" t="str">
        <f t="shared" si="108"/>
        <v>A</v>
      </c>
      <c r="X208" s="84">
        <v>228509.75</v>
      </c>
      <c r="Y208" s="84">
        <v>3900</v>
      </c>
      <c r="Z208" s="32"/>
      <c r="AA208" s="3" t="str">
        <f t="shared" si="109"/>
        <v>A</v>
      </c>
      <c r="AB208" s="84">
        <v>254190.5</v>
      </c>
      <c r="AC208" s="84">
        <v>5459</v>
      </c>
      <c r="AD208" s="36"/>
      <c r="AE208" s="82"/>
      <c r="AF208" s="3" t="str">
        <f t="shared" si="110"/>
        <v>A</v>
      </c>
      <c r="AG208" s="84">
        <v>0</v>
      </c>
      <c r="AH208" s="84">
        <v>0</v>
      </c>
      <c r="AI208" s="39"/>
      <c r="AJ208" s="79" t="s">
        <v>1801</v>
      </c>
      <c r="AK208" s="39"/>
      <c r="AL208" s="4">
        <f t="shared" si="115"/>
        <v>979803.35</v>
      </c>
      <c r="AM208" s="4">
        <f t="shared" si="116"/>
        <v>23557</v>
      </c>
      <c r="AN208" s="4">
        <f t="shared" si="111"/>
        <v>1003360.35</v>
      </c>
      <c r="AO208" s="39"/>
      <c r="AP208" s="8">
        <f t="shared" si="117"/>
        <v>0</v>
      </c>
      <c r="AQ208" s="8">
        <f t="shared" si="118"/>
        <v>0</v>
      </c>
      <c r="AR208" s="8">
        <f t="shared" si="112"/>
        <v>0</v>
      </c>
      <c r="AS208" s="42"/>
      <c r="AT208" s="84">
        <v>979803.35</v>
      </c>
      <c r="AU208" s="84">
        <v>23557</v>
      </c>
      <c r="AV208" s="4">
        <f t="shared" si="113"/>
        <v>1003360.35</v>
      </c>
      <c r="AW208" s="50" t="str">
        <f t="shared" si="114"/>
        <v/>
      </c>
      <c r="AX208" s="1" t="s">
        <v>1698</v>
      </c>
      <c r="AY208" s="2" t="s">
        <v>1699</v>
      </c>
      <c r="AZ208" s="2">
        <v>221505.28</v>
      </c>
      <c r="BA208" s="73">
        <v>193817.12</v>
      </c>
      <c r="BB208" s="73">
        <v>193817.12</v>
      </c>
      <c r="BC208" s="73">
        <v>221505.28</v>
      </c>
      <c r="BD208" s="73"/>
      <c r="BE208" s="66">
        <v>3.5000000000000003E-2</v>
      </c>
      <c r="BF208" s="66">
        <v>0.05</v>
      </c>
      <c r="BG208" s="63">
        <v>45627</v>
      </c>
      <c r="BH208" s="2"/>
      <c r="BI208" s="2"/>
      <c r="BJ208" s="2"/>
      <c r="BK208" s="2"/>
      <c r="BL208" s="1" t="s">
        <v>97</v>
      </c>
    </row>
    <row r="209" spans="1:64" x14ac:dyDescent="0.25">
      <c r="A209" s="81" t="s">
        <v>388</v>
      </c>
      <c r="B209" s="82" t="s">
        <v>1527</v>
      </c>
      <c r="C209" s="81" t="s">
        <v>1528</v>
      </c>
      <c r="D209" s="16">
        <v>0</v>
      </c>
      <c r="E209" s="17"/>
      <c r="F209" s="2" t="s">
        <v>390</v>
      </c>
      <c r="G209" s="2" t="s">
        <v>391</v>
      </c>
      <c r="H209" s="10" t="s">
        <v>98</v>
      </c>
      <c r="I209" s="11" t="s">
        <v>53</v>
      </c>
      <c r="J209" s="11" t="s">
        <v>224</v>
      </c>
      <c r="K209" s="61"/>
      <c r="L209" s="11" t="s">
        <v>67</v>
      </c>
      <c r="M209" s="25"/>
      <c r="N209" s="82"/>
      <c r="O209" s="3" t="str">
        <f>IF($A209="","",IF(P209=AZ209,"E","A"))</f>
        <v>A</v>
      </c>
      <c r="P209" s="84">
        <v>118061.00000099999</v>
      </c>
      <c r="Q209" s="84">
        <v>2250</v>
      </c>
      <c r="R209" s="32"/>
      <c r="S209" s="3" t="str">
        <f>IF($A209="","",IF(T209=BA209,"E","A"))</f>
        <v>A</v>
      </c>
      <c r="T209" s="84">
        <v>97593.500000000015</v>
      </c>
      <c r="U209" s="84">
        <v>1847.25</v>
      </c>
      <c r="V209" s="32"/>
      <c r="W209" s="3" t="str">
        <f t="shared" si="108"/>
        <v>A</v>
      </c>
      <c r="X209" s="84">
        <v>96213.700000000012</v>
      </c>
      <c r="Y209" s="84">
        <v>1695</v>
      </c>
      <c r="Z209" s="32"/>
      <c r="AA209" s="3" t="str">
        <f t="shared" si="109"/>
        <v>A</v>
      </c>
      <c r="AB209" s="84">
        <v>108189.59999999999</v>
      </c>
      <c r="AC209" s="84">
        <v>1611.75</v>
      </c>
      <c r="AD209" s="36"/>
      <c r="AE209" s="82"/>
      <c r="AF209" s="3" t="str">
        <f t="shared" si="110"/>
        <v>A</v>
      </c>
      <c r="AG209" s="84">
        <v>0</v>
      </c>
      <c r="AH209" s="84">
        <v>0</v>
      </c>
      <c r="AI209" s="39"/>
      <c r="AJ209" s="79" t="s">
        <v>1801</v>
      </c>
      <c r="AK209" s="39"/>
      <c r="AL209" s="4">
        <f t="shared" si="115"/>
        <v>420057.800001</v>
      </c>
      <c r="AM209" s="4">
        <f t="shared" si="116"/>
        <v>7404</v>
      </c>
      <c r="AN209" s="4">
        <f t="shared" si="111"/>
        <v>427461.800001</v>
      </c>
      <c r="AO209" s="39"/>
      <c r="AP209" s="8">
        <f t="shared" si="117"/>
        <v>0</v>
      </c>
      <c r="AQ209" s="8">
        <f t="shared" si="118"/>
        <v>0</v>
      </c>
      <c r="AR209" s="8">
        <f t="shared" si="112"/>
        <v>0</v>
      </c>
      <c r="AS209" s="42"/>
      <c r="AT209" s="84">
        <v>420057.800001</v>
      </c>
      <c r="AU209" s="84">
        <v>7404</v>
      </c>
      <c r="AV209" s="4">
        <f t="shared" si="113"/>
        <v>427461.800001</v>
      </c>
      <c r="AW209" s="50" t="str">
        <f t="shared" si="114"/>
        <v/>
      </c>
      <c r="AX209" s="1" t="s">
        <v>1698</v>
      </c>
      <c r="AY209" s="2" t="s">
        <v>1699</v>
      </c>
      <c r="AZ209" s="2">
        <v>100394.8</v>
      </c>
      <c r="BA209" s="73">
        <v>87845.45</v>
      </c>
      <c r="BB209" s="73">
        <v>87845.45</v>
      </c>
      <c r="BC209" s="73">
        <v>100394.8</v>
      </c>
      <c r="BD209" s="73"/>
      <c r="BE209" s="66">
        <v>0</v>
      </c>
      <c r="BF209" s="66">
        <v>0.05</v>
      </c>
      <c r="BG209" s="63">
        <v>45589</v>
      </c>
      <c r="BH209" s="2"/>
      <c r="BI209" s="2"/>
      <c r="BJ209" s="2">
        <v>378000</v>
      </c>
      <c r="BK209" s="2">
        <v>19845</v>
      </c>
      <c r="BL209" s="1" t="s">
        <v>97</v>
      </c>
    </row>
    <row r="210" spans="1:64" x14ac:dyDescent="0.25">
      <c r="A210" s="81" t="s">
        <v>388</v>
      </c>
      <c r="B210" s="82" t="s">
        <v>1619</v>
      </c>
      <c r="C210" s="81" t="s">
        <v>1620</v>
      </c>
      <c r="D210" s="16">
        <v>45815</v>
      </c>
      <c r="E210" s="17"/>
      <c r="F210" s="2" t="s">
        <v>390</v>
      </c>
      <c r="G210" s="2" t="s">
        <v>391</v>
      </c>
      <c r="H210" s="10" t="s">
        <v>98</v>
      </c>
      <c r="I210" s="11" t="s">
        <v>53</v>
      </c>
      <c r="J210" s="11" t="s">
        <v>224</v>
      </c>
      <c r="K210" s="61"/>
      <c r="L210" s="11" t="s">
        <v>67</v>
      </c>
      <c r="M210" s="25"/>
      <c r="N210" s="82"/>
      <c r="O210" s="3" t="str">
        <f>IF($A210="","",IF(P210=AZ210,"E","A"))</f>
        <v>E</v>
      </c>
      <c r="P210" s="84">
        <v>55920.4</v>
      </c>
      <c r="Q210" s="84">
        <v>1788.64</v>
      </c>
      <c r="R210" s="32"/>
      <c r="S210" s="3" t="str">
        <f>IF($A210="","",IF(T210=BA210,"E","A"))</f>
        <v>E</v>
      </c>
      <c r="T210" s="84">
        <v>48930.35</v>
      </c>
      <c r="U210" s="84">
        <v>1565.06</v>
      </c>
      <c r="V210" s="32"/>
      <c r="W210" s="3" t="str">
        <f t="shared" si="108"/>
        <v>E</v>
      </c>
      <c r="X210" s="84">
        <v>48930.35</v>
      </c>
      <c r="Y210" s="84">
        <v>1565.06</v>
      </c>
      <c r="Z210" s="32"/>
      <c r="AA210" s="3" t="str">
        <f t="shared" si="109"/>
        <v>E</v>
      </c>
      <c r="AB210" s="84">
        <v>55920.4</v>
      </c>
      <c r="AC210" s="84">
        <v>1788.64</v>
      </c>
      <c r="AD210" s="36"/>
      <c r="AE210" s="82"/>
      <c r="AF210" s="3" t="str">
        <f t="shared" si="110"/>
        <v>A</v>
      </c>
      <c r="AG210" s="84"/>
      <c r="AH210" s="84"/>
      <c r="AI210" s="39"/>
      <c r="AJ210" s="79" t="s">
        <v>38</v>
      </c>
      <c r="AK210" s="39"/>
      <c r="AL210" s="4">
        <f t="shared" si="115"/>
        <v>0</v>
      </c>
      <c r="AM210" s="4">
        <f t="shared" si="116"/>
        <v>0</v>
      </c>
      <c r="AN210" s="4">
        <f t="shared" si="111"/>
        <v>0</v>
      </c>
      <c r="AO210" s="39"/>
      <c r="AP210" s="8">
        <f t="shared" si="117"/>
        <v>209701.5</v>
      </c>
      <c r="AQ210" s="8">
        <f t="shared" si="118"/>
        <v>6707.4000000000005</v>
      </c>
      <c r="AR210" s="8">
        <f t="shared" si="112"/>
        <v>216408.9</v>
      </c>
      <c r="AS210" s="42"/>
      <c r="AT210" s="84"/>
      <c r="AU210" s="84"/>
      <c r="AV210" s="4">
        <f t="shared" si="113"/>
        <v>0</v>
      </c>
      <c r="AW210" s="50" t="str">
        <f t="shared" si="114"/>
        <v/>
      </c>
      <c r="AX210" s="1" t="s">
        <v>1698</v>
      </c>
      <c r="AY210" s="2" t="s">
        <v>1699</v>
      </c>
      <c r="AZ210" s="2">
        <v>55920.4</v>
      </c>
      <c r="BA210" s="73">
        <v>48930.35</v>
      </c>
      <c r="BB210" s="73">
        <v>48930.35</v>
      </c>
      <c r="BC210" s="73">
        <v>55920.4</v>
      </c>
      <c r="BD210" s="73"/>
      <c r="BE210" s="66">
        <v>0</v>
      </c>
      <c r="BF210" s="66">
        <v>0.05</v>
      </c>
      <c r="BG210" s="63">
        <v>45813</v>
      </c>
      <c r="BH210" s="2"/>
      <c r="BI210" s="2"/>
      <c r="BJ210" s="2">
        <v>216000</v>
      </c>
      <c r="BK210" s="2">
        <v>6750</v>
      </c>
      <c r="BL210" s="1" t="s">
        <v>97</v>
      </c>
    </row>
    <row r="211" spans="1:64" x14ac:dyDescent="0.25">
      <c r="A211" s="81" t="s">
        <v>392</v>
      </c>
      <c r="B211" s="82" t="s">
        <v>392</v>
      </c>
      <c r="C211" s="81" t="s">
        <v>393</v>
      </c>
      <c r="D211" s="16">
        <v>40161</v>
      </c>
      <c r="E211" s="17"/>
      <c r="F211" s="2" t="s">
        <v>394</v>
      </c>
      <c r="G211" s="2" t="s">
        <v>395</v>
      </c>
      <c r="H211" s="10" t="s">
        <v>57</v>
      </c>
      <c r="I211" s="11" t="s">
        <v>53</v>
      </c>
      <c r="J211" s="11" t="s">
        <v>397</v>
      </c>
      <c r="K211" s="61"/>
      <c r="L211" s="11" t="s">
        <v>67</v>
      </c>
      <c r="M211" s="25"/>
      <c r="N211" s="82"/>
      <c r="O211" s="3" t="str">
        <f>IF($A211="","",IF(P211=0,"A",IF(P211=AZ211,"E","A")))</f>
        <v>A</v>
      </c>
      <c r="P211" s="84">
        <v>309271</v>
      </c>
      <c r="Q211" s="84">
        <v>82667</v>
      </c>
      <c r="R211" s="32"/>
      <c r="S211" s="3" t="str">
        <f>IF($A211="","",IF(T211=0,"A",IF(T211=BA211,"E","A")))</f>
        <v>A</v>
      </c>
      <c r="T211" s="84">
        <v>293024</v>
      </c>
      <c r="U211" s="84">
        <v>59353</v>
      </c>
      <c r="V211" s="32"/>
      <c r="W211" s="3" t="str">
        <f t="shared" si="108"/>
        <v>A</v>
      </c>
      <c r="X211" s="84">
        <v>272988</v>
      </c>
      <c r="Y211" s="84">
        <v>58924</v>
      </c>
      <c r="Z211" s="32"/>
      <c r="AA211" s="3" t="str">
        <f t="shared" si="109"/>
        <v>A</v>
      </c>
      <c r="AB211" s="84">
        <v>297889</v>
      </c>
      <c r="AC211" s="84">
        <v>59117</v>
      </c>
      <c r="AD211" s="36"/>
      <c r="AE211" s="82"/>
      <c r="AF211" s="3" t="str">
        <f t="shared" si="110"/>
        <v>A</v>
      </c>
      <c r="AG211" s="84">
        <v>0</v>
      </c>
      <c r="AH211" s="84">
        <v>0</v>
      </c>
      <c r="AI211" s="39"/>
      <c r="AJ211" s="79" t="s">
        <v>1801</v>
      </c>
      <c r="AK211" s="39"/>
      <c r="AL211" s="4">
        <f t="shared" si="115"/>
        <v>1173172</v>
      </c>
      <c r="AM211" s="4">
        <f t="shared" si="116"/>
        <v>260061</v>
      </c>
      <c r="AN211" s="4">
        <f t="shared" si="111"/>
        <v>1433233</v>
      </c>
      <c r="AO211" s="39"/>
      <c r="AP211" s="8">
        <f t="shared" si="117"/>
        <v>0</v>
      </c>
      <c r="AQ211" s="8">
        <f t="shared" si="118"/>
        <v>0</v>
      </c>
      <c r="AR211" s="8">
        <f t="shared" si="112"/>
        <v>0</v>
      </c>
      <c r="AS211" s="42"/>
      <c r="AT211" s="84">
        <v>1173172</v>
      </c>
      <c r="AU211" s="84">
        <v>260061</v>
      </c>
      <c r="AV211" s="4">
        <f t="shared" si="113"/>
        <v>1433233</v>
      </c>
      <c r="AW211" s="50" t="str">
        <f t="shared" si="114"/>
        <v/>
      </c>
      <c r="AX211" s="1" t="s">
        <v>1700</v>
      </c>
      <c r="AY211" s="2" t="s">
        <v>1701</v>
      </c>
      <c r="AZ211" s="2">
        <v>298242.24</v>
      </c>
      <c r="BA211" s="73">
        <v>260961.96</v>
      </c>
      <c r="BB211" s="73">
        <v>260961.96</v>
      </c>
      <c r="BC211" s="73">
        <v>298242.24</v>
      </c>
      <c r="BD211" s="73"/>
      <c r="BE211" s="66">
        <v>3.5000000000000003E-2</v>
      </c>
      <c r="BF211" s="66">
        <v>0.05</v>
      </c>
      <c r="BG211" s="63">
        <v>45636</v>
      </c>
      <c r="BH211" s="2"/>
      <c r="BI211" s="2"/>
      <c r="BJ211" s="2"/>
      <c r="BK211" s="2"/>
      <c r="BL211" s="1" t="s">
        <v>396</v>
      </c>
    </row>
    <row r="212" spans="1:64" x14ac:dyDescent="0.25">
      <c r="A212" s="81" t="s">
        <v>392</v>
      </c>
      <c r="B212" s="82" t="s">
        <v>751</v>
      </c>
      <c r="C212" s="81" t="s">
        <v>752</v>
      </c>
      <c r="D212" s="16">
        <v>40704</v>
      </c>
      <c r="E212" s="17">
        <v>45817</v>
      </c>
      <c r="F212" s="2" t="s">
        <v>394</v>
      </c>
      <c r="G212" s="2" t="s">
        <v>395</v>
      </c>
      <c r="H212" s="10" t="s">
        <v>57</v>
      </c>
      <c r="I212" s="11" t="s">
        <v>53</v>
      </c>
      <c r="J212" s="11" t="s">
        <v>397</v>
      </c>
      <c r="K212" s="61"/>
      <c r="L212" s="11" t="s">
        <v>67</v>
      </c>
      <c r="M212" s="25"/>
      <c r="N212" s="82"/>
      <c r="O212" s="3" t="str">
        <f>IF($A212="","",IF(P212=0,"A",IF(P212=AZ212,"E","A")))</f>
        <v>A</v>
      </c>
      <c r="P212" s="84">
        <v>56801</v>
      </c>
      <c r="Q212" s="84">
        <v>1410</v>
      </c>
      <c r="R212" s="32"/>
      <c r="S212" s="3" t="str">
        <f>IF($A212="","",IF(T212=0,"A",IF(T212=BA212,"E","A")))</f>
        <v>A</v>
      </c>
      <c r="T212" s="84">
        <v>8630</v>
      </c>
      <c r="U212" s="84">
        <v>430</v>
      </c>
      <c r="V212" s="32"/>
      <c r="W212" s="3" t="str">
        <f t="shared" si="108"/>
        <v>A</v>
      </c>
      <c r="X212" s="84">
        <v>0</v>
      </c>
      <c r="Y212" s="84">
        <v>0</v>
      </c>
      <c r="Z212" s="32"/>
      <c r="AA212" s="3" t="str">
        <f t="shared" si="109"/>
        <v>A</v>
      </c>
      <c r="AB212" s="84">
        <v>0</v>
      </c>
      <c r="AC212" s="84">
        <v>0</v>
      </c>
      <c r="AD212" s="36"/>
      <c r="AE212" s="82"/>
      <c r="AF212" s="3" t="str">
        <f t="shared" si="110"/>
        <v>A</v>
      </c>
      <c r="AG212" s="84">
        <v>0</v>
      </c>
      <c r="AH212" s="84">
        <v>0</v>
      </c>
      <c r="AI212" s="39"/>
      <c r="AJ212" s="79" t="s">
        <v>1801</v>
      </c>
      <c r="AK212" s="39"/>
      <c r="AL212" s="4">
        <f t="shared" si="115"/>
        <v>65431</v>
      </c>
      <c r="AM212" s="4">
        <f t="shared" si="116"/>
        <v>1840</v>
      </c>
      <c r="AN212" s="4">
        <f t="shared" si="111"/>
        <v>67271</v>
      </c>
      <c r="AO212" s="39"/>
      <c r="AP212" s="8">
        <f t="shared" si="117"/>
        <v>0</v>
      </c>
      <c r="AQ212" s="8">
        <f t="shared" si="118"/>
        <v>0</v>
      </c>
      <c r="AR212" s="8">
        <f t="shared" si="112"/>
        <v>0</v>
      </c>
      <c r="AS212" s="42"/>
      <c r="AT212" s="84">
        <v>65431</v>
      </c>
      <c r="AU212" s="84">
        <v>1840</v>
      </c>
      <c r="AV212" s="4">
        <f t="shared" si="113"/>
        <v>67271</v>
      </c>
      <c r="AW212" s="50" t="str">
        <f t="shared" si="114"/>
        <v/>
      </c>
      <c r="AX212" s="1" t="s">
        <v>1700</v>
      </c>
      <c r="AY212" s="2" t="s">
        <v>1701</v>
      </c>
      <c r="AZ212" s="2">
        <v>41827.199999999997</v>
      </c>
      <c r="BA212" s="73"/>
      <c r="BB212" s="73"/>
      <c r="BC212" s="73"/>
      <c r="BD212" s="73"/>
      <c r="BE212" s="66">
        <v>3.5000000000000003E-2</v>
      </c>
      <c r="BF212" s="66">
        <v>0.05</v>
      </c>
      <c r="BG212" s="63">
        <v>45636</v>
      </c>
      <c r="BH212" s="74">
        <v>45817</v>
      </c>
      <c r="BI212" s="74">
        <v>43959</v>
      </c>
      <c r="BJ212" s="2"/>
      <c r="BK212" s="2"/>
      <c r="BL212" s="1" t="s">
        <v>396</v>
      </c>
    </row>
    <row r="213" spans="1:64" x14ac:dyDescent="0.25">
      <c r="A213" s="81" t="s">
        <v>392</v>
      </c>
      <c r="B213" s="82" t="s">
        <v>1487</v>
      </c>
      <c r="C213" s="81" t="s">
        <v>1488</v>
      </c>
      <c r="D213" s="16">
        <v>0</v>
      </c>
      <c r="E213" s="17"/>
      <c r="F213" s="2" t="s">
        <v>394</v>
      </c>
      <c r="G213" s="2" t="s">
        <v>395</v>
      </c>
      <c r="H213" s="10" t="s">
        <v>57</v>
      </c>
      <c r="I213" s="11" t="s">
        <v>53</v>
      </c>
      <c r="J213" s="11" t="s">
        <v>397</v>
      </c>
      <c r="K213" s="61"/>
      <c r="L213" s="11" t="s">
        <v>67</v>
      </c>
      <c r="M213" s="25"/>
      <c r="N213" s="82"/>
      <c r="O213" s="3" t="str">
        <f>IF($A213="","",IF(P213=AZ213,"E","A"))</f>
        <v>A</v>
      </c>
      <c r="P213" s="84">
        <v>48555</v>
      </c>
      <c r="Q213" s="84">
        <v>2295</v>
      </c>
      <c r="R213" s="32"/>
      <c r="S213" s="3" t="str">
        <f>IF($A213="","",IF(T213=BA213,"E","A"))</f>
        <v>A</v>
      </c>
      <c r="T213" s="84">
        <v>46095</v>
      </c>
      <c r="U213" s="84">
        <v>1315</v>
      </c>
      <c r="V213" s="32"/>
      <c r="W213" s="3" t="str">
        <f t="shared" si="108"/>
        <v>A</v>
      </c>
      <c r="X213" s="84">
        <v>41050</v>
      </c>
      <c r="Y213" s="84">
        <v>1765</v>
      </c>
      <c r="Z213" s="32"/>
      <c r="AA213" s="3" t="str">
        <f t="shared" si="109"/>
        <v>A</v>
      </c>
      <c r="AB213" s="84">
        <v>40688</v>
      </c>
      <c r="AC213" s="84">
        <v>1135</v>
      </c>
      <c r="AD213" s="36"/>
      <c r="AE213" s="82"/>
      <c r="AF213" s="3" t="str">
        <f t="shared" si="110"/>
        <v>A</v>
      </c>
      <c r="AG213" s="84">
        <v>0</v>
      </c>
      <c r="AH213" s="84">
        <v>0</v>
      </c>
      <c r="AI213" s="39"/>
      <c r="AJ213" s="79" t="s">
        <v>1801</v>
      </c>
      <c r="AK213" s="39"/>
      <c r="AL213" s="4">
        <f t="shared" si="115"/>
        <v>176388</v>
      </c>
      <c r="AM213" s="4">
        <f t="shared" si="116"/>
        <v>6510</v>
      </c>
      <c r="AN213" s="4">
        <f t="shared" si="111"/>
        <v>182898</v>
      </c>
      <c r="AO213" s="39"/>
      <c r="AP213" s="8">
        <f t="shared" si="117"/>
        <v>0</v>
      </c>
      <c r="AQ213" s="8">
        <f t="shared" si="118"/>
        <v>0</v>
      </c>
      <c r="AR213" s="8">
        <f t="shared" si="112"/>
        <v>0</v>
      </c>
      <c r="AS213" s="42"/>
      <c r="AT213" s="84">
        <v>176388</v>
      </c>
      <c r="AU213" s="84">
        <v>6510</v>
      </c>
      <c r="AV213" s="4">
        <f t="shared" si="113"/>
        <v>182898</v>
      </c>
      <c r="AW213" s="50" t="str">
        <f t="shared" si="114"/>
        <v/>
      </c>
      <c r="AX213" s="1" t="s">
        <v>1700</v>
      </c>
      <c r="AY213" s="2" t="s">
        <v>1701</v>
      </c>
      <c r="AZ213" s="2">
        <v>44303.519999999997</v>
      </c>
      <c r="BA213" s="73">
        <v>38765.58</v>
      </c>
      <c r="BB213" s="73">
        <v>38765.58</v>
      </c>
      <c r="BC213" s="73">
        <v>44303.519999999997</v>
      </c>
      <c r="BD213" s="73"/>
      <c r="BE213" s="66">
        <v>0</v>
      </c>
      <c r="BF213" s="66">
        <v>0.05</v>
      </c>
      <c r="BG213" s="63">
        <v>45444</v>
      </c>
      <c r="BH213" s="2"/>
      <c r="BI213" s="2"/>
      <c r="BJ213" s="2">
        <v>164619</v>
      </c>
      <c r="BK213" s="2">
        <v>8642.5</v>
      </c>
      <c r="BL213" s="1" t="s">
        <v>396</v>
      </c>
    </row>
    <row r="214" spans="1:64" x14ac:dyDescent="0.25">
      <c r="A214" s="81" t="s">
        <v>398</v>
      </c>
      <c r="B214" s="82" t="s">
        <v>398</v>
      </c>
      <c r="C214" s="81" t="s">
        <v>399</v>
      </c>
      <c r="D214" s="16">
        <v>40215</v>
      </c>
      <c r="E214" s="17"/>
      <c r="F214" s="2" t="s">
        <v>171</v>
      </c>
      <c r="G214" s="2" t="s">
        <v>172</v>
      </c>
      <c r="H214" s="10" t="s">
        <v>105</v>
      </c>
      <c r="I214" s="11" t="s">
        <v>53</v>
      </c>
      <c r="J214" s="11" t="s">
        <v>145</v>
      </c>
      <c r="K214" s="61"/>
      <c r="L214" s="11" t="s">
        <v>67</v>
      </c>
      <c r="M214" s="25"/>
      <c r="N214" s="82"/>
      <c r="O214" s="3" t="str">
        <f t="shared" ref="O214:O246" si="119">IF($A214="","",IF(P214=0,"A",IF(P214=AZ214,"E","A")))</f>
        <v>A</v>
      </c>
      <c r="P214" s="84">
        <v>270433</v>
      </c>
      <c r="Q214" s="84">
        <v>113164</v>
      </c>
      <c r="R214" s="32"/>
      <c r="S214" s="3" t="str">
        <f t="shared" ref="S214:S246" si="120">IF($A214="","",IF(T214=0,"A",IF(T214=BA214,"E","A")))</f>
        <v>A</v>
      </c>
      <c r="T214" s="84">
        <v>256292</v>
      </c>
      <c r="U214" s="84">
        <v>99552</v>
      </c>
      <c r="V214" s="32"/>
      <c r="W214" s="3" t="str">
        <f t="shared" si="108"/>
        <v>A</v>
      </c>
      <c r="X214" s="84">
        <v>229440</v>
      </c>
      <c r="Y214" s="84">
        <v>96889</v>
      </c>
      <c r="Z214" s="32"/>
      <c r="AA214" s="3" t="str">
        <f t="shared" si="109"/>
        <v>A</v>
      </c>
      <c r="AB214" s="84">
        <v>249019</v>
      </c>
      <c r="AC214" s="84">
        <v>92536</v>
      </c>
      <c r="AD214" s="36"/>
      <c r="AE214" s="82"/>
      <c r="AF214" s="3" t="str">
        <f t="shared" si="110"/>
        <v>A</v>
      </c>
      <c r="AG214" s="84">
        <v>0</v>
      </c>
      <c r="AH214" s="84">
        <v>0</v>
      </c>
      <c r="AI214" s="39"/>
      <c r="AJ214" s="79" t="s">
        <v>1801</v>
      </c>
      <c r="AK214" s="39"/>
      <c r="AL214" s="4">
        <f t="shared" si="115"/>
        <v>1005184</v>
      </c>
      <c r="AM214" s="4">
        <f t="shared" si="116"/>
        <v>402141</v>
      </c>
      <c r="AN214" s="4">
        <f t="shared" si="111"/>
        <v>1407325</v>
      </c>
      <c r="AO214" s="39"/>
      <c r="AP214" s="8">
        <f t="shared" si="117"/>
        <v>0</v>
      </c>
      <c r="AQ214" s="8">
        <f t="shared" si="118"/>
        <v>0</v>
      </c>
      <c r="AR214" s="8">
        <f t="shared" si="112"/>
        <v>0</v>
      </c>
      <c r="AS214" s="42"/>
      <c r="AT214" s="84">
        <v>1005184</v>
      </c>
      <c r="AU214" s="84">
        <v>402141</v>
      </c>
      <c r="AV214" s="4">
        <f t="shared" si="113"/>
        <v>1407325</v>
      </c>
      <c r="AW214" s="50" t="str">
        <f t="shared" si="114"/>
        <v/>
      </c>
      <c r="AX214" s="1" t="s">
        <v>1654</v>
      </c>
      <c r="AY214" s="2" t="s">
        <v>1655</v>
      </c>
      <c r="AZ214" s="2">
        <v>381354.48</v>
      </c>
      <c r="BA214" s="73">
        <v>333685.17</v>
      </c>
      <c r="BB214" s="73">
        <v>333685.17</v>
      </c>
      <c r="BC214" s="73">
        <v>381354.48</v>
      </c>
      <c r="BD214" s="73"/>
      <c r="BE214" s="66">
        <v>3.5000000000000003E-2</v>
      </c>
      <c r="BF214" s="66">
        <v>0.05</v>
      </c>
      <c r="BG214" s="63">
        <v>45694</v>
      </c>
      <c r="BH214" s="2"/>
      <c r="BI214" s="2"/>
      <c r="BJ214" s="2"/>
      <c r="BK214" s="2"/>
      <c r="BL214" s="1" t="s">
        <v>104</v>
      </c>
    </row>
    <row r="215" spans="1:64" x14ac:dyDescent="0.25">
      <c r="A215" s="81" t="s">
        <v>398</v>
      </c>
      <c r="B215" s="82" t="s">
        <v>753</v>
      </c>
      <c r="C215" s="81" t="s">
        <v>754</v>
      </c>
      <c r="D215" s="16">
        <v>43142</v>
      </c>
      <c r="E215" s="17"/>
      <c r="F215" s="2" t="s">
        <v>171</v>
      </c>
      <c r="G215" s="2" t="s">
        <v>172</v>
      </c>
      <c r="H215" s="10" t="s">
        <v>105</v>
      </c>
      <c r="I215" s="11" t="s">
        <v>53</v>
      </c>
      <c r="J215" s="11" t="s">
        <v>145</v>
      </c>
      <c r="K215" s="61"/>
      <c r="L215" s="11" t="s">
        <v>67</v>
      </c>
      <c r="M215" s="25"/>
      <c r="N215" s="82"/>
      <c r="O215" s="3" t="str">
        <f t="shared" si="119"/>
        <v>A</v>
      </c>
      <c r="P215" s="84">
        <v>11530</v>
      </c>
      <c r="Q215" s="84">
        <v>4234</v>
      </c>
      <c r="R215" s="32"/>
      <c r="S215" s="3" t="str">
        <f t="shared" si="120"/>
        <v>A</v>
      </c>
      <c r="T215" s="84">
        <v>8083</v>
      </c>
      <c r="U215" s="84">
        <v>3311</v>
      </c>
      <c r="V215" s="32"/>
      <c r="W215" s="3" t="str">
        <f t="shared" si="108"/>
        <v>A</v>
      </c>
      <c r="X215" s="84">
        <v>8088</v>
      </c>
      <c r="Y215" s="84">
        <v>5323</v>
      </c>
      <c r="Z215" s="32"/>
      <c r="AA215" s="3" t="str">
        <f t="shared" si="109"/>
        <v>A</v>
      </c>
      <c r="AB215" s="84">
        <v>9091</v>
      </c>
      <c r="AC215" s="84">
        <v>3170</v>
      </c>
      <c r="AD215" s="36"/>
      <c r="AE215" s="82"/>
      <c r="AF215" s="3" t="str">
        <f t="shared" si="110"/>
        <v>A</v>
      </c>
      <c r="AG215" s="84">
        <v>0</v>
      </c>
      <c r="AH215" s="84">
        <v>0</v>
      </c>
      <c r="AI215" s="39"/>
      <c r="AJ215" s="79" t="s">
        <v>1801</v>
      </c>
      <c r="AK215" s="39"/>
      <c r="AL215" s="4">
        <f t="shared" si="115"/>
        <v>36792</v>
      </c>
      <c r="AM215" s="4">
        <f t="shared" si="116"/>
        <v>16038</v>
      </c>
      <c r="AN215" s="4">
        <f t="shared" si="111"/>
        <v>52830</v>
      </c>
      <c r="AO215" s="39"/>
      <c r="AP215" s="8">
        <f t="shared" si="117"/>
        <v>0</v>
      </c>
      <c r="AQ215" s="8">
        <f t="shared" si="118"/>
        <v>0</v>
      </c>
      <c r="AR215" s="8">
        <f t="shared" si="112"/>
        <v>0</v>
      </c>
      <c r="AS215" s="42"/>
      <c r="AT215" s="84">
        <v>36792</v>
      </c>
      <c r="AU215" s="84">
        <v>16038</v>
      </c>
      <c r="AV215" s="4">
        <f t="shared" si="113"/>
        <v>52830</v>
      </c>
      <c r="AW215" s="50" t="str">
        <f t="shared" si="114"/>
        <v/>
      </c>
      <c r="AX215" s="1" t="s">
        <v>1654</v>
      </c>
      <c r="AY215" s="2" t="s">
        <v>1655</v>
      </c>
      <c r="AZ215" s="2">
        <v>32830.800000000003</v>
      </c>
      <c r="BA215" s="73">
        <v>28726.95</v>
      </c>
      <c r="BB215" s="73">
        <v>28726.95</v>
      </c>
      <c r="BC215" s="73">
        <v>32830.800000000003</v>
      </c>
      <c r="BD215" s="73"/>
      <c r="BE215" s="66">
        <v>0.04</v>
      </c>
      <c r="BF215" s="66">
        <v>0.05</v>
      </c>
      <c r="BG215" s="63">
        <v>45694</v>
      </c>
      <c r="BH215" s="74">
        <v>43909</v>
      </c>
      <c r="BI215" s="74">
        <v>44023</v>
      </c>
      <c r="BJ215" s="2"/>
      <c r="BK215" s="2"/>
      <c r="BL215" s="1" t="s">
        <v>311</v>
      </c>
    </row>
    <row r="216" spans="1:64" x14ac:dyDescent="0.25">
      <c r="A216" s="81" t="s">
        <v>400</v>
      </c>
      <c r="B216" s="82" t="s">
        <v>400</v>
      </c>
      <c r="C216" s="81" t="s">
        <v>401</v>
      </c>
      <c r="D216" s="16">
        <v>40276</v>
      </c>
      <c r="E216" s="17"/>
      <c r="F216" s="2" t="s">
        <v>370</v>
      </c>
      <c r="G216" s="2" t="s">
        <v>371</v>
      </c>
      <c r="H216" s="10" t="s">
        <v>57</v>
      </c>
      <c r="I216" s="11" t="s">
        <v>53</v>
      </c>
      <c r="J216" s="11" t="s">
        <v>156</v>
      </c>
      <c r="K216" s="61"/>
      <c r="L216" s="11" t="s">
        <v>67</v>
      </c>
      <c r="M216" s="25"/>
      <c r="N216" s="82"/>
      <c r="O216" s="3" t="str">
        <f t="shared" si="119"/>
        <v>A</v>
      </c>
      <c r="P216" s="84">
        <v>120871</v>
      </c>
      <c r="Q216" s="84">
        <v>35703</v>
      </c>
      <c r="R216" s="32"/>
      <c r="S216" s="3" t="str">
        <f t="shared" si="120"/>
        <v>A</v>
      </c>
      <c r="T216" s="84">
        <v>109009</v>
      </c>
      <c r="U216" s="84">
        <v>33289</v>
      </c>
      <c r="V216" s="32"/>
      <c r="W216" s="3" t="str">
        <f t="shared" si="108"/>
        <v>A</v>
      </c>
      <c r="X216" s="84">
        <v>102434</v>
      </c>
      <c r="Y216" s="84">
        <v>26461</v>
      </c>
      <c r="Z216" s="32"/>
      <c r="AA216" s="3" t="str">
        <f t="shared" si="109"/>
        <v>A</v>
      </c>
      <c r="AB216" s="84">
        <v>98774</v>
      </c>
      <c r="AC216" s="84">
        <v>24418</v>
      </c>
      <c r="AD216" s="36"/>
      <c r="AE216" s="82"/>
      <c r="AF216" s="3" t="str">
        <f t="shared" si="110"/>
        <v>A</v>
      </c>
      <c r="AG216" s="84">
        <v>0</v>
      </c>
      <c r="AH216" s="84">
        <v>0</v>
      </c>
      <c r="AI216" s="39"/>
      <c r="AJ216" s="79" t="s">
        <v>1801</v>
      </c>
      <c r="AK216" s="39"/>
      <c r="AL216" s="4">
        <f t="shared" si="115"/>
        <v>431088</v>
      </c>
      <c r="AM216" s="4">
        <f t="shared" si="116"/>
        <v>119871</v>
      </c>
      <c r="AN216" s="4">
        <f t="shared" si="111"/>
        <v>550959</v>
      </c>
      <c r="AO216" s="39"/>
      <c r="AP216" s="8">
        <f t="shared" si="117"/>
        <v>0</v>
      </c>
      <c r="AQ216" s="8">
        <f t="shared" si="118"/>
        <v>0</v>
      </c>
      <c r="AR216" s="8">
        <f t="shared" si="112"/>
        <v>0</v>
      </c>
      <c r="AS216" s="42"/>
      <c r="AT216" s="84">
        <v>431088</v>
      </c>
      <c r="AU216" s="84">
        <v>119871</v>
      </c>
      <c r="AV216" s="4">
        <f t="shared" si="113"/>
        <v>550959</v>
      </c>
      <c r="AW216" s="50" t="str">
        <f t="shared" si="114"/>
        <v/>
      </c>
      <c r="AX216" s="1" t="s">
        <v>1692</v>
      </c>
      <c r="AY216" s="2" t="s">
        <v>1693</v>
      </c>
      <c r="AZ216" s="2">
        <v>74055.679999999993</v>
      </c>
      <c r="BA216" s="73">
        <v>64798.720000000001</v>
      </c>
      <c r="BB216" s="73">
        <v>64798.720000000001</v>
      </c>
      <c r="BC216" s="73">
        <v>74055.679999999993</v>
      </c>
      <c r="BD216" s="73"/>
      <c r="BE216" s="66">
        <v>3.5000000000000003E-2</v>
      </c>
      <c r="BF216" s="66">
        <v>0.05</v>
      </c>
      <c r="BG216" s="63">
        <v>45752</v>
      </c>
      <c r="BH216" s="2"/>
      <c r="BI216" s="2"/>
      <c r="BJ216" s="2"/>
      <c r="BK216" s="2"/>
      <c r="BL216" s="1" t="s">
        <v>56</v>
      </c>
    </row>
    <row r="217" spans="1:64" x14ac:dyDescent="0.25">
      <c r="A217" s="81" t="s">
        <v>402</v>
      </c>
      <c r="B217" s="82" t="s">
        <v>402</v>
      </c>
      <c r="C217" s="81" t="s">
        <v>403</v>
      </c>
      <c r="D217" s="16">
        <v>40444</v>
      </c>
      <c r="E217" s="17"/>
      <c r="F217" s="2" t="s">
        <v>187</v>
      </c>
      <c r="G217" s="2" t="s">
        <v>189</v>
      </c>
      <c r="H217" s="10" t="s">
        <v>57</v>
      </c>
      <c r="I217" s="11" t="s">
        <v>188</v>
      </c>
      <c r="J217" s="11" t="s">
        <v>338</v>
      </c>
      <c r="K217" s="61" t="s">
        <v>339</v>
      </c>
      <c r="L217" s="11" t="s">
        <v>67</v>
      </c>
      <c r="M217" s="25"/>
      <c r="N217" s="82"/>
      <c r="O217" s="3" t="str">
        <f t="shared" si="119"/>
        <v>A</v>
      </c>
      <c r="P217" s="84">
        <v>115628.20000000001</v>
      </c>
      <c r="Q217" s="84">
        <v>39778.5</v>
      </c>
      <c r="R217" s="32"/>
      <c r="S217" s="3" t="str">
        <f t="shared" si="120"/>
        <v>A</v>
      </c>
      <c r="T217" s="84">
        <v>113413.65</v>
      </c>
      <c r="U217" s="84">
        <v>35178.1</v>
      </c>
      <c r="V217" s="32"/>
      <c r="W217" s="3" t="str">
        <f t="shared" si="108"/>
        <v>A</v>
      </c>
      <c r="X217" s="84">
        <v>83700.2</v>
      </c>
      <c r="Y217" s="84">
        <v>28453.5</v>
      </c>
      <c r="Z217" s="32"/>
      <c r="AA217" s="3" t="str">
        <f t="shared" si="109"/>
        <v>A</v>
      </c>
      <c r="AB217" s="84">
        <v>105546</v>
      </c>
      <c r="AC217" s="84">
        <v>34214</v>
      </c>
      <c r="AD217" s="36"/>
      <c r="AE217" s="82"/>
      <c r="AF217" s="3" t="str">
        <f t="shared" si="110"/>
        <v>A</v>
      </c>
      <c r="AG217" s="84">
        <v>0</v>
      </c>
      <c r="AH217" s="84">
        <v>0</v>
      </c>
      <c r="AI217" s="39"/>
      <c r="AJ217" s="79" t="s">
        <v>1801</v>
      </c>
      <c r="AK217" s="39"/>
      <c r="AL217" s="4">
        <f t="shared" si="115"/>
        <v>418288.05</v>
      </c>
      <c r="AM217" s="4">
        <f t="shared" si="116"/>
        <v>137624.1</v>
      </c>
      <c r="AN217" s="4">
        <f t="shared" si="111"/>
        <v>555912.15</v>
      </c>
      <c r="AO217" s="39"/>
      <c r="AP217" s="8">
        <f t="shared" si="117"/>
        <v>0</v>
      </c>
      <c r="AQ217" s="8">
        <f t="shared" si="118"/>
        <v>0</v>
      </c>
      <c r="AR217" s="8">
        <f t="shared" si="112"/>
        <v>0</v>
      </c>
      <c r="AS217" s="42"/>
      <c r="AT217" s="84">
        <v>418288.05000000005</v>
      </c>
      <c r="AU217" s="84">
        <v>137624.1</v>
      </c>
      <c r="AV217" s="4">
        <f t="shared" si="113"/>
        <v>555912.15</v>
      </c>
      <c r="AW217" s="50" t="str">
        <f t="shared" si="114"/>
        <v/>
      </c>
      <c r="AX217" s="1" t="s">
        <v>1639</v>
      </c>
      <c r="AY217" s="2" t="s">
        <v>1640</v>
      </c>
      <c r="AZ217" s="2">
        <v>115515.2</v>
      </c>
      <c r="BA217" s="73">
        <v>101075.8</v>
      </c>
      <c r="BB217" s="73">
        <v>101075.8</v>
      </c>
      <c r="BC217" s="73">
        <v>115515.2</v>
      </c>
      <c r="BD217" s="73"/>
      <c r="BE217" s="66">
        <v>2.5000000000000001E-2</v>
      </c>
      <c r="BF217" s="66">
        <v>0.02</v>
      </c>
      <c r="BG217" s="63">
        <v>44093</v>
      </c>
      <c r="BH217" s="2"/>
      <c r="BI217" s="2"/>
      <c r="BJ217" s="2"/>
      <c r="BK217" s="2"/>
      <c r="BL217" s="1" t="s">
        <v>56</v>
      </c>
    </row>
    <row r="218" spans="1:64" x14ac:dyDescent="0.25">
      <c r="A218" s="81" t="s">
        <v>402</v>
      </c>
      <c r="B218" s="82" t="s">
        <v>761</v>
      </c>
      <c r="C218" s="81" t="s">
        <v>762</v>
      </c>
      <c r="D218" s="16">
        <v>41695</v>
      </c>
      <c r="E218" s="17"/>
      <c r="F218" s="2" t="s">
        <v>187</v>
      </c>
      <c r="G218" s="2" t="s">
        <v>189</v>
      </c>
      <c r="H218" s="10" t="s">
        <v>57</v>
      </c>
      <c r="I218" s="11" t="s">
        <v>188</v>
      </c>
      <c r="J218" s="11" t="s">
        <v>338</v>
      </c>
      <c r="K218" s="61" t="s">
        <v>339</v>
      </c>
      <c r="L218" s="11" t="s">
        <v>67</v>
      </c>
      <c r="M218" s="25"/>
      <c r="N218" s="82"/>
      <c r="O218" s="3" t="str">
        <f t="shared" si="119"/>
        <v>A</v>
      </c>
      <c r="P218" s="84">
        <v>12211</v>
      </c>
      <c r="Q218" s="84">
        <v>11844</v>
      </c>
      <c r="R218" s="32"/>
      <c r="S218" s="3" t="str">
        <f t="shared" si="120"/>
        <v>A</v>
      </c>
      <c r="T218" s="84">
        <v>9875</v>
      </c>
      <c r="U218" s="84">
        <v>11495</v>
      </c>
      <c r="V218" s="32"/>
      <c r="W218" s="3" t="str">
        <f t="shared" si="108"/>
        <v>A</v>
      </c>
      <c r="X218" s="84">
        <v>9616</v>
      </c>
      <c r="Y218" s="84">
        <v>9493</v>
      </c>
      <c r="Z218" s="32"/>
      <c r="AA218" s="3" t="str">
        <f t="shared" si="109"/>
        <v>A</v>
      </c>
      <c r="AB218" s="84">
        <v>10839</v>
      </c>
      <c r="AC218" s="84">
        <v>10276</v>
      </c>
      <c r="AD218" s="36"/>
      <c r="AE218" s="82"/>
      <c r="AF218" s="3" t="str">
        <f t="shared" si="110"/>
        <v>A</v>
      </c>
      <c r="AG218" s="84">
        <v>0</v>
      </c>
      <c r="AH218" s="84">
        <v>0</v>
      </c>
      <c r="AI218" s="39"/>
      <c r="AJ218" s="79" t="s">
        <v>1801</v>
      </c>
      <c r="AK218" s="39"/>
      <c r="AL218" s="4">
        <f t="shared" si="115"/>
        <v>42541</v>
      </c>
      <c r="AM218" s="4">
        <f t="shared" si="116"/>
        <v>43108</v>
      </c>
      <c r="AN218" s="4">
        <f t="shared" si="111"/>
        <v>85649</v>
      </c>
      <c r="AO218" s="39"/>
      <c r="AP218" s="8">
        <f t="shared" si="117"/>
        <v>0</v>
      </c>
      <c r="AQ218" s="8">
        <f t="shared" si="118"/>
        <v>0</v>
      </c>
      <c r="AR218" s="8">
        <f t="shared" si="112"/>
        <v>0</v>
      </c>
      <c r="AS218" s="42"/>
      <c r="AT218" s="84">
        <v>42541</v>
      </c>
      <c r="AU218" s="84">
        <v>43108</v>
      </c>
      <c r="AV218" s="4">
        <f t="shared" si="113"/>
        <v>85649</v>
      </c>
      <c r="AW218" s="50" t="str">
        <f t="shared" si="114"/>
        <v/>
      </c>
      <c r="AX218" s="1" t="s">
        <v>1639</v>
      </c>
      <c r="AY218" s="2" t="s">
        <v>1640</v>
      </c>
      <c r="AZ218" s="2">
        <v>55269.36</v>
      </c>
      <c r="BA218" s="73">
        <v>48360.69</v>
      </c>
      <c r="BB218" s="73">
        <v>48360.69</v>
      </c>
      <c r="BC218" s="73">
        <v>55269.36</v>
      </c>
      <c r="BD218" s="73"/>
      <c r="BE218" s="66">
        <v>2.5000000000000001E-2</v>
      </c>
      <c r="BF218" s="66">
        <v>0.02</v>
      </c>
      <c r="BG218" s="63">
        <v>44093</v>
      </c>
      <c r="BH218" s="2"/>
      <c r="BI218" s="2"/>
      <c r="BJ218" s="2"/>
      <c r="BK218" s="2"/>
      <c r="BL218" s="1" t="s">
        <v>56</v>
      </c>
    </row>
    <row r="219" spans="1:64" x14ac:dyDescent="0.25">
      <c r="A219" s="81" t="s">
        <v>402</v>
      </c>
      <c r="B219" s="82" t="s">
        <v>845</v>
      </c>
      <c r="C219" s="81" t="s">
        <v>846</v>
      </c>
      <c r="D219" s="16">
        <v>43644</v>
      </c>
      <c r="E219" s="17"/>
      <c r="F219" s="2" t="s">
        <v>187</v>
      </c>
      <c r="G219" s="2" t="s">
        <v>189</v>
      </c>
      <c r="H219" s="10" t="s">
        <v>57</v>
      </c>
      <c r="I219" s="11" t="s">
        <v>188</v>
      </c>
      <c r="J219" s="11" t="s">
        <v>338</v>
      </c>
      <c r="K219" s="61" t="s">
        <v>339</v>
      </c>
      <c r="L219" s="11" t="s">
        <v>67</v>
      </c>
      <c r="M219" s="25"/>
      <c r="N219" s="82"/>
      <c r="O219" s="3" t="str">
        <f t="shared" si="119"/>
        <v>A</v>
      </c>
      <c r="P219" s="84">
        <v>-3665</v>
      </c>
      <c r="Q219" s="84">
        <v>7175</v>
      </c>
      <c r="R219" s="32"/>
      <c r="S219" s="3" t="str">
        <f t="shared" si="120"/>
        <v>A</v>
      </c>
      <c r="T219" s="84">
        <v>1016</v>
      </c>
      <c r="U219" s="84">
        <v>6651</v>
      </c>
      <c r="V219" s="32"/>
      <c r="W219" s="3" t="str">
        <f t="shared" si="108"/>
        <v>A</v>
      </c>
      <c r="X219" s="84">
        <v>-1131</v>
      </c>
      <c r="Y219" s="84">
        <v>4031</v>
      </c>
      <c r="Z219" s="32"/>
      <c r="AA219" s="3" t="str">
        <f t="shared" si="109"/>
        <v>A</v>
      </c>
      <c r="AB219" s="84">
        <v>-2822</v>
      </c>
      <c r="AC219" s="84">
        <v>7272</v>
      </c>
      <c r="AD219" s="36"/>
      <c r="AE219" s="82"/>
      <c r="AF219" s="3" t="str">
        <f t="shared" si="110"/>
        <v>A</v>
      </c>
      <c r="AG219" s="84">
        <v>0</v>
      </c>
      <c r="AH219" s="84">
        <v>0</v>
      </c>
      <c r="AI219" s="39"/>
      <c r="AJ219" s="79" t="s">
        <v>1801</v>
      </c>
      <c r="AK219" s="39"/>
      <c r="AL219" s="4">
        <f t="shared" si="115"/>
        <v>-6602</v>
      </c>
      <c r="AM219" s="4">
        <f t="shared" si="116"/>
        <v>25129</v>
      </c>
      <c r="AN219" s="4">
        <f t="shared" si="111"/>
        <v>18527</v>
      </c>
      <c r="AO219" s="39"/>
      <c r="AP219" s="8">
        <f t="shared" si="117"/>
        <v>0</v>
      </c>
      <c r="AQ219" s="8">
        <f t="shared" si="118"/>
        <v>0</v>
      </c>
      <c r="AR219" s="8">
        <f t="shared" si="112"/>
        <v>0</v>
      </c>
      <c r="AS219" s="42"/>
      <c r="AT219" s="84">
        <v>-6602</v>
      </c>
      <c r="AU219" s="84">
        <v>25129</v>
      </c>
      <c r="AV219" s="4">
        <f t="shared" si="113"/>
        <v>18527</v>
      </c>
      <c r="AW219" s="50" t="str">
        <f t="shared" si="114"/>
        <v/>
      </c>
      <c r="AX219" s="1" t="s">
        <v>1639</v>
      </c>
      <c r="AY219" s="2" t="s">
        <v>1640</v>
      </c>
      <c r="AZ219" s="2">
        <v>26073.599999999999</v>
      </c>
      <c r="BA219" s="73">
        <v>22814.400000000001</v>
      </c>
      <c r="BB219" s="73">
        <v>22814.400000000001</v>
      </c>
      <c r="BC219" s="73">
        <v>26073.599999999999</v>
      </c>
      <c r="BD219" s="73"/>
      <c r="BE219" s="66">
        <v>0</v>
      </c>
      <c r="BF219" s="66">
        <v>0.02</v>
      </c>
      <c r="BG219" s="63">
        <v>44093</v>
      </c>
      <c r="BH219" s="2"/>
      <c r="BI219" s="2"/>
      <c r="BJ219" s="2"/>
      <c r="BK219" s="2"/>
      <c r="BL219" s="1" t="s">
        <v>56</v>
      </c>
    </row>
    <row r="220" spans="1:64" x14ac:dyDescent="0.25">
      <c r="A220" s="81" t="s">
        <v>402</v>
      </c>
      <c r="B220" s="82" t="s">
        <v>890</v>
      </c>
      <c r="C220" s="81" t="s">
        <v>891</v>
      </c>
      <c r="D220" s="16">
        <v>43887</v>
      </c>
      <c r="E220" s="17"/>
      <c r="F220" s="2" t="s">
        <v>187</v>
      </c>
      <c r="G220" s="2" t="s">
        <v>189</v>
      </c>
      <c r="H220" s="10" t="s">
        <v>57</v>
      </c>
      <c r="I220" s="11" t="s">
        <v>188</v>
      </c>
      <c r="J220" s="11" t="s">
        <v>338</v>
      </c>
      <c r="K220" s="61" t="s">
        <v>339</v>
      </c>
      <c r="L220" s="11" t="s">
        <v>67</v>
      </c>
      <c r="M220" s="25"/>
      <c r="N220" s="82"/>
      <c r="O220" s="3" t="str">
        <f t="shared" si="119"/>
        <v>A</v>
      </c>
      <c r="P220" s="84">
        <v>-1844</v>
      </c>
      <c r="Q220" s="84">
        <v>3472</v>
      </c>
      <c r="R220" s="32"/>
      <c r="S220" s="3" t="str">
        <f t="shared" si="120"/>
        <v>A</v>
      </c>
      <c r="T220" s="84">
        <v>747</v>
      </c>
      <c r="U220" s="84">
        <v>2698</v>
      </c>
      <c r="V220" s="32"/>
      <c r="W220" s="3" t="str">
        <f t="shared" si="108"/>
        <v>A</v>
      </c>
      <c r="X220" s="84">
        <v>-1577</v>
      </c>
      <c r="Y220" s="84">
        <v>3634</v>
      </c>
      <c r="Z220" s="32"/>
      <c r="AA220" s="3" t="str">
        <f t="shared" si="109"/>
        <v>A</v>
      </c>
      <c r="AB220" s="84">
        <v>282</v>
      </c>
      <c r="AC220" s="84">
        <v>2733</v>
      </c>
      <c r="AD220" s="36"/>
      <c r="AE220" s="82"/>
      <c r="AF220" s="3" t="str">
        <f t="shared" si="110"/>
        <v>A</v>
      </c>
      <c r="AG220" s="84">
        <v>0</v>
      </c>
      <c r="AH220" s="84">
        <v>0</v>
      </c>
      <c r="AI220" s="39"/>
      <c r="AJ220" s="79" t="s">
        <v>1801</v>
      </c>
      <c r="AK220" s="39"/>
      <c r="AL220" s="4">
        <f t="shared" si="115"/>
        <v>-2392</v>
      </c>
      <c r="AM220" s="4">
        <f t="shared" si="116"/>
        <v>12537</v>
      </c>
      <c r="AN220" s="4">
        <f t="shared" si="111"/>
        <v>10145</v>
      </c>
      <c r="AO220" s="39"/>
      <c r="AP220" s="8">
        <f t="shared" si="117"/>
        <v>0</v>
      </c>
      <c r="AQ220" s="8">
        <f t="shared" si="118"/>
        <v>0</v>
      </c>
      <c r="AR220" s="8">
        <f t="shared" si="112"/>
        <v>0</v>
      </c>
      <c r="AS220" s="42"/>
      <c r="AT220" s="84">
        <v>-2392</v>
      </c>
      <c r="AU220" s="84">
        <v>12537</v>
      </c>
      <c r="AV220" s="4">
        <f t="shared" si="113"/>
        <v>10145</v>
      </c>
      <c r="AW220" s="50" t="str">
        <f t="shared" si="114"/>
        <v/>
      </c>
      <c r="AX220" s="1" t="s">
        <v>1639</v>
      </c>
      <c r="AY220" s="2" t="s">
        <v>1640</v>
      </c>
      <c r="AZ220" s="2">
        <v>66484.160000000003</v>
      </c>
      <c r="BA220" s="73">
        <v>58173.64</v>
      </c>
      <c r="BB220" s="73">
        <v>58173.64</v>
      </c>
      <c r="BC220" s="73">
        <v>66484.160000000003</v>
      </c>
      <c r="BD220" s="73"/>
      <c r="BE220" s="66">
        <v>0</v>
      </c>
      <c r="BF220" s="66">
        <v>0.02</v>
      </c>
      <c r="BG220" s="63">
        <v>44093</v>
      </c>
      <c r="BH220" s="2"/>
      <c r="BI220" s="2"/>
      <c r="BJ220" s="2"/>
      <c r="BK220" s="2"/>
      <c r="BL220" s="1" t="s">
        <v>56</v>
      </c>
    </row>
    <row r="221" spans="1:64" x14ac:dyDescent="0.25">
      <c r="A221" s="81" t="s">
        <v>404</v>
      </c>
      <c r="B221" s="82" t="s">
        <v>404</v>
      </c>
      <c r="C221" s="81" t="s">
        <v>405</v>
      </c>
      <c r="D221" s="16">
        <v>40532</v>
      </c>
      <c r="E221" s="17"/>
      <c r="F221" s="2" t="s">
        <v>109</v>
      </c>
      <c r="G221" s="2" t="s">
        <v>111</v>
      </c>
      <c r="H221" s="10" t="s">
        <v>105</v>
      </c>
      <c r="I221" s="11" t="s">
        <v>110</v>
      </c>
      <c r="J221" s="11" t="s">
        <v>112</v>
      </c>
      <c r="K221" s="61" t="s">
        <v>113</v>
      </c>
      <c r="L221" s="11" t="s">
        <v>67</v>
      </c>
      <c r="M221" s="25"/>
      <c r="N221" s="82"/>
      <c r="O221" s="3" t="str">
        <f t="shared" si="119"/>
        <v>A</v>
      </c>
      <c r="P221" s="84">
        <v>106075</v>
      </c>
      <c r="Q221" s="84">
        <v>28747</v>
      </c>
      <c r="R221" s="32"/>
      <c r="S221" s="3" t="str">
        <f t="shared" si="120"/>
        <v>A</v>
      </c>
      <c r="T221" s="84">
        <v>107546</v>
      </c>
      <c r="U221" s="84">
        <v>22130</v>
      </c>
      <c r="V221" s="32"/>
      <c r="W221" s="3" t="str">
        <f t="shared" si="108"/>
        <v>A</v>
      </c>
      <c r="X221" s="84">
        <v>104354</v>
      </c>
      <c r="Y221" s="84">
        <v>17939</v>
      </c>
      <c r="Z221" s="32"/>
      <c r="AA221" s="3" t="str">
        <f t="shared" si="109"/>
        <v>A</v>
      </c>
      <c r="AB221" s="84">
        <v>120105.59</v>
      </c>
      <c r="AC221" s="84">
        <v>12631.02</v>
      </c>
      <c r="AD221" s="36"/>
      <c r="AE221" s="82"/>
      <c r="AF221" s="3" t="str">
        <f t="shared" si="110"/>
        <v>A</v>
      </c>
      <c r="AG221" s="84">
        <v>0</v>
      </c>
      <c r="AH221" s="84">
        <v>0</v>
      </c>
      <c r="AI221" s="39"/>
      <c r="AJ221" s="79" t="s">
        <v>1801</v>
      </c>
      <c r="AK221" s="39"/>
      <c r="AL221" s="4">
        <f t="shared" si="115"/>
        <v>438080.58999999997</v>
      </c>
      <c r="AM221" s="4">
        <f t="shared" si="116"/>
        <v>81447.02</v>
      </c>
      <c r="AN221" s="4">
        <f t="shared" si="111"/>
        <v>519527.61</v>
      </c>
      <c r="AO221" s="39"/>
      <c r="AP221" s="8">
        <f t="shared" si="117"/>
        <v>0</v>
      </c>
      <c r="AQ221" s="8">
        <f t="shared" si="118"/>
        <v>0</v>
      </c>
      <c r="AR221" s="8">
        <f t="shared" si="112"/>
        <v>0</v>
      </c>
      <c r="AS221" s="42"/>
      <c r="AT221" s="84">
        <v>438080.58999999997</v>
      </c>
      <c r="AU221" s="84">
        <v>81447.01999999999</v>
      </c>
      <c r="AV221" s="4">
        <f t="shared" si="113"/>
        <v>519527.61</v>
      </c>
      <c r="AW221" s="50" t="str">
        <f t="shared" si="114"/>
        <v/>
      </c>
      <c r="AX221" s="1" t="s">
        <v>1647</v>
      </c>
      <c r="AY221" s="2" t="s">
        <v>1640</v>
      </c>
      <c r="AZ221" s="2">
        <v>135521.92000000001</v>
      </c>
      <c r="BA221" s="73">
        <v>118581.68</v>
      </c>
      <c r="BB221" s="73">
        <v>118581.68</v>
      </c>
      <c r="BC221" s="73">
        <v>135521.92000000001</v>
      </c>
      <c r="BD221" s="73"/>
      <c r="BE221" s="66">
        <v>2.5000000000000001E-2</v>
      </c>
      <c r="BF221" s="66">
        <v>0.02</v>
      </c>
      <c r="BG221" s="63">
        <v>44183</v>
      </c>
      <c r="BH221" s="2"/>
      <c r="BI221" s="74">
        <v>41781</v>
      </c>
      <c r="BJ221" s="2"/>
      <c r="BK221" s="2"/>
      <c r="BL221" s="1" t="s">
        <v>104</v>
      </c>
    </row>
    <row r="222" spans="1:64" x14ac:dyDescent="0.25">
      <c r="A222" s="81" t="s">
        <v>406</v>
      </c>
      <c r="B222" s="82" t="s">
        <v>406</v>
      </c>
      <c r="C222" s="81" t="s">
        <v>407</v>
      </c>
      <c r="D222" s="16">
        <v>40575</v>
      </c>
      <c r="E222" s="17"/>
      <c r="F222" s="2" t="s">
        <v>52</v>
      </c>
      <c r="G222" s="2" t="s">
        <v>55</v>
      </c>
      <c r="H222" s="10" t="s">
        <v>57</v>
      </c>
      <c r="I222" s="11" t="s">
        <v>54</v>
      </c>
      <c r="J222" s="11" t="s">
        <v>72</v>
      </c>
      <c r="K222" s="61" t="s">
        <v>73</v>
      </c>
      <c r="L222" s="11" t="s">
        <v>67</v>
      </c>
      <c r="M222" s="25"/>
      <c r="N222" s="82"/>
      <c r="O222" s="3" t="str">
        <f t="shared" si="119"/>
        <v>A</v>
      </c>
      <c r="P222" s="84">
        <v>305394.90000000002</v>
      </c>
      <c r="Q222" s="84">
        <v>56245</v>
      </c>
      <c r="R222" s="32"/>
      <c r="S222" s="3" t="str">
        <f t="shared" si="120"/>
        <v>A</v>
      </c>
      <c r="T222" s="84">
        <v>296089.7</v>
      </c>
      <c r="U222" s="84">
        <v>56751</v>
      </c>
      <c r="V222" s="32"/>
      <c r="W222" s="3" t="str">
        <f t="shared" si="108"/>
        <v>A</v>
      </c>
      <c r="X222" s="84">
        <v>252880.45</v>
      </c>
      <c r="Y222" s="84">
        <v>49558</v>
      </c>
      <c r="Z222" s="32"/>
      <c r="AA222" s="3" t="str">
        <f t="shared" si="109"/>
        <v>A</v>
      </c>
      <c r="AB222" s="84">
        <v>289582.44999999995</v>
      </c>
      <c r="AC222" s="84">
        <v>46550.1</v>
      </c>
      <c r="AD222" s="36"/>
      <c r="AE222" s="82"/>
      <c r="AF222" s="3" t="str">
        <f t="shared" si="110"/>
        <v>A</v>
      </c>
      <c r="AG222" s="84">
        <v>0</v>
      </c>
      <c r="AH222" s="84">
        <v>0</v>
      </c>
      <c r="AI222" s="39"/>
      <c r="AJ222" s="79" t="s">
        <v>1801</v>
      </c>
      <c r="AK222" s="39"/>
      <c r="AL222" s="4">
        <f t="shared" si="115"/>
        <v>1143947.5</v>
      </c>
      <c r="AM222" s="4">
        <f t="shared" si="116"/>
        <v>209104.1</v>
      </c>
      <c r="AN222" s="4">
        <f t="shared" si="111"/>
        <v>1353051.6</v>
      </c>
      <c r="AO222" s="39"/>
      <c r="AP222" s="8">
        <f t="shared" si="117"/>
        <v>0</v>
      </c>
      <c r="AQ222" s="8">
        <f t="shared" si="118"/>
        <v>0</v>
      </c>
      <c r="AR222" s="8">
        <f t="shared" si="112"/>
        <v>0</v>
      </c>
      <c r="AS222" s="42"/>
      <c r="AT222" s="84">
        <v>1143947.5</v>
      </c>
      <c r="AU222" s="84">
        <v>209104.1</v>
      </c>
      <c r="AV222" s="4">
        <f t="shared" si="113"/>
        <v>1353051.6</v>
      </c>
      <c r="AW222" s="50" t="str">
        <f t="shared" si="114"/>
        <v/>
      </c>
      <c r="AX222" s="1" t="s">
        <v>1639</v>
      </c>
      <c r="AY222" s="2" t="s">
        <v>1640</v>
      </c>
      <c r="AZ222" s="2">
        <v>294339.20000000001</v>
      </c>
      <c r="BA222" s="73">
        <v>257546.8</v>
      </c>
      <c r="BB222" s="73">
        <v>257546.8</v>
      </c>
      <c r="BC222" s="73">
        <v>294339.20000000001</v>
      </c>
      <c r="BD222" s="73"/>
      <c r="BE222" s="66">
        <v>2.5000000000000001E-2</v>
      </c>
      <c r="BF222" s="66">
        <v>0.02</v>
      </c>
      <c r="BG222" s="63">
        <v>44228</v>
      </c>
      <c r="BH222" s="2"/>
      <c r="BI222" s="2"/>
      <c r="BJ222" s="2"/>
      <c r="BK222" s="2"/>
      <c r="BL222" s="1" t="s">
        <v>56</v>
      </c>
    </row>
    <row r="223" spans="1:64" x14ac:dyDescent="0.25">
      <c r="A223" s="81" t="s">
        <v>408</v>
      </c>
      <c r="B223" s="82" t="s">
        <v>408</v>
      </c>
      <c r="C223" s="81" t="s">
        <v>409</v>
      </c>
      <c r="D223" s="16">
        <v>40634</v>
      </c>
      <c r="E223" s="17"/>
      <c r="F223" s="2" t="s">
        <v>410</v>
      </c>
      <c r="G223" s="2" t="s">
        <v>411</v>
      </c>
      <c r="H223" s="10" t="s">
        <v>98</v>
      </c>
      <c r="I223" s="11" t="s">
        <v>53</v>
      </c>
      <c r="J223" s="11" t="s">
        <v>296</v>
      </c>
      <c r="K223" s="61"/>
      <c r="L223" s="11" t="s">
        <v>67</v>
      </c>
      <c r="M223" s="25"/>
      <c r="N223" s="82"/>
      <c r="O223" s="3" t="str">
        <f t="shared" si="119"/>
        <v>A</v>
      </c>
      <c r="P223" s="84">
        <v>71274</v>
      </c>
      <c r="Q223" s="84">
        <v>2158</v>
      </c>
      <c r="R223" s="32"/>
      <c r="S223" s="3" t="str">
        <f t="shared" si="120"/>
        <v>A</v>
      </c>
      <c r="T223" s="84">
        <v>71746</v>
      </c>
      <c r="U223" s="84">
        <v>2288</v>
      </c>
      <c r="V223" s="32"/>
      <c r="W223" s="3" t="str">
        <f t="shared" si="108"/>
        <v>A</v>
      </c>
      <c r="X223" s="84">
        <v>70965</v>
      </c>
      <c r="Y223" s="84">
        <v>2340</v>
      </c>
      <c r="Z223" s="32"/>
      <c r="AA223" s="3" t="str">
        <f t="shared" si="109"/>
        <v>A</v>
      </c>
      <c r="AB223" s="84">
        <v>75551</v>
      </c>
      <c r="AC223" s="84">
        <v>1978</v>
      </c>
      <c r="AD223" s="36"/>
      <c r="AE223" s="82"/>
      <c r="AF223" s="3" t="str">
        <f t="shared" si="110"/>
        <v>A</v>
      </c>
      <c r="AG223" s="84">
        <v>0</v>
      </c>
      <c r="AH223" s="84">
        <v>0</v>
      </c>
      <c r="AI223" s="39"/>
      <c r="AJ223" s="79" t="s">
        <v>1801</v>
      </c>
      <c r="AK223" s="39"/>
      <c r="AL223" s="4">
        <f t="shared" si="115"/>
        <v>289536</v>
      </c>
      <c r="AM223" s="4">
        <f t="shared" si="116"/>
        <v>8764</v>
      </c>
      <c r="AN223" s="4">
        <f t="shared" si="111"/>
        <v>298300</v>
      </c>
      <c r="AO223" s="39"/>
      <c r="AP223" s="8">
        <f t="shared" si="117"/>
        <v>0</v>
      </c>
      <c r="AQ223" s="8">
        <f t="shared" si="118"/>
        <v>0</v>
      </c>
      <c r="AR223" s="8">
        <f t="shared" si="112"/>
        <v>0</v>
      </c>
      <c r="AS223" s="42"/>
      <c r="AT223" s="84">
        <v>289536</v>
      </c>
      <c r="AU223" s="84">
        <v>8764</v>
      </c>
      <c r="AV223" s="4">
        <f t="shared" si="113"/>
        <v>298300</v>
      </c>
      <c r="AW223" s="50" t="str">
        <f t="shared" si="114"/>
        <v/>
      </c>
      <c r="AX223" s="1" t="s">
        <v>1702</v>
      </c>
      <c r="AY223" s="2" t="s">
        <v>1675</v>
      </c>
      <c r="AZ223" s="2">
        <v>124865.2</v>
      </c>
      <c r="BA223" s="73">
        <v>109257.05</v>
      </c>
      <c r="BB223" s="73">
        <v>109257.05</v>
      </c>
      <c r="BC223" s="73">
        <v>124865.2</v>
      </c>
      <c r="BD223" s="73"/>
      <c r="BE223" s="66">
        <v>3.5000000000000003E-2</v>
      </c>
      <c r="BF223" s="66">
        <v>0.05</v>
      </c>
      <c r="BG223" s="63">
        <v>44256</v>
      </c>
      <c r="BH223" s="74">
        <v>43962</v>
      </c>
      <c r="BI223" s="74">
        <v>43963</v>
      </c>
      <c r="BJ223" s="2"/>
      <c r="BK223" s="2"/>
      <c r="BL223" s="1" t="s">
        <v>97</v>
      </c>
    </row>
    <row r="224" spans="1:64" x14ac:dyDescent="0.25">
      <c r="A224" s="81" t="s">
        <v>408</v>
      </c>
      <c r="B224" s="82" t="s">
        <v>765</v>
      </c>
      <c r="C224" s="81" t="s">
        <v>766</v>
      </c>
      <c r="D224" s="16">
        <v>39620</v>
      </c>
      <c r="E224" s="17"/>
      <c r="F224" s="2" t="s">
        <v>410</v>
      </c>
      <c r="G224" s="2" t="s">
        <v>411</v>
      </c>
      <c r="H224" s="10" t="s">
        <v>98</v>
      </c>
      <c r="I224" s="11" t="s">
        <v>53</v>
      </c>
      <c r="J224" s="11" t="s">
        <v>296</v>
      </c>
      <c r="K224" s="61"/>
      <c r="L224" s="11" t="s">
        <v>67</v>
      </c>
      <c r="M224" s="25"/>
      <c r="N224" s="82"/>
      <c r="O224" s="3" t="str">
        <f t="shared" si="119"/>
        <v>A</v>
      </c>
      <c r="P224" s="84">
        <v>93703</v>
      </c>
      <c r="Q224" s="84">
        <v>435</v>
      </c>
      <c r="R224" s="32"/>
      <c r="S224" s="3" t="str">
        <f t="shared" si="120"/>
        <v>A</v>
      </c>
      <c r="T224" s="84">
        <v>86550</v>
      </c>
      <c r="U224" s="84">
        <v>195</v>
      </c>
      <c r="V224" s="32"/>
      <c r="W224" s="3" t="str">
        <f t="shared" si="108"/>
        <v>A</v>
      </c>
      <c r="X224" s="84">
        <v>84437</v>
      </c>
      <c r="Y224" s="84">
        <v>1958</v>
      </c>
      <c r="Z224" s="32"/>
      <c r="AA224" s="3" t="str">
        <f t="shared" si="109"/>
        <v>A</v>
      </c>
      <c r="AB224" s="84">
        <v>94221</v>
      </c>
      <c r="AC224" s="84">
        <v>2706</v>
      </c>
      <c r="AD224" s="36"/>
      <c r="AE224" s="82"/>
      <c r="AF224" s="3" t="str">
        <f t="shared" si="110"/>
        <v>A</v>
      </c>
      <c r="AG224" s="84">
        <v>0</v>
      </c>
      <c r="AH224" s="84">
        <v>0</v>
      </c>
      <c r="AI224" s="39"/>
      <c r="AJ224" s="79" t="s">
        <v>1801</v>
      </c>
      <c r="AK224" s="39"/>
      <c r="AL224" s="4">
        <f t="shared" si="115"/>
        <v>358911</v>
      </c>
      <c r="AM224" s="4">
        <f t="shared" si="116"/>
        <v>5294</v>
      </c>
      <c r="AN224" s="4">
        <f t="shared" si="111"/>
        <v>364205</v>
      </c>
      <c r="AO224" s="39"/>
      <c r="AP224" s="8">
        <f t="shared" si="117"/>
        <v>0</v>
      </c>
      <c r="AQ224" s="8">
        <f t="shared" si="118"/>
        <v>0</v>
      </c>
      <c r="AR224" s="8">
        <f t="shared" si="112"/>
        <v>0</v>
      </c>
      <c r="AS224" s="42"/>
      <c r="AT224" s="84">
        <v>358911</v>
      </c>
      <c r="AU224" s="84">
        <v>5294</v>
      </c>
      <c r="AV224" s="4">
        <f t="shared" si="113"/>
        <v>364205</v>
      </c>
      <c r="AW224" s="50" t="str">
        <f t="shared" si="114"/>
        <v/>
      </c>
      <c r="AX224" s="1" t="s">
        <v>1702</v>
      </c>
      <c r="AY224" s="2" t="s">
        <v>1675</v>
      </c>
      <c r="AZ224" s="2">
        <v>122828.64</v>
      </c>
      <c r="BA224" s="73">
        <v>107475.06</v>
      </c>
      <c r="BB224" s="73">
        <v>107475.06</v>
      </c>
      <c r="BC224" s="73">
        <v>122828.64</v>
      </c>
      <c r="BD224" s="73"/>
      <c r="BE224" s="66">
        <v>3.5000000000000003E-2</v>
      </c>
      <c r="BF224" s="66">
        <v>0.05</v>
      </c>
      <c r="BG224" s="63">
        <v>44256</v>
      </c>
      <c r="BH224" s="74">
        <v>43962</v>
      </c>
      <c r="BI224" s="74">
        <v>43963</v>
      </c>
      <c r="BJ224" s="2"/>
      <c r="BK224" s="2"/>
      <c r="BL224" s="1" t="s">
        <v>97</v>
      </c>
    </row>
    <row r="225" spans="1:64" x14ac:dyDescent="0.25">
      <c r="A225" s="81" t="s">
        <v>412</v>
      </c>
      <c r="B225" s="82" t="s">
        <v>412</v>
      </c>
      <c r="C225" s="81" t="s">
        <v>413</v>
      </c>
      <c r="D225" s="16">
        <v>40620</v>
      </c>
      <c r="E225" s="17"/>
      <c r="F225" s="2" t="s">
        <v>414</v>
      </c>
      <c r="G225" s="2" t="s">
        <v>415</v>
      </c>
      <c r="H225" s="10" t="s">
        <v>105</v>
      </c>
      <c r="I225" s="11" t="s">
        <v>53</v>
      </c>
      <c r="J225" s="11" t="s">
        <v>312</v>
      </c>
      <c r="K225" s="61"/>
      <c r="L225" s="11" t="s">
        <v>67</v>
      </c>
      <c r="M225" s="25"/>
      <c r="N225" s="82"/>
      <c r="O225" s="3" t="str">
        <f t="shared" si="119"/>
        <v>E</v>
      </c>
      <c r="P225" s="84">
        <v>203652.96</v>
      </c>
      <c r="Q225" s="84">
        <v>42710.720000000001</v>
      </c>
      <c r="R225" s="32"/>
      <c r="S225" s="3" t="str">
        <f t="shared" si="120"/>
        <v>E</v>
      </c>
      <c r="T225" s="84">
        <v>178196.34</v>
      </c>
      <c r="U225" s="84">
        <v>37371.879999999997</v>
      </c>
      <c r="V225" s="32"/>
      <c r="W225" s="3" t="str">
        <f t="shared" si="108"/>
        <v>E</v>
      </c>
      <c r="X225" s="84">
        <v>178196.34</v>
      </c>
      <c r="Y225" s="84">
        <v>37371.879999999997</v>
      </c>
      <c r="Z225" s="32"/>
      <c r="AA225" s="3" t="str">
        <f t="shared" si="109"/>
        <v>E</v>
      </c>
      <c r="AB225" s="84">
        <v>203652.96</v>
      </c>
      <c r="AC225" s="84">
        <v>42710.720000000001</v>
      </c>
      <c r="AD225" s="36"/>
      <c r="AE225" s="82"/>
      <c r="AF225" s="3" t="str">
        <f t="shared" si="110"/>
        <v>A</v>
      </c>
      <c r="AG225" s="84"/>
      <c r="AH225" s="84"/>
      <c r="AI225" s="39"/>
      <c r="AJ225" s="79" t="s">
        <v>38</v>
      </c>
      <c r="AK225" s="39"/>
      <c r="AL225" s="4">
        <f t="shared" si="115"/>
        <v>0</v>
      </c>
      <c r="AM225" s="4">
        <f t="shared" si="116"/>
        <v>0</v>
      </c>
      <c r="AN225" s="4">
        <f t="shared" si="111"/>
        <v>0</v>
      </c>
      <c r="AO225" s="39"/>
      <c r="AP225" s="8">
        <f t="shared" si="117"/>
        <v>763698.6</v>
      </c>
      <c r="AQ225" s="8">
        <f t="shared" si="118"/>
        <v>160165.20000000001</v>
      </c>
      <c r="AR225" s="8">
        <f t="shared" si="112"/>
        <v>923863.8</v>
      </c>
      <c r="AS225" s="42"/>
      <c r="AT225" s="84"/>
      <c r="AU225" s="84"/>
      <c r="AV225" s="4">
        <f t="shared" si="113"/>
        <v>0</v>
      </c>
      <c r="AW225" s="50" t="str">
        <f t="shared" si="114"/>
        <v/>
      </c>
      <c r="AX225" s="1" t="s">
        <v>1703</v>
      </c>
      <c r="AY225" s="2" t="s">
        <v>1704</v>
      </c>
      <c r="AZ225" s="2">
        <v>203652.96</v>
      </c>
      <c r="BA225" s="73">
        <v>178196.34</v>
      </c>
      <c r="BB225" s="73">
        <v>178196.34</v>
      </c>
      <c r="BC225" s="73">
        <v>203652.96</v>
      </c>
      <c r="BD225" s="73"/>
      <c r="BE225" s="66">
        <v>3.5000000000000003E-2</v>
      </c>
      <c r="BF225" s="66">
        <v>0.05</v>
      </c>
      <c r="BG225" s="63">
        <v>44273</v>
      </c>
      <c r="BH225" s="2"/>
      <c r="BI225" s="2"/>
      <c r="BJ225" s="2"/>
      <c r="BK225" s="2"/>
      <c r="BL225" s="1" t="s">
        <v>311</v>
      </c>
    </row>
    <row r="226" spans="1:64" x14ac:dyDescent="0.25">
      <c r="A226" s="81" t="s">
        <v>416</v>
      </c>
      <c r="B226" s="82" t="s">
        <v>416</v>
      </c>
      <c r="C226" s="81" t="s">
        <v>417</v>
      </c>
      <c r="D226" s="16">
        <v>40724</v>
      </c>
      <c r="E226" s="17"/>
      <c r="F226" s="2" t="s">
        <v>187</v>
      </c>
      <c r="G226" s="2" t="s">
        <v>189</v>
      </c>
      <c r="H226" s="10" t="s">
        <v>57</v>
      </c>
      <c r="I226" s="11" t="s">
        <v>188</v>
      </c>
      <c r="J226" s="11" t="s">
        <v>190</v>
      </c>
      <c r="K226" s="61" t="s">
        <v>191</v>
      </c>
      <c r="L226" s="11" t="s">
        <v>67</v>
      </c>
      <c r="M226" s="25"/>
      <c r="N226" s="82"/>
      <c r="O226" s="3" t="str">
        <f t="shared" si="119"/>
        <v>A</v>
      </c>
      <c r="P226" s="84">
        <v>190254.05</v>
      </c>
      <c r="Q226" s="84">
        <v>42604.6</v>
      </c>
      <c r="R226" s="32"/>
      <c r="S226" s="3" t="str">
        <f t="shared" si="120"/>
        <v>A</v>
      </c>
      <c r="T226" s="84">
        <v>166450.39000000001</v>
      </c>
      <c r="U226" s="84">
        <v>36180</v>
      </c>
      <c r="V226" s="32"/>
      <c r="W226" s="3" t="str">
        <f t="shared" si="108"/>
        <v>A</v>
      </c>
      <c r="X226" s="84">
        <v>141084.4</v>
      </c>
      <c r="Y226" s="84">
        <v>30537</v>
      </c>
      <c r="Z226" s="32"/>
      <c r="AA226" s="3" t="str">
        <f t="shared" si="109"/>
        <v>A</v>
      </c>
      <c r="AB226" s="84">
        <v>161961.94999999998</v>
      </c>
      <c r="AC226" s="84">
        <v>30093</v>
      </c>
      <c r="AD226" s="36"/>
      <c r="AE226" s="82"/>
      <c r="AF226" s="3" t="str">
        <f t="shared" si="110"/>
        <v>A</v>
      </c>
      <c r="AG226" s="84">
        <v>0</v>
      </c>
      <c r="AH226" s="84">
        <v>0</v>
      </c>
      <c r="AI226" s="39"/>
      <c r="AJ226" s="79" t="s">
        <v>1801</v>
      </c>
      <c r="AK226" s="39"/>
      <c r="AL226" s="4">
        <f t="shared" si="115"/>
        <v>659750.78999999992</v>
      </c>
      <c r="AM226" s="4">
        <f t="shared" si="116"/>
        <v>139414.6</v>
      </c>
      <c r="AN226" s="4">
        <f t="shared" si="111"/>
        <v>799165.3899999999</v>
      </c>
      <c r="AO226" s="39"/>
      <c r="AP226" s="8">
        <f t="shared" si="117"/>
        <v>0</v>
      </c>
      <c r="AQ226" s="8">
        <f t="shared" si="118"/>
        <v>0</v>
      </c>
      <c r="AR226" s="8">
        <f t="shared" si="112"/>
        <v>0</v>
      </c>
      <c r="AS226" s="42"/>
      <c r="AT226" s="84">
        <v>659750.79</v>
      </c>
      <c r="AU226" s="84">
        <v>139414.6</v>
      </c>
      <c r="AV226" s="4">
        <f t="shared" si="113"/>
        <v>799165.39</v>
      </c>
      <c r="AW226" s="50" t="str">
        <f t="shared" si="114"/>
        <v/>
      </c>
      <c r="AX226" s="1" t="s">
        <v>1639</v>
      </c>
      <c r="AY226" s="2" t="s">
        <v>1640</v>
      </c>
      <c r="AZ226" s="2">
        <v>173115.36</v>
      </c>
      <c r="BA226" s="73">
        <v>151475.94</v>
      </c>
      <c r="BB226" s="73">
        <v>151475.94</v>
      </c>
      <c r="BC226" s="73">
        <v>173115.36</v>
      </c>
      <c r="BD226" s="73"/>
      <c r="BE226" s="66">
        <v>2.5000000000000001E-2</v>
      </c>
      <c r="BF226" s="66">
        <v>0.02</v>
      </c>
      <c r="BG226" s="63">
        <v>44374</v>
      </c>
      <c r="BH226" s="2"/>
      <c r="BI226" s="2"/>
      <c r="BJ226" s="2"/>
      <c r="BK226" s="2"/>
      <c r="BL226" s="1" t="s">
        <v>56</v>
      </c>
    </row>
    <row r="227" spans="1:64" x14ac:dyDescent="0.25">
      <c r="A227" s="81" t="s">
        <v>416</v>
      </c>
      <c r="B227" s="82" t="s">
        <v>781</v>
      </c>
      <c r="C227" s="81" t="s">
        <v>782</v>
      </c>
      <c r="D227" s="16">
        <v>42679</v>
      </c>
      <c r="E227" s="17"/>
      <c r="F227" s="2" t="s">
        <v>187</v>
      </c>
      <c r="G227" s="2" t="s">
        <v>189</v>
      </c>
      <c r="H227" s="10" t="s">
        <v>57</v>
      </c>
      <c r="I227" s="11" t="s">
        <v>188</v>
      </c>
      <c r="J227" s="11" t="s">
        <v>190</v>
      </c>
      <c r="K227" s="61" t="s">
        <v>191</v>
      </c>
      <c r="L227" s="11" t="s">
        <v>67</v>
      </c>
      <c r="M227" s="25"/>
      <c r="N227" s="82"/>
      <c r="O227" s="3" t="str">
        <f t="shared" si="119"/>
        <v>A</v>
      </c>
      <c r="P227" s="84">
        <v>51622</v>
      </c>
      <c r="Q227" s="84">
        <v>8600</v>
      </c>
      <c r="R227" s="32"/>
      <c r="S227" s="3" t="str">
        <f t="shared" si="120"/>
        <v>A</v>
      </c>
      <c r="T227" s="84">
        <v>44383</v>
      </c>
      <c r="U227" s="84">
        <v>8783</v>
      </c>
      <c r="V227" s="32"/>
      <c r="W227" s="3" t="str">
        <f t="shared" si="108"/>
        <v>A</v>
      </c>
      <c r="X227" s="84">
        <v>34466</v>
      </c>
      <c r="Y227" s="84">
        <v>8412</v>
      </c>
      <c r="Z227" s="32"/>
      <c r="AA227" s="3" t="str">
        <f t="shared" si="109"/>
        <v>A</v>
      </c>
      <c r="AB227" s="84">
        <v>40219</v>
      </c>
      <c r="AC227" s="84">
        <v>9001</v>
      </c>
      <c r="AD227" s="36"/>
      <c r="AE227" s="82"/>
      <c r="AF227" s="3" t="str">
        <f t="shared" si="110"/>
        <v>A</v>
      </c>
      <c r="AG227" s="84">
        <v>0</v>
      </c>
      <c r="AH227" s="84">
        <v>0</v>
      </c>
      <c r="AI227" s="39"/>
      <c r="AJ227" s="79" t="s">
        <v>1801</v>
      </c>
      <c r="AK227" s="39"/>
      <c r="AL227" s="4">
        <f t="shared" si="115"/>
        <v>170690</v>
      </c>
      <c r="AM227" s="4">
        <f t="shared" si="116"/>
        <v>34796</v>
      </c>
      <c r="AN227" s="4">
        <f t="shared" si="111"/>
        <v>205486</v>
      </c>
      <c r="AO227" s="39"/>
      <c r="AP227" s="8">
        <f t="shared" si="117"/>
        <v>0</v>
      </c>
      <c r="AQ227" s="8">
        <f t="shared" si="118"/>
        <v>0</v>
      </c>
      <c r="AR227" s="8">
        <f t="shared" si="112"/>
        <v>0</v>
      </c>
      <c r="AS227" s="42"/>
      <c r="AT227" s="84">
        <v>170690</v>
      </c>
      <c r="AU227" s="84">
        <v>34796</v>
      </c>
      <c r="AV227" s="4">
        <f t="shared" si="113"/>
        <v>205486</v>
      </c>
      <c r="AW227" s="50" t="str">
        <f t="shared" si="114"/>
        <v/>
      </c>
      <c r="AX227" s="1" t="s">
        <v>1639</v>
      </c>
      <c r="AY227" s="2" t="s">
        <v>1640</v>
      </c>
      <c r="AZ227" s="2">
        <v>37970.480000000003</v>
      </c>
      <c r="BA227" s="73">
        <v>33224.17</v>
      </c>
      <c r="BB227" s="73">
        <v>33224.17</v>
      </c>
      <c r="BC227" s="73">
        <v>37970.480000000003</v>
      </c>
      <c r="BD227" s="73"/>
      <c r="BE227" s="66">
        <v>0</v>
      </c>
      <c r="BF227" s="66">
        <v>0.02</v>
      </c>
      <c r="BG227" s="63">
        <v>44374</v>
      </c>
      <c r="BH227" s="2"/>
      <c r="BI227" s="2"/>
      <c r="BJ227" s="2"/>
      <c r="BK227" s="2"/>
      <c r="BL227" s="1" t="s">
        <v>56</v>
      </c>
    </row>
    <row r="228" spans="1:64" x14ac:dyDescent="0.25">
      <c r="A228" s="81" t="s">
        <v>418</v>
      </c>
      <c r="B228" s="82" t="s">
        <v>418</v>
      </c>
      <c r="C228" s="81" t="s">
        <v>419</v>
      </c>
      <c r="D228" s="16">
        <v>40751</v>
      </c>
      <c r="E228" s="17"/>
      <c r="F228" s="2" t="s">
        <v>109</v>
      </c>
      <c r="G228" s="2" t="s">
        <v>111</v>
      </c>
      <c r="H228" s="10" t="s">
        <v>105</v>
      </c>
      <c r="I228" s="11" t="s">
        <v>110</v>
      </c>
      <c r="J228" s="11" t="s">
        <v>420</v>
      </c>
      <c r="K228" s="61" t="s">
        <v>113</v>
      </c>
      <c r="L228" s="11" t="s">
        <v>67</v>
      </c>
      <c r="M228" s="25"/>
      <c r="N228" s="82"/>
      <c r="O228" s="3" t="str">
        <f t="shared" si="119"/>
        <v>A</v>
      </c>
      <c r="P228" s="84">
        <v>188423</v>
      </c>
      <c r="Q228" s="84">
        <v>24009</v>
      </c>
      <c r="R228" s="32"/>
      <c r="S228" s="3" t="str">
        <f t="shared" si="120"/>
        <v>A</v>
      </c>
      <c r="T228" s="84">
        <v>165562</v>
      </c>
      <c r="U228" s="84">
        <v>20335</v>
      </c>
      <c r="V228" s="32"/>
      <c r="W228" s="3" t="str">
        <f t="shared" si="108"/>
        <v>A</v>
      </c>
      <c r="X228" s="84">
        <v>162708.68</v>
      </c>
      <c r="Y228" s="84">
        <v>18672.32</v>
      </c>
      <c r="Z228" s="32"/>
      <c r="AA228" s="3" t="str">
        <f t="shared" si="109"/>
        <v>A</v>
      </c>
      <c r="AB228" s="84">
        <v>169030</v>
      </c>
      <c r="AC228" s="84">
        <v>21993</v>
      </c>
      <c r="AD228" s="36"/>
      <c r="AE228" s="82"/>
      <c r="AF228" s="3" t="str">
        <f t="shared" si="110"/>
        <v>A</v>
      </c>
      <c r="AG228" s="84">
        <v>0</v>
      </c>
      <c r="AH228" s="84">
        <v>0</v>
      </c>
      <c r="AI228" s="39"/>
      <c r="AJ228" s="79" t="s">
        <v>1801</v>
      </c>
      <c r="AK228" s="39"/>
      <c r="AL228" s="4">
        <f t="shared" si="115"/>
        <v>685723.67999999993</v>
      </c>
      <c r="AM228" s="4">
        <f t="shared" si="116"/>
        <v>85009.32</v>
      </c>
      <c r="AN228" s="4">
        <f t="shared" si="111"/>
        <v>770733</v>
      </c>
      <c r="AO228" s="39"/>
      <c r="AP228" s="8">
        <f t="shared" si="117"/>
        <v>0</v>
      </c>
      <c r="AQ228" s="8">
        <f t="shared" si="118"/>
        <v>0</v>
      </c>
      <c r="AR228" s="8">
        <f t="shared" si="112"/>
        <v>0</v>
      </c>
      <c r="AS228" s="42"/>
      <c r="AT228" s="84">
        <v>685723.67999999993</v>
      </c>
      <c r="AU228" s="84">
        <v>85009.32</v>
      </c>
      <c r="AV228" s="4">
        <f t="shared" si="113"/>
        <v>770733</v>
      </c>
      <c r="AW228" s="50" t="str">
        <f t="shared" si="114"/>
        <v/>
      </c>
      <c r="AX228" s="1" t="s">
        <v>1647</v>
      </c>
      <c r="AY228" s="2" t="s">
        <v>1640</v>
      </c>
      <c r="AZ228" s="2">
        <v>115784</v>
      </c>
      <c r="BA228" s="73">
        <v>101311</v>
      </c>
      <c r="BB228" s="73">
        <v>101311</v>
      </c>
      <c r="BC228" s="73">
        <v>115784</v>
      </c>
      <c r="BD228" s="73"/>
      <c r="BE228" s="66">
        <v>2.5000000000000001E-2</v>
      </c>
      <c r="BF228" s="66">
        <v>0.02</v>
      </c>
      <c r="BG228" s="63">
        <v>44385</v>
      </c>
      <c r="BH228" s="2"/>
      <c r="BI228" s="2"/>
      <c r="BJ228" s="2"/>
      <c r="BK228" s="2"/>
      <c r="BL228" s="1" t="s">
        <v>104</v>
      </c>
    </row>
    <row r="229" spans="1:64" x14ac:dyDescent="0.25">
      <c r="A229" s="81" t="s">
        <v>421</v>
      </c>
      <c r="B229" s="82" t="s">
        <v>421</v>
      </c>
      <c r="C229" s="81" t="s">
        <v>422</v>
      </c>
      <c r="D229" s="16">
        <v>40770</v>
      </c>
      <c r="E229" s="17"/>
      <c r="F229" s="2" t="s">
        <v>423</v>
      </c>
      <c r="G229" s="2" t="s">
        <v>424</v>
      </c>
      <c r="H229" s="10" t="s">
        <v>105</v>
      </c>
      <c r="I229" s="11" t="s">
        <v>53</v>
      </c>
      <c r="J229" s="11" t="s">
        <v>312</v>
      </c>
      <c r="K229" s="61"/>
      <c r="L229" s="11" t="s">
        <v>67</v>
      </c>
      <c r="M229" s="25"/>
      <c r="N229" s="82"/>
      <c r="O229" s="3" t="str">
        <f t="shared" si="119"/>
        <v>A</v>
      </c>
      <c r="P229" s="84">
        <v>148516</v>
      </c>
      <c r="Q229" s="84">
        <v>24475</v>
      </c>
      <c r="R229" s="32"/>
      <c r="S229" s="3" t="str">
        <f t="shared" si="120"/>
        <v>A</v>
      </c>
      <c r="T229" s="84">
        <v>124847</v>
      </c>
      <c r="U229" s="84">
        <v>17755</v>
      </c>
      <c r="V229" s="32"/>
      <c r="W229" s="3" t="str">
        <f t="shared" si="108"/>
        <v>A</v>
      </c>
      <c r="X229" s="84">
        <v>117751</v>
      </c>
      <c r="Y229" s="84">
        <v>18890</v>
      </c>
      <c r="Z229" s="32"/>
      <c r="AA229" s="3" t="str">
        <f t="shared" si="109"/>
        <v>A</v>
      </c>
      <c r="AB229" s="84">
        <v>131150</v>
      </c>
      <c r="AC229" s="84">
        <v>16735</v>
      </c>
      <c r="AD229" s="36"/>
      <c r="AE229" s="82"/>
      <c r="AF229" s="3" t="str">
        <f t="shared" si="110"/>
        <v>A</v>
      </c>
      <c r="AG229" s="84">
        <v>0</v>
      </c>
      <c r="AH229" s="84">
        <v>0</v>
      </c>
      <c r="AI229" s="39"/>
      <c r="AJ229" s="79" t="s">
        <v>1801</v>
      </c>
      <c r="AK229" s="39"/>
      <c r="AL229" s="4">
        <f t="shared" si="115"/>
        <v>522264</v>
      </c>
      <c r="AM229" s="4">
        <f t="shared" si="116"/>
        <v>77855</v>
      </c>
      <c r="AN229" s="4">
        <f t="shared" si="111"/>
        <v>600119</v>
      </c>
      <c r="AO229" s="39"/>
      <c r="AP229" s="8">
        <f t="shared" si="117"/>
        <v>0</v>
      </c>
      <c r="AQ229" s="8">
        <f t="shared" si="118"/>
        <v>0</v>
      </c>
      <c r="AR229" s="8">
        <f t="shared" si="112"/>
        <v>0</v>
      </c>
      <c r="AS229" s="42"/>
      <c r="AT229" s="84">
        <v>522264</v>
      </c>
      <c r="AU229" s="84">
        <v>77855</v>
      </c>
      <c r="AV229" s="4">
        <f t="shared" si="113"/>
        <v>600119</v>
      </c>
      <c r="AW229" s="50" t="str">
        <f t="shared" si="114"/>
        <v/>
      </c>
      <c r="AX229" s="1" t="s">
        <v>1705</v>
      </c>
      <c r="AY229" s="2" t="s">
        <v>1706</v>
      </c>
      <c r="AZ229" s="2">
        <v>205474.24</v>
      </c>
      <c r="BA229" s="73">
        <v>179789.96</v>
      </c>
      <c r="BB229" s="73">
        <v>179789.96</v>
      </c>
      <c r="BC229" s="73">
        <v>205474.24</v>
      </c>
      <c r="BD229" s="73"/>
      <c r="BE229" s="66">
        <v>3.5000000000000003E-2</v>
      </c>
      <c r="BF229" s="66">
        <v>0.05</v>
      </c>
      <c r="BG229" s="63">
        <v>44420</v>
      </c>
      <c r="BH229" s="2"/>
      <c r="BI229" s="2"/>
      <c r="BJ229" s="2"/>
      <c r="BK229" s="2"/>
      <c r="BL229" s="1" t="s">
        <v>104</v>
      </c>
    </row>
    <row r="230" spans="1:64" x14ac:dyDescent="0.25">
      <c r="A230" s="81" t="s">
        <v>425</v>
      </c>
      <c r="B230" s="82" t="s">
        <v>425</v>
      </c>
      <c r="C230" s="81" t="s">
        <v>426</v>
      </c>
      <c r="D230" s="16">
        <v>40893</v>
      </c>
      <c r="E230" s="17"/>
      <c r="F230" s="2" t="s">
        <v>52</v>
      </c>
      <c r="G230" s="2" t="s">
        <v>55</v>
      </c>
      <c r="H230" s="10" t="s">
        <v>57</v>
      </c>
      <c r="I230" s="11" t="s">
        <v>54</v>
      </c>
      <c r="J230" s="11" t="s">
        <v>72</v>
      </c>
      <c r="K230" s="61" t="s">
        <v>73</v>
      </c>
      <c r="L230" s="11" t="s">
        <v>67</v>
      </c>
      <c r="M230" s="25"/>
      <c r="N230" s="82"/>
      <c r="O230" s="3" t="str">
        <f t="shared" si="119"/>
        <v>A</v>
      </c>
      <c r="P230" s="84">
        <v>194016.25</v>
      </c>
      <c r="Q230" s="84">
        <v>67159.05</v>
      </c>
      <c r="R230" s="32"/>
      <c r="S230" s="3" t="str">
        <f t="shared" si="120"/>
        <v>A</v>
      </c>
      <c r="T230" s="84">
        <v>165897.79999999999</v>
      </c>
      <c r="U230" s="84">
        <v>58024</v>
      </c>
      <c r="V230" s="32"/>
      <c r="W230" s="3" t="str">
        <f t="shared" si="108"/>
        <v>A</v>
      </c>
      <c r="X230" s="84">
        <v>154705</v>
      </c>
      <c r="Y230" s="84">
        <v>48236</v>
      </c>
      <c r="Z230" s="32"/>
      <c r="AA230" s="3" t="str">
        <f t="shared" si="109"/>
        <v>A</v>
      </c>
      <c r="AB230" s="84">
        <v>193586.46</v>
      </c>
      <c r="AC230" s="84">
        <v>48679.54</v>
      </c>
      <c r="AD230" s="36"/>
      <c r="AE230" s="82"/>
      <c r="AF230" s="3" t="str">
        <f t="shared" si="110"/>
        <v>A</v>
      </c>
      <c r="AG230" s="84">
        <v>0</v>
      </c>
      <c r="AH230" s="84">
        <v>0</v>
      </c>
      <c r="AI230" s="39"/>
      <c r="AJ230" s="79" t="s">
        <v>1801</v>
      </c>
      <c r="AK230" s="39"/>
      <c r="AL230" s="4">
        <f t="shared" si="115"/>
        <v>708205.51</v>
      </c>
      <c r="AM230" s="4">
        <f t="shared" si="116"/>
        <v>222098.59</v>
      </c>
      <c r="AN230" s="4">
        <f t="shared" si="111"/>
        <v>930304.1</v>
      </c>
      <c r="AO230" s="39"/>
      <c r="AP230" s="8">
        <f t="shared" si="117"/>
        <v>0</v>
      </c>
      <c r="AQ230" s="8">
        <f t="shared" si="118"/>
        <v>0</v>
      </c>
      <c r="AR230" s="8">
        <f t="shared" si="112"/>
        <v>0</v>
      </c>
      <c r="AS230" s="42"/>
      <c r="AT230" s="84">
        <v>708205.51000000013</v>
      </c>
      <c r="AU230" s="84">
        <v>222098.59</v>
      </c>
      <c r="AV230" s="4">
        <f t="shared" si="113"/>
        <v>930304.10000000009</v>
      </c>
      <c r="AW230" s="50" t="str">
        <f t="shared" si="114"/>
        <v/>
      </c>
      <c r="AX230" s="1" t="s">
        <v>1639</v>
      </c>
      <c r="AY230" s="2" t="s">
        <v>1640</v>
      </c>
      <c r="AZ230" s="2">
        <v>254339.44</v>
      </c>
      <c r="BA230" s="73">
        <v>222547.01</v>
      </c>
      <c r="BB230" s="73">
        <v>222547.01</v>
      </c>
      <c r="BC230" s="73">
        <v>254339.44</v>
      </c>
      <c r="BD230" s="73"/>
      <c r="BE230" s="66">
        <v>2.5000000000000001E-2</v>
      </c>
      <c r="BF230" s="66">
        <v>0.02</v>
      </c>
      <c r="BG230" s="63">
        <v>44520</v>
      </c>
      <c r="BH230" s="2"/>
      <c r="BI230" s="2"/>
      <c r="BJ230" s="2"/>
      <c r="BK230" s="2"/>
      <c r="BL230" s="1" t="s">
        <v>56</v>
      </c>
    </row>
    <row r="231" spans="1:64" x14ac:dyDescent="0.25">
      <c r="A231" s="81" t="s">
        <v>427</v>
      </c>
      <c r="B231" s="82" t="s">
        <v>427</v>
      </c>
      <c r="C231" s="81" t="s">
        <v>428</v>
      </c>
      <c r="D231" s="16">
        <v>40892</v>
      </c>
      <c r="E231" s="17"/>
      <c r="F231" s="2" t="s">
        <v>414</v>
      </c>
      <c r="G231" s="2" t="s">
        <v>415</v>
      </c>
      <c r="H231" s="10" t="s">
        <v>105</v>
      </c>
      <c r="I231" s="11" t="s">
        <v>53</v>
      </c>
      <c r="J231" s="11" t="s">
        <v>312</v>
      </c>
      <c r="K231" s="61"/>
      <c r="L231" s="11" t="s">
        <v>67</v>
      </c>
      <c r="M231" s="25"/>
      <c r="N231" s="82"/>
      <c r="O231" s="3" t="str">
        <f t="shared" si="119"/>
        <v>E</v>
      </c>
      <c r="P231" s="84">
        <v>135824.79999999999</v>
      </c>
      <c r="Q231" s="84">
        <v>28485.119999999999</v>
      </c>
      <c r="R231" s="32"/>
      <c r="S231" s="3" t="str">
        <f t="shared" si="120"/>
        <v>E</v>
      </c>
      <c r="T231" s="84">
        <v>118846.7</v>
      </c>
      <c r="U231" s="84">
        <v>24924.48</v>
      </c>
      <c r="V231" s="32"/>
      <c r="W231" s="3" t="str">
        <f t="shared" si="108"/>
        <v>E</v>
      </c>
      <c r="X231" s="84">
        <v>118846.7</v>
      </c>
      <c r="Y231" s="84">
        <v>24924.48</v>
      </c>
      <c r="Z231" s="32"/>
      <c r="AA231" s="3" t="str">
        <f t="shared" si="109"/>
        <v>E</v>
      </c>
      <c r="AB231" s="84">
        <v>135824.79999999999</v>
      </c>
      <c r="AC231" s="84">
        <v>28485.119999999999</v>
      </c>
      <c r="AD231" s="36"/>
      <c r="AE231" s="82"/>
      <c r="AF231" s="3" t="str">
        <f t="shared" si="110"/>
        <v>A</v>
      </c>
      <c r="AG231" s="84"/>
      <c r="AH231" s="84"/>
      <c r="AI231" s="39"/>
      <c r="AJ231" s="79" t="s">
        <v>38</v>
      </c>
      <c r="AK231" s="39"/>
      <c r="AL231" s="4">
        <f t="shared" si="115"/>
        <v>0</v>
      </c>
      <c r="AM231" s="4">
        <f t="shared" si="116"/>
        <v>0</v>
      </c>
      <c r="AN231" s="4">
        <f t="shared" si="111"/>
        <v>0</v>
      </c>
      <c r="AO231" s="39"/>
      <c r="AP231" s="8">
        <f t="shared" si="117"/>
        <v>509343</v>
      </c>
      <c r="AQ231" s="8">
        <f t="shared" si="118"/>
        <v>106819.2</v>
      </c>
      <c r="AR231" s="8">
        <f t="shared" si="112"/>
        <v>616162.19999999995</v>
      </c>
      <c r="AS231" s="42"/>
      <c r="AT231" s="84"/>
      <c r="AU231" s="84"/>
      <c r="AV231" s="4">
        <f t="shared" si="113"/>
        <v>0</v>
      </c>
      <c r="AW231" s="50" t="str">
        <f t="shared" si="114"/>
        <v/>
      </c>
      <c r="AX231" s="1" t="s">
        <v>1703</v>
      </c>
      <c r="AY231" s="2" t="s">
        <v>1704</v>
      </c>
      <c r="AZ231" s="2">
        <v>135824.79999999999</v>
      </c>
      <c r="BA231" s="73">
        <v>118846.7</v>
      </c>
      <c r="BB231" s="73">
        <v>118846.7</v>
      </c>
      <c r="BC231" s="73">
        <v>135824.79999999999</v>
      </c>
      <c r="BD231" s="73"/>
      <c r="BE231" s="66">
        <v>3.5000000000000003E-2</v>
      </c>
      <c r="BF231" s="66">
        <v>0.05</v>
      </c>
      <c r="BG231" s="63">
        <v>44544</v>
      </c>
      <c r="BH231" s="74">
        <v>42749</v>
      </c>
      <c r="BI231" s="74">
        <v>42774</v>
      </c>
      <c r="BJ231" s="2"/>
      <c r="BK231" s="2"/>
      <c r="BL231" s="1" t="s">
        <v>104</v>
      </c>
    </row>
    <row r="232" spans="1:64" x14ac:dyDescent="0.25">
      <c r="A232" s="81" t="s">
        <v>427</v>
      </c>
      <c r="B232" s="82" t="s">
        <v>894</v>
      </c>
      <c r="C232" s="81" t="s">
        <v>895</v>
      </c>
      <c r="D232" s="16">
        <v>43855</v>
      </c>
      <c r="E232" s="17">
        <v>45832</v>
      </c>
      <c r="F232" s="2" t="s">
        <v>414</v>
      </c>
      <c r="G232" s="2" t="s">
        <v>415</v>
      </c>
      <c r="H232" s="10" t="s">
        <v>105</v>
      </c>
      <c r="I232" s="11" t="s">
        <v>53</v>
      </c>
      <c r="J232" s="11" t="s">
        <v>312</v>
      </c>
      <c r="K232" s="61"/>
      <c r="L232" s="11" t="s">
        <v>67</v>
      </c>
      <c r="M232" s="25"/>
      <c r="N232" s="82"/>
      <c r="O232" s="3" t="str">
        <f t="shared" si="119"/>
        <v>A</v>
      </c>
      <c r="P232" s="84"/>
      <c r="Q232" s="84"/>
      <c r="R232" s="32"/>
      <c r="S232" s="3" t="str">
        <f t="shared" si="120"/>
        <v>A</v>
      </c>
      <c r="T232" s="84"/>
      <c r="U232" s="84"/>
      <c r="V232" s="32"/>
      <c r="W232" s="3" t="str">
        <f t="shared" si="108"/>
        <v>A</v>
      </c>
      <c r="X232" s="84"/>
      <c r="Y232" s="84"/>
      <c r="Z232" s="32"/>
      <c r="AA232" s="3" t="str">
        <f t="shared" si="109"/>
        <v>A</v>
      </c>
      <c r="AB232" s="84"/>
      <c r="AC232" s="84"/>
      <c r="AD232" s="36"/>
      <c r="AE232" s="82"/>
      <c r="AF232" s="3" t="str">
        <f t="shared" si="110"/>
        <v>A</v>
      </c>
      <c r="AG232" s="84"/>
      <c r="AH232" s="84"/>
      <c r="AI232" s="39"/>
      <c r="AJ232" s="79" t="s">
        <v>1801</v>
      </c>
      <c r="AK232" s="39"/>
      <c r="AL232" s="4">
        <f t="shared" si="115"/>
        <v>0</v>
      </c>
      <c r="AM232" s="4">
        <f t="shared" si="116"/>
        <v>0</v>
      </c>
      <c r="AN232" s="4">
        <f t="shared" si="111"/>
        <v>0</v>
      </c>
      <c r="AO232" s="39"/>
      <c r="AP232" s="8">
        <f t="shared" si="117"/>
        <v>0</v>
      </c>
      <c r="AQ232" s="8">
        <f t="shared" si="118"/>
        <v>0</v>
      </c>
      <c r="AR232" s="8">
        <f t="shared" si="112"/>
        <v>0</v>
      </c>
      <c r="AS232" s="42"/>
      <c r="AT232" s="84"/>
      <c r="AU232" s="84"/>
      <c r="AV232" s="4">
        <f t="shared" si="113"/>
        <v>0</v>
      </c>
      <c r="AW232" s="50" t="str">
        <f t="shared" si="114"/>
        <v/>
      </c>
      <c r="AX232" s="1" t="s">
        <v>1703</v>
      </c>
      <c r="AY232" s="2" t="s">
        <v>1704</v>
      </c>
      <c r="AZ232" s="2"/>
      <c r="BA232" s="73"/>
      <c r="BB232" s="73"/>
      <c r="BC232" s="73"/>
      <c r="BD232" s="73"/>
      <c r="BE232" s="66">
        <v>0</v>
      </c>
      <c r="BF232" s="66">
        <v>0.05</v>
      </c>
      <c r="BG232" s="63">
        <v>44544</v>
      </c>
      <c r="BH232" s="74">
        <v>45658</v>
      </c>
      <c r="BI232" s="2"/>
      <c r="BJ232" s="2"/>
      <c r="BK232" s="2"/>
      <c r="BL232" s="1" t="s">
        <v>104</v>
      </c>
    </row>
    <row r="233" spans="1:64" x14ac:dyDescent="0.25">
      <c r="A233" s="81" t="s">
        <v>429</v>
      </c>
      <c r="B233" s="82" t="s">
        <v>429</v>
      </c>
      <c r="C233" s="81" t="s">
        <v>430</v>
      </c>
      <c r="D233" s="16">
        <v>40867</v>
      </c>
      <c r="E233" s="17"/>
      <c r="F233" s="2" t="s">
        <v>431</v>
      </c>
      <c r="G233" s="2" t="s">
        <v>432</v>
      </c>
      <c r="H233" s="10" t="s">
        <v>57</v>
      </c>
      <c r="I233" s="11" t="s">
        <v>53</v>
      </c>
      <c r="J233" s="11" t="s">
        <v>397</v>
      </c>
      <c r="K233" s="61"/>
      <c r="L233" s="11" t="s">
        <v>67</v>
      </c>
      <c r="M233" s="25"/>
      <c r="N233" s="82"/>
      <c r="O233" s="3" t="str">
        <f t="shared" si="119"/>
        <v>A</v>
      </c>
      <c r="P233" s="84">
        <v>43483</v>
      </c>
      <c r="Q233" s="84">
        <v>4936</v>
      </c>
      <c r="R233" s="32"/>
      <c r="S233" s="3" t="str">
        <f t="shared" si="120"/>
        <v>E</v>
      </c>
      <c r="T233" s="84">
        <v>44082.15</v>
      </c>
      <c r="U233" s="84">
        <v>2097.27</v>
      </c>
      <c r="V233" s="32"/>
      <c r="W233" s="3" t="str">
        <f t="shared" si="108"/>
        <v>E</v>
      </c>
      <c r="X233" s="84">
        <v>44082.15</v>
      </c>
      <c r="Y233" s="84">
        <v>2097.27</v>
      </c>
      <c r="Z233" s="32"/>
      <c r="AA233" s="3" t="str">
        <f t="shared" si="109"/>
        <v>A</v>
      </c>
      <c r="AB233" s="84">
        <v>40177</v>
      </c>
      <c r="AC233" s="84">
        <v>5997</v>
      </c>
      <c r="AD233" s="36"/>
      <c r="AE233" s="82"/>
      <c r="AF233" s="3" t="str">
        <f t="shared" si="110"/>
        <v>A</v>
      </c>
      <c r="AG233" s="84">
        <v>0</v>
      </c>
      <c r="AH233" s="84">
        <v>0</v>
      </c>
      <c r="AI233" s="39"/>
      <c r="AJ233" s="79" t="s">
        <v>38</v>
      </c>
      <c r="AK233" s="39"/>
      <c r="AL233" s="4">
        <f t="shared" si="115"/>
        <v>83660</v>
      </c>
      <c r="AM233" s="4">
        <f t="shared" si="116"/>
        <v>10933</v>
      </c>
      <c r="AN233" s="4">
        <f t="shared" si="111"/>
        <v>94593</v>
      </c>
      <c r="AO233" s="39"/>
      <c r="AP233" s="8">
        <f t="shared" si="117"/>
        <v>88164.3</v>
      </c>
      <c r="AQ233" s="8">
        <f t="shared" si="118"/>
        <v>4194.54</v>
      </c>
      <c r="AR233" s="8">
        <f t="shared" si="112"/>
        <v>92358.84</v>
      </c>
      <c r="AS233" s="42"/>
      <c r="AT233" s="84">
        <v>83660</v>
      </c>
      <c r="AU233" s="84">
        <v>10933</v>
      </c>
      <c r="AV233" s="4">
        <f t="shared" si="113"/>
        <v>94593</v>
      </c>
      <c r="AW233" s="50" t="str">
        <f t="shared" si="114"/>
        <v/>
      </c>
      <c r="AX233" s="1" t="s">
        <v>1707</v>
      </c>
      <c r="AY233" s="2" t="s">
        <v>1708</v>
      </c>
      <c r="AZ233" s="2">
        <v>50379.6</v>
      </c>
      <c r="BA233" s="73">
        <v>44082.15</v>
      </c>
      <c r="BB233" s="73">
        <v>44082.15</v>
      </c>
      <c r="BC233" s="73">
        <v>50379.6</v>
      </c>
      <c r="BD233" s="73"/>
      <c r="BE233" s="66">
        <v>3.5000000000000003E-2</v>
      </c>
      <c r="BF233" s="66">
        <v>0.05</v>
      </c>
      <c r="BG233" s="63">
        <v>44518</v>
      </c>
      <c r="BH233" s="74">
        <v>43937</v>
      </c>
      <c r="BI233" s="74">
        <v>43953</v>
      </c>
      <c r="BJ233" s="2"/>
      <c r="BK233" s="2"/>
      <c r="BL233" s="1" t="s">
        <v>396</v>
      </c>
    </row>
    <row r="234" spans="1:64" x14ac:dyDescent="0.25">
      <c r="A234" s="81" t="s">
        <v>433</v>
      </c>
      <c r="B234" s="82" t="s">
        <v>433</v>
      </c>
      <c r="C234" s="81" t="s">
        <v>434</v>
      </c>
      <c r="D234" s="16">
        <v>41047</v>
      </c>
      <c r="E234" s="17"/>
      <c r="F234" s="2" t="s">
        <v>187</v>
      </c>
      <c r="G234" s="2" t="s">
        <v>189</v>
      </c>
      <c r="H234" s="10" t="s">
        <v>57</v>
      </c>
      <c r="I234" s="11" t="s">
        <v>188</v>
      </c>
      <c r="J234" s="11" t="s">
        <v>338</v>
      </c>
      <c r="K234" s="61" t="s">
        <v>339</v>
      </c>
      <c r="L234" s="11" t="s">
        <v>67</v>
      </c>
      <c r="M234" s="25"/>
      <c r="N234" s="82"/>
      <c r="O234" s="3" t="str">
        <f t="shared" si="119"/>
        <v>A</v>
      </c>
      <c r="P234" s="84">
        <v>122362.62</v>
      </c>
      <c r="Q234" s="84">
        <v>30728.6</v>
      </c>
      <c r="R234" s="32"/>
      <c r="S234" s="3" t="str">
        <f t="shared" si="120"/>
        <v>A</v>
      </c>
      <c r="T234" s="84">
        <v>109762.91</v>
      </c>
      <c r="U234" s="84">
        <v>26324.510000000002</v>
      </c>
      <c r="V234" s="32"/>
      <c r="W234" s="3" t="str">
        <f t="shared" si="108"/>
        <v>A</v>
      </c>
      <c r="X234" s="84">
        <v>95982.84</v>
      </c>
      <c r="Y234" s="84">
        <v>19049.719999999998</v>
      </c>
      <c r="Z234" s="32"/>
      <c r="AA234" s="3" t="str">
        <f t="shared" si="109"/>
        <v>A</v>
      </c>
      <c r="AB234" s="84">
        <v>97897.12000000001</v>
      </c>
      <c r="AC234" s="84">
        <v>18012.059999999998</v>
      </c>
      <c r="AD234" s="36"/>
      <c r="AE234" s="82"/>
      <c r="AF234" s="3" t="str">
        <f t="shared" si="110"/>
        <v>A</v>
      </c>
      <c r="AG234" s="84">
        <v>0</v>
      </c>
      <c r="AH234" s="84">
        <v>0</v>
      </c>
      <c r="AI234" s="39"/>
      <c r="AJ234" s="79" t="s">
        <v>1801</v>
      </c>
      <c r="AK234" s="39"/>
      <c r="AL234" s="4">
        <f t="shared" si="115"/>
        <v>426005.49</v>
      </c>
      <c r="AM234" s="4">
        <f t="shared" si="116"/>
        <v>94114.89</v>
      </c>
      <c r="AN234" s="4">
        <f t="shared" si="111"/>
        <v>520120.38</v>
      </c>
      <c r="AO234" s="39"/>
      <c r="AP234" s="8">
        <f t="shared" si="117"/>
        <v>0</v>
      </c>
      <c r="AQ234" s="8">
        <f t="shared" si="118"/>
        <v>0</v>
      </c>
      <c r="AR234" s="8">
        <f t="shared" si="112"/>
        <v>0</v>
      </c>
      <c r="AS234" s="42"/>
      <c r="AT234" s="84">
        <v>426005.48999999993</v>
      </c>
      <c r="AU234" s="84">
        <v>94114.890000000014</v>
      </c>
      <c r="AV234" s="4">
        <f t="shared" si="113"/>
        <v>520120.37999999995</v>
      </c>
      <c r="AW234" s="50" t="str">
        <f t="shared" si="114"/>
        <v/>
      </c>
      <c r="AX234" s="1" t="s">
        <v>1639</v>
      </c>
      <c r="AY234" s="2" t="s">
        <v>1640</v>
      </c>
      <c r="AZ234" s="2">
        <v>143694.72</v>
      </c>
      <c r="BA234" s="73">
        <v>125732.88</v>
      </c>
      <c r="BB234" s="73">
        <v>125732.88</v>
      </c>
      <c r="BC234" s="73">
        <v>143694.72</v>
      </c>
      <c r="BD234" s="73"/>
      <c r="BE234" s="66">
        <v>3.5000000000000003E-2</v>
      </c>
      <c r="BF234" s="66">
        <v>0.02</v>
      </c>
      <c r="BG234" s="63">
        <v>44693</v>
      </c>
      <c r="BH234" s="2"/>
      <c r="BI234" s="2"/>
      <c r="BJ234" s="2"/>
      <c r="BK234" s="2"/>
      <c r="BL234" s="1" t="s">
        <v>56</v>
      </c>
    </row>
    <row r="235" spans="1:64" x14ac:dyDescent="0.25">
      <c r="A235" s="81" t="s">
        <v>433</v>
      </c>
      <c r="B235" s="82" t="s">
        <v>849</v>
      </c>
      <c r="C235" s="81" t="s">
        <v>850</v>
      </c>
      <c r="D235" s="16">
        <v>44693</v>
      </c>
      <c r="E235" s="17"/>
      <c r="F235" s="2" t="s">
        <v>187</v>
      </c>
      <c r="G235" s="2" t="s">
        <v>189</v>
      </c>
      <c r="H235" s="10" t="s">
        <v>57</v>
      </c>
      <c r="I235" s="11" t="s">
        <v>188</v>
      </c>
      <c r="J235" s="11" t="s">
        <v>338</v>
      </c>
      <c r="K235" s="61" t="s">
        <v>339</v>
      </c>
      <c r="L235" s="11" t="s">
        <v>67</v>
      </c>
      <c r="M235" s="25"/>
      <c r="N235" s="82"/>
      <c r="O235" s="3" t="str">
        <f t="shared" si="119"/>
        <v>A</v>
      </c>
      <c r="P235" s="84">
        <v>10335</v>
      </c>
      <c r="Q235" s="84">
        <v>7788</v>
      </c>
      <c r="R235" s="32"/>
      <c r="S235" s="3" t="str">
        <f t="shared" si="120"/>
        <v>A</v>
      </c>
      <c r="T235" s="84">
        <v>17948</v>
      </c>
      <c r="U235" s="84">
        <v>5583</v>
      </c>
      <c r="V235" s="32"/>
      <c r="W235" s="3" t="str">
        <f t="shared" si="108"/>
        <v>A</v>
      </c>
      <c r="X235" s="84">
        <v>7999</v>
      </c>
      <c r="Y235" s="84">
        <v>7643</v>
      </c>
      <c r="Z235" s="32"/>
      <c r="AA235" s="3" t="str">
        <f t="shared" si="109"/>
        <v>A</v>
      </c>
      <c r="AB235" s="84">
        <v>9635</v>
      </c>
      <c r="AC235" s="84">
        <v>8074</v>
      </c>
      <c r="AD235" s="36"/>
      <c r="AE235" s="82"/>
      <c r="AF235" s="3" t="str">
        <f t="shared" si="110"/>
        <v>A</v>
      </c>
      <c r="AG235" s="84">
        <v>0</v>
      </c>
      <c r="AH235" s="84">
        <v>0</v>
      </c>
      <c r="AI235" s="39"/>
      <c r="AJ235" s="79" t="s">
        <v>1801</v>
      </c>
      <c r="AK235" s="39"/>
      <c r="AL235" s="4">
        <f t="shared" si="115"/>
        <v>45917</v>
      </c>
      <c r="AM235" s="4">
        <f t="shared" si="116"/>
        <v>29088</v>
      </c>
      <c r="AN235" s="4">
        <f t="shared" si="111"/>
        <v>75005</v>
      </c>
      <c r="AO235" s="39"/>
      <c r="AP235" s="8">
        <f t="shared" si="117"/>
        <v>0</v>
      </c>
      <c r="AQ235" s="8">
        <f t="shared" si="118"/>
        <v>0</v>
      </c>
      <c r="AR235" s="8">
        <f t="shared" si="112"/>
        <v>0</v>
      </c>
      <c r="AS235" s="42"/>
      <c r="AT235" s="84">
        <v>45917</v>
      </c>
      <c r="AU235" s="84">
        <v>29088</v>
      </c>
      <c r="AV235" s="4">
        <f t="shared" si="113"/>
        <v>75005</v>
      </c>
      <c r="AW235" s="50" t="str">
        <f t="shared" si="114"/>
        <v/>
      </c>
      <c r="AX235" s="1" t="s">
        <v>1639</v>
      </c>
      <c r="AY235" s="2" t="s">
        <v>1640</v>
      </c>
      <c r="AZ235" s="2">
        <v>112959.36</v>
      </c>
      <c r="BA235" s="73">
        <v>98839.44</v>
      </c>
      <c r="BB235" s="73">
        <v>98839.44</v>
      </c>
      <c r="BC235" s="73">
        <v>112959.36</v>
      </c>
      <c r="BD235" s="73"/>
      <c r="BE235" s="66">
        <v>0</v>
      </c>
      <c r="BF235" s="66">
        <v>0.02</v>
      </c>
      <c r="BG235" s="63">
        <v>44693</v>
      </c>
      <c r="BH235" s="2"/>
      <c r="BI235" s="2"/>
      <c r="BJ235" s="2">
        <v>411431</v>
      </c>
      <c r="BK235" s="2">
        <v>45715</v>
      </c>
      <c r="BL235" s="1" t="s">
        <v>56</v>
      </c>
    </row>
    <row r="236" spans="1:64" x14ac:dyDescent="0.25">
      <c r="A236" s="81" t="s">
        <v>435</v>
      </c>
      <c r="B236" s="82" t="s">
        <v>435</v>
      </c>
      <c r="C236" s="81" t="s">
        <v>436</v>
      </c>
      <c r="D236" s="16">
        <v>41136</v>
      </c>
      <c r="E236" s="17"/>
      <c r="F236" s="2" t="s">
        <v>187</v>
      </c>
      <c r="G236" s="2" t="s">
        <v>189</v>
      </c>
      <c r="H236" s="10" t="s">
        <v>57</v>
      </c>
      <c r="I236" s="11" t="s">
        <v>188</v>
      </c>
      <c r="J236" s="11" t="s">
        <v>190</v>
      </c>
      <c r="K236" s="61" t="s">
        <v>191</v>
      </c>
      <c r="L236" s="11" t="s">
        <v>67</v>
      </c>
      <c r="M236" s="25"/>
      <c r="N236" s="82"/>
      <c r="O236" s="3" t="str">
        <f t="shared" si="119"/>
        <v>A</v>
      </c>
      <c r="P236" s="84">
        <v>224550.5</v>
      </c>
      <c r="Q236" s="84">
        <v>61998</v>
      </c>
      <c r="R236" s="32"/>
      <c r="S236" s="3" t="str">
        <f t="shared" si="120"/>
        <v>A</v>
      </c>
      <c r="T236" s="84">
        <v>184602.4</v>
      </c>
      <c r="U236" s="84">
        <v>49859.6</v>
      </c>
      <c r="V236" s="32"/>
      <c r="W236" s="3" t="str">
        <f t="shared" si="108"/>
        <v>A</v>
      </c>
      <c r="X236" s="84">
        <v>142031.6</v>
      </c>
      <c r="Y236" s="84">
        <v>40957</v>
      </c>
      <c r="Z236" s="32"/>
      <c r="AA236" s="3" t="str">
        <f t="shared" si="109"/>
        <v>A</v>
      </c>
      <c r="AB236" s="84">
        <v>166772.44999999998</v>
      </c>
      <c r="AC236" s="84">
        <v>43520</v>
      </c>
      <c r="AD236" s="36"/>
      <c r="AE236" s="82"/>
      <c r="AF236" s="3" t="str">
        <f t="shared" si="110"/>
        <v>A</v>
      </c>
      <c r="AG236" s="84">
        <v>0</v>
      </c>
      <c r="AH236" s="84">
        <v>0</v>
      </c>
      <c r="AI236" s="39"/>
      <c r="AJ236" s="79" t="s">
        <v>1801</v>
      </c>
      <c r="AK236" s="39"/>
      <c r="AL236" s="4">
        <f t="shared" si="115"/>
        <v>717956.95</v>
      </c>
      <c r="AM236" s="4">
        <f t="shared" si="116"/>
        <v>196334.6</v>
      </c>
      <c r="AN236" s="4">
        <f t="shared" si="111"/>
        <v>914291.54999999993</v>
      </c>
      <c r="AO236" s="39"/>
      <c r="AP236" s="8">
        <f t="shared" si="117"/>
        <v>0</v>
      </c>
      <c r="AQ236" s="8">
        <f t="shared" si="118"/>
        <v>0</v>
      </c>
      <c r="AR236" s="8">
        <f t="shared" si="112"/>
        <v>0</v>
      </c>
      <c r="AS236" s="42"/>
      <c r="AT236" s="84">
        <v>717956.95000000007</v>
      </c>
      <c r="AU236" s="84">
        <v>196334.6</v>
      </c>
      <c r="AV236" s="4">
        <f t="shared" si="113"/>
        <v>914291.55</v>
      </c>
      <c r="AW236" s="50" t="str">
        <f t="shared" si="114"/>
        <v/>
      </c>
      <c r="AX236" s="1" t="s">
        <v>1639</v>
      </c>
      <c r="AY236" s="2" t="s">
        <v>1640</v>
      </c>
      <c r="AZ236" s="2">
        <v>221197.6</v>
      </c>
      <c r="BA236" s="73">
        <v>193547.9</v>
      </c>
      <c r="BB236" s="73">
        <v>193547.9</v>
      </c>
      <c r="BC236" s="73">
        <v>221197.6</v>
      </c>
      <c r="BD236" s="73"/>
      <c r="BE236" s="66">
        <v>3.5000000000000003E-2</v>
      </c>
      <c r="BF236" s="66">
        <v>0.02</v>
      </c>
      <c r="BG236" s="63">
        <v>44774</v>
      </c>
      <c r="BH236" s="2"/>
      <c r="BI236" s="2"/>
      <c r="BJ236" s="2"/>
      <c r="BK236" s="2"/>
      <c r="BL236" s="1" t="s">
        <v>56</v>
      </c>
    </row>
    <row r="237" spans="1:64" x14ac:dyDescent="0.25">
      <c r="A237" s="81" t="s">
        <v>435</v>
      </c>
      <c r="B237" s="82" t="s">
        <v>767</v>
      </c>
      <c r="C237" s="81" t="s">
        <v>768</v>
      </c>
      <c r="D237" s="16">
        <v>42941</v>
      </c>
      <c r="E237" s="17"/>
      <c r="F237" s="2" t="s">
        <v>187</v>
      </c>
      <c r="G237" s="2" t="s">
        <v>189</v>
      </c>
      <c r="H237" s="10" t="s">
        <v>57</v>
      </c>
      <c r="I237" s="11" t="s">
        <v>188</v>
      </c>
      <c r="J237" s="11" t="s">
        <v>190</v>
      </c>
      <c r="K237" s="61" t="s">
        <v>191</v>
      </c>
      <c r="L237" s="11" t="s">
        <v>67</v>
      </c>
      <c r="M237" s="25"/>
      <c r="N237" s="82"/>
      <c r="O237" s="3" t="str">
        <f t="shared" si="119"/>
        <v>A</v>
      </c>
      <c r="P237" s="84">
        <v>37805</v>
      </c>
      <c r="Q237" s="84">
        <v>17245</v>
      </c>
      <c r="R237" s="32"/>
      <c r="S237" s="3" t="str">
        <f t="shared" si="120"/>
        <v>A</v>
      </c>
      <c r="T237" s="84">
        <v>28902</v>
      </c>
      <c r="U237" s="84">
        <v>14548</v>
      </c>
      <c r="V237" s="32"/>
      <c r="W237" s="3" t="str">
        <f t="shared" si="108"/>
        <v>A</v>
      </c>
      <c r="X237" s="84">
        <v>23014</v>
      </c>
      <c r="Y237" s="84">
        <v>9658</v>
      </c>
      <c r="Z237" s="32"/>
      <c r="AA237" s="3" t="str">
        <f t="shared" si="109"/>
        <v>A</v>
      </c>
      <c r="AB237" s="84">
        <v>30772</v>
      </c>
      <c r="AC237" s="84">
        <v>12799</v>
      </c>
      <c r="AD237" s="36"/>
      <c r="AE237" s="82"/>
      <c r="AF237" s="3" t="str">
        <f t="shared" si="110"/>
        <v>A</v>
      </c>
      <c r="AG237" s="84">
        <v>0</v>
      </c>
      <c r="AH237" s="84">
        <v>0</v>
      </c>
      <c r="AI237" s="39"/>
      <c r="AJ237" s="79" t="s">
        <v>1801</v>
      </c>
      <c r="AK237" s="39"/>
      <c r="AL237" s="4">
        <f t="shared" si="115"/>
        <v>120493</v>
      </c>
      <c r="AM237" s="4">
        <f t="shared" si="116"/>
        <v>54250</v>
      </c>
      <c r="AN237" s="4">
        <f t="shared" si="111"/>
        <v>174743</v>
      </c>
      <c r="AO237" s="39"/>
      <c r="AP237" s="8">
        <f t="shared" si="117"/>
        <v>0</v>
      </c>
      <c r="AQ237" s="8">
        <f t="shared" si="118"/>
        <v>0</v>
      </c>
      <c r="AR237" s="8">
        <f t="shared" si="112"/>
        <v>0</v>
      </c>
      <c r="AS237" s="42"/>
      <c r="AT237" s="84">
        <v>120493</v>
      </c>
      <c r="AU237" s="84">
        <v>54250</v>
      </c>
      <c r="AV237" s="4">
        <f t="shared" si="113"/>
        <v>174743</v>
      </c>
      <c r="AW237" s="50" t="str">
        <f t="shared" si="114"/>
        <v/>
      </c>
      <c r="AX237" s="1" t="s">
        <v>1639</v>
      </c>
      <c r="AY237" s="2" t="s">
        <v>1640</v>
      </c>
      <c r="AZ237" s="2">
        <v>50634.16</v>
      </c>
      <c r="BA237" s="73">
        <v>44304.89</v>
      </c>
      <c r="BB237" s="73">
        <v>44304.89</v>
      </c>
      <c r="BC237" s="73">
        <v>50634.16</v>
      </c>
      <c r="BD237" s="73"/>
      <c r="BE237" s="66">
        <v>0</v>
      </c>
      <c r="BF237" s="66">
        <v>0.02</v>
      </c>
      <c r="BG237" s="63">
        <v>44774</v>
      </c>
      <c r="BH237" s="2"/>
      <c r="BI237" s="2"/>
      <c r="BJ237" s="2"/>
      <c r="BK237" s="2"/>
      <c r="BL237" s="1" t="s">
        <v>56</v>
      </c>
    </row>
    <row r="238" spans="1:64" x14ac:dyDescent="0.25">
      <c r="A238" s="81" t="s">
        <v>363</v>
      </c>
      <c r="B238" s="82" t="s">
        <v>364</v>
      </c>
      <c r="C238" s="81" t="s">
        <v>365</v>
      </c>
      <c r="D238" s="16">
        <v>39708</v>
      </c>
      <c r="E238" s="17"/>
      <c r="F238" s="2" t="s">
        <v>366</v>
      </c>
      <c r="G238" s="2" t="s">
        <v>367</v>
      </c>
      <c r="H238" s="10" t="s">
        <v>105</v>
      </c>
      <c r="I238" s="11" t="s">
        <v>53</v>
      </c>
      <c r="J238" s="11" t="s">
        <v>312</v>
      </c>
      <c r="K238" s="61"/>
      <c r="L238" s="11" t="s">
        <v>67</v>
      </c>
      <c r="M238" s="25"/>
      <c r="N238" s="82"/>
      <c r="O238" s="3" t="str">
        <f t="shared" si="119"/>
        <v>A</v>
      </c>
      <c r="P238" s="84">
        <v>19807</v>
      </c>
      <c r="Q238" s="84">
        <v>7030</v>
      </c>
      <c r="R238" s="32"/>
      <c r="S238" s="3" t="str">
        <f t="shared" si="120"/>
        <v>A</v>
      </c>
      <c r="T238" s="84">
        <v>15109</v>
      </c>
      <c r="U238" s="84">
        <v>7825</v>
      </c>
      <c r="V238" s="32"/>
      <c r="W238" s="3" t="str">
        <f t="shared" si="108"/>
        <v>A</v>
      </c>
      <c r="X238" s="84">
        <v>18544</v>
      </c>
      <c r="Y238" s="84">
        <v>9160</v>
      </c>
      <c r="Z238" s="32"/>
      <c r="AA238" s="3" t="str">
        <f t="shared" si="109"/>
        <v>A</v>
      </c>
      <c r="AB238" s="84">
        <v>18834</v>
      </c>
      <c r="AC238" s="84">
        <v>10079</v>
      </c>
      <c r="AD238" s="36"/>
      <c r="AE238" s="82"/>
      <c r="AF238" s="3" t="str">
        <f t="shared" si="110"/>
        <v>A</v>
      </c>
      <c r="AG238" s="84">
        <v>0</v>
      </c>
      <c r="AH238" s="84">
        <v>0</v>
      </c>
      <c r="AI238" s="39"/>
      <c r="AJ238" s="79" t="s">
        <v>1801</v>
      </c>
      <c r="AK238" s="39"/>
      <c r="AL238" s="4">
        <f t="shared" si="115"/>
        <v>72294</v>
      </c>
      <c r="AM238" s="4">
        <f t="shared" si="116"/>
        <v>34094</v>
      </c>
      <c r="AN238" s="4">
        <f t="shared" si="111"/>
        <v>106388</v>
      </c>
      <c r="AO238" s="39"/>
      <c r="AP238" s="8">
        <f t="shared" si="117"/>
        <v>0</v>
      </c>
      <c r="AQ238" s="8">
        <f t="shared" si="118"/>
        <v>0</v>
      </c>
      <c r="AR238" s="8">
        <f t="shared" si="112"/>
        <v>0</v>
      </c>
      <c r="AS238" s="42"/>
      <c r="AT238" s="84">
        <v>72294</v>
      </c>
      <c r="AU238" s="84">
        <v>34094</v>
      </c>
      <c r="AV238" s="4">
        <f t="shared" si="113"/>
        <v>106388</v>
      </c>
      <c r="AW238" s="50" t="str">
        <f t="shared" si="114"/>
        <v/>
      </c>
      <c r="AX238" s="1" t="s">
        <v>1690</v>
      </c>
      <c r="AY238" s="2" t="s">
        <v>1691</v>
      </c>
      <c r="AZ238" s="2">
        <v>57835.68</v>
      </c>
      <c r="BA238" s="73">
        <v>50606.22</v>
      </c>
      <c r="BB238" s="73">
        <v>50606.22</v>
      </c>
      <c r="BC238" s="73">
        <v>57835.68</v>
      </c>
      <c r="BD238" s="73"/>
      <c r="BE238" s="66">
        <v>4.4999999999999998E-2</v>
      </c>
      <c r="BF238" s="66">
        <v>0.05</v>
      </c>
      <c r="BG238" s="63">
        <v>45186</v>
      </c>
      <c r="BH238" s="74">
        <v>43926</v>
      </c>
      <c r="BI238" s="74">
        <v>44013</v>
      </c>
      <c r="BJ238" s="2"/>
      <c r="BK238" s="2"/>
      <c r="BL238" s="1" t="s">
        <v>311</v>
      </c>
    </row>
    <row r="239" spans="1:64" x14ac:dyDescent="0.25">
      <c r="A239" s="81" t="s">
        <v>363</v>
      </c>
      <c r="B239" s="82" t="s">
        <v>363</v>
      </c>
      <c r="C239" s="81" t="s">
        <v>437</v>
      </c>
      <c r="D239" s="16">
        <v>41184</v>
      </c>
      <c r="E239" s="17"/>
      <c r="F239" s="2" t="s">
        <v>366</v>
      </c>
      <c r="G239" s="2" t="s">
        <v>367</v>
      </c>
      <c r="H239" s="10" t="s">
        <v>105</v>
      </c>
      <c r="I239" s="11" t="s">
        <v>53</v>
      </c>
      <c r="J239" s="11" t="s">
        <v>312</v>
      </c>
      <c r="K239" s="61"/>
      <c r="L239" s="11" t="s">
        <v>67</v>
      </c>
      <c r="M239" s="25"/>
      <c r="N239" s="82"/>
      <c r="O239" s="3" t="str">
        <f t="shared" si="119"/>
        <v>A</v>
      </c>
      <c r="P239" s="84">
        <v>160598</v>
      </c>
      <c r="Q239" s="84">
        <v>44973.5</v>
      </c>
      <c r="R239" s="32"/>
      <c r="S239" s="3" t="str">
        <f t="shared" si="120"/>
        <v>A</v>
      </c>
      <c r="T239" s="84">
        <v>150460</v>
      </c>
      <c r="U239" s="84">
        <v>58126</v>
      </c>
      <c r="V239" s="32"/>
      <c r="W239" s="3" t="str">
        <f t="shared" si="108"/>
        <v>A</v>
      </c>
      <c r="X239" s="84">
        <v>134162</v>
      </c>
      <c r="Y239" s="84">
        <v>44223</v>
      </c>
      <c r="Z239" s="32"/>
      <c r="AA239" s="3" t="str">
        <f t="shared" si="109"/>
        <v>A</v>
      </c>
      <c r="AB239" s="84">
        <v>141335</v>
      </c>
      <c r="AC239" s="84">
        <v>43678.5</v>
      </c>
      <c r="AD239" s="36"/>
      <c r="AE239" s="82"/>
      <c r="AF239" s="3" t="str">
        <f t="shared" si="110"/>
        <v>A</v>
      </c>
      <c r="AG239" s="84">
        <v>0</v>
      </c>
      <c r="AH239" s="84">
        <v>0</v>
      </c>
      <c r="AI239" s="39"/>
      <c r="AJ239" s="79" t="s">
        <v>1801</v>
      </c>
      <c r="AK239" s="39"/>
      <c r="AL239" s="4">
        <f t="shared" si="115"/>
        <v>586555</v>
      </c>
      <c r="AM239" s="4">
        <f t="shared" si="116"/>
        <v>191001</v>
      </c>
      <c r="AN239" s="4">
        <f t="shared" si="111"/>
        <v>777556</v>
      </c>
      <c r="AO239" s="39"/>
      <c r="AP239" s="8">
        <f t="shared" si="117"/>
        <v>0</v>
      </c>
      <c r="AQ239" s="8">
        <f t="shared" si="118"/>
        <v>0</v>
      </c>
      <c r="AR239" s="8">
        <f t="shared" si="112"/>
        <v>0</v>
      </c>
      <c r="AS239" s="42"/>
      <c r="AT239" s="84">
        <v>586555</v>
      </c>
      <c r="AU239" s="84">
        <v>191001</v>
      </c>
      <c r="AV239" s="4">
        <f t="shared" si="113"/>
        <v>777556</v>
      </c>
      <c r="AW239" s="50" t="str">
        <f t="shared" si="114"/>
        <v/>
      </c>
      <c r="AX239" s="1" t="s">
        <v>1690</v>
      </c>
      <c r="AY239" s="2" t="s">
        <v>1691</v>
      </c>
      <c r="AZ239" s="2">
        <v>136348.79999999999</v>
      </c>
      <c r="BA239" s="73">
        <v>119305.2</v>
      </c>
      <c r="BB239" s="73">
        <v>119305.2</v>
      </c>
      <c r="BC239" s="73">
        <v>136348.79999999999</v>
      </c>
      <c r="BD239" s="73"/>
      <c r="BE239" s="66">
        <v>0.04</v>
      </c>
      <c r="BF239" s="66">
        <v>0.05</v>
      </c>
      <c r="BG239" s="63">
        <v>45186</v>
      </c>
      <c r="BH239" s="74">
        <v>44067</v>
      </c>
      <c r="BI239" s="74">
        <v>44105</v>
      </c>
      <c r="BJ239" s="2"/>
      <c r="BK239" s="2"/>
      <c r="BL239" s="1" t="s">
        <v>104</v>
      </c>
    </row>
    <row r="240" spans="1:64" x14ac:dyDescent="0.25">
      <c r="A240" s="81" t="s">
        <v>363</v>
      </c>
      <c r="B240" s="82" t="s">
        <v>547</v>
      </c>
      <c r="C240" s="81" t="s">
        <v>548</v>
      </c>
      <c r="D240" s="16">
        <v>42747</v>
      </c>
      <c r="E240" s="17"/>
      <c r="F240" s="2" t="s">
        <v>366</v>
      </c>
      <c r="G240" s="2" t="s">
        <v>367</v>
      </c>
      <c r="H240" s="10" t="s">
        <v>105</v>
      </c>
      <c r="I240" s="11" t="s">
        <v>53</v>
      </c>
      <c r="J240" s="11" t="s">
        <v>312</v>
      </c>
      <c r="K240" s="61"/>
      <c r="L240" s="11" t="s">
        <v>67</v>
      </c>
      <c r="M240" s="25"/>
      <c r="N240" s="82"/>
      <c r="O240" s="3" t="str">
        <f t="shared" si="119"/>
        <v>A</v>
      </c>
      <c r="P240" s="84">
        <v>22962</v>
      </c>
      <c r="Q240" s="84">
        <v>5486</v>
      </c>
      <c r="R240" s="32"/>
      <c r="S240" s="3" t="str">
        <f t="shared" si="120"/>
        <v>A</v>
      </c>
      <c r="T240" s="84">
        <v>22923</v>
      </c>
      <c r="U240" s="84">
        <v>9052</v>
      </c>
      <c r="V240" s="32"/>
      <c r="W240" s="3" t="str">
        <f t="shared" si="108"/>
        <v>A</v>
      </c>
      <c r="X240" s="84">
        <v>23598</v>
      </c>
      <c r="Y240" s="84">
        <v>7705</v>
      </c>
      <c r="Z240" s="32"/>
      <c r="AA240" s="3" t="str">
        <f t="shared" si="109"/>
        <v>A</v>
      </c>
      <c r="AB240" s="84">
        <v>25052</v>
      </c>
      <c r="AC240" s="84">
        <v>8858</v>
      </c>
      <c r="AD240" s="36"/>
      <c r="AE240" s="82"/>
      <c r="AF240" s="3" t="str">
        <f t="shared" si="110"/>
        <v>A</v>
      </c>
      <c r="AG240" s="84">
        <v>0</v>
      </c>
      <c r="AH240" s="84">
        <v>0</v>
      </c>
      <c r="AI240" s="39"/>
      <c r="AJ240" s="79" t="s">
        <v>1801</v>
      </c>
      <c r="AK240" s="39"/>
      <c r="AL240" s="4">
        <f t="shared" si="115"/>
        <v>94535</v>
      </c>
      <c r="AM240" s="4">
        <f t="shared" si="116"/>
        <v>31101</v>
      </c>
      <c r="AN240" s="4">
        <f t="shared" si="111"/>
        <v>125636</v>
      </c>
      <c r="AO240" s="39"/>
      <c r="AP240" s="8">
        <f t="shared" si="117"/>
        <v>0</v>
      </c>
      <c r="AQ240" s="8">
        <f t="shared" si="118"/>
        <v>0</v>
      </c>
      <c r="AR240" s="8">
        <f t="shared" si="112"/>
        <v>0</v>
      </c>
      <c r="AS240" s="42"/>
      <c r="AT240" s="84">
        <v>94535</v>
      </c>
      <c r="AU240" s="84">
        <v>31101</v>
      </c>
      <c r="AV240" s="4">
        <f t="shared" si="113"/>
        <v>125636</v>
      </c>
      <c r="AW240" s="50" t="str">
        <f t="shared" si="114"/>
        <v/>
      </c>
      <c r="AX240" s="1" t="s">
        <v>1690</v>
      </c>
      <c r="AY240" s="2" t="s">
        <v>1691</v>
      </c>
      <c r="AZ240" s="2">
        <v>67627.199999999997</v>
      </c>
      <c r="BA240" s="73">
        <v>59173.8</v>
      </c>
      <c r="BB240" s="73">
        <v>59173.8</v>
      </c>
      <c r="BC240" s="73">
        <v>67627.199999999997</v>
      </c>
      <c r="BD240" s="73"/>
      <c r="BE240" s="66">
        <v>3.5000000000000003E-2</v>
      </c>
      <c r="BF240" s="66">
        <v>0.05</v>
      </c>
      <c r="BG240" s="63">
        <v>45186</v>
      </c>
      <c r="BH240" s="74">
        <v>43926</v>
      </c>
      <c r="BI240" s="74">
        <v>43952</v>
      </c>
      <c r="BJ240" s="2"/>
      <c r="BK240" s="2"/>
      <c r="BL240" s="1" t="s">
        <v>104</v>
      </c>
    </row>
    <row r="241" spans="1:64" x14ac:dyDescent="0.25">
      <c r="A241" s="81" t="s">
        <v>438</v>
      </c>
      <c r="B241" s="82" t="s">
        <v>438</v>
      </c>
      <c r="C241" s="81" t="s">
        <v>439</v>
      </c>
      <c r="D241" s="16">
        <v>41251</v>
      </c>
      <c r="E241" s="17"/>
      <c r="F241" s="2" t="s">
        <v>423</v>
      </c>
      <c r="G241" s="2" t="s">
        <v>424</v>
      </c>
      <c r="H241" s="10" t="s">
        <v>105</v>
      </c>
      <c r="I241" s="11" t="s">
        <v>53</v>
      </c>
      <c r="J241" s="11" t="s">
        <v>312</v>
      </c>
      <c r="K241" s="61"/>
      <c r="L241" s="11" t="s">
        <v>67</v>
      </c>
      <c r="M241" s="25"/>
      <c r="N241" s="82"/>
      <c r="O241" s="3" t="str">
        <f t="shared" si="119"/>
        <v>A</v>
      </c>
      <c r="P241" s="84">
        <v>136006</v>
      </c>
      <c r="Q241" s="84">
        <v>25715</v>
      </c>
      <c r="R241" s="32"/>
      <c r="S241" s="3" t="str">
        <f t="shared" si="120"/>
        <v>A</v>
      </c>
      <c r="T241" s="84">
        <v>118724</v>
      </c>
      <c r="U241" s="84">
        <v>19220</v>
      </c>
      <c r="V241" s="32"/>
      <c r="W241" s="3" t="str">
        <f t="shared" si="108"/>
        <v>A</v>
      </c>
      <c r="X241" s="84">
        <v>108595</v>
      </c>
      <c r="Y241" s="84">
        <v>15250</v>
      </c>
      <c r="Z241" s="32"/>
      <c r="AA241" s="3" t="str">
        <f t="shared" si="109"/>
        <v>A</v>
      </c>
      <c r="AB241" s="84">
        <v>122613</v>
      </c>
      <c r="AC241" s="84">
        <v>19130</v>
      </c>
      <c r="AD241" s="36"/>
      <c r="AE241" s="82"/>
      <c r="AF241" s="3" t="str">
        <f t="shared" si="110"/>
        <v>A</v>
      </c>
      <c r="AG241" s="84">
        <v>0</v>
      </c>
      <c r="AH241" s="84">
        <v>0</v>
      </c>
      <c r="AI241" s="39"/>
      <c r="AJ241" s="79" t="s">
        <v>1801</v>
      </c>
      <c r="AK241" s="39"/>
      <c r="AL241" s="4">
        <f t="shared" si="115"/>
        <v>485938</v>
      </c>
      <c r="AM241" s="4">
        <f t="shared" si="116"/>
        <v>79315</v>
      </c>
      <c r="AN241" s="4">
        <f t="shared" si="111"/>
        <v>565253</v>
      </c>
      <c r="AO241" s="39"/>
      <c r="AP241" s="8">
        <f t="shared" si="117"/>
        <v>0</v>
      </c>
      <c r="AQ241" s="8">
        <f t="shared" si="118"/>
        <v>0</v>
      </c>
      <c r="AR241" s="8">
        <f t="shared" si="112"/>
        <v>0</v>
      </c>
      <c r="AS241" s="42"/>
      <c r="AT241" s="84">
        <v>485938</v>
      </c>
      <c r="AU241" s="84">
        <v>79315</v>
      </c>
      <c r="AV241" s="4">
        <f t="shared" si="113"/>
        <v>565253</v>
      </c>
      <c r="AW241" s="50" t="str">
        <f t="shared" si="114"/>
        <v/>
      </c>
      <c r="AX241" s="1" t="s">
        <v>1705</v>
      </c>
      <c r="AY241" s="2" t="s">
        <v>1706</v>
      </c>
      <c r="AZ241" s="2">
        <v>157744</v>
      </c>
      <c r="BA241" s="73">
        <v>138026</v>
      </c>
      <c r="BB241" s="73">
        <v>138026</v>
      </c>
      <c r="BC241" s="73">
        <v>157744</v>
      </c>
      <c r="BD241" s="73"/>
      <c r="BE241" s="66">
        <v>3.5000000000000003E-2</v>
      </c>
      <c r="BF241" s="66">
        <v>0.05</v>
      </c>
      <c r="BG241" s="63">
        <v>44898</v>
      </c>
      <c r="BH241" s="2"/>
      <c r="BI241" s="2"/>
      <c r="BJ241" s="2"/>
      <c r="BK241" s="2"/>
      <c r="BL241" s="1" t="s">
        <v>104</v>
      </c>
    </row>
    <row r="242" spans="1:64" x14ac:dyDescent="0.25">
      <c r="A242" s="81" t="s">
        <v>438</v>
      </c>
      <c r="B242" s="82" t="s">
        <v>907</v>
      </c>
      <c r="C242" s="81" t="s">
        <v>908</v>
      </c>
      <c r="D242" s="16">
        <v>0</v>
      </c>
      <c r="E242" s="17"/>
      <c r="F242" s="2" t="s">
        <v>423</v>
      </c>
      <c r="G242" s="2" t="s">
        <v>424</v>
      </c>
      <c r="H242" s="10" t="s">
        <v>105</v>
      </c>
      <c r="I242" s="11" t="s">
        <v>53</v>
      </c>
      <c r="J242" s="11" t="s">
        <v>312</v>
      </c>
      <c r="K242" s="61"/>
      <c r="L242" s="11" t="s">
        <v>67</v>
      </c>
      <c r="M242" s="25"/>
      <c r="N242" s="82"/>
      <c r="O242" s="3" t="str">
        <f t="shared" si="119"/>
        <v>A</v>
      </c>
      <c r="P242" s="84">
        <v>137119</v>
      </c>
      <c r="Q242" s="84">
        <v>32995</v>
      </c>
      <c r="R242" s="32"/>
      <c r="S242" s="3" t="str">
        <f t="shared" si="120"/>
        <v>A</v>
      </c>
      <c r="T242" s="84">
        <v>118182</v>
      </c>
      <c r="U242" s="84">
        <v>12290</v>
      </c>
      <c r="V242" s="32"/>
      <c r="W242" s="3" t="str">
        <f t="shared" si="108"/>
        <v>A</v>
      </c>
      <c r="X242" s="84">
        <v>103601</v>
      </c>
      <c r="Y242" s="84">
        <v>15860</v>
      </c>
      <c r="Z242" s="32"/>
      <c r="AA242" s="3" t="str">
        <f t="shared" si="109"/>
        <v>A</v>
      </c>
      <c r="AB242" s="84">
        <v>115471</v>
      </c>
      <c r="AC242" s="84">
        <v>13850</v>
      </c>
      <c r="AD242" s="36"/>
      <c r="AE242" s="82"/>
      <c r="AF242" s="3" t="str">
        <f t="shared" si="110"/>
        <v>A</v>
      </c>
      <c r="AG242" s="84">
        <v>0</v>
      </c>
      <c r="AH242" s="84">
        <v>0</v>
      </c>
      <c r="AI242" s="39"/>
      <c r="AJ242" s="79" t="s">
        <v>1801</v>
      </c>
      <c r="AK242" s="39"/>
      <c r="AL242" s="4">
        <f t="shared" si="115"/>
        <v>474373</v>
      </c>
      <c r="AM242" s="4">
        <f t="shared" si="116"/>
        <v>74995</v>
      </c>
      <c r="AN242" s="4">
        <f t="shared" si="111"/>
        <v>549368</v>
      </c>
      <c r="AO242" s="39"/>
      <c r="AP242" s="8">
        <f t="shared" si="117"/>
        <v>0</v>
      </c>
      <c r="AQ242" s="8">
        <f t="shared" si="118"/>
        <v>0</v>
      </c>
      <c r="AR242" s="8">
        <f t="shared" si="112"/>
        <v>0</v>
      </c>
      <c r="AS242" s="42"/>
      <c r="AT242" s="84">
        <v>474373</v>
      </c>
      <c r="AU242" s="84">
        <v>74995</v>
      </c>
      <c r="AV242" s="4">
        <f t="shared" si="113"/>
        <v>549368</v>
      </c>
      <c r="AW242" s="50" t="str">
        <f t="shared" si="114"/>
        <v/>
      </c>
      <c r="AX242" s="1" t="s">
        <v>1705</v>
      </c>
      <c r="AY242" s="2" t="s">
        <v>1706</v>
      </c>
      <c r="AZ242" s="2">
        <v>75858.399999999994</v>
      </c>
      <c r="BA242" s="73">
        <v>66376.100000000006</v>
      </c>
      <c r="BB242" s="73">
        <v>66376.100000000006</v>
      </c>
      <c r="BC242" s="73">
        <v>75858.399999999994</v>
      </c>
      <c r="BD242" s="73"/>
      <c r="BE242" s="66">
        <v>0</v>
      </c>
      <c r="BF242" s="66">
        <v>0.05</v>
      </c>
      <c r="BG242" s="63">
        <v>44898</v>
      </c>
      <c r="BH242" s="2"/>
      <c r="BI242" s="2"/>
      <c r="BJ242" s="2"/>
      <c r="BK242" s="2"/>
      <c r="BL242" s="1" t="s">
        <v>104</v>
      </c>
    </row>
    <row r="243" spans="1:64" x14ac:dyDescent="0.25">
      <c r="A243" s="81" t="s">
        <v>440</v>
      </c>
      <c r="B243" s="82" t="s">
        <v>440</v>
      </c>
      <c r="C243" s="81" t="s">
        <v>441</v>
      </c>
      <c r="D243" s="16">
        <v>41324</v>
      </c>
      <c r="E243" s="17"/>
      <c r="F243" s="2" t="s">
        <v>442</v>
      </c>
      <c r="G243" s="2" t="s">
        <v>443</v>
      </c>
      <c r="H243" s="10" t="s">
        <v>98</v>
      </c>
      <c r="I243" s="11" t="s">
        <v>53</v>
      </c>
      <c r="J243" s="11" t="s">
        <v>99</v>
      </c>
      <c r="K243" s="61"/>
      <c r="L243" s="11" t="s">
        <v>67</v>
      </c>
      <c r="M243" s="25"/>
      <c r="N243" s="82"/>
      <c r="O243" s="3" t="str">
        <f t="shared" si="119"/>
        <v>A</v>
      </c>
      <c r="P243" s="84">
        <v>91339</v>
      </c>
      <c r="Q243" s="84">
        <v>11340</v>
      </c>
      <c r="R243" s="32"/>
      <c r="S243" s="3" t="str">
        <f t="shared" si="120"/>
        <v>A</v>
      </c>
      <c r="T243" s="84">
        <v>81464</v>
      </c>
      <c r="U243" s="84">
        <v>9425</v>
      </c>
      <c r="V243" s="32"/>
      <c r="W243" s="3" t="str">
        <f t="shared" si="108"/>
        <v>A</v>
      </c>
      <c r="X243" s="84">
        <v>69424</v>
      </c>
      <c r="Y243" s="84">
        <v>6990</v>
      </c>
      <c r="Z243" s="32"/>
      <c r="AA243" s="3" t="str">
        <f t="shared" si="109"/>
        <v>A</v>
      </c>
      <c r="AB243" s="84">
        <v>88094</v>
      </c>
      <c r="AC243" s="84">
        <v>8905</v>
      </c>
      <c r="AD243" s="36"/>
      <c r="AE243" s="82"/>
      <c r="AF243" s="3" t="str">
        <f t="shared" si="110"/>
        <v>A</v>
      </c>
      <c r="AG243" s="84">
        <v>0</v>
      </c>
      <c r="AH243" s="84">
        <v>0</v>
      </c>
      <c r="AI243" s="39"/>
      <c r="AJ243" s="79" t="s">
        <v>1801</v>
      </c>
      <c r="AK243" s="39"/>
      <c r="AL243" s="4">
        <f t="shared" si="115"/>
        <v>330321</v>
      </c>
      <c r="AM243" s="4">
        <f t="shared" si="116"/>
        <v>36660</v>
      </c>
      <c r="AN243" s="4">
        <f t="shared" si="111"/>
        <v>366981</v>
      </c>
      <c r="AO243" s="39"/>
      <c r="AP243" s="8">
        <f t="shared" si="117"/>
        <v>0</v>
      </c>
      <c r="AQ243" s="8">
        <f t="shared" si="118"/>
        <v>0</v>
      </c>
      <c r="AR243" s="8">
        <f t="shared" si="112"/>
        <v>0</v>
      </c>
      <c r="AS243" s="42"/>
      <c r="AT243" s="84">
        <v>330321</v>
      </c>
      <c r="AU243" s="84">
        <v>36660</v>
      </c>
      <c r="AV243" s="4">
        <f t="shared" si="113"/>
        <v>366981</v>
      </c>
      <c r="AW243" s="50" t="str">
        <f t="shared" si="114"/>
        <v/>
      </c>
      <c r="AX243" s="1" t="s">
        <v>1709</v>
      </c>
      <c r="AY243" s="2" t="s">
        <v>1710</v>
      </c>
      <c r="AZ243" s="2">
        <v>140370.79999999999</v>
      </c>
      <c r="BA243" s="73">
        <v>122824.45</v>
      </c>
      <c r="BB243" s="73">
        <v>122824.45</v>
      </c>
      <c r="BC243" s="73">
        <v>140370.79999999999</v>
      </c>
      <c r="BD243" s="73"/>
      <c r="BE243" s="66">
        <v>4.4999999999999998E-2</v>
      </c>
      <c r="BF243" s="66">
        <v>0.05</v>
      </c>
      <c r="BG243" s="63">
        <v>44964</v>
      </c>
      <c r="BH243" s="74">
        <v>43907</v>
      </c>
      <c r="BI243" s="74">
        <v>43953</v>
      </c>
      <c r="BJ243" s="2"/>
      <c r="BK243" s="2"/>
      <c r="BL243" s="1" t="s">
        <v>97</v>
      </c>
    </row>
    <row r="244" spans="1:64" x14ac:dyDescent="0.25">
      <c r="A244" s="81" t="s">
        <v>440</v>
      </c>
      <c r="B244" s="82" t="s">
        <v>769</v>
      </c>
      <c r="C244" s="81" t="s">
        <v>770</v>
      </c>
      <c r="D244" s="16">
        <v>0</v>
      </c>
      <c r="E244" s="17"/>
      <c r="F244" s="2" t="s">
        <v>442</v>
      </c>
      <c r="G244" s="2" t="s">
        <v>443</v>
      </c>
      <c r="H244" s="10" t="s">
        <v>98</v>
      </c>
      <c r="I244" s="11" t="s">
        <v>53</v>
      </c>
      <c r="J244" s="11" t="s">
        <v>99</v>
      </c>
      <c r="K244" s="61"/>
      <c r="L244" s="11" t="s">
        <v>67</v>
      </c>
      <c r="M244" s="25"/>
      <c r="N244" s="82"/>
      <c r="O244" s="3" t="str">
        <f t="shared" si="119"/>
        <v>A</v>
      </c>
      <c r="P244" s="84">
        <v>90542</v>
      </c>
      <c r="Q244" s="84">
        <v>0</v>
      </c>
      <c r="R244" s="32"/>
      <c r="S244" s="3" t="str">
        <f t="shared" si="120"/>
        <v>A</v>
      </c>
      <c r="T244" s="84">
        <v>88431</v>
      </c>
      <c r="U244" s="84">
        <v>0</v>
      </c>
      <c r="V244" s="32"/>
      <c r="W244" s="3" t="str">
        <f t="shared" si="108"/>
        <v>A</v>
      </c>
      <c r="X244" s="84">
        <v>86270</v>
      </c>
      <c r="Y244" s="84">
        <v>0</v>
      </c>
      <c r="Z244" s="32"/>
      <c r="AA244" s="3" t="str">
        <f t="shared" si="109"/>
        <v>A</v>
      </c>
      <c r="AB244" s="84">
        <v>114526</v>
      </c>
      <c r="AC244" s="84">
        <v>0</v>
      </c>
      <c r="AD244" s="36"/>
      <c r="AE244" s="82"/>
      <c r="AF244" s="3" t="str">
        <f t="shared" si="110"/>
        <v>A</v>
      </c>
      <c r="AG244" s="84">
        <v>0</v>
      </c>
      <c r="AH244" s="84">
        <v>0</v>
      </c>
      <c r="AI244" s="39"/>
      <c r="AJ244" s="79" t="s">
        <v>1801</v>
      </c>
      <c r="AK244" s="39"/>
      <c r="AL244" s="4">
        <f t="shared" si="115"/>
        <v>379769</v>
      </c>
      <c r="AM244" s="4">
        <f t="shared" si="116"/>
        <v>0</v>
      </c>
      <c r="AN244" s="4">
        <f t="shared" si="111"/>
        <v>379769</v>
      </c>
      <c r="AO244" s="39"/>
      <c r="AP244" s="8">
        <f t="shared" si="117"/>
        <v>0</v>
      </c>
      <c r="AQ244" s="8">
        <f t="shared" si="118"/>
        <v>0</v>
      </c>
      <c r="AR244" s="8">
        <f t="shared" si="112"/>
        <v>0</v>
      </c>
      <c r="AS244" s="42"/>
      <c r="AT244" s="84">
        <v>379769</v>
      </c>
      <c r="AU244" s="84"/>
      <c r="AV244" s="4">
        <f t="shared" si="113"/>
        <v>379769</v>
      </c>
      <c r="AW244" s="50" t="str">
        <f t="shared" si="114"/>
        <v/>
      </c>
      <c r="AX244" s="1" t="s">
        <v>1709</v>
      </c>
      <c r="AY244" s="2" t="s">
        <v>1710</v>
      </c>
      <c r="AZ244" s="2">
        <v>42042.96</v>
      </c>
      <c r="BA244" s="73">
        <v>36787.589999999997</v>
      </c>
      <c r="BB244" s="73">
        <v>36787.589999999997</v>
      </c>
      <c r="BC244" s="73">
        <v>42042.96</v>
      </c>
      <c r="BD244" s="73"/>
      <c r="BE244" s="66">
        <v>0</v>
      </c>
      <c r="BF244" s="66">
        <v>0.05</v>
      </c>
      <c r="BG244" s="63">
        <v>44964</v>
      </c>
      <c r="BH244" s="2"/>
      <c r="BI244" s="2"/>
      <c r="BJ244" s="2"/>
      <c r="BK244" s="2"/>
      <c r="BL244" s="1" t="s">
        <v>97</v>
      </c>
    </row>
    <row r="245" spans="1:64" x14ac:dyDescent="0.25">
      <c r="A245" s="81" t="s">
        <v>440</v>
      </c>
      <c r="B245" s="82" t="s">
        <v>771</v>
      </c>
      <c r="C245" s="81" t="s">
        <v>772</v>
      </c>
      <c r="D245" s="16">
        <v>42577</v>
      </c>
      <c r="E245" s="17"/>
      <c r="F245" s="2" t="s">
        <v>442</v>
      </c>
      <c r="G245" s="2" t="s">
        <v>443</v>
      </c>
      <c r="H245" s="10" t="s">
        <v>98</v>
      </c>
      <c r="I245" s="11" t="s">
        <v>53</v>
      </c>
      <c r="J245" s="11" t="s">
        <v>99</v>
      </c>
      <c r="K245" s="61"/>
      <c r="L245" s="11" t="s">
        <v>67</v>
      </c>
      <c r="M245" s="25"/>
      <c r="N245" s="82"/>
      <c r="O245" s="3" t="str">
        <f t="shared" si="119"/>
        <v>A</v>
      </c>
      <c r="P245" s="84">
        <v>63831</v>
      </c>
      <c r="Q245" s="84">
        <v>0</v>
      </c>
      <c r="R245" s="32"/>
      <c r="S245" s="3" t="str">
        <f t="shared" si="120"/>
        <v>A</v>
      </c>
      <c r="T245" s="84">
        <v>52447</v>
      </c>
      <c r="U245" s="84"/>
      <c r="V245" s="32"/>
      <c r="W245" s="3" t="str">
        <f t="shared" si="108"/>
        <v>A</v>
      </c>
      <c r="X245" s="84">
        <v>46995</v>
      </c>
      <c r="Y245" s="84"/>
      <c r="Z245" s="32"/>
      <c r="AA245" s="3" t="str">
        <f t="shared" si="109"/>
        <v>A</v>
      </c>
      <c r="AB245" s="84">
        <v>63748</v>
      </c>
      <c r="AC245" s="84"/>
      <c r="AD245" s="36"/>
      <c r="AE245" s="82"/>
      <c r="AF245" s="3" t="str">
        <f t="shared" si="110"/>
        <v>A</v>
      </c>
      <c r="AG245" s="84">
        <v>0</v>
      </c>
      <c r="AH245" s="84">
        <v>0</v>
      </c>
      <c r="AI245" s="39"/>
      <c r="AJ245" s="79" t="s">
        <v>1801</v>
      </c>
      <c r="AK245" s="39"/>
      <c r="AL245" s="4">
        <f t="shared" si="115"/>
        <v>227021</v>
      </c>
      <c r="AM245" s="4">
        <f t="shared" si="116"/>
        <v>0</v>
      </c>
      <c r="AN245" s="4">
        <f t="shared" si="111"/>
        <v>227021</v>
      </c>
      <c r="AO245" s="39"/>
      <c r="AP245" s="8">
        <f t="shared" si="117"/>
        <v>0</v>
      </c>
      <c r="AQ245" s="8">
        <f t="shared" si="118"/>
        <v>0</v>
      </c>
      <c r="AR245" s="8">
        <f t="shared" si="112"/>
        <v>0</v>
      </c>
      <c r="AS245" s="42"/>
      <c r="AT245" s="84">
        <v>227021</v>
      </c>
      <c r="AU245" s="84"/>
      <c r="AV245" s="4">
        <f t="shared" si="113"/>
        <v>227021</v>
      </c>
      <c r="AW245" s="50" t="str">
        <f t="shared" si="114"/>
        <v/>
      </c>
      <c r="AX245" s="1" t="s">
        <v>1709</v>
      </c>
      <c r="AY245" s="2" t="s">
        <v>1710</v>
      </c>
      <c r="AZ245" s="2">
        <v>73077.679999999993</v>
      </c>
      <c r="BA245" s="73">
        <v>63942.97</v>
      </c>
      <c r="BB245" s="73">
        <v>63942.97</v>
      </c>
      <c r="BC245" s="73">
        <v>73077.679999999993</v>
      </c>
      <c r="BD245" s="73"/>
      <c r="BE245" s="66">
        <v>4.4999999999999998E-2</v>
      </c>
      <c r="BF245" s="66">
        <v>0.05</v>
      </c>
      <c r="BG245" s="63">
        <v>44964</v>
      </c>
      <c r="BH245" s="74">
        <v>44414</v>
      </c>
      <c r="BI245" s="74">
        <v>44431</v>
      </c>
      <c r="BJ245" s="2"/>
      <c r="BK245" s="2"/>
      <c r="BL245" s="1" t="s">
        <v>97</v>
      </c>
    </row>
    <row r="246" spans="1:64" x14ac:dyDescent="0.25">
      <c r="A246" s="81" t="s">
        <v>440</v>
      </c>
      <c r="B246" s="82" t="s">
        <v>1066</v>
      </c>
      <c r="C246" s="81" t="s">
        <v>1067</v>
      </c>
      <c r="D246" s="16">
        <v>42263</v>
      </c>
      <c r="E246" s="17"/>
      <c r="F246" s="2" t="s">
        <v>442</v>
      </c>
      <c r="G246" s="2" t="s">
        <v>443</v>
      </c>
      <c r="H246" s="10" t="s">
        <v>98</v>
      </c>
      <c r="I246" s="11" t="s">
        <v>53</v>
      </c>
      <c r="J246" s="11" t="s">
        <v>99</v>
      </c>
      <c r="K246" s="61"/>
      <c r="L246" s="11" t="s">
        <v>67</v>
      </c>
      <c r="M246" s="25"/>
      <c r="N246" s="82"/>
      <c r="O246" s="3" t="str">
        <f t="shared" si="119"/>
        <v>A</v>
      </c>
      <c r="P246" s="84">
        <v>105052</v>
      </c>
      <c r="Q246" s="84">
        <v>6060</v>
      </c>
      <c r="R246" s="32"/>
      <c r="S246" s="3" t="str">
        <f t="shared" si="120"/>
        <v>A</v>
      </c>
      <c r="T246" s="84">
        <v>94112</v>
      </c>
      <c r="U246" s="84">
        <v>4880</v>
      </c>
      <c r="V246" s="32"/>
      <c r="W246" s="3" t="str">
        <f t="shared" si="108"/>
        <v>A</v>
      </c>
      <c r="X246" s="84">
        <v>88193</v>
      </c>
      <c r="Y246" s="84">
        <v>5440</v>
      </c>
      <c r="Z246" s="32"/>
      <c r="AA246" s="3" t="str">
        <f t="shared" si="109"/>
        <v>A</v>
      </c>
      <c r="AB246" s="84">
        <v>107561</v>
      </c>
      <c r="AC246" s="84">
        <v>7060</v>
      </c>
      <c r="AD246" s="36"/>
      <c r="AE246" s="82"/>
      <c r="AF246" s="3" t="str">
        <f t="shared" si="110"/>
        <v>A</v>
      </c>
      <c r="AG246" s="84">
        <v>0</v>
      </c>
      <c r="AH246" s="84">
        <v>0</v>
      </c>
      <c r="AI246" s="39"/>
      <c r="AJ246" s="79" t="s">
        <v>1801</v>
      </c>
      <c r="AK246" s="39"/>
      <c r="AL246" s="4">
        <f t="shared" si="115"/>
        <v>394918</v>
      </c>
      <c r="AM246" s="4">
        <f t="shared" si="116"/>
        <v>23440</v>
      </c>
      <c r="AN246" s="4">
        <f t="shared" si="111"/>
        <v>418358</v>
      </c>
      <c r="AO246" s="39"/>
      <c r="AP246" s="8">
        <f t="shared" si="117"/>
        <v>0</v>
      </c>
      <c r="AQ246" s="8">
        <f t="shared" si="118"/>
        <v>0</v>
      </c>
      <c r="AR246" s="8">
        <f t="shared" si="112"/>
        <v>0</v>
      </c>
      <c r="AS246" s="42"/>
      <c r="AT246" s="84">
        <v>394918</v>
      </c>
      <c r="AU246" s="84">
        <v>23440</v>
      </c>
      <c r="AV246" s="4">
        <f t="shared" si="113"/>
        <v>418358</v>
      </c>
      <c r="AW246" s="50" t="str">
        <f t="shared" si="114"/>
        <v/>
      </c>
      <c r="AX246" s="1" t="s">
        <v>1709</v>
      </c>
      <c r="AY246" s="2" t="s">
        <v>1710</v>
      </c>
      <c r="AZ246" s="2">
        <v>85241.76</v>
      </c>
      <c r="BA246" s="73">
        <v>74586.539999999994</v>
      </c>
      <c r="BB246" s="73">
        <v>74586.539999999994</v>
      </c>
      <c r="BC246" s="73">
        <v>85241.76</v>
      </c>
      <c r="BD246" s="73"/>
      <c r="BE246" s="66">
        <v>4.4999999999999998E-2</v>
      </c>
      <c r="BF246" s="66">
        <v>0.05</v>
      </c>
      <c r="BG246" s="63">
        <v>44964</v>
      </c>
      <c r="BH246" s="2"/>
      <c r="BI246" s="2"/>
      <c r="BJ246" s="2">
        <v>310476</v>
      </c>
      <c r="BK246" s="2">
        <v>15523.8</v>
      </c>
      <c r="BL246" s="1" t="s">
        <v>97</v>
      </c>
    </row>
    <row r="247" spans="1:64" x14ac:dyDescent="0.25">
      <c r="A247" s="81" t="s">
        <v>440</v>
      </c>
      <c r="B247" s="82" t="s">
        <v>1539</v>
      </c>
      <c r="C247" s="81" t="s">
        <v>1540</v>
      </c>
      <c r="D247" s="16">
        <v>0</v>
      </c>
      <c r="E247" s="17"/>
      <c r="F247" s="2" t="s">
        <v>442</v>
      </c>
      <c r="G247" s="2" t="s">
        <v>443</v>
      </c>
      <c r="H247" s="10" t="s">
        <v>98</v>
      </c>
      <c r="I247" s="11" t="s">
        <v>53</v>
      </c>
      <c r="J247" s="11" t="s">
        <v>99</v>
      </c>
      <c r="K247" s="61"/>
      <c r="L247" s="11" t="s">
        <v>67</v>
      </c>
      <c r="M247" s="25"/>
      <c r="N247" s="82"/>
      <c r="O247" s="3" t="str">
        <f>IF($A247="","",IF(P247=AZ247,"E","A"))</f>
        <v>A</v>
      </c>
      <c r="P247" s="84">
        <v>61697</v>
      </c>
      <c r="Q247" s="84">
        <v>680</v>
      </c>
      <c r="R247" s="32"/>
      <c r="S247" s="3" t="str">
        <f>IF($A247="","",IF(T247=BA247,"E","A"))</f>
        <v>A</v>
      </c>
      <c r="T247" s="84">
        <v>55827</v>
      </c>
      <c r="U247" s="84">
        <v>800</v>
      </c>
      <c r="V247" s="32"/>
      <c r="W247" s="3" t="str">
        <f t="shared" si="108"/>
        <v>A</v>
      </c>
      <c r="X247" s="84">
        <v>48736</v>
      </c>
      <c r="Y247" s="84">
        <v>620</v>
      </c>
      <c r="Z247" s="32"/>
      <c r="AA247" s="3" t="str">
        <f t="shared" si="109"/>
        <v>A</v>
      </c>
      <c r="AB247" s="84">
        <v>60309</v>
      </c>
      <c r="AC247" s="84">
        <v>1100</v>
      </c>
      <c r="AD247" s="36"/>
      <c r="AE247" s="82"/>
      <c r="AF247" s="3" t="str">
        <f t="shared" si="110"/>
        <v>A</v>
      </c>
      <c r="AG247" s="84">
        <v>0</v>
      </c>
      <c r="AH247" s="84">
        <v>0</v>
      </c>
      <c r="AI247" s="39"/>
      <c r="AJ247" s="79" t="s">
        <v>1801</v>
      </c>
      <c r="AK247" s="39"/>
      <c r="AL247" s="4">
        <f t="shared" si="115"/>
        <v>226569</v>
      </c>
      <c r="AM247" s="4">
        <f t="shared" si="116"/>
        <v>3200</v>
      </c>
      <c r="AN247" s="4">
        <f t="shared" si="111"/>
        <v>229769</v>
      </c>
      <c r="AO247" s="39"/>
      <c r="AP247" s="8">
        <f t="shared" si="117"/>
        <v>0</v>
      </c>
      <c r="AQ247" s="8">
        <f t="shared" si="118"/>
        <v>0</v>
      </c>
      <c r="AR247" s="8">
        <f t="shared" si="112"/>
        <v>0</v>
      </c>
      <c r="AS247" s="42"/>
      <c r="AT247" s="84">
        <v>226569</v>
      </c>
      <c r="AU247" s="84">
        <v>3200</v>
      </c>
      <c r="AV247" s="4">
        <f t="shared" si="113"/>
        <v>229769</v>
      </c>
      <c r="AW247" s="50" t="str">
        <f t="shared" si="114"/>
        <v/>
      </c>
      <c r="AX247" s="1" t="s">
        <v>1709</v>
      </c>
      <c r="AY247" s="2" t="s">
        <v>1710</v>
      </c>
      <c r="AZ247" s="2">
        <v>58733.599999999999</v>
      </c>
      <c r="BA247" s="73">
        <v>51391.9</v>
      </c>
      <c r="BB247" s="73">
        <v>51391.9</v>
      </c>
      <c r="BC247" s="73">
        <v>58733.599999999999</v>
      </c>
      <c r="BD247" s="73"/>
      <c r="BE247" s="66">
        <v>0</v>
      </c>
      <c r="BF247" s="66">
        <v>0.05</v>
      </c>
      <c r="BG247" s="63">
        <v>45569</v>
      </c>
      <c r="BH247" s="2"/>
      <c r="BI247" s="2"/>
      <c r="BJ247" s="2">
        <v>217350</v>
      </c>
      <c r="BK247" s="2">
        <v>11410</v>
      </c>
      <c r="BL247" s="1" t="s">
        <v>97</v>
      </c>
    </row>
    <row r="248" spans="1:64" x14ac:dyDescent="0.25">
      <c r="A248" s="81" t="s">
        <v>444</v>
      </c>
      <c r="B248" s="82" t="s">
        <v>444</v>
      </c>
      <c r="C248" s="81" t="s">
        <v>445</v>
      </c>
      <c r="D248" s="16">
        <v>38936</v>
      </c>
      <c r="E248" s="17"/>
      <c r="F248" s="2" t="s">
        <v>187</v>
      </c>
      <c r="G248" s="2" t="s">
        <v>189</v>
      </c>
      <c r="H248" s="10" t="s">
        <v>57</v>
      </c>
      <c r="I248" s="11" t="s">
        <v>188</v>
      </c>
      <c r="J248" s="11" t="s">
        <v>338</v>
      </c>
      <c r="K248" s="61" t="s">
        <v>339</v>
      </c>
      <c r="L248" s="11" t="s">
        <v>67</v>
      </c>
      <c r="M248" s="25"/>
      <c r="N248" s="82"/>
      <c r="O248" s="3" t="str">
        <f>IF($A248="","",IF(P248=0,"A",IF(P248=AZ248,"E","A")))</f>
        <v>A</v>
      </c>
      <c r="P248" s="84">
        <v>366540.46</v>
      </c>
      <c r="Q248" s="84">
        <v>48515.33</v>
      </c>
      <c r="R248" s="32"/>
      <c r="S248" s="3" t="str">
        <f t="shared" ref="S248:S274" si="121">IF($A248="","",IF(T248=0,"A",IF(T248=BA248,"E","A")))</f>
        <v>A</v>
      </c>
      <c r="T248" s="84">
        <v>296125.65000000002</v>
      </c>
      <c r="U248" s="84">
        <v>43600.45</v>
      </c>
      <c r="V248" s="32"/>
      <c r="W248" s="3" t="str">
        <f t="shared" si="108"/>
        <v>A</v>
      </c>
      <c r="X248" s="84">
        <v>272733.89999999997</v>
      </c>
      <c r="Y248" s="84">
        <v>37751</v>
      </c>
      <c r="Z248" s="32"/>
      <c r="AA248" s="3" t="str">
        <f t="shared" si="109"/>
        <v>A</v>
      </c>
      <c r="AB248" s="84">
        <v>273375.75</v>
      </c>
      <c r="AC248" s="84">
        <v>35278.85</v>
      </c>
      <c r="AD248" s="36"/>
      <c r="AE248" s="82"/>
      <c r="AF248" s="3" t="str">
        <f t="shared" si="110"/>
        <v>A</v>
      </c>
      <c r="AG248" s="84">
        <v>0</v>
      </c>
      <c r="AH248" s="84">
        <v>0</v>
      </c>
      <c r="AI248" s="39"/>
      <c r="AJ248" s="79" t="s">
        <v>1801</v>
      </c>
      <c r="AK248" s="39"/>
      <c r="AL248" s="4">
        <f t="shared" si="115"/>
        <v>1208775.76</v>
      </c>
      <c r="AM248" s="4">
        <f t="shared" si="116"/>
        <v>165145.63</v>
      </c>
      <c r="AN248" s="4">
        <f t="shared" si="111"/>
        <v>1373921.3900000001</v>
      </c>
      <c r="AO248" s="39"/>
      <c r="AP248" s="8">
        <f t="shared" si="117"/>
        <v>0</v>
      </c>
      <c r="AQ248" s="8">
        <f t="shared" si="118"/>
        <v>0</v>
      </c>
      <c r="AR248" s="8">
        <f t="shared" si="112"/>
        <v>0</v>
      </c>
      <c r="AS248" s="42"/>
      <c r="AT248" s="84">
        <v>1208775.7599999998</v>
      </c>
      <c r="AU248" s="84">
        <v>165145.62999999998</v>
      </c>
      <c r="AV248" s="4">
        <f t="shared" si="113"/>
        <v>1373921.3899999997</v>
      </c>
      <c r="AW248" s="50" t="str">
        <f t="shared" si="114"/>
        <v/>
      </c>
      <c r="AX248" s="1" t="s">
        <v>1639</v>
      </c>
      <c r="AY248" s="2" t="s">
        <v>1640</v>
      </c>
      <c r="AZ248" s="2">
        <v>317613.84000000003</v>
      </c>
      <c r="BA248" s="73">
        <v>277912.11</v>
      </c>
      <c r="BB248" s="73">
        <v>277912.11</v>
      </c>
      <c r="BC248" s="73">
        <v>317613.84000000003</v>
      </c>
      <c r="BD248" s="73"/>
      <c r="BE248" s="66">
        <v>2.5000000000000001E-2</v>
      </c>
      <c r="BF248" s="66">
        <v>0.02</v>
      </c>
      <c r="BG248" s="63">
        <v>44415</v>
      </c>
      <c r="BH248" s="2"/>
      <c r="BI248" s="2"/>
      <c r="BJ248" s="2"/>
      <c r="BK248" s="2"/>
      <c r="BL248" s="1" t="s">
        <v>56</v>
      </c>
    </row>
    <row r="249" spans="1:64" x14ac:dyDescent="0.25">
      <c r="A249" s="81" t="s">
        <v>446</v>
      </c>
      <c r="B249" s="82" t="s">
        <v>446</v>
      </c>
      <c r="C249" s="81" t="s">
        <v>447</v>
      </c>
      <c r="D249" s="16">
        <v>41419</v>
      </c>
      <c r="E249" s="17"/>
      <c r="F249" s="2" t="s">
        <v>243</v>
      </c>
      <c r="G249" s="2" t="s">
        <v>245</v>
      </c>
      <c r="H249" s="10" t="s">
        <v>105</v>
      </c>
      <c r="I249" s="11" t="s">
        <v>244</v>
      </c>
      <c r="J249" s="11" t="s">
        <v>334</v>
      </c>
      <c r="K249" s="61" t="s">
        <v>335</v>
      </c>
      <c r="L249" s="11" t="s">
        <v>67</v>
      </c>
      <c r="M249" s="25"/>
      <c r="N249" s="82"/>
      <c r="O249" s="3" t="str">
        <f>IF($A249="","",IF(P249=0,"A",IF(P249=AZ249,"E","A")))</f>
        <v>A</v>
      </c>
      <c r="P249" s="84">
        <v>141429</v>
      </c>
      <c r="Q249" s="84">
        <v>29421</v>
      </c>
      <c r="R249" s="32"/>
      <c r="S249" s="3" t="str">
        <f t="shared" si="121"/>
        <v>A</v>
      </c>
      <c r="T249" s="84">
        <v>127612</v>
      </c>
      <c r="U249" s="84">
        <v>28077</v>
      </c>
      <c r="V249" s="32"/>
      <c r="W249" s="3" t="str">
        <f t="shared" si="108"/>
        <v>A</v>
      </c>
      <c r="X249" s="84">
        <v>138138.01</v>
      </c>
      <c r="Y249" s="84">
        <v>20528</v>
      </c>
      <c r="Z249" s="32"/>
      <c r="AA249" s="3" t="str">
        <f t="shared" si="109"/>
        <v>A</v>
      </c>
      <c r="AB249" s="84">
        <v>147824</v>
      </c>
      <c r="AC249" s="84">
        <v>25006</v>
      </c>
      <c r="AD249" s="36"/>
      <c r="AE249" s="82"/>
      <c r="AF249" s="3" t="str">
        <f t="shared" si="110"/>
        <v>A</v>
      </c>
      <c r="AG249" s="84">
        <v>0</v>
      </c>
      <c r="AH249" s="84">
        <v>0</v>
      </c>
      <c r="AI249" s="39"/>
      <c r="AJ249" s="79" t="s">
        <v>1801</v>
      </c>
      <c r="AK249" s="39"/>
      <c r="AL249" s="4">
        <f t="shared" si="115"/>
        <v>555003.01</v>
      </c>
      <c r="AM249" s="4">
        <f t="shared" si="116"/>
        <v>103032</v>
      </c>
      <c r="AN249" s="4">
        <f t="shared" si="111"/>
        <v>658035.01</v>
      </c>
      <c r="AO249" s="39"/>
      <c r="AP249" s="8">
        <f t="shared" si="117"/>
        <v>0</v>
      </c>
      <c r="AQ249" s="8">
        <f t="shared" si="118"/>
        <v>0</v>
      </c>
      <c r="AR249" s="8">
        <f t="shared" si="112"/>
        <v>0</v>
      </c>
      <c r="AS249" s="42"/>
      <c r="AT249" s="84">
        <v>555003.01</v>
      </c>
      <c r="AU249" s="84">
        <v>103032</v>
      </c>
      <c r="AV249" s="4">
        <f t="shared" si="113"/>
        <v>658035.01</v>
      </c>
      <c r="AW249" s="50" t="str">
        <f t="shared" si="114"/>
        <v/>
      </c>
      <c r="AX249" s="1" t="s">
        <v>1639</v>
      </c>
      <c r="AY249" s="2" t="s">
        <v>1640</v>
      </c>
      <c r="AZ249" s="2">
        <v>120527.44</v>
      </c>
      <c r="BA249" s="73">
        <v>105461.51</v>
      </c>
      <c r="BB249" s="73">
        <v>105461.51</v>
      </c>
      <c r="BC249" s="73">
        <v>120527.44</v>
      </c>
      <c r="BD249" s="73"/>
      <c r="BE249" s="66">
        <v>3.5000000000000003E-2</v>
      </c>
      <c r="BF249" s="66">
        <v>0.02</v>
      </c>
      <c r="BG249" s="63">
        <v>45017</v>
      </c>
      <c r="BH249" s="2"/>
      <c r="BI249" s="2"/>
      <c r="BJ249" s="2"/>
      <c r="BK249" s="2"/>
      <c r="BL249" s="1" t="s">
        <v>219</v>
      </c>
    </row>
    <row r="250" spans="1:64" x14ac:dyDescent="0.25">
      <c r="A250" s="81" t="s">
        <v>452</v>
      </c>
      <c r="B250" s="82" t="s">
        <v>452</v>
      </c>
      <c r="C250" s="81" t="s">
        <v>453</v>
      </c>
      <c r="D250" s="16">
        <v>41482</v>
      </c>
      <c r="E250" s="17"/>
      <c r="F250" s="2" t="s">
        <v>52</v>
      </c>
      <c r="G250" s="2" t="s">
        <v>55</v>
      </c>
      <c r="H250" s="10" t="s">
        <v>57</v>
      </c>
      <c r="I250" s="11" t="s">
        <v>54</v>
      </c>
      <c r="J250" s="11" t="s">
        <v>58</v>
      </c>
      <c r="K250" s="61" t="s">
        <v>59</v>
      </c>
      <c r="L250" s="11" t="s">
        <v>67</v>
      </c>
      <c r="M250" s="25"/>
      <c r="N250" s="82"/>
      <c r="O250" s="3" t="str">
        <f>IF($A250="","",IF(P250=0,"A",IF(P250=AZ250,"E","A")))</f>
        <v>A</v>
      </c>
      <c r="P250" s="84">
        <v>132117.70000000001</v>
      </c>
      <c r="Q250" s="84">
        <v>19692.150000000001</v>
      </c>
      <c r="R250" s="32"/>
      <c r="S250" s="3" t="str">
        <f t="shared" si="121"/>
        <v>A</v>
      </c>
      <c r="T250" s="84">
        <v>126788.40999999997</v>
      </c>
      <c r="U250" s="84">
        <v>21931.8</v>
      </c>
      <c r="V250" s="32"/>
      <c r="W250" s="3" t="str">
        <f t="shared" si="108"/>
        <v>A</v>
      </c>
      <c r="X250" s="84">
        <v>118464.15000000001</v>
      </c>
      <c r="Y250" s="84">
        <v>21425.85</v>
      </c>
      <c r="Z250" s="32"/>
      <c r="AA250" s="3" t="str">
        <f t="shared" si="109"/>
        <v>A</v>
      </c>
      <c r="AB250" s="84">
        <v>129888.84999999999</v>
      </c>
      <c r="AC250" s="84">
        <v>19319.91</v>
      </c>
      <c r="AD250" s="36"/>
      <c r="AE250" s="82"/>
      <c r="AF250" s="3" t="str">
        <f t="shared" si="110"/>
        <v>A</v>
      </c>
      <c r="AG250" s="84">
        <v>0</v>
      </c>
      <c r="AH250" s="84">
        <v>0</v>
      </c>
      <c r="AI250" s="39"/>
      <c r="AJ250" s="79" t="s">
        <v>1801</v>
      </c>
      <c r="AK250" s="39"/>
      <c r="AL250" s="4">
        <f t="shared" si="115"/>
        <v>507259.11</v>
      </c>
      <c r="AM250" s="4">
        <f t="shared" si="116"/>
        <v>82369.709999999992</v>
      </c>
      <c r="AN250" s="4">
        <f t="shared" si="111"/>
        <v>589628.81999999995</v>
      </c>
      <c r="AO250" s="39"/>
      <c r="AP250" s="8">
        <f t="shared" si="117"/>
        <v>0</v>
      </c>
      <c r="AQ250" s="8">
        <f t="shared" si="118"/>
        <v>0</v>
      </c>
      <c r="AR250" s="8">
        <f t="shared" si="112"/>
        <v>0</v>
      </c>
      <c r="AS250" s="42"/>
      <c r="AT250" s="84">
        <v>507259.11000000004</v>
      </c>
      <c r="AU250" s="84">
        <v>82369.710000000021</v>
      </c>
      <c r="AV250" s="4">
        <f t="shared" si="113"/>
        <v>589628.82000000007</v>
      </c>
      <c r="AW250" s="50" t="str">
        <f t="shared" si="114"/>
        <v/>
      </c>
      <c r="AX250" s="1" t="s">
        <v>1639</v>
      </c>
      <c r="AY250" s="2" t="s">
        <v>1640</v>
      </c>
      <c r="AZ250" s="2">
        <v>139674</v>
      </c>
      <c r="BA250" s="73">
        <v>122214.75</v>
      </c>
      <c r="BB250" s="73">
        <v>122214.75</v>
      </c>
      <c r="BC250" s="73">
        <v>139674</v>
      </c>
      <c r="BD250" s="73"/>
      <c r="BE250" s="66">
        <v>3.5000000000000003E-2</v>
      </c>
      <c r="BF250" s="66">
        <v>0.02</v>
      </c>
      <c r="BG250" s="63">
        <v>45046</v>
      </c>
      <c r="BH250" s="74">
        <v>43252</v>
      </c>
      <c r="BI250" s="74">
        <v>43371</v>
      </c>
      <c r="BJ250" s="2"/>
      <c r="BK250" s="2"/>
      <c r="BL250" s="1" t="s">
        <v>56</v>
      </c>
    </row>
    <row r="251" spans="1:64" x14ac:dyDescent="0.25">
      <c r="A251" s="81" t="s">
        <v>452</v>
      </c>
      <c r="B251" s="82" t="s">
        <v>773</v>
      </c>
      <c r="C251" s="81" t="s">
        <v>774</v>
      </c>
      <c r="D251" s="16">
        <v>41422</v>
      </c>
      <c r="E251" s="17"/>
      <c r="F251" s="2" t="s">
        <v>52</v>
      </c>
      <c r="G251" s="2" t="s">
        <v>55</v>
      </c>
      <c r="H251" s="10" t="s">
        <v>57</v>
      </c>
      <c r="I251" s="11" t="s">
        <v>54</v>
      </c>
      <c r="J251" s="11" t="s">
        <v>58</v>
      </c>
      <c r="K251" s="61" t="s">
        <v>59</v>
      </c>
      <c r="L251" s="11" t="s">
        <v>67</v>
      </c>
      <c r="M251" s="25"/>
      <c r="N251" s="82"/>
      <c r="O251" s="3" t="str">
        <f>IF($A251="","",IF(P251=0,"A",IF(P251=AZ251,"E","A")))</f>
        <v>A</v>
      </c>
      <c r="P251" s="84">
        <v>37978</v>
      </c>
      <c r="Q251" s="84">
        <v>9469</v>
      </c>
      <c r="R251" s="32"/>
      <c r="S251" s="3" t="str">
        <f t="shared" si="121"/>
        <v>A</v>
      </c>
      <c r="T251" s="84">
        <v>30392</v>
      </c>
      <c r="U251" s="84">
        <v>9008</v>
      </c>
      <c r="V251" s="32"/>
      <c r="W251" s="3" t="str">
        <f t="shared" si="108"/>
        <v>A</v>
      </c>
      <c r="X251" s="84">
        <v>31760</v>
      </c>
      <c r="Y251" s="84">
        <v>7462</v>
      </c>
      <c r="Z251" s="32"/>
      <c r="AA251" s="3" t="str">
        <f t="shared" si="109"/>
        <v>A</v>
      </c>
      <c r="AB251" s="84">
        <v>33321</v>
      </c>
      <c r="AC251" s="84">
        <v>6837</v>
      </c>
      <c r="AD251" s="36"/>
      <c r="AE251" s="82"/>
      <c r="AF251" s="3" t="str">
        <f t="shared" si="110"/>
        <v>A</v>
      </c>
      <c r="AG251" s="84">
        <v>0</v>
      </c>
      <c r="AH251" s="84">
        <v>0</v>
      </c>
      <c r="AI251" s="39"/>
      <c r="AJ251" s="79" t="s">
        <v>1801</v>
      </c>
      <c r="AK251" s="39"/>
      <c r="AL251" s="4">
        <f t="shared" si="115"/>
        <v>133451</v>
      </c>
      <c r="AM251" s="4">
        <f t="shared" si="116"/>
        <v>32776</v>
      </c>
      <c r="AN251" s="4">
        <f t="shared" si="111"/>
        <v>166227</v>
      </c>
      <c r="AO251" s="39"/>
      <c r="AP251" s="8">
        <f t="shared" si="117"/>
        <v>0</v>
      </c>
      <c r="AQ251" s="8">
        <f t="shared" si="118"/>
        <v>0</v>
      </c>
      <c r="AR251" s="8">
        <f t="shared" si="112"/>
        <v>0</v>
      </c>
      <c r="AS251" s="42"/>
      <c r="AT251" s="84">
        <v>133451</v>
      </c>
      <c r="AU251" s="84">
        <v>32776</v>
      </c>
      <c r="AV251" s="4">
        <f t="shared" si="113"/>
        <v>166227</v>
      </c>
      <c r="AW251" s="50" t="str">
        <f t="shared" si="114"/>
        <v/>
      </c>
      <c r="AX251" s="1" t="s">
        <v>1639</v>
      </c>
      <c r="AY251" s="2" t="s">
        <v>1640</v>
      </c>
      <c r="AZ251" s="2">
        <v>64869.919999999998</v>
      </c>
      <c r="BA251" s="73">
        <v>56761.18</v>
      </c>
      <c r="BB251" s="73">
        <v>56761.18</v>
      </c>
      <c r="BC251" s="73">
        <v>64869.919999999998</v>
      </c>
      <c r="BD251" s="73"/>
      <c r="BE251" s="66">
        <v>3.5000000000000003E-2</v>
      </c>
      <c r="BF251" s="66">
        <v>0.02</v>
      </c>
      <c r="BG251" s="63">
        <v>45046</v>
      </c>
      <c r="BH251" s="74">
        <v>43252</v>
      </c>
      <c r="BI251" s="74">
        <v>43570</v>
      </c>
      <c r="BJ251" s="2"/>
      <c r="BK251" s="2"/>
      <c r="BL251" s="1" t="s">
        <v>56</v>
      </c>
    </row>
    <row r="252" spans="1:64" x14ac:dyDescent="0.25">
      <c r="A252" s="81" t="s">
        <v>452</v>
      </c>
      <c r="B252" s="82" t="s">
        <v>1350</v>
      </c>
      <c r="C252" s="81" t="s">
        <v>1351</v>
      </c>
      <c r="D252" s="16">
        <v>45254</v>
      </c>
      <c r="E252" s="17">
        <v>45823</v>
      </c>
      <c r="F252" s="2" t="s">
        <v>52</v>
      </c>
      <c r="G252" s="2" t="s">
        <v>55</v>
      </c>
      <c r="H252" s="10" t="s">
        <v>57</v>
      </c>
      <c r="I252" s="11" t="s">
        <v>54</v>
      </c>
      <c r="J252" s="11" t="s">
        <v>58</v>
      </c>
      <c r="K252" s="61" t="s">
        <v>59</v>
      </c>
      <c r="L252" s="11" t="s">
        <v>67</v>
      </c>
      <c r="M252" s="25"/>
      <c r="N252" s="82"/>
      <c r="O252" s="3" t="str">
        <f>IF($A252="","",IF(P252=AZ252,"E","A"))</f>
        <v>A</v>
      </c>
      <c r="P252" s="84">
        <v>13695</v>
      </c>
      <c r="Q252" s="84">
        <v>6429</v>
      </c>
      <c r="R252" s="32"/>
      <c r="S252" s="3" t="str">
        <f t="shared" si="121"/>
        <v>A</v>
      </c>
      <c r="T252" s="84">
        <v>12746</v>
      </c>
      <c r="U252" s="84">
        <v>3547</v>
      </c>
      <c r="V252" s="32"/>
      <c r="W252" s="3" t="str">
        <f t="shared" si="108"/>
        <v>A</v>
      </c>
      <c r="X252" s="84">
        <v>0</v>
      </c>
      <c r="Y252" s="84">
        <v>0</v>
      </c>
      <c r="Z252" s="32"/>
      <c r="AA252" s="3" t="str">
        <f t="shared" si="109"/>
        <v>A</v>
      </c>
      <c r="AB252" s="84">
        <v>0</v>
      </c>
      <c r="AC252" s="84">
        <v>0</v>
      </c>
      <c r="AD252" s="36"/>
      <c r="AE252" s="82"/>
      <c r="AF252" s="3" t="str">
        <f t="shared" si="110"/>
        <v>A</v>
      </c>
      <c r="AG252" s="84">
        <v>0</v>
      </c>
      <c r="AH252" s="84">
        <v>0</v>
      </c>
      <c r="AI252" s="39"/>
      <c r="AJ252" s="79" t="s">
        <v>1801</v>
      </c>
      <c r="AK252" s="39"/>
      <c r="AL252" s="4">
        <f t="shared" si="115"/>
        <v>26441</v>
      </c>
      <c r="AM252" s="4">
        <f t="shared" si="116"/>
        <v>9976</v>
      </c>
      <c r="AN252" s="4">
        <f t="shared" si="111"/>
        <v>36417</v>
      </c>
      <c r="AO252" s="39"/>
      <c r="AP252" s="8">
        <f t="shared" si="117"/>
        <v>0</v>
      </c>
      <c r="AQ252" s="8">
        <f t="shared" si="118"/>
        <v>0</v>
      </c>
      <c r="AR252" s="8">
        <f t="shared" si="112"/>
        <v>0</v>
      </c>
      <c r="AS252" s="42"/>
      <c r="AT252" s="84">
        <v>26441</v>
      </c>
      <c r="AU252" s="84">
        <v>9976</v>
      </c>
      <c r="AV252" s="4">
        <f t="shared" si="113"/>
        <v>36417</v>
      </c>
      <c r="AW252" s="50" t="str">
        <f t="shared" si="114"/>
        <v/>
      </c>
      <c r="AX252" s="1" t="s">
        <v>1639</v>
      </c>
      <c r="AY252" s="2" t="s">
        <v>1640</v>
      </c>
      <c r="AZ252" s="2">
        <v>58440.4</v>
      </c>
      <c r="BA252" s="73">
        <v>51135.35</v>
      </c>
      <c r="BB252" s="73"/>
      <c r="BC252" s="73"/>
      <c r="BD252" s="73"/>
      <c r="BE252" s="66">
        <v>0</v>
      </c>
      <c r="BF252" s="66">
        <v>0.02</v>
      </c>
      <c r="BG252" s="63">
        <v>45254</v>
      </c>
      <c r="BH252" s="2"/>
      <c r="BI252" s="2"/>
      <c r="BJ252" s="2">
        <v>218034</v>
      </c>
      <c r="BK252" s="2">
        <v>11446.79</v>
      </c>
      <c r="BL252" s="1" t="s">
        <v>56</v>
      </c>
    </row>
    <row r="253" spans="1:64" x14ac:dyDescent="0.25">
      <c r="A253" s="81" t="s">
        <v>454</v>
      </c>
      <c r="B253" s="82" t="s">
        <v>454</v>
      </c>
      <c r="C253" s="81" t="s">
        <v>455</v>
      </c>
      <c r="D253" s="16">
        <v>41536</v>
      </c>
      <c r="E253" s="17"/>
      <c r="F253" s="2" t="s">
        <v>456</v>
      </c>
      <c r="G253" s="2" t="s">
        <v>457</v>
      </c>
      <c r="H253" s="10" t="s">
        <v>105</v>
      </c>
      <c r="I253" s="11" t="s">
        <v>53</v>
      </c>
      <c r="J253" s="11" t="s">
        <v>350</v>
      </c>
      <c r="K253" s="61"/>
      <c r="L253" s="11" t="s">
        <v>67</v>
      </c>
      <c r="M253" s="25"/>
      <c r="N253" s="82"/>
      <c r="O253" s="3" t="str">
        <f t="shared" ref="O253:O274" si="122">IF($A253="","",IF(P253=0,"A",IF(P253=AZ253,"E","A")))</f>
        <v>A</v>
      </c>
      <c r="P253" s="84">
        <v>154959</v>
      </c>
      <c r="Q253" s="84">
        <v>23763</v>
      </c>
      <c r="R253" s="32"/>
      <c r="S253" s="3" t="str">
        <f t="shared" si="121"/>
        <v>A</v>
      </c>
      <c r="T253" s="84">
        <v>153299</v>
      </c>
      <c r="U253" s="84">
        <v>28671</v>
      </c>
      <c r="V253" s="32"/>
      <c r="W253" s="3" t="str">
        <f t="shared" si="108"/>
        <v>A</v>
      </c>
      <c r="X253" s="84">
        <v>173825</v>
      </c>
      <c r="Y253" s="84">
        <v>17036</v>
      </c>
      <c r="Z253" s="32"/>
      <c r="AA253" s="3" t="str">
        <f t="shared" si="109"/>
        <v>A</v>
      </c>
      <c r="AB253" s="84">
        <v>209397</v>
      </c>
      <c r="AC253" s="84">
        <v>23823</v>
      </c>
      <c r="AD253" s="36"/>
      <c r="AE253" s="82"/>
      <c r="AF253" s="3" t="str">
        <f t="shared" si="110"/>
        <v>A</v>
      </c>
      <c r="AG253" s="84">
        <v>0</v>
      </c>
      <c r="AH253" s="84">
        <v>0</v>
      </c>
      <c r="AI253" s="39"/>
      <c r="AJ253" s="79" t="s">
        <v>1801</v>
      </c>
      <c r="AK253" s="39"/>
      <c r="AL253" s="4">
        <f t="shared" si="115"/>
        <v>691480</v>
      </c>
      <c r="AM253" s="4">
        <f t="shared" si="116"/>
        <v>93293</v>
      </c>
      <c r="AN253" s="4">
        <f t="shared" si="111"/>
        <v>784773</v>
      </c>
      <c r="AO253" s="39"/>
      <c r="AP253" s="8">
        <f t="shared" si="117"/>
        <v>0</v>
      </c>
      <c r="AQ253" s="8">
        <f t="shared" si="118"/>
        <v>0</v>
      </c>
      <c r="AR253" s="8">
        <f t="shared" si="112"/>
        <v>0</v>
      </c>
      <c r="AS253" s="42"/>
      <c r="AT253" s="84">
        <v>691480</v>
      </c>
      <c r="AU253" s="84">
        <v>93293</v>
      </c>
      <c r="AV253" s="4">
        <f t="shared" si="113"/>
        <v>784773</v>
      </c>
      <c r="AW253" s="50" t="str">
        <f t="shared" si="114"/>
        <v/>
      </c>
      <c r="AX253" s="1" t="s">
        <v>1711</v>
      </c>
      <c r="AY253" s="2" t="s">
        <v>1712</v>
      </c>
      <c r="AZ253" s="2">
        <v>238319.52</v>
      </c>
      <c r="BA253" s="73">
        <v>208529.58</v>
      </c>
      <c r="BB253" s="73">
        <v>208529.58</v>
      </c>
      <c r="BC253" s="73">
        <v>238319.52</v>
      </c>
      <c r="BD253" s="73"/>
      <c r="BE253" s="66">
        <v>4.4999999999999998E-2</v>
      </c>
      <c r="BF253" s="66">
        <v>0.05</v>
      </c>
      <c r="BG253" s="63">
        <v>45124</v>
      </c>
      <c r="BH253" s="2"/>
      <c r="BI253" s="2"/>
      <c r="BJ253" s="2"/>
      <c r="BK253" s="2"/>
      <c r="BL253" s="1" t="s">
        <v>219</v>
      </c>
    </row>
    <row r="254" spans="1:64" x14ac:dyDescent="0.25">
      <c r="A254" s="81" t="s">
        <v>458</v>
      </c>
      <c r="B254" s="82" t="s">
        <v>458</v>
      </c>
      <c r="C254" s="81" t="s">
        <v>459</v>
      </c>
      <c r="D254" s="16">
        <v>41594</v>
      </c>
      <c r="E254" s="17"/>
      <c r="F254" s="2" t="s">
        <v>109</v>
      </c>
      <c r="G254" s="2" t="s">
        <v>111</v>
      </c>
      <c r="H254" s="10" t="s">
        <v>57</v>
      </c>
      <c r="I254" s="11" t="s">
        <v>110</v>
      </c>
      <c r="J254" s="11" t="s">
        <v>460</v>
      </c>
      <c r="K254" s="61" t="s">
        <v>461</v>
      </c>
      <c r="L254" s="11" t="s">
        <v>67</v>
      </c>
      <c r="M254" s="25"/>
      <c r="N254" s="82"/>
      <c r="O254" s="3" t="str">
        <f t="shared" si="122"/>
        <v>A</v>
      </c>
      <c r="P254" s="84">
        <v>74166.070000000007</v>
      </c>
      <c r="Q254" s="84">
        <v>23397.93</v>
      </c>
      <c r="R254" s="32"/>
      <c r="S254" s="3" t="str">
        <f t="shared" si="121"/>
        <v>A</v>
      </c>
      <c r="T254" s="84">
        <v>71153</v>
      </c>
      <c r="U254" s="84">
        <v>22190</v>
      </c>
      <c r="V254" s="32"/>
      <c r="W254" s="3" t="str">
        <f t="shared" si="108"/>
        <v>A</v>
      </c>
      <c r="X254" s="84">
        <v>70959</v>
      </c>
      <c r="Y254" s="84">
        <v>20043</v>
      </c>
      <c r="Z254" s="32"/>
      <c r="AA254" s="3" t="str">
        <f t="shared" si="109"/>
        <v>A</v>
      </c>
      <c r="AB254" s="84">
        <v>79684</v>
      </c>
      <c r="AC254" s="84">
        <v>20422</v>
      </c>
      <c r="AD254" s="36"/>
      <c r="AE254" s="82"/>
      <c r="AF254" s="3" t="str">
        <f t="shared" si="110"/>
        <v>A</v>
      </c>
      <c r="AG254" s="84">
        <v>0</v>
      </c>
      <c r="AH254" s="84">
        <v>0</v>
      </c>
      <c r="AI254" s="39"/>
      <c r="AJ254" s="79" t="s">
        <v>1801</v>
      </c>
      <c r="AK254" s="39"/>
      <c r="AL254" s="4">
        <f t="shared" si="115"/>
        <v>295962.07</v>
      </c>
      <c r="AM254" s="4">
        <f t="shared" si="116"/>
        <v>86052.93</v>
      </c>
      <c r="AN254" s="4">
        <f t="shared" si="111"/>
        <v>382015</v>
      </c>
      <c r="AO254" s="39"/>
      <c r="AP254" s="8">
        <f t="shared" si="117"/>
        <v>0</v>
      </c>
      <c r="AQ254" s="8">
        <f t="shared" si="118"/>
        <v>0</v>
      </c>
      <c r="AR254" s="8">
        <f t="shared" si="112"/>
        <v>0</v>
      </c>
      <c r="AS254" s="42"/>
      <c r="AT254" s="84">
        <v>295962.07</v>
      </c>
      <c r="AU254" s="84">
        <v>86052.93</v>
      </c>
      <c r="AV254" s="4">
        <f t="shared" si="113"/>
        <v>382015</v>
      </c>
      <c r="AW254" s="50" t="str">
        <f t="shared" si="114"/>
        <v/>
      </c>
      <c r="AX254" s="1" t="s">
        <v>1647</v>
      </c>
      <c r="AY254" s="2" t="s">
        <v>1640</v>
      </c>
      <c r="AZ254" s="2">
        <v>60976.639999999999</v>
      </c>
      <c r="BA254" s="73">
        <v>53354.559999999998</v>
      </c>
      <c r="BB254" s="73">
        <v>53354.559999999998</v>
      </c>
      <c r="BC254" s="73">
        <v>60976.639999999999</v>
      </c>
      <c r="BD254" s="73"/>
      <c r="BE254" s="66">
        <v>3.5000000000000003E-2</v>
      </c>
      <c r="BF254" s="66">
        <v>0.02</v>
      </c>
      <c r="BG254" s="63">
        <v>45131</v>
      </c>
      <c r="BH254" s="2"/>
      <c r="BI254" s="2"/>
      <c r="BJ254" s="2"/>
      <c r="BK254" s="2"/>
      <c r="BL254" s="1" t="s">
        <v>56</v>
      </c>
    </row>
    <row r="255" spans="1:64" x14ac:dyDescent="0.25">
      <c r="A255" s="81" t="s">
        <v>462</v>
      </c>
      <c r="B255" s="82" t="s">
        <v>462</v>
      </c>
      <c r="C255" s="81" t="s">
        <v>463</v>
      </c>
      <c r="D255" s="16">
        <v>41511</v>
      </c>
      <c r="E255" s="17"/>
      <c r="F255" s="2" t="s">
        <v>109</v>
      </c>
      <c r="G255" s="2" t="s">
        <v>111</v>
      </c>
      <c r="H255" s="10" t="s">
        <v>57</v>
      </c>
      <c r="I255" s="11" t="s">
        <v>110</v>
      </c>
      <c r="J255" s="11" t="s">
        <v>460</v>
      </c>
      <c r="K255" s="61" t="s">
        <v>461</v>
      </c>
      <c r="L255" s="11" t="s">
        <v>67</v>
      </c>
      <c r="M255" s="25"/>
      <c r="N255" s="82"/>
      <c r="O255" s="3" t="str">
        <f t="shared" si="122"/>
        <v>A</v>
      </c>
      <c r="P255" s="84">
        <v>139714</v>
      </c>
      <c r="Q255" s="84">
        <v>18358</v>
      </c>
      <c r="R255" s="32"/>
      <c r="S255" s="3" t="str">
        <f t="shared" si="121"/>
        <v>A</v>
      </c>
      <c r="T255" s="84">
        <v>138255</v>
      </c>
      <c r="U255" s="84">
        <v>16524</v>
      </c>
      <c r="V255" s="32"/>
      <c r="W255" s="3" t="str">
        <f t="shared" si="108"/>
        <v>A</v>
      </c>
      <c r="X255" s="84">
        <v>115077</v>
      </c>
      <c r="Y255" s="84">
        <v>13519</v>
      </c>
      <c r="Z255" s="32"/>
      <c r="AA255" s="3" t="str">
        <f t="shared" si="109"/>
        <v>A</v>
      </c>
      <c r="AB255" s="84">
        <v>124855</v>
      </c>
      <c r="AC255" s="84">
        <v>11085</v>
      </c>
      <c r="AD255" s="36"/>
      <c r="AE255" s="82"/>
      <c r="AF255" s="3" t="str">
        <f t="shared" si="110"/>
        <v>A</v>
      </c>
      <c r="AG255" s="84">
        <v>0</v>
      </c>
      <c r="AH255" s="84">
        <v>0</v>
      </c>
      <c r="AI255" s="39"/>
      <c r="AJ255" s="79" t="s">
        <v>1801</v>
      </c>
      <c r="AK255" s="39"/>
      <c r="AL255" s="4">
        <f t="shared" si="115"/>
        <v>517901</v>
      </c>
      <c r="AM255" s="4">
        <f t="shared" si="116"/>
        <v>59486</v>
      </c>
      <c r="AN255" s="4">
        <f t="shared" si="111"/>
        <v>577387</v>
      </c>
      <c r="AO255" s="39"/>
      <c r="AP255" s="8">
        <f t="shared" si="117"/>
        <v>0</v>
      </c>
      <c r="AQ255" s="8">
        <f t="shared" si="118"/>
        <v>0</v>
      </c>
      <c r="AR255" s="8">
        <f t="shared" si="112"/>
        <v>0</v>
      </c>
      <c r="AS255" s="42"/>
      <c r="AT255" s="84">
        <v>517901</v>
      </c>
      <c r="AU255" s="84">
        <v>59486</v>
      </c>
      <c r="AV255" s="4">
        <f t="shared" si="113"/>
        <v>577387</v>
      </c>
      <c r="AW255" s="50" t="str">
        <f t="shared" si="114"/>
        <v/>
      </c>
      <c r="AX255" s="1" t="s">
        <v>1647</v>
      </c>
      <c r="AY255" s="2" t="s">
        <v>1640</v>
      </c>
      <c r="AZ255" s="2">
        <v>137526.07999999999</v>
      </c>
      <c r="BA255" s="73">
        <v>120335.32</v>
      </c>
      <c r="BB255" s="73">
        <v>120335.32</v>
      </c>
      <c r="BC255" s="73">
        <v>137526.07999999999</v>
      </c>
      <c r="BD255" s="73"/>
      <c r="BE255" s="66">
        <v>3.5000000000000003E-2</v>
      </c>
      <c r="BF255" s="66">
        <v>0.02</v>
      </c>
      <c r="BG255" s="63">
        <v>45143</v>
      </c>
      <c r="BH255" s="2"/>
      <c r="BI255" s="2"/>
      <c r="BJ255" s="2"/>
      <c r="BK255" s="2"/>
      <c r="BL255" s="1" t="s">
        <v>56</v>
      </c>
    </row>
    <row r="256" spans="1:64" x14ac:dyDescent="0.25">
      <c r="A256" s="81" t="s">
        <v>464</v>
      </c>
      <c r="B256" s="82" t="s">
        <v>464</v>
      </c>
      <c r="C256" s="81" t="s">
        <v>465</v>
      </c>
      <c r="D256" s="16">
        <v>41616</v>
      </c>
      <c r="E256" s="17"/>
      <c r="F256" s="2" t="s">
        <v>76</v>
      </c>
      <c r="G256" s="2" t="s">
        <v>78</v>
      </c>
      <c r="H256" s="10" t="s">
        <v>57</v>
      </c>
      <c r="I256" s="11" t="s">
        <v>77</v>
      </c>
      <c r="J256" s="11" t="s">
        <v>79</v>
      </c>
      <c r="K256" s="61" t="s">
        <v>80</v>
      </c>
      <c r="L256" s="11" t="s">
        <v>67</v>
      </c>
      <c r="M256" s="25"/>
      <c r="N256" s="82"/>
      <c r="O256" s="3" t="str">
        <f t="shared" si="122"/>
        <v>A</v>
      </c>
      <c r="P256" s="84">
        <v>88730.849999999991</v>
      </c>
      <c r="Q256" s="84">
        <v>16603</v>
      </c>
      <c r="R256" s="32"/>
      <c r="S256" s="3" t="str">
        <f t="shared" si="121"/>
        <v>A</v>
      </c>
      <c r="T256" s="84">
        <v>125002.55</v>
      </c>
      <c r="U256" s="84">
        <v>12191</v>
      </c>
      <c r="V256" s="32"/>
      <c r="W256" s="3" t="str">
        <f t="shared" si="108"/>
        <v>A</v>
      </c>
      <c r="X256" s="84">
        <v>74478.5</v>
      </c>
      <c r="Y256" s="84">
        <v>12140</v>
      </c>
      <c r="Z256" s="32"/>
      <c r="AA256" s="3" t="str">
        <f t="shared" si="109"/>
        <v>A</v>
      </c>
      <c r="AB256" s="84">
        <v>88350.950000000012</v>
      </c>
      <c r="AC256" s="84">
        <v>15538</v>
      </c>
      <c r="AD256" s="36"/>
      <c r="AE256" s="82"/>
      <c r="AF256" s="3" t="str">
        <f t="shared" si="110"/>
        <v>A</v>
      </c>
      <c r="AG256" s="84">
        <v>0</v>
      </c>
      <c r="AH256" s="84">
        <v>0</v>
      </c>
      <c r="AI256" s="39"/>
      <c r="AJ256" s="79" t="s">
        <v>1801</v>
      </c>
      <c r="AK256" s="39"/>
      <c r="AL256" s="4">
        <f t="shared" si="115"/>
        <v>376562.85000000003</v>
      </c>
      <c r="AM256" s="4">
        <f t="shared" si="116"/>
        <v>56472</v>
      </c>
      <c r="AN256" s="4">
        <f t="shared" si="111"/>
        <v>433034.85000000003</v>
      </c>
      <c r="AO256" s="39"/>
      <c r="AP256" s="8">
        <f t="shared" si="117"/>
        <v>0</v>
      </c>
      <c r="AQ256" s="8">
        <f t="shared" si="118"/>
        <v>0</v>
      </c>
      <c r="AR256" s="8">
        <f t="shared" si="112"/>
        <v>0</v>
      </c>
      <c r="AS256" s="42"/>
      <c r="AT256" s="84">
        <v>376562.84999999992</v>
      </c>
      <c r="AU256" s="84">
        <v>56472</v>
      </c>
      <c r="AV256" s="4">
        <f t="shared" si="113"/>
        <v>433034.84999999992</v>
      </c>
      <c r="AW256" s="50" t="str">
        <f t="shared" si="114"/>
        <v/>
      </c>
      <c r="AX256" s="1" t="s">
        <v>1639</v>
      </c>
      <c r="AY256" s="2" t="s">
        <v>1640</v>
      </c>
      <c r="AZ256" s="2">
        <v>42955.040000000001</v>
      </c>
      <c r="BA256" s="73">
        <v>37585.660000000003</v>
      </c>
      <c r="BB256" s="73">
        <v>37585.660000000003</v>
      </c>
      <c r="BC256" s="73">
        <v>42955.040000000001</v>
      </c>
      <c r="BD256" s="73"/>
      <c r="BE256" s="66">
        <v>3.5000000000000003E-2</v>
      </c>
      <c r="BF256" s="66">
        <v>0.02</v>
      </c>
      <c r="BG256" s="63">
        <v>45222</v>
      </c>
      <c r="BH256" s="2"/>
      <c r="BI256" s="2"/>
      <c r="BJ256" s="2"/>
      <c r="BK256" s="2"/>
      <c r="BL256" s="1" t="s">
        <v>56</v>
      </c>
    </row>
    <row r="257" spans="1:64" x14ac:dyDescent="0.25">
      <c r="A257" s="81" t="s">
        <v>466</v>
      </c>
      <c r="B257" s="82" t="s">
        <v>466</v>
      </c>
      <c r="C257" s="81" t="s">
        <v>467</v>
      </c>
      <c r="D257" s="16">
        <v>41504</v>
      </c>
      <c r="E257" s="17"/>
      <c r="F257" s="2" t="s">
        <v>52</v>
      </c>
      <c r="G257" s="2" t="s">
        <v>55</v>
      </c>
      <c r="H257" s="10" t="s">
        <v>57</v>
      </c>
      <c r="I257" s="11" t="s">
        <v>54</v>
      </c>
      <c r="J257" s="11" t="s">
        <v>139</v>
      </c>
      <c r="K257" s="61" t="s">
        <v>140</v>
      </c>
      <c r="L257" s="11" t="s">
        <v>67</v>
      </c>
      <c r="M257" s="25"/>
      <c r="N257" s="82"/>
      <c r="O257" s="3" t="str">
        <f t="shared" si="122"/>
        <v>A</v>
      </c>
      <c r="P257" s="84">
        <v>172026.05</v>
      </c>
      <c r="Q257" s="84">
        <v>28529.5</v>
      </c>
      <c r="R257" s="32"/>
      <c r="S257" s="3" t="str">
        <f t="shared" si="121"/>
        <v>A</v>
      </c>
      <c r="T257" s="84">
        <v>155423.74999999997</v>
      </c>
      <c r="U257" s="84">
        <v>20527.5</v>
      </c>
      <c r="V257" s="32"/>
      <c r="W257" s="3" t="str">
        <f t="shared" si="108"/>
        <v>A</v>
      </c>
      <c r="X257" s="84">
        <v>143135.94999999998</v>
      </c>
      <c r="Y257" s="84">
        <v>20387</v>
      </c>
      <c r="Z257" s="32"/>
      <c r="AA257" s="3" t="str">
        <f t="shared" si="109"/>
        <v>A</v>
      </c>
      <c r="AB257" s="84">
        <v>180451.47</v>
      </c>
      <c r="AC257" s="84">
        <v>25718.550000000003</v>
      </c>
      <c r="AD257" s="36"/>
      <c r="AE257" s="82"/>
      <c r="AF257" s="3" t="str">
        <f t="shared" si="110"/>
        <v>A</v>
      </c>
      <c r="AG257" s="84">
        <v>0</v>
      </c>
      <c r="AH257" s="84">
        <v>0</v>
      </c>
      <c r="AI257" s="39"/>
      <c r="AJ257" s="79" t="s">
        <v>1801</v>
      </c>
      <c r="AK257" s="39"/>
      <c r="AL257" s="4">
        <f t="shared" si="115"/>
        <v>651037.21999999986</v>
      </c>
      <c r="AM257" s="4">
        <f t="shared" si="116"/>
        <v>95162.55</v>
      </c>
      <c r="AN257" s="4">
        <f t="shared" si="111"/>
        <v>746199.7699999999</v>
      </c>
      <c r="AO257" s="39"/>
      <c r="AP257" s="8">
        <f t="shared" si="117"/>
        <v>0</v>
      </c>
      <c r="AQ257" s="8">
        <f t="shared" si="118"/>
        <v>0</v>
      </c>
      <c r="AR257" s="8">
        <f t="shared" si="112"/>
        <v>0</v>
      </c>
      <c r="AS257" s="42"/>
      <c r="AT257" s="84">
        <v>651037.22</v>
      </c>
      <c r="AU257" s="84">
        <v>95162.55</v>
      </c>
      <c r="AV257" s="4">
        <f t="shared" si="113"/>
        <v>746199.77</v>
      </c>
      <c r="AW257" s="50" t="str">
        <f t="shared" si="114"/>
        <v/>
      </c>
      <c r="AX257" s="1" t="s">
        <v>1639</v>
      </c>
      <c r="AY257" s="2" t="s">
        <v>1640</v>
      </c>
      <c r="AZ257" s="2">
        <v>206108.79999999999</v>
      </c>
      <c r="BA257" s="73">
        <v>180345.2</v>
      </c>
      <c r="BB257" s="73">
        <v>180345.2</v>
      </c>
      <c r="BC257" s="73">
        <v>206108.79999999999</v>
      </c>
      <c r="BD257" s="73"/>
      <c r="BE257" s="66">
        <v>0</v>
      </c>
      <c r="BF257" s="66">
        <v>0.02</v>
      </c>
      <c r="BG257" s="63">
        <v>45153</v>
      </c>
      <c r="BH257" s="2"/>
      <c r="BI257" s="2"/>
      <c r="BJ257" s="2"/>
      <c r="BK257" s="2"/>
      <c r="BL257" s="1" t="s">
        <v>56</v>
      </c>
    </row>
    <row r="258" spans="1:64" x14ac:dyDescent="0.25">
      <c r="A258" s="81" t="s">
        <v>466</v>
      </c>
      <c r="B258" s="82" t="s">
        <v>775</v>
      </c>
      <c r="C258" s="81" t="s">
        <v>776</v>
      </c>
      <c r="D258" s="16">
        <v>43070</v>
      </c>
      <c r="E258" s="17"/>
      <c r="F258" s="2" t="s">
        <v>52</v>
      </c>
      <c r="G258" s="2" t="s">
        <v>55</v>
      </c>
      <c r="H258" s="10" t="s">
        <v>57</v>
      </c>
      <c r="I258" s="11" t="s">
        <v>54</v>
      </c>
      <c r="J258" s="11" t="s">
        <v>139</v>
      </c>
      <c r="K258" s="61" t="s">
        <v>140</v>
      </c>
      <c r="L258" s="11" t="s">
        <v>67</v>
      </c>
      <c r="M258" s="25"/>
      <c r="N258" s="82"/>
      <c r="O258" s="3" t="str">
        <f t="shared" si="122"/>
        <v>A</v>
      </c>
      <c r="P258" s="84">
        <v>33324</v>
      </c>
      <c r="Q258" s="84">
        <v>8447</v>
      </c>
      <c r="R258" s="32"/>
      <c r="S258" s="3" t="str">
        <f t="shared" si="121"/>
        <v>A</v>
      </c>
      <c r="T258" s="84">
        <v>28996</v>
      </c>
      <c r="U258" s="84">
        <v>7383</v>
      </c>
      <c r="V258" s="32"/>
      <c r="W258" s="3" t="str">
        <f t="shared" si="108"/>
        <v>A</v>
      </c>
      <c r="X258" s="84">
        <v>28679</v>
      </c>
      <c r="Y258" s="84">
        <v>7027</v>
      </c>
      <c r="Z258" s="32"/>
      <c r="AA258" s="3" t="str">
        <f t="shared" si="109"/>
        <v>A</v>
      </c>
      <c r="AB258" s="84">
        <v>36015</v>
      </c>
      <c r="AC258" s="84">
        <v>7688</v>
      </c>
      <c r="AD258" s="36"/>
      <c r="AE258" s="82"/>
      <c r="AF258" s="3" t="str">
        <f t="shared" si="110"/>
        <v>A</v>
      </c>
      <c r="AG258" s="84">
        <v>0</v>
      </c>
      <c r="AH258" s="84">
        <v>0</v>
      </c>
      <c r="AI258" s="39"/>
      <c r="AJ258" s="79" t="s">
        <v>1801</v>
      </c>
      <c r="AK258" s="39"/>
      <c r="AL258" s="4">
        <f t="shared" si="115"/>
        <v>127014</v>
      </c>
      <c r="AM258" s="4">
        <f t="shared" si="116"/>
        <v>30545</v>
      </c>
      <c r="AN258" s="4">
        <f t="shared" si="111"/>
        <v>157559</v>
      </c>
      <c r="AO258" s="39"/>
      <c r="AP258" s="8">
        <f t="shared" si="117"/>
        <v>0</v>
      </c>
      <c r="AQ258" s="8">
        <f t="shared" si="118"/>
        <v>0</v>
      </c>
      <c r="AR258" s="8">
        <f t="shared" si="112"/>
        <v>0</v>
      </c>
      <c r="AS258" s="42"/>
      <c r="AT258" s="84">
        <v>127014</v>
      </c>
      <c r="AU258" s="84">
        <v>30545</v>
      </c>
      <c r="AV258" s="4">
        <f t="shared" si="113"/>
        <v>157559</v>
      </c>
      <c r="AW258" s="50" t="str">
        <f t="shared" si="114"/>
        <v/>
      </c>
      <c r="AX258" s="1" t="s">
        <v>1639</v>
      </c>
      <c r="AY258" s="2" t="s">
        <v>1640</v>
      </c>
      <c r="AZ258" s="2">
        <v>38030</v>
      </c>
      <c r="BA258" s="73">
        <v>33276.25</v>
      </c>
      <c r="BB258" s="73">
        <v>33276.25</v>
      </c>
      <c r="BC258" s="73">
        <v>38030</v>
      </c>
      <c r="BD258" s="73"/>
      <c r="BE258" s="66">
        <v>0</v>
      </c>
      <c r="BF258" s="66">
        <v>0.02</v>
      </c>
      <c r="BG258" s="63">
        <v>45153</v>
      </c>
      <c r="BH258" s="2"/>
      <c r="BI258" s="2"/>
      <c r="BJ258" s="2"/>
      <c r="BK258" s="2"/>
      <c r="BL258" s="1" t="s">
        <v>56</v>
      </c>
    </row>
    <row r="259" spans="1:64" x14ac:dyDescent="0.25">
      <c r="A259" s="81" t="s">
        <v>468</v>
      </c>
      <c r="B259" s="82" t="s">
        <v>468</v>
      </c>
      <c r="C259" s="81" t="s">
        <v>469</v>
      </c>
      <c r="D259" s="16">
        <v>41570</v>
      </c>
      <c r="E259" s="17"/>
      <c r="F259" s="2" t="s">
        <v>52</v>
      </c>
      <c r="G259" s="2" t="s">
        <v>55</v>
      </c>
      <c r="H259" s="10" t="s">
        <v>57</v>
      </c>
      <c r="I259" s="11" t="s">
        <v>54</v>
      </c>
      <c r="J259" s="11" t="s">
        <v>131</v>
      </c>
      <c r="K259" s="61" t="s">
        <v>132</v>
      </c>
      <c r="L259" s="11" t="s">
        <v>67</v>
      </c>
      <c r="M259" s="25"/>
      <c r="N259" s="82"/>
      <c r="O259" s="3" t="str">
        <f t="shared" si="122"/>
        <v>A</v>
      </c>
      <c r="P259" s="84">
        <v>49786</v>
      </c>
      <c r="Q259" s="84">
        <v>10290</v>
      </c>
      <c r="R259" s="32"/>
      <c r="S259" s="3" t="str">
        <f t="shared" si="121"/>
        <v>A</v>
      </c>
      <c r="T259" s="84">
        <v>41825</v>
      </c>
      <c r="U259" s="84">
        <v>7662</v>
      </c>
      <c r="V259" s="32"/>
      <c r="W259" s="3" t="str">
        <f t="shared" si="108"/>
        <v>A</v>
      </c>
      <c r="X259" s="84">
        <v>44647</v>
      </c>
      <c r="Y259" s="84">
        <v>8812</v>
      </c>
      <c r="Z259" s="32"/>
      <c r="AA259" s="3" t="str">
        <f t="shared" si="109"/>
        <v>A</v>
      </c>
      <c r="AB259" s="84">
        <v>47621</v>
      </c>
      <c r="AC259" s="84">
        <v>10099</v>
      </c>
      <c r="AD259" s="36"/>
      <c r="AE259" s="82"/>
      <c r="AF259" s="3" t="str">
        <f t="shared" si="110"/>
        <v>A</v>
      </c>
      <c r="AG259" s="84">
        <v>0</v>
      </c>
      <c r="AH259" s="84">
        <v>0</v>
      </c>
      <c r="AI259" s="39"/>
      <c r="AJ259" s="79" t="s">
        <v>1801</v>
      </c>
      <c r="AK259" s="39"/>
      <c r="AL259" s="4">
        <f t="shared" si="115"/>
        <v>183879</v>
      </c>
      <c r="AM259" s="4">
        <f t="shared" si="116"/>
        <v>36863</v>
      </c>
      <c r="AN259" s="4">
        <f t="shared" si="111"/>
        <v>220742</v>
      </c>
      <c r="AO259" s="39"/>
      <c r="AP259" s="8">
        <f t="shared" si="117"/>
        <v>0</v>
      </c>
      <c r="AQ259" s="8">
        <f t="shared" si="118"/>
        <v>0</v>
      </c>
      <c r="AR259" s="8">
        <f t="shared" si="112"/>
        <v>0</v>
      </c>
      <c r="AS259" s="42"/>
      <c r="AT259" s="84">
        <v>183879</v>
      </c>
      <c r="AU259" s="84">
        <v>36863</v>
      </c>
      <c r="AV259" s="4">
        <f t="shared" si="113"/>
        <v>220742</v>
      </c>
      <c r="AW259" s="50" t="str">
        <f t="shared" si="114"/>
        <v/>
      </c>
      <c r="AX259" s="1" t="s">
        <v>1639</v>
      </c>
      <c r="AY259" s="2" t="s">
        <v>1640</v>
      </c>
      <c r="AZ259" s="2">
        <v>88020.08</v>
      </c>
      <c r="BA259" s="73">
        <v>77017.570000000007</v>
      </c>
      <c r="BB259" s="73">
        <v>77017.570000000007</v>
      </c>
      <c r="BC259" s="73">
        <v>88020.08</v>
      </c>
      <c r="BD259" s="73"/>
      <c r="BE259" s="66">
        <v>3.5000000000000003E-2</v>
      </c>
      <c r="BF259" s="66">
        <v>0.02</v>
      </c>
      <c r="BG259" s="63">
        <v>45201</v>
      </c>
      <c r="BH259" s="74">
        <v>43918</v>
      </c>
      <c r="BI259" s="74">
        <v>43997</v>
      </c>
      <c r="BJ259" s="2"/>
      <c r="BK259" s="2"/>
      <c r="BL259" s="1" t="s">
        <v>56</v>
      </c>
    </row>
    <row r="260" spans="1:64" x14ac:dyDescent="0.25">
      <c r="A260" s="81" t="s">
        <v>470</v>
      </c>
      <c r="B260" s="82" t="s">
        <v>470</v>
      </c>
      <c r="C260" s="81" t="s">
        <v>471</v>
      </c>
      <c r="D260" s="16">
        <v>41670</v>
      </c>
      <c r="E260" s="17"/>
      <c r="F260" s="2" t="s">
        <v>342</v>
      </c>
      <c r="G260" s="2" t="s">
        <v>343</v>
      </c>
      <c r="H260" s="10" t="s">
        <v>57</v>
      </c>
      <c r="I260" s="11" t="s">
        <v>53</v>
      </c>
      <c r="J260" s="11" t="s">
        <v>387</v>
      </c>
      <c r="K260" s="61"/>
      <c r="L260" s="11" t="s">
        <v>67</v>
      </c>
      <c r="M260" s="25"/>
      <c r="N260" s="82"/>
      <c r="O260" s="3" t="str">
        <f t="shared" si="122"/>
        <v>A</v>
      </c>
      <c r="P260" s="84">
        <v>121380</v>
      </c>
      <c r="Q260" s="84">
        <v>120862</v>
      </c>
      <c r="R260" s="32"/>
      <c r="S260" s="3" t="str">
        <f t="shared" si="121"/>
        <v>A</v>
      </c>
      <c r="T260" s="84">
        <v>94535</v>
      </c>
      <c r="U260" s="84">
        <v>167476</v>
      </c>
      <c r="V260" s="32"/>
      <c r="W260" s="3" t="str">
        <f t="shared" si="108"/>
        <v>A</v>
      </c>
      <c r="X260" s="84">
        <v>101105</v>
      </c>
      <c r="Y260" s="84">
        <v>81939</v>
      </c>
      <c r="Z260" s="32"/>
      <c r="AA260" s="3" t="str">
        <f t="shared" si="109"/>
        <v>A</v>
      </c>
      <c r="AB260" s="84">
        <v>105480</v>
      </c>
      <c r="AC260" s="84">
        <v>88823</v>
      </c>
      <c r="AD260" s="36"/>
      <c r="AE260" s="82"/>
      <c r="AF260" s="3" t="str">
        <f t="shared" si="110"/>
        <v>A</v>
      </c>
      <c r="AG260" s="84">
        <v>0</v>
      </c>
      <c r="AH260" s="84">
        <v>0</v>
      </c>
      <c r="AI260" s="39"/>
      <c r="AJ260" s="79" t="s">
        <v>1801</v>
      </c>
      <c r="AK260" s="39"/>
      <c r="AL260" s="4">
        <f t="shared" si="115"/>
        <v>422500</v>
      </c>
      <c r="AM260" s="4">
        <f t="shared" si="116"/>
        <v>459100</v>
      </c>
      <c r="AN260" s="4">
        <f t="shared" si="111"/>
        <v>881600</v>
      </c>
      <c r="AO260" s="39"/>
      <c r="AP260" s="8">
        <f t="shared" si="117"/>
        <v>0</v>
      </c>
      <c r="AQ260" s="8">
        <f t="shared" si="118"/>
        <v>0</v>
      </c>
      <c r="AR260" s="8">
        <f t="shared" si="112"/>
        <v>0</v>
      </c>
      <c r="AS260" s="42"/>
      <c r="AT260" s="84">
        <v>422500</v>
      </c>
      <c r="AU260" s="84">
        <v>459100</v>
      </c>
      <c r="AV260" s="4">
        <f t="shared" si="113"/>
        <v>881600</v>
      </c>
      <c r="AW260" s="50" t="str">
        <f t="shared" si="114"/>
        <v/>
      </c>
      <c r="AX260" s="1" t="s">
        <v>1686</v>
      </c>
      <c r="AY260" s="2" t="s">
        <v>1687</v>
      </c>
      <c r="AZ260" s="2">
        <v>154328.4</v>
      </c>
      <c r="BA260" s="73">
        <v>135037.35</v>
      </c>
      <c r="BB260" s="73">
        <v>135037.35</v>
      </c>
      <c r="BC260" s="73">
        <v>154328.4</v>
      </c>
      <c r="BD260" s="73"/>
      <c r="BE260" s="66">
        <v>4.4999999999999998E-2</v>
      </c>
      <c r="BF260" s="66">
        <v>0.05</v>
      </c>
      <c r="BG260" s="63">
        <v>45287</v>
      </c>
      <c r="BH260" s="74">
        <v>43919</v>
      </c>
      <c r="BI260" s="74">
        <v>43934</v>
      </c>
      <c r="BJ260" s="2"/>
      <c r="BK260" s="2"/>
      <c r="BL260" s="1" t="s">
        <v>56</v>
      </c>
    </row>
    <row r="261" spans="1:64" x14ac:dyDescent="0.25">
      <c r="A261" s="81" t="s">
        <v>470</v>
      </c>
      <c r="B261" s="82" t="s">
        <v>777</v>
      </c>
      <c r="C261" s="81" t="s">
        <v>778</v>
      </c>
      <c r="D261" s="16">
        <v>42302</v>
      </c>
      <c r="E261" s="17"/>
      <c r="F261" s="2" t="s">
        <v>342</v>
      </c>
      <c r="G261" s="2" t="s">
        <v>343</v>
      </c>
      <c r="H261" s="10" t="s">
        <v>57</v>
      </c>
      <c r="I261" s="11" t="s">
        <v>53</v>
      </c>
      <c r="J261" s="11" t="s">
        <v>387</v>
      </c>
      <c r="K261" s="61"/>
      <c r="L261" s="11" t="s">
        <v>67</v>
      </c>
      <c r="M261" s="25"/>
      <c r="N261" s="82"/>
      <c r="O261" s="3" t="str">
        <f t="shared" si="122"/>
        <v>A</v>
      </c>
      <c r="P261" s="84">
        <v>17140</v>
      </c>
      <c r="Q261" s="84">
        <v>24535</v>
      </c>
      <c r="R261" s="32"/>
      <c r="S261" s="3" t="str">
        <f t="shared" si="121"/>
        <v>A</v>
      </c>
      <c r="T261" s="84">
        <v>28645</v>
      </c>
      <c r="U261" s="84">
        <v>41906</v>
      </c>
      <c r="V261" s="32"/>
      <c r="W261" s="3" t="str">
        <f t="shared" si="108"/>
        <v>A</v>
      </c>
      <c r="X261" s="84">
        <v>11786</v>
      </c>
      <c r="Y261" s="84">
        <v>10945</v>
      </c>
      <c r="Z261" s="32"/>
      <c r="AA261" s="3" t="str">
        <f t="shared" si="109"/>
        <v>A</v>
      </c>
      <c r="AB261" s="84">
        <v>8750</v>
      </c>
      <c r="AC261" s="84">
        <v>12708</v>
      </c>
      <c r="AD261" s="36"/>
      <c r="AE261" s="82"/>
      <c r="AF261" s="3" t="str">
        <f t="shared" si="110"/>
        <v>A</v>
      </c>
      <c r="AG261" s="84">
        <v>0</v>
      </c>
      <c r="AH261" s="84">
        <v>0</v>
      </c>
      <c r="AI261" s="39"/>
      <c r="AJ261" s="79" t="s">
        <v>1801</v>
      </c>
      <c r="AK261" s="39"/>
      <c r="AL261" s="4">
        <f t="shared" si="115"/>
        <v>66321</v>
      </c>
      <c r="AM261" s="4">
        <f t="shared" si="116"/>
        <v>90094</v>
      </c>
      <c r="AN261" s="4">
        <f t="shared" si="111"/>
        <v>156415</v>
      </c>
      <c r="AO261" s="39"/>
      <c r="AP261" s="8">
        <f t="shared" si="117"/>
        <v>0</v>
      </c>
      <c r="AQ261" s="8">
        <f t="shared" si="118"/>
        <v>0</v>
      </c>
      <c r="AR261" s="8">
        <f t="shared" si="112"/>
        <v>0</v>
      </c>
      <c r="AS261" s="42"/>
      <c r="AT261" s="84">
        <v>66321</v>
      </c>
      <c r="AU261" s="84">
        <v>90094</v>
      </c>
      <c r="AV261" s="4">
        <f t="shared" si="113"/>
        <v>156415</v>
      </c>
      <c r="AW261" s="50" t="str">
        <f t="shared" si="114"/>
        <v/>
      </c>
      <c r="AX261" s="1" t="s">
        <v>1686</v>
      </c>
      <c r="AY261" s="2" t="s">
        <v>1687</v>
      </c>
      <c r="AZ261" s="2">
        <v>78475.360000000001</v>
      </c>
      <c r="BA261" s="73">
        <v>68665.94</v>
      </c>
      <c r="BB261" s="73">
        <v>68665.94</v>
      </c>
      <c r="BC261" s="73">
        <v>78475.360000000001</v>
      </c>
      <c r="BD261" s="73"/>
      <c r="BE261" s="66">
        <v>4.4999999999999998E-2</v>
      </c>
      <c r="BF261" s="66">
        <v>0.05</v>
      </c>
      <c r="BG261" s="63">
        <v>45287</v>
      </c>
      <c r="BH261" s="74">
        <v>43919</v>
      </c>
      <c r="BI261" s="74">
        <v>43934</v>
      </c>
      <c r="BJ261" s="2"/>
      <c r="BK261" s="2"/>
      <c r="BL261" s="1" t="s">
        <v>56</v>
      </c>
    </row>
    <row r="262" spans="1:64" x14ac:dyDescent="0.25">
      <c r="A262" s="81" t="s">
        <v>470</v>
      </c>
      <c r="B262" s="82" t="s">
        <v>1272</v>
      </c>
      <c r="C262" s="81" t="s">
        <v>1273</v>
      </c>
      <c r="D262" s="16">
        <v>0</v>
      </c>
      <c r="E262" s="17"/>
      <c r="F262" s="2" t="s">
        <v>342</v>
      </c>
      <c r="G262" s="2" t="s">
        <v>343</v>
      </c>
      <c r="H262" s="10" t="s">
        <v>57</v>
      </c>
      <c r="I262" s="11" t="s">
        <v>53</v>
      </c>
      <c r="J262" s="11" t="s">
        <v>387</v>
      </c>
      <c r="K262" s="61"/>
      <c r="L262" s="11" t="s">
        <v>67</v>
      </c>
      <c r="M262" s="25"/>
      <c r="N262" s="82"/>
      <c r="O262" s="3" t="str">
        <f t="shared" si="122"/>
        <v>A</v>
      </c>
      <c r="P262" s="84">
        <v>84430</v>
      </c>
      <c r="Q262" s="84">
        <v>47099</v>
      </c>
      <c r="R262" s="32"/>
      <c r="S262" s="3" t="str">
        <f t="shared" si="121"/>
        <v>A</v>
      </c>
      <c r="T262" s="84">
        <v>72390</v>
      </c>
      <c r="U262" s="84">
        <v>53957</v>
      </c>
      <c r="V262" s="32"/>
      <c r="W262" s="3" t="str">
        <f t="shared" si="108"/>
        <v>A</v>
      </c>
      <c r="X262" s="84">
        <v>61150</v>
      </c>
      <c r="Y262" s="84">
        <v>33359</v>
      </c>
      <c r="Z262" s="32"/>
      <c r="AA262" s="3" t="str">
        <f t="shared" si="109"/>
        <v>A</v>
      </c>
      <c r="AB262" s="84">
        <v>56540</v>
      </c>
      <c r="AC262" s="84">
        <v>40252</v>
      </c>
      <c r="AD262" s="36"/>
      <c r="AE262" s="82"/>
      <c r="AF262" s="3" t="str">
        <f t="shared" si="110"/>
        <v>A</v>
      </c>
      <c r="AG262" s="84">
        <v>0</v>
      </c>
      <c r="AH262" s="84">
        <v>0</v>
      </c>
      <c r="AI262" s="39"/>
      <c r="AJ262" s="79" t="s">
        <v>1801</v>
      </c>
      <c r="AK262" s="39"/>
      <c r="AL262" s="4">
        <f t="shared" si="115"/>
        <v>274510</v>
      </c>
      <c r="AM262" s="4">
        <f t="shared" si="116"/>
        <v>174667</v>
      </c>
      <c r="AN262" s="4">
        <f t="shared" si="111"/>
        <v>449177</v>
      </c>
      <c r="AO262" s="39"/>
      <c r="AP262" s="8">
        <f t="shared" si="117"/>
        <v>0</v>
      </c>
      <c r="AQ262" s="8">
        <f t="shared" si="118"/>
        <v>0</v>
      </c>
      <c r="AR262" s="8">
        <f t="shared" si="112"/>
        <v>0</v>
      </c>
      <c r="AS262" s="42"/>
      <c r="AT262" s="84">
        <v>274510</v>
      </c>
      <c r="AU262" s="84">
        <v>174667</v>
      </c>
      <c r="AV262" s="4">
        <f t="shared" si="113"/>
        <v>449177</v>
      </c>
      <c r="AW262" s="50" t="str">
        <f t="shared" si="114"/>
        <v/>
      </c>
      <c r="AX262" s="1" t="s">
        <v>1686</v>
      </c>
      <c r="AY262" s="2" t="s">
        <v>1687</v>
      </c>
      <c r="AZ262" s="2">
        <v>34989.839999999997</v>
      </c>
      <c r="BA262" s="73">
        <v>30616.11</v>
      </c>
      <c r="BB262" s="73">
        <v>30616.11</v>
      </c>
      <c r="BC262" s="73">
        <v>34989.839999999997</v>
      </c>
      <c r="BD262" s="73"/>
      <c r="BE262" s="66">
        <v>0</v>
      </c>
      <c r="BF262" s="66">
        <v>0.05</v>
      </c>
      <c r="BG262" s="63">
        <v>45287</v>
      </c>
      <c r="BH262" s="2"/>
      <c r="BI262" s="2"/>
      <c r="BJ262" s="2">
        <v>211536.92</v>
      </c>
      <c r="BK262" s="2">
        <v>23504.1</v>
      </c>
      <c r="BL262" s="1" t="s">
        <v>56</v>
      </c>
    </row>
    <row r="263" spans="1:64" x14ac:dyDescent="0.25">
      <c r="A263" s="81" t="s">
        <v>472</v>
      </c>
      <c r="B263" s="82" t="s">
        <v>472</v>
      </c>
      <c r="C263" s="81" t="s">
        <v>473</v>
      </c>
      <c r="D263" s="16">
        <v>41620</v>
      </c>
      <c r="E263" s="17"/>
      <c r="F263" s="2" t="s">
        <v>243</v>
      </c>
      <c r="G263" s="2" t="s">
        <v>245</v>
      </c>
      <c r="H263" s="10" t="s">
        <v>98</v>
      </c>
      <c r="I263" s="11" t="s">
        <v>244</v>
      </c>
      <c r="J263" s="11" t="s">
        <v>278</v>
      </c>
      <c r="K263" s="61" t="s">
        <v>279</v>
      </c>
      <c r="L263" s="11" t="s">
        <v>67</v>
      </c>
      <c r="M263" s="25"/>
      <c r="N263" s="82"/>
      <c r="O263" s="3" t="str">
        <f t="shared" si="122"/>
        <v>A</v>
      </c>
      <c r="P263" s="84">
        <v>224414.7</v>
      </c>
      <c r="Q263" s="84">
        <v>15927</v>
      </c>
      <c r="R263" s="32"/>
      <c r="S263" s="3" t="str">
        <f t="shared" si="121"/>
        <v>A</v>
      </c>
      <c r="T263" s="84">
        <v>196618.72</v>
      </c>
      <c r="U263" s="84">
        <v>15677.08</v>
      </c>
      <c r="V263" s="32"/>
      <c r="W263" s="3" t="str">
        <f t="shared" si="108"/>
        <v>A</v>
      </c>
      <c r="X263" s="84">
        <v>187794.78</v>
      </c>
      <c r="Y263" s="84">
        <v>11584</v>
      </c>
      <c r="Z263" s="32"/>
      <c r="AA263" s="3" t="str">
        <f t="shared" si="109"/>
        <v>A</v>
      </c>
      <c r="AB263" s="84">
        <v>198584</v>
      </c>
      <c r="AC263" s="84">
        <v>12820</v>
      </c>
      <c r="AD263" s="36"/>
      <c r="AE263" s="82"/>
      <c r="AF263" s="3" t="str">
        <f t="shared" si="110"/>
        <v>A</v>
      </c>
      <c r="AG263" s="84">
        <v>0</v>
      </c>
      <c r="AH263" s="84">
        <v>0</v>
      </c>
      <c r="AI263" s="39"/>
      <c r="AJ263" s="79" t="s">
        <v>1801</v>
      </c>
      <c r="AK263" s="39"/>
      <c r="AL263" s="4">
        <f t="shared" si="115"/>
        <v>807412.20000000007</v>
      </c>
      <c r="AM263" s="4">
        <f t="shared" si="116"/>
        <v>56008.08</v>
      </c>
      <c r="AN263" s="4">
        <f t="shared" si="111"/>
        <v>863420.28</v>
      </c>
      <c r="AO263" s="39"/>
      <c r="AP263" s="8">
        <f t="shared" si="117"/>
        <v>0</v>
      </c>
      <c r="AQ263" s="8">
        <f t="shared" si="118"/>
        <v>0</v>
      </c>
      <c r="AR263" s="8">
        <f t="shared" si="112"/>
        <v>0</v>
      </c>
      <c r="AS263" s="42"/>
      <c r="AT263" s="84">
        <v>807412.2</v>
      </c>
      <c r="AU263" s="84">
        <v>56008.08</v>
      </c>
      <c r="AV263" s="4">
        <f t="shared" si="113"/>
        <v>863420.27999999991</v>
      </c>
      <c r="AW263" s="50" t="str">
        <f t="shared" si="114"/>
        <v/>
      </c>
      <c r="AX263" s="1" t="s">
        <v>1639</v>
      </c>
      <c r="AY263" s="2" t="s">
        <v>1640</v>
      </c>
      <c r="AZ263" s="2">
        <v>229281.36</v>
      </c>
      <c r="BA263" s="73">
        <v>200621.19</v>
      </c>
      <c r="BB263" s="73">
        <v>200621.19</v>
      </c>
      <c r="BC263" s="73">
        <v>229281.36</v>
      </c>
      <c r="BD263" s="73"/>
      <c r="BE263" s="66">
        <v>3.5000000000000003E-2</v>
      </c>
      <c r="BF263" s="66">
        <v>0.02</v>
      </c>
      <c r="BG263" s="63">
        <v>45276</v>
      </c>
      <c r="BH263" s="74">
        <v>43908</v>
      </c>
      <c r="BI263" s="74">
        <v>43923</v>
      </c>
      <c r="BJ263" s="2"/>
      <c r="BK263" s="2"/>
      <c r="BL263" s="1" t="s">
        <v>97</v>
      </c>
    </row>
    <row r="264" spans="1:64" x14ac:dyDescent="0.25">
      <c r="A264" s="81" t="s">
        <v>474</v>
      </c>
      <c r="B264" s="82" t="s">
        <v>474</v>
      </c>
      <c r="C264" s="81" t="s">
        <v>475</v>
      </c>
      <c r="D264" s="16">
        <v>41524</v>
      </c>
      <c r="E264" s="17"/>
      <c r="F264" s="2" t="s">
        <v>187</v>
      </c>
      <c r="G264" s="2" t="s">
        <v>189</v>
      </c>
      <c r="H264" s="10" t="s">
        <v>57</v>
      </c>
      <c r="I264" s="11" t="s">
        <v>188</v>
      </c>
      <c r="J264" s="11" t="s">
        <v>190</v>
      </c>
      <c r="K264" s="61" t="s">
        <v>191</v>
      </c>
      <c r="L264" s="11" t="s">
        <v>67</v>
      </c>
      <c r="M264" s="25"/>
      <c r="N264" s="82"/>
      <c r="O264" s="3" t="str">
        <f t="shared" si="122"/>
        <v>A</v>
      </c>
      <c r="P264" s="84">
        <v>77623.199999999997</v>
      </c>
      <c r="Q264" s="84">
        <v>12659</v>
      </c>
      <c r="R264" s="32"/>
      <c r="S264" s="3" t="str">
        <f t="shared" si="121"/>
        <v>A</v>
      </c>
      <c r="T264" s="84">
        <v>61371.199999999997</v>
      </c>
      <c r="U264" s="84">
        <v>11227</v>
      </c>
      <c r="V264" s="32"/>
      <c r="W264" s="3" t="str">
        <f t="shared" ref="W264:W327" si="123">IF($A264="","",IF(X264=0,"A",IF(X264=BB264,"E","A")))</f>
        <v>A</v>
      </c>
      <c r="X264" s="84">
        <v>63407.44</v>
      </c>
      <c r="Y264" s="84">
        <v>11585.35</v>
      </c>
      <c r="Z264" s="32"/>
      <c r="AA264" s="3" t="str">
        <f t="shared" ref="AA264:AA327" si="124">IF($A264="","",IF(AB264=0,"A",IF(AB264=BC264,"E","A")))</f>
        <v>A</v>
      </c>
      <c r="AB264" s="84">
        <v>73804.98000000001</v>
      </c>
      <c r="AC264" s="84">
        <v>12739.83</v>
      </c>
      <c r="AD264" s="36"/>
      <c r="AE264" s="82"/>
      <c r="AF264" s="3" t="str">
        <f t="shared" ref="AF264:AF327" si="125">IF($A264="","",IF(AG264=0,"A",IF(AG264=BD264,"E","A")))</f>
        <v>A</v>
      </c>
      <c r="AG264" s="84">
        <v>0</v>
      </c>
      <c r="AH264" s="84">
        <v>0</v>
      </c>
      <c r="AI264" s="39"/>
      <c r="AJ264" s="79" t="s">
        <v>1801</v>
      </c>
      <c r="AK264" s="39"/>
      <c r="AL264" s="4">
        <f t="shared" si="115"/>
        <v>276206.82</v>
      </c>
      <c r="AM264" s="4">
        <f t="shared" si="116"/>
        <v>48211.18</v>
      </c>
      <c r="AN264" s="4">
        <f t="shared" ref="AN264:AN327" si="126">SUM(AL264:AM264)</f>
        <v>324418</v>
      </c>
      <c r="AO264" s="39"/>
      <c r="AP264" s="8">
        <f t="shared" si="117"/>
        <v>0</v>
      </c>
      <c r="AQ264" s="8">
        <f t="shared" si="118"/>
        <v>0</v>
      </c>
      <c r="AR264" s="8">
        <f t="shared" ref="AR264:AR327" si="127">SUM(AP264:AQ264)</f>
        <v>0</v>
      </c>
      <c r="AS264" s="42"/>
      <c r="AT264" s="84">
        <v>276206.82</v>
      </c>
      <c r="AU264" s="84">
        <v>48211.18</v>
      </c>
      <c r="AV264" s="4">
        <f t="shared" ref="AV264:AV327" si="128">SUM(AT264:AU264)</f>
        <v>324418</v>
      </c>
      <c r="AW264" s="50" t="str">
        <f t="shared" ref="AW264:AW327" si="129">IF(AV264=0,"",IF(AN264=AV264,"","W"))</f>
        <v/>
      </c>
      <c r="AX264" s="1" t="s">
        <v>1639</v>
      </c>
      <c r="AY264" s="2" t="s">
        <v>1640</v>
      </c>
      <c r="AZ264" s="2">
        <v>149193.20000000001</v>
      </c>
      <c r="BA264" s="73">
        <v>130544.05</v>
      </c>
      <c r="BB264" s="73">
        <v>130544.05</v>
      </c>
      <c r="BC264" s="73">
        <v>149193.20000000001</v>
      </c>
      <c r="BD264" s="73"/>
      <c r="BE264" s="66">
        <v>0</v>
      </c>
      <c r="BF264" s="66">
        <v>0.02</v>
      </c>
      <c r="BG264" s="63">
        <v>45171</v>
      </c>
      <c r="BH264" s="2"/>
      <c r="BI264" s="2"/>
      <c r="BJ264" s="2"/>
      <c r="BK264" s="2"/>
      <c r="BL264" s="1" t="s">
        <v>56</v>
      </c>
    </row>
    <row r="265" spans="1:64" x14ac:dyDescent="0.25">
      <c r="A265" s="81" t="s">
        <v>474</v>
      </c>
      <c r="B265" s="82" t="s">
        <v>779</v>
      </c>
      <c r="C265" s="81" t="s">
        <v>780</v>
      </c>
      <c r="D265" s="16">
        <v>42110</v>
      </c>
      <c r="E265" s="17">
        <v>45809</v>
      </c>
      <c r="F265" s="2" t="s">
        <v>187</v>
      </c>
      <c r="G265" s="2" t="s">
        <v>189</v>
      </c>
      <c r="H265" s="10" t="s">
        <v>57</v>
      </c>
      <c r="I265" s="11" t="s">
        <v>188</v>
      </c>
      <c r="J265" s="11" t="s">
        <v>190</v>
      </c>
      <c r="K265" s="61" t="s">
        <v>191</v>
      </c>
      <c r="L265" s="11" t="s">
        <v>67</v>
      </c>
      <c r="M265" s="25"/>
      <c r="N265" s="82"/>
      <c r="O265" s="3" t="str">
        <f t="shared" si="122"/>
        <v>A</v>
      </c>
      <c r="P265" s="84"/>
      <c r="Q265" s="84"/>
      <c r="R265" s="32"/>
      <c r="S265" s="3" t="str">
        <f t="shared" si="121"/>
        <v>A</v>
      </c>
      <c r="T265" s="84"/>
      <c r="U265" s="84"/>
      <c r="V265" s="32"/>
      <c r="W265" s="3" t="str">
        <f t="shared" si="123"/>
        <v>A</v>
      </c>
      <c r="X265" s="84"/>
      <c r="Y265" s="84"/>
      <c r="Z265" s="32"/>
      <c r="AA265" s="3" t="str">
        <f t="shared" si="124"/>
        <v>A</v>
      </c>
      <c r="AB265" s="84"/>
      <c r="AC265" s="84"/>
      <c r="AD265" s="36"/>
      <c r="AE265" s="82"/>
      <c r="AF265" s="3" t="str">
        <f t="shared" si="125"/>
        <v>A</v>
      </c>
      <c r="AG265" s="84"/>
      <c r="AH265" s="84"/>
      <c r="AI265" s="39"/>
      <c r="AJ265" s="79" t="s">
        <v>1801</v>
      </c>
      <c r="AK265" s="39"/>
      <c r="AL265" s="4">
        <f t="shared" ref="AL265:AL328" si="130">IF($O265="A",P265,0)+IF($S265="A",T265,0)+IF($W265="A",X265,0)+IF($AA265="A",AB265,0)+IF($AF265="A",AG265,0)</f>
        <v>0</v>
      </c>
      <c r="AM265" s="4">
        <f t="shared" ref="AM265:AM328" si="131">IF($O265="A",Q265,0)+IF($S265="A",U265,0)+IF($W265="A",Y265,0)+IF($AA265="A",AC265,0)+IF($AF265="A",AH265,0)</f>
        <v>0</v>
      </c>
      <c r="AN265" s="4">
        <f t="shared" si="126"/>
        <v>0</v>
      </c>
      <c r="AO265" s="39"/>
      <c r="AP265" s="8">
        <f t="shared" ref="AP265:AP328" si="132">IF($O265="E",P265,0)+IF($S265="E",T265,0)+IF($W265="E",X265,0)+IF($AA265="E",AB265,0)+IF($AF265="E",AG265,0)</f>
        <v>0</v>
      </c>
      <c r="AQ265" s="8">
        <f t="shared" ref="AQ265:AQ328" si="133">IF($O265="E",Q265,0)+IF($S265="E",U265,0)+IF($W265="E",Y265,0)+IF($AA265="E",AC265,0)+IF($AF265="E",AH265,0)</f>
        <v>0</v>
      </c>
      <c r="AR265" s="8">
        <f t="shared" si="127"/>
        <v>0</v>
      </c>
      <c r="AS265" s="42"/>
      <c r="AT265" s="84"/>
      <c r="AU265" s="84"/>
      <c r="AV265" s="4">
        <f t="shared" si="128"/>
        <v>0</v>
      </c>
      <c r="AW265" s="50" t="str">
        <f t="shared" si="129"/>
        <v/>
      </c>
      <c r="AX265" s="1" t="s">
        <v>1639</v>
      </c>
      <c r="AY265" s="2" t="s">
        <v>1640</v>
      </c>
      <c r="AZ265" s="2"/>
      <c r="BA265" s="73"/>
      <c r="BB265" s="73"/>
      <c r="BC265" s="73"/>
      <c r="BD265" s="73"/>
      <c r="BE265" s="66">
        <v>0</v>
      </c>
      <c r="BF265" s="66">
        <v>0.02</v>
      </c>
      <c r="BG265" s="63">
        <v>45171</v>
      </c>
      <c r="BH265" s="2"/>
      <c r="BI265" s="2"/>
      <c r="BJ265" s="2"/>
      <c r="BK265" s="2"/>
      <c r="BL265" s="1" t="s">
        <v>56</v>
      </c>
    </row>
    <row r="266" spans="1:64" x14ac:dyDescent="0.25">
      <c r="A266" s="81" t="s">
        <v>476</v>
      </c>
      <c r="B266" s="82" t="s">
        <v>476</v>
      </c>
      <c r="C266" s="81" t="s">
        <v>477</v>
      </c>
      <c r="D266" s="16">
        <v>41835</v>
      </c>
      <c r="E266" s="17"/>
      <c r="F266" s="2" t="s">
        <v>243</v>
      </c>
      <c r="G266" s="2" t="s">
        <v>245</v>
      </c>
      <c r="H266" s="10" t="s">
        <v>57</v>
      </c>
      <c r="I266" s="11" t="s">
        <v>244</v>
      </c>
      <c r="J266" s="11" t="s">
        <v>478</v>
      </c>
      <c r="K266" s="61" t="s">
        <v>479</v>
      </c>
      <c r="L266" s="11" t="s">
        <v>67</v>
      </c>
      <c r="M266" s="25"/>
      <c r="N266" s="82"/>
      <c r="O266" s="3" t="str">
        <f t="shared" si="122"/>
        <v>A</v>
      </c>
      <c r="P266" s="84">
        <v>161463</v>
      </c>
      <c r="Q266" s="84">
        <v>21012</v>
      </c>
      <c r="R266" s="32"/>
      <c r="S266" s="3" t="str">
        <f t="shared" si="121"/>
        <v>A</v>
      </c>
      <c r="T266" s="84">
        <v>153761</v>
      </c>
      <c r="U266" s="84">
        <v>15779</v>
      </c>
      <c r="V266" s="32"/>
      <c r="W266" s="3" t="str">
        <f t="shared" si="123"/>
        <v>A</v>
      </c>
      <c r="X266" s="84">
        <v>157792</v>
      </c>
      <c r="Y266" s="84">
        <v>14748</v>
      </c>
      <c r="Z266" s="32"/>
      <c r="AA266" s="3" t="str">
        <f t="shared" si="124"/>
        <v>A</v>
      </c>
      <c r="AB266" s="84">
        <v>171930.75</v>
      </c>
      <c r="AC266" s="84">
        <v>9289</v>
      </c>
      <c r="AD266" s="36"/>
      <c r="AE266" s="82"/>
      <c r="AF266" s="3" t="str">
        <f t="shared" si="125"/>
        <v>A</v>
      </c>
      <c r="AG266" s="84">
        <v>0</v>
      </c>
      <c r="AH266" s="84">
        <v>0</v>
      </c>
      <c r="AI266" s="39"/>
      <c r="AJ266" s="79" t="s">
        <v>1801</v>
      </c>
      <c r="AK266" s="39"/>
      <c r="AL266" s="4">
        <f t="shared" si="130"/>
        <v>644946.75</v>
      </c>
      <c r="AM266" s="4">
        <f t="shared" si="131"/>
        <v>60828</v>
      </c>
      <c r="AN266" s="4">
        <f t="shared" si="126"/>
        <v>705774.75</v>
      </c>
      <c r="AO266" s="39"/>
      <c r="AP266" s="8">
        <f t="shared" si="132"/>
        <v>0</v>
      </c>
      <c r="AQ266" s="8">
        <f t="shared" si="133"/>
        <v>0</v>
      </c>
      <c r="AR266" s="8">
        <f t="shared" si="127"/>
        <v>0</v>
      </c>
      <c r="AS266" s="42"/>
      <c r="AT266" s="84">
        <v>644946.75</v>
      </c>
      <c r="AU266" s="84">
        <v>60828</v>
      </c>
      <c r="AV266" s="4">
        <f t="shared" si="128"/>
        <v>705774.75</v>
      </c>
      <c r="AW266" s="50" t="str">
        <f t="shared" si="129"/>
        <v/>
      </c>
      <c r="AX266" s="1" t="s">
        <v>1639</v>
      </c>
      <c r="AY266" s="2" t="s">
        <v>1640</v>
      </c>
      <c r="AZ266" s="2">
        <v>135242.88</v>
      </c>
      <c r="BA266" s="73">
        <v>118337.52</v>
      </c>
      <c r="BB266" s="73">
        <v>118337.52</v>
      </c>
      <c r="BC266" s="73">
        <v>135242.88</v>
      </c>
      <c r="BD266" s="73"/>
      <c r="BE266" s="66">
        <v>3.5000000000000003E-2</v>
      </c>
      <c r="BF266" s="66">
        <v>0.02</v>
      </c>
      <c r="BG266" s="63">
        <v>45342</v>
      </c>
      <c r="BH266" s="2"/>
      <c r="BI266" s="2"/>
      <c r="BJ266" s="2"/>
      <c r="BK266" s="2"/>
      <c r="BL266" s="1" t="s">
        <v>396</v>
      </c>
    </row>
    <row r="267" spans="1:64" x14ac:dyDescent="0.25">
      <c r="A267" s="81" t="s">
        <v>480</v>
      </c>
      <c r="B267" s="82" t="s">
        <v>480</v>
      </c>
      <c r="C267" s="81" t="s">
        <v>481</v>
      </c>
      <c r="D267" s="16">
        <v>41810</v>
      </c>
      <c r="E267" s="17"/>
      <c r="F267" s="2" t="s">
        <v>109</v>
      </c>
      <c r="G267" s="2" t="s">
        <v>111</v>
      </c>
      <c r="H267" s="10" t="s">
        <v>57</v>
      </c>
      <c r="I267" s="11" t="s">
        <v>110</v>
      </c>
      <c r="J267" s="11" t="s">
        <v>460</v>
      </c>
      <c r="K267" s="61" t="s">
        <v>461</v>
      </c>
      <c r="L267" s="11" t="s">
        <v>67</v>
      </c>
      <c r="M267" s="25"/>
      <c r="N267" s="82"/>
      <c r="O267" s="3" t="str">
        <f t="shared" si="122"/>
        <v>A</v>
      </c>
      <c r="P267" s="84">
        <v>88520</v>
      </c>
      <c r="Q267" s="84">
        <v>16924</v>
      </c>
      <c r="R267" s="32"/>
      <c r="S267" s="3" t="str">
        <f t="shared" si="121"/>
        <v>A</v>
      </c>
      <c r="T267" s="84">
        <v>84291</v>
      </c>
      <c r="U267" s="84">
        <v>25252</v>
      </c>
      <c r="V267" s="32"/>
      <c r="W267" s="3" t="str">
        <f t="shared" si="123"/>
        <v>A</v>
      </c>
      <c r="X267" s="84">
        <v>70584</v>
      </c>
      <c r="Y267" s="84">
        <v>15431</v>
      </c>
      <c r="Z267" s="32"/>
      <c r="AA267" s="3" t="str">
        <f t="shared" si="124"/>
        <v>A</v>
      </c>
      <c r="AB267" s="84">
        <v>72263</v>
      </c>
      <c r="AC267" s="84">
        <v>13571</v>
      </c>
      <c r="AD267" s="36"/>
      <c r="AE267" s="82"/>
      <c r="AF267" s="3" t="str">
        <f t="shared" si="125"/>
        <v>A</v>
      </c>
      <c r="AG267" s="84">
        <v>0</v>
      </c>
      <c r="AH267" s="84">
        <v>0</v>
      </c>
      <c r="AI267" s="39"/>
      <c r="AJ267" s="79" t="s">
        <v>1801</v>
      </c>
      <c r="AK267" s="39"/>
      <c r="AL267" s="4">
        <f t="shared" si="130"/>
        <v>315658</v>
      </c>
      <c r="AM267" s="4">
        <f t="shared" si="131"/>
        <v>71178</v>
      </c>
      <c r="AN267" s="4">
        <f t="shared" si="126"/>
        <v>386836</v>
      </c>
      <c r="AO267" s="39"/>
      <c r="AP267" s="8">
        <f t="shared" si="132"/>
        <v>0</v>
      </c>
      <c r="AQ267" s="8">
        <f t="shared" si="133"/>
        <v>0</v>
      </c>
      <c r="AR267" s="8">
        <f t="shared" si="127"/>
        <v>0</v>
      </c>
      <c r="AS267" s="42"/>
      <c r="AT267" s="84">
        <v>315658</v>
      </c>
      <c r="AU267" s="84">
        <v>71178</v>
      </c>
      <c r="AV267" s="4">
        <f t="shared" si="128"/>
        <v>386836</v>
      </c>
      <c r="AW267" s="50" t="str">
        <f t="shared" si="129"/>
        <v/>
      </c>
      <c r="AX267" s="1" t="s">
        <v>1647</v>
      </c>
      <c r="AY267" s="2" t="s">
        <v>1640</v>
      </c>
      <c r="AZ267" s="2">
        <v>123501.92</v>
      </c>
      <c r="BA267" s="73">
        <v>108064.18</v>
      </c>
      <c r="BB267" s="73">
        <v>108064.18</v>
      </c>
      <c r="BC267" s="73">
        <v>123501.92</v>
      </c>
      <c r="BD267" s="73"/>
      <c r="BE267" s="66">
        <v>0</v>
      </c>
      <c r="BF267" s="66">
        <v>0.02</v>
      </c>
      <c r="BG267" s="63">
        <v>45434</v>
      </c>
      <c r="BH267" s="2"/>
      <c r="BI267" s="2"/>
      <c r="BJ267" s="2"/>
      <c r="BK267" s="2"/>
      <c r="BL267" s="1" t="s">
        <v>56</v>
      </c>
    </row>
    <row r="268" spans="1:64" x14ac:dyDescent="0.25">
      <c r="A268" s="81" t="s">
        <v>482</v>
      </c>
      <c r="B268" s="82" t="s">
        <v>482</v>
      </c>
      <c r="C268" s="81" t="s">
        <v>483</v>
      </c>
      <c r="D268" s="16">
        <v>41930</v>
      </c>
      <c r="E268" s="17"/>
      <c r="F268" s="2" t="s">
        <v>187</v>
      </c>
      <c r="G268" s="2" t="s">
        <v>189</v>
      </c>
      <c r="H268" s="10" t="s">
        <v>57</v>
      </c>
      <c r="I268" s="11" t="s">
        <v>188</v>
      </c>
      <c r="J268" s="11" t="s">
        <v>338</v>
      </c>
      <c r="K268" s="61" t="s">
        <v>339</v>
      </c>
      <c r="L268" s="11" t="s">
        <v>67</v>
      </c>
      <c r="M268" s="25"/>
      <c r="N268" s="82"/>
      <c r="O268" s="3" t="str">
        <f t="shared" si="122"/>
        <v>A</v>
      </c>
      <c r="P268" s="84">
        <v>207369.1</v>
      </c>
      <c r="Q268" s="84">
        <v>43623</v>
      </c>
      <c r="R268" s="32"/>
      <c r="S268" s="3" t="str">
        <f t="shared" si="121"/>
        <v>A</v>
      </c>
      <c r="T268" s="84">
        <v>183605.05</v>
      </c>
      <c r="U268" s="84">
        <v>32390</v>
      </c>
      <c r="V268" s="32"/>
      <c r="W268" s="3" t="str">
        <f t="shared" si="123"/>
        <v>A</v>
      </c>
      <c r="X268" s="84">
        <v>157953.60000000001</v>
      </c>
      <c r="Y268" s="84">
        <v>33729</v>
      </c>
      <c r="Z268" s="32"/>
      <c r="AA268" s="3" t="str">
        <f t="shared" si="124"/>
        <v>A</v>
      </c>
      <c r="AB268" s="84">
        <v>189402.75</v>
      </c>
      <c r="AC268" s="84">
        <v>44842</v>
      </c>
      <c r="AD268" s="36"/>
      <c r="AE268" s="82"/>
      <c r="AF268" s="3" t="str">
        <f t="shared" si="125"/>
        <v>A</v>
      </c>
      <c r="AG268" s="84">
        <v>0</v>
      </c>
      <c r="AH268" s="84">
        <v>0</v>
      </c>
      <c r="AI268" s="39"/>
      <c r="AJ268" s="79" t="s">
        <v>1801</v>
      </c>
      <c r="AK268" s="39"/>
      <c r="AL268" s="4">
        <f t="shared" si="130"/>
        <v>738330.5</v>
      </c>
      <c r="AM268" s="4">
        <f t="shared" si="131"/>
        <v>154584</v>
      </c>
      <c r="AN268" s="4">
        <f t="shared" si="126"/>
        <v>892914.5</v>
      </c>
      <c r="AO268" s="39"/>
      <c r="AP268" s="8">
        <f t="shared" si="132"/>
        <v>0</v>
      </c>
      <c r="AQ268" s="8">
        <f t="shared" si="133"/>
        <v>0</v>
      </c>
      <c r="AR268" s="8">
        <f t="shared" si="127"/>
        <v>0</v>
      </c>
      <c r="AS268" s="42"/>
      <c r="AT268" s="84">
        <v>738330.5</v>
      </c>
      <c r="AU268" s="84">
        <v>154584</v>
      </c>
      <c r="AV268" s="4">
        <f t="shared" si="128"/>
        <v>892914.5</v>
      </c>
      <c r="AW268" s="50" t="str">
        <f t="shared" si="129"/>
        <v/>
      </c>
      <c r="AX268" s="1" t="s">
        <v>1639</v>
      </c>
      <c r="AY268" s="2" t="s">
        <v>1640</v>
      </c>
      <c r="AZ268" s="2">
        <v>97733.28</v>
      </c>
      <c r="BA268" s="73">
        <v>85516.62</v>
      </c>
      <c r="BB268" s="73">
        <v>85516.62</v>
      </c>
      <c r="BC268" s="73">
        <v>97733.28</v>
      </c>
      <c r="BD268" s="73"/>
      <c r="BE268" s="66">
        <v>0</v>
      </c>
      <c r="BF268" s="66">
        <v>0.02</v>
      </c>
      <c r="BG268" s="63">
        <v>45501</v>
      </c>
      <c r="BH268" s="2"/>
      <c r="BI268" s="2"/>
      <c r="BJ268" s="2"/>
      <c r="BK268" s="2"/>
      <c r="BL268" s="1" t="s">
        <v>56</v>
      </c>
    </row>
    <row r="269" spans="1:64" x14ac:dyDescent="0.25">
      <c r="A269" s="81" t="s">
        <v>484</v>
      </c>
      <c r="B269" s="82" t="s">
        <v>484</v>
      </c>
      <c r="C269" s="81" t="s">
        <v>485</v>
      </c>
      <c r="D269" s="16">
        <v>41971</v>
      </c>
      <c r="E269" s="17"/>
      <c r="F269" s="2" t="s">
        <v>243</v>
      </c>
      <c r="G269" s="2" t="s">
        <v>245</v>
      </c>
      <c r="H269" s="10" t="s">
        <v>57</v>
      </c>
      <c r="I269" s="11" t="s">
        <v>244</v>
      </c>
      <c r="J269" s="11" t="s">
        <v>486</v>
      </c>
      <c r="K269" s="61" t="s">
        <v>487</v>
      </c>
      <c r="L269" s="11" t="s">
        <v>67</v>
      </c>
      <c r="M269" s="25"/>
      <c r="N269" s="82"/>
      <c r="O269" s="3" t="str">
        <f t="shared" si="122"/>
        <v>A</v>
      </c>
      <c r="P269" s="84">
        <v>84495.12</v>
      </c>
      <c r="Q269" s="84">
        <v>21791.89</v>
      </c>
      <c r="R269" s="32"/>
      <c r="S269" s="3" t="str">
        <f t="shared" si="121"/>
        <v>A</v>
      </c>
      <c r="T269" s="84">
        <v>81126.44</v>
      </c>
      <c r="U269" s="84">
        <v>18237.559999999998</v>
      </c>
      <c r="V269" s="32"/>
      <c r="W269" s="3" t="str">
        <f t="shared" si="123"/>
        <v>A</v>
      </c>
      <c r="X269" s="84">
        <v>73175.039999999994</v>
      </c>
      <c r="Y269" s="84">
        <v>11519.96</v>
      </c>
      <c r="Z269" s="32"/>
      <c r="AA269" s="3" t="str">
        <f t="shared" si="124"/>
        <v>A</v>
      </c>
      <c r="AB269" s="84">
        <v>77693</v>
      </c>
      <c r="AC269" s="84">
        <v>14482</v>
      </c>
      <c r="AD269" s="36"/>
      <c r="AE269" s="82"/>
      <c r="AF269" s="3" t="str">
        <f t="shared" si="125"/>
        <v>A</v>
      </c>
      <c r="AG269" s="84">
        <v>0</v>
      </c>
      <c r="AH269" s="84">
        <v>0</v>
      </c>
      <c r="AI269" s="39"/>
      <c r="AJ269" s="79" t="s">
        <v>1801</v>
      </c>
      <c r="AK269" s="39"/>
      <c r="AL269" s="4">
        <f t="shared" si="130"/>
        <v>316489.59999999998</v>
      </c>
      <c r="AM269" s="4">
        <f t="shared" si="131"/>
        <v>66031.41</v>
      </c>
      <c r="AN269" s="4">
        <f t="shared" si="126"/>
        <v>382521.01</v>
      </c>
      <c r="AO269" s="39"/>
      <c r="AP269" s="8">
        <f t="shared" si="132"/>
        <v>0</v>
      </c>
      <c r="AQ269" s="8">
        <f t="shared" si="133"/>
        <v>0</v>
      </c>
      <c r="AR269" s="8">
        <f t="shared" si="127"/>
        <v>0</v>
      </c>
      <c r="AS269" s="42"/>
      <c r="AT269" s="84">
        <v>316489.59999999998</v>
      </c>
      <c r="AU269" s="84">
        <v>66031.41</v>
      </c>
      <c r="AV269" s="4">
        <f t="shared" si="128"/>
        <v>382521.01</v>
      </c>
      <c r="AW269" s="50" t="str">
        <f t="shared" si="129"/>
        <v/>
      </c>
      <c r="AX269" s="1" t="s">
        <v>1639</v>
      </c>
      <c r="AY269" s="2" t="s">
        <v>1640</v>
      </c>
      <c r="AZ269" s="2">
        <v>112083.2</v>
      </c>
      <c r="BA269" s="73">
        <v>98072.8</v>
      </c>
      <c r="BB269" s="73">
        <v>98072.8</v>
      </c>
      <c r="BC269" s="73">
        <v>112083.2</v>
      </c>
      <c r="BD269" s="73"/>
      <c r="BE269" s="66">
        <v>0</v>
      </c>
      <c r="BF269" s="66">
        <v>0.02</v>
      </c>
      <c r="BG269" s="63">
        <v>45620</v>
      </c>
      <c r="BH269" s="74">
        <v>44145</v>
      </c>
      <c r="BI269" s="74">
        <v>44175</v>
      </c>
      <c r="BJ269" s="2"/>
      <c r="BK269" s="2"/>
      <c r="BL269" s="1" t="s">
        <v>56</v>
      </c>
    </row>
    <row r="270" spans="1:64" x14ac:dyDescent="0.25">
      <c r="A270" s="81" t="s">
        <v>488</v>
      </c>
      <c r="B270" s="82" t="s">
        <v>488</v>
      </c>
      <c r="C270" s="81" t="s">
        <v>489</v>
      </c>
      <c r="D270" s="16">
        <v>41991</v>
      </c>
      <c r="E270" s="17"/>
      <c r="F270" s="2" t="s">
        <v>109</v>
      </c>
      <c r="G270" s="2" t="s">
        <v>111</v>
      </c>
      <c r="H270" s="10" t="s">
        <v>98</v>
      </c>
      <c r="I270" s="11" t="s">
        <v>110</v>
      </c>
      <c r="J270" s="11" t="s">
        <v>286</v>
      </c>
      <c r="K270" s="61" t="s">
        <v>287</v>
      </c>
      <c r="L270" s="11" t="s">
        <v>67</v>
      </c>
      <c r="M270" s="25"/>
      <c r="N270" s="82"/>
      <c r="O270" s="3" t="str">
        <f t="shared" si="122"/>
        <v>A</v>
      </c>
      <c r="P270" s="84">
        <v>131276.25</v>
      </c>
      <c r="Q270" s="84">
        <v>17022</v>
      </c>
      <c r="R270" s="32"/>
      <c r="S270" s="3" t="str">
        <f t="shared" si="121"/>
        <v>A</v>
      </c>
      <c r="T270" s="84">
        <v>113521</v>
      </c>
      <c r="U270" s="84">
        <v>15269</v>
      </c>
      <c r="V270" s="32"/>
      <c r="W270" s="3" t="str">
        <f t="shared" si="123"/>
        <v>A</v>
      </c>
      <c r="X270" s="84">
        <v>100026</v>
      </c>
      <c r="Y270" s="84">
        <v>11308</v>
      </c>
      <c r="Z270" s="32"/>
      <c r="AA270" s="3" t="str">
        <f t="shared" si="124"/>
        <v>A</v>
      </c>
      <c r="AB270" s="84">
        <v>96850.85</v>
      </c>
      <c r="AC270" s="84">
        <v>10408</v>
      </c>
      <c r="AD270" s="36"/>
      <c r="AE270" s="82"/>
      <c r="AF270" s="3" t="str">
        <f t="shared" si="125"/>
        <v>A</v>
      </c>
      <c r="AG270" s="84">
        <v>0</v>
      </c>
      <c r="AH270" s="84">
        <v>0</v>
      </c>
      <c r="AI270" s="39"/>
      <c r="AJ270" s="79" t="s">
        <v>1801</v>
      </c>
      <c r="AK270" s="39"/>
      <c r="AL270" s="4">
        <f t="shared" si="130"/>
        <v>441674.1</v>
      </c>
      <c r="AM270" s="4">
        <f t="shared" si="131"/>
        <v>54007</v>
      </c>
      <c r="AN270" s="4">
        <f t="shared" si="126"/>
        <v>495681.1</v>
      </c>
      <c r="AO270" s="39"/>
      <c r="AP270" s="8">
        <f t="shared" si="132"/>
        <v>0</v>
      </c>
      <c r="AQ270" s="8">
        <f t="shared" si="133"/>
        <v>0</v>
      </c>
      <c r="AR270" s="8">
        <f t="shared" si="127"/>
        <v>0</v>
      </c>
      <c r="AS270" s="42"/>
      <c r="AT270" s="84">
        <v>441674.1</v>
      </c>
      <c r="AU270" s="84">
        <v>54007</v>
      </c>
      <c r="AV270" s="4">
        <f t="shared" si="128"/>
        <v>495681.1</v>
      </c>
      <c r="AW270" s="50" t="str">
        <f t="shared" si="129"/>
        <v/>
      </c>
      <c r="AX270" s="1" t="s">
        <v>1647</v>
      </c>
      <c r="AY270" s="2" t="s">
        <v>1640</v>
      </c>
      <c r="AZ270" s="2">
        <v>102501.52</v>
      </c>
      <c r="BA270" s="73">
        <v>89688.83</v>
      </c>
      <c r="BB270" s="73">
        <v>89688.83</v>
      </c>
      <c r="BC270" s="73">
        <v>102501.52</v>
      </c>
      <c r="BD270" s="73"/>
      <c r="BE270" s="66">
        <v>0</v>
      </c>
      <c r="BF270" s="66">
        <v>0.02</v>
      </c>
      <c r="BG270" s="63">
        <v>45607</v>
      </c>
      <c r="BH270" s="74">
        <v>43920</v>
      </c>
      <c r="BI270" s="74">
        <v>43922</v>
      </c>
      <c r="BJ270" s="2"/>
      <c r="BK270" s="2"/>
      <c r="BL270" s="1" t="s">
        <v>237</v>
      </c>
    </row>
    <row r="271" spans="1:64" x14ac:dyDescent="0.25">
      <c r="A271" s="81" t="s">
        <v>490</v>
      </c>
      <c r="B271" s="82" t="s">
        <v>490</v>
      </c>
      <c r="C271" s="81" t="s">
        <v>491</v>
      </c>
      <c r="D271" s="16">
        <v>41994</v>
      </c>
      <c r="E271" s="17"/>
      <c r="F271" s="2" t="s">
        <v>492</v>
      </c>
      <c r="G271" s="2" t="s">
        <v>493</v>
      </c>
      <c r="H271" s="10" t="s">
        <v>57</v>
      </c>
      <c r="I271" s="11" t="s">
        <v>53</v>
      </c>
      <c r="J271" s="11" t="s">
        <v>387</v>
      </c>
      <c r="K271" s="61"/>
      <c r="L271" s="11" t="s">
        <v>67</v>
      </c>
      <c r="M271" s="25"/>
      <c r="N271" s="82"/>
      <c r="O271" s="3" t="str">
        <f t="shared" si="122"/>
        <v>A</v>
      </c>
      <c r="P271" s="84">
        <v>249252</v>
      </c>
      <c r="Q271" s="84">
        <v>39400</v>
      </c>
      <c r="R271" s="32"/>
      <c r="S271" s="3" t="str">
        <f t="shared" si="121"/>
        <v>A</v>
      </c>
      <c r="T271" s="84">
        <v>227610</v>
      </c>
      <c r="U271" s="84">
        <v>26930</v>
      </c>
      <c r="V271" s="32"/>
      <c r="W271" s="3" t="str">
        <f t="shared" si="123"/>
        <v>A</v>
      </c>
      <c r="X271" s="84">
        <v>215137</v>
      </c>
      <c r="Y271" s="84">
        <v>25951</v>
      </c>
      <c r="Z271" s="32"/>
      <c r="AA271" s="3" t="str">
        <f t="shared" si="124"/>
        <v>A</v>
      </c>
      <c r="AB271" s="84">
        <v>229479</v>
      </c>
      <c r="AC271" s="84">
        <v>29510</v>
      </c>
      <c r="AD271" s="36"/>
      <c r="AE271" s="82"/>
      <c r="AF271" s="3" t="str">
        <f t="shared" si="125"/>
        <v>A</v>
      </c>
      <c r="AG271" s="84">
        <v>0</v>
      </c>
      <c r="AH271" s="84">
        <v>0</v>
      </c>
      <c r="AI271" s="39"/>
      <c r="AJ271" s="79" t="s">
        <v>1801</v>
      </c>
      <c r="AK271" s="39"/>
      <c r="AL271" s="4">
        <f t="shared" si="130"/>
        <v>921478</v>
      </c>
      <c r="AM271" s="4">
        <f t="shared" si="131"/>
        <v>121791</v>
      </c>
      <c r="AN271" s="4">
        <f t="shared" si="126"/>
        <v>1043269</v>
      </c>
      <c r="AO271" s="39"/>
      <c r="AP271" s="8">
        <f t="shared" si="132"/>
        <v>0</v>
      </c>
      <c r="AQ271" s="8">
        <f t="shared" si="133"/>
        <v>0</v>
      </c>
      <c r="AR271" s="8">
        <f t="shared" si="127"/>
        <v>0</v>
      </c>
      <c r="AS271" s="42"/>
      <c r="AT271" s="84">
        <v>921478</v>
      </c>
      <c r="AU271" s="84">
        <v>121791</v>
      </c>
      <c r="AV271" s="4">
        <f t="shared" si="128"/>
        <v>1043269</v>
      </c>
      <c r="AW271" s="50" t="str">
        <f t="shared" si="129"/>
        <v/>
      </c>
      <c r="AX271" s="1" t="s">
        <v>1713</v>
      </c>
      <c r="AY271" s="2" t="s">
        <v>1714</v>
      </c>
      <c r="AZ271" s="2">
        <v>243416.64</v>
      </c>
      <c r="BA271" s="73">
        <v>212989.56</v>
      </c>
      <c r="BB271" s="73">
        <v>212989.56</v>
      </c>
      <c r="BC271" s="73">
        <v>243416.64</v>
      </c>
      <c r="BD271" s="73"/>
      <c r="BE271" s="66">
        <v>3.5000000000000003E-2</v>
      </c>
      <c r="BF271" s="66">
        <v>0.05</v>
      </c>
      <c r="BG271" s="63">
        <v>45567</v>
      </c>
      <c r="BH271" s="2"/>
      <c r="BI271" s="2"/>
      <c r="BJ271" s="2"/>
      <c r="BK271" s="2"/>
      <c r="BL271" s="1" t="s">
        <v>56</v>
      </c>
    </row>
    <row r="272" spans="1:64" x14ac:dyDescent="0.25">
      <c r="A272" s="81" t="s">
        <v>494</v>
      </c>
      <c r="B272" s="82" t="s">
        <v>494</v>
      </c>
      <c r="C272" s="81" t="s">
        <v>495</v>
      </c>
      <c r="D272" s="16">
        <v>42129</v>
      </c>
      <c r="E272" s="17"/>
      <c r="F272" s="2" t="s">
        <v>243</v>
      </c>
      <c r="G272" s="2" t="s">
        <v>245</v>
      </c>
      <c r="H272" s="10" t="s">
        <v>57</v>
      </c>
      <c r="I272" s="11" t="s">
        <v>244</v>
      </c>
      <c r="J272" s="11" t="s">
        <v>478</v>
      </c>
      <c r="K272" s="61" t="s">
        <v>479</v>
      </c>
      <c r="L272" s="11" t="s">
        <v>67</v>
      </c>
      <c r="M272" s="25"/>
      <c r="N272" s="82"/>
      <c r="O272" s="3" t="str">
        <f t="shared" si="122"/>
        <v>A</v>
      </c>
      <c r="P272" s="84">
        <v>88016</v>
      </c>
      <c r="Q272" s="84">
        <v>25479</v>
      </c>
      <c r="R272" s="32"/>
      <c r="S272" s="3" t="str">
        <f t="shared" si="121"/>
        <v>A</v>
      </c>
      <c r="T272" s="84">
        <v>104865</v>
      </c>
      <c r="U272" s="84">
        <v>26316</v>
      </c>
      <c r="V272" s="32"/>
      <c r="W272" s="3" t="str">
        <f t="shared" si="123"/>
        <v>A</v>
      </c>
      <c r="X272" s="84">
        <v>94463.92</v>
      </c>
      <c r="Y272" s="84">
        <v>18835.09</v>
      </c>
      <c r="Z272" s="32"/>
      <c r="AA272" s="3" t="str">
        <f t="shared" si="124"/>
        <v>A</v>
      </c>
      <c r="AB272" s="84">
        <v>114502</v>
      </c>
      <c r="AC272" s="84">
        <v>17060</v>
      </c>
      <c r="AD272" s="36"/>
      <c r="AE272" s="82"/>
      <c r="AF272" s="3" t="str">
        <f t="shared" si="125"/>
        <v>A</v>
      </c>
      <c r="AG272" s="84">
        <v>0</v>
      </c>
      <c r="AH272" s="84">
        <v>0</v>
      </c>
      <c r="AI272" s="39"/>
      <c r="AJ272" s="79" t="s">
        <v>1801</v>
      </c>
      <c r="AK272" s="39"/>
      <c r="AL272" s="4">
        <f t="shared" si="130"/>
        <v>401846.92</v>
      </c>
      <c r="AM272" s="4">
        <f t="shared" si="131"/>
        <v>87690.09</v>
      </c>
      <c r="AN272" s="4">
        <f t="shared" si="126"/>
        <v>489537.01</v>
      </c>
      <c r="AO272" s="39"/>
      <c r="AP272" s="8">
        <f t="shared" si="132"/>
        <v>0</v>
      </c>
      <c r="AQ272" s="8">
        <f t="shared" si="133"/>
        <v>0</v>
      </c>
      <c r="AR272" s="8">
        <f t="shared" si="127"/>
        <v>0</v>
      </c>
      <c r="AS272" s="42"/>
      <c r="AT272" s="84">
        <v>401846.92</v>
      </c>
      <c r="AU272" s="84">
        <v>87690.09</v>
      </c>
      <c r="AV272" s="4">
        <f t="shared" si="128"/>
        <v>489537.01</v>
      </c>
      <c r="AW272" s="50" t="str">
        <f t="shared" si="129"/>
        <v/>
      </c>
      <c r="AX272" s="1" t="s">
        <v>1639</v>
      </c>
      <c r="AY272" s="2" t="s">
        <v>1640</v>
      </c>
      <c r="AZ272" s="2">
        <v>89569.44</v>
      </c>
      <c r="BA272" s="73">
        <v>78373.259999999995</v>
      </c>
      <c r="BB272" s="73">
        <v>78373.259999999995</v>
      </c>
      <c r="BC272" s="73">
        <v>89569.44</v>
      </c>
      <c r="BD272" s="73"/>
      <c r="BE272" s="66">
        <v>0</v>
      </c>
      <c r="BF272" s="66">
        <v>0.02</v>
      </c>
      <c r="BG272" s="63">
        <v>45683</v>
      </c>
      <c r="BH272" s="2"/>
      <c r="BI272" s="2"/>
      <c r="BJ272" s="2"/>
      <c r="BK272" s="2"/>
      <c r="BL272" s="1" t="s">
        <v>396</v>
      </c>
    </row>
    <row r="273" spans="1:64" x14ac:dyDescent="0.25">
      <c r="A273" s="81" t="s">
        <v>496</v>
      </c>
      <c r="B273" s="82" t="s">
        <v>496</v>
      </c>
      <c r="C273" s="81" t="s">
        <v>497</v>
      </c>
      <c r="D273" s="16">
        <v>41981</v>
      </c>
      <c r="E273" s="17"/>
      <c r="F273" s="2" t="s">
        <v>410</v>
      </c>
      <c r="G273" s="2" t="s">
        <v>411</v>
      </c>
      <c r="H273" s="10" t="s">
        <v>98</v>
      </c>
      <c r="I273" s="11" t="s">
        <v>53</v>
      </c>
      <c r="J273" s="11" t="s">
        <v>224</v>
      </c>
      <c r="K273" s="61"/>
      <c r="L273" s="11" t="s">
        <v>67</v>
      </c>
      <c r="M273" s="25"/>
      <c r="N273" s="82"/>
      <c r="O273" s="3" t="str">
        <f t="shared" si="122"/>
        <v>A</v>
      </c>
      <c r="P273" s="84">
        <v>150067</v>
      </c>
      <c r="Q273" s="84">
        <v>3740</v>
      </c>
      <c r="R273" s="32"/>
      <c r="S273" s="3" t="str">
        <f t="shared" si="121"/>
        <v>A</v>
      </c>
      <c r="T273" s="84">
        <v>132570</v>
      </c>
      <c r="U273" s="84">
        <v>4268</v>
      </c>
      <c r="V273" s="32"/>
      <c r="W273" s="3" t="str">
        <f t="shared" si="123"/>
        <v>A</v>
      </c>
      <c r="X273" s="84">
        <v>125276</v>
      </c>
      <c r="Y273" s="84">
        <v>4246</v>
      </c>
      <c r="Z273" s="32"/>
      <c r="AA273" s="3" t="str">
        <f t="shared" si="124"/>
        <v>A</v>
      </c>
      <c r="AB273" s="84">
        <v>135532</v>
      </c>
      <c r="AC273" s="84">
        <v>3740</v>
      </c>
      <c r="AD273" s="36"/>
      <c r="AE273" s="82"/>
      <c r="AF273" s="3" t="str">
        <f t="shared" si="125"/>
        <v>A</v>
      </c>
      <c r="AG273" s="84">
        <v>0</v>
      </c>
      <c r="AH273" s="84">
        <v>0</v>
      </c>
      <c r="AI273" s="39"/>
      <c r="AJ273" s="79" t="s">
        <v>1801</v>
      </c>
      <c r="AK273" s="39"/>
      <c r="AL273" s="4">
        <f t="shared" si="130"/>
        <v>543445</v>
      </c>
      <c r="AM273" s="4">
        <f t="shared" si="131"/>
        <v>15994</v>
      </c>
      <c r="AN273" s="4">
        <f t="shared" si="126"/>
        <v>559439</v>
      </c>
      <c r="AO273" s="39"/>
      <c r="AP273" s="8">
        <f t="shared" si="132"/>
        <v>0</v>
      </c>
      <c r="AQ273" s="8">
        <f t="shared" si="133"/>
        <v>0</v>
      </c>
      <c r="AR273" s="8">
        <f t="shared" si="127"/>
        <v>0</v>
      </c>
      <c r="AS273" s="42"/>
      <c r="AT273" s="84">
        <v>543445</v>
      </c>
      <c r="AU273" s="84">
        <v>15994</v>
      </c>
      <c r="AV273" s="4">
        <f t="shared" si="128"/>
        <v>559439</v>
      </c>
      <c r="AW273" s="50" t="str">
        <f t="shared" si="129"/>
        <v/>
      </c>
      <c r="AX273" s="1" t="s">
        <v>1702</v>
      </c>
      <c r="AY273" s="2" t="s">
        <v>1675</v>
      </c>
      <c r="AZ273" s="2">
        <v>107684.8</v>
      </c>
      <c r="BA273" s="73">
        <v>94224.2</v>
      </c>
      <c r="BB273" s="73">
        <v>94224.2</v>
      </c>
      <c r="BC273" s="73">
        <v>107684.8</v>
      </c>
      <c r="BD273" s="73"/>
      <c r="BE273" s="66">
        <v>3.5000000000000003E-2</v>
      </c>
      <c r="BF273" s="66">
        <v>0.05</v>
      </c>
      <c r="BG273" s="63">
        <v>45719</v>
      </c>
      <c r="BH273" s="74">
        <v>43912</v>
      </c>
      <c r="BI273" s="74">
        <v>43933</v>
      </c>
      <c r="BJ273" s="2"/>
      <c r="BK273" s="2"/>
      <c r="BL273" s="1" t="s">
        <v>97</v>
      </c>
    </row>
    <row r="274" spans="1:64" x14ac:dyDescent="0.25">
      <c r="A274" s="81" t="s">
        <v>496</v>
      </c>
      <c r="B274" s="82" t="s">
        <v>1189</v>
      </c>
      <c r="C274" s="81" t="s">
        <v>1190</v>
      </c>
      <c r="D274" s="16">
        <v>42853</v>
      </c>
      <c r="E274" s="17"/>
      <c r="F274" s="2" t="s">
        <v>410</v>
      </c>
      <c r="G274" s="2" t="s">
        <v>411</v>
      </c>
      <c r="H274" s="10" t="s">
        <v>98</v>
      </c>
      <c r="I274" s="11" t="s">
        <v>53</v>
      </c>
      <c r="J274" s="11" t="s">
        <v>224</v>
      </c>
      <c r="K274" s="61"/>
      <c r="L274" s="11" t="s">
        <v>67</v>
      </c>
      <c r="M274" s="25"/>
      <c r="N274" s="82"/>
      <c r="O274" s="3" t="str">
        <f t="shared" si="122"/>
        <v>A</v>
      </c>
      <c r="P274" s="84">
        <v>36608</v>
      </c>
      <c r="Q274" s="84">
        <v>0</v>
      </c>
      <c r="R274" s="32"/>
      <c r="S274" s="3" t="str">
        <f t="shared" si="121"/>
        <v>A</v>
      </c>
      <c r="T274" s="84">
        <v>38305</v>
      </c>
      <c r="U274" s="84"/>
      <c r="V274" s="32"/>
      <c r="W274" s="3" t="str">
        <f t="shared" si="123"/>
        <v>A</v>
      </c>
      <c r="X274" s="84">
        <v>36655</v>
      </c>
      <c r="Y274" s="84"/>
      <c r="Z274" s="32"/>
      <c r="AA274" s="3" t="str">
        <f t="shared" si="124"/>
        <v>A</v>
      </c>
      <c r="AB274" s="84">
        <v>40999</v>
      </c>
      <c r="AC274" s="84"/>
      <c r="AD274" s="36"/>
      <c r="AE274" s="82"/>
      <c r="AF274" s="3" t="str">
        <f t="shared" si="125"/>
        <v>A</v>
      </c>
      <c r="AG274" s="84">
        <v>0</v>
      </c>
      <c r="AH274" s="84">
        <v>0</v>
      </c>
      <c r="AI274" s="39"/>
      <c r="AJ274" s="79" t="s">
        <v>1801</v>
      </c>
      <c r="AK274" s="39"/>
      <c r="AL274" s="4">
        <f t="shared" si="130"/>
        <v>152567</v>
      </c>
      <c r="AM274" s="4">
        <f t="shared" si="131"/>
        <v>0</v>
      </c>
      <c r="AN274" s="4">
        <f t="shared" si="126"/>
        <v>152567</v>
      </c>
      <c r="AO274" s="39"/>
      <c r="AP274" s="8">
        <f t="shared" si="132"/>
        <v>0</v>
      </c>
      <c r="AQ274" s="8">
        <f t="shared" si="133"/>
        <v>0</v>
      </c>
      <c r="AR274" s="8">
        <f t="shared" si="127"/>
        <v>0</v>
      </c>
      <c r="AS274" s="42"/>
      <c r="AT274" s="84">
        <v>152567</v>
      </c>
      <c r="AU274" s="84"/>
      <c r="AV274" s="4">
        <f t="shared" si="128"/>
        <v>152567</v>
      </c>
      <c r="AW274" s="50" t="str">
        <f t="shared" si="129"/>
        <v/>
      </c>
      <c r="AX274" s="1" t="s">
        <v>1702</v>
      </c>
      <c r="AY274" s="2" t="s">
        <v>1675</v>
      </c>
      <c r="AZ274" s="2">
        <v>49043.519999999997</v>
      </c>
      <c r="BA274" s="73">
        <v>42913.08</v>
      </c>
      <c r="BB274" s="73">
        <v>42913.08</v>
      </c>
      <c r="BC274" s="73">
        <v>49043.519999999997</v>
      </c>
      <c r="BD274" s="73"/>
      <c r="BE274" s="66">
        <v>0</v>
      </c>
      <c r="BF274" s="66">
        <v>0.05</v>
      </c>
      <c r="BG274" s="63">
        <v>45719</v>
      </c>
      <c r="BH274" s="2"/>
      <c r="BI274" s="2"/>
      <c r="BJ274" s="2">
        <v>184961.25</v>
      </c>
      <c r="BK274" s="2">
        <v>3699.23</v>
      </c>
      <c r="BL274" s="1" t="s">
        <v>97</v>
      </c>
    </row>
    <row r="275" spans="1:64" x14ac:dyDescent="0.25">
      <c r="A275" s="81" t="s">
        <v>496</v>
      </c>
      <c r="B275" s="82" t="s">
        <v>1533</v>
      </c>
      <c r="C275" s="81" t="s">
        <v>1534</v>
      </c>
      <c r="D275" s="16">
        <v>42293</v>
      </c>
      <c r="E275" s="17"/>
      <c r="F275" s="2" t="s">
        <v>410</v>
      </c>
      <c r="G275" s="2" t="s">
        <v>411</v>
      </c>
      <c r="H275" s="10" t="s">
        <v>98</v>
      </c>
      <c r="I275" s="11" t="s">
        <v>53</v>
      </c>
      <c r="J275" s="11" t="s">
        <v>99</v>
      </c>
      <c r="K275" s="61"/>
      <c r="L275" s="11" t="s">
        <v>67</v>
      </c>
      <c r="M275" s="25"/>
      <c r="N275" s="82"/>
      <c r="O275" s="3" t="str">
        <f>IF($A275="","",IF(P275=AZ275,"E","A"))</f>
        <v>A</v>
      </c>
      <c r="P275" s="84">
        <v>54405</v>
      </c>
      <c r="Q275" s="84">
        <v>1980</v>
      </c>
      <c r="R275" s="32"/>
      <c r="S275" s="3" t="str">
        <f>IF($A275="","",IF(T275=BA275,"E","A"))</f>
        <v>A</v>
      </c>
      <c r="T275" s="84">
        <v>56693</v>
      </c>
      <c r="U275" s="84">
        <v>2354</v>
      </c>
      <c r="V275" s="32"/>
      <c r="W275" s="3" t="str">
        <f t="shared" si="123"/>
        <v>A</v>
      </c>
      <c r="X275" s="84">
        <v>50104</v>
      </c>
      <c r="Y275" s="84">
        <v>2310</v>
      </c>
      <c r="Z275" s="32"/>
      <c r="AA275" s="3" t="str">
        <f t="shared" si="124"/>
        <v>A</v>
      </c>
      <c r="AB275" s="84">
        <v>60743</v>
      </c>
      <c r="AC275" s="84">
        <v>2640</v>
      </c>
      <c r="AD275" s="36"/>
      <c r="AE275" s="82"/>
      <c r="AF275" s="3" t="str">
        <f t="shared" si="125"/>
        <v>A</v>
      </c>
      <c r="AG275" s="84">
        <v>0</v>
      </c>
      <c r="AH275" s="84">
        <v>0</v>
      </c>
      <c r="AI275" s="39"/>
      <c r="AJ275" s="79" t="s">
        <v>1801</v>
      </c>
      <c r="AK275" s="39"/>
      <c r="AL275" s="4">
        <f t="shared" si="130"/>
        <v>221945</v>
      </c>
      <c r="AM275" s="4">
        <f t="shared" si="131"/>
        <v>9284</v>
      </c>
      <c r="AN275" s="4">
        <f t="shared" si="126"/>
        <v>231229</v>
      </c>
      <c r="AO275" s="39"/>
      <c r="AP275" s="8">
        <f t="shared" si="132"/>
        <v>0</v>
      </c>
      <c r="AQ275" s="8">
        <f t="shared" si="133"/>
        <v>0</v>
      </c>
      <c r="AR275" s="8">
        <f t="shared" si="127"/>
        <v>0</v>
      </c>
      <c r="AS275" s="42"/>
      <c r="AT275" s="84">
        <v>221945</v>
      </c>
      <c r="AU275" s="84">
        <v>9284</v>
      </c>
      <c r="AV275" s="4">
        <f t="shared" si="128"/>
        <v>231229</v>
      </c>
      <c r="AW275" s="50" t="str">
        <f t="shared" si="129"/>
        <v/>
      </c>
      <c r="AX275" s="1" t="s">
        <v>1702</v>
      </c>
      <c r="AY275" s="2" t="s">
        <v>1675</v>
      </c>
      <c r="AZ275" s="2">
        <v>25013.119999999999</v>
      </c>
      <c r="BA275" s="73">
        <v>21886.48</v>
      </c>
      <c r="BB275" s="73">
        <v>21886.48</v>
      </c>
      <c r="BC275" s="73">
        <v>25013.119999999999</v>
      </c>
      <c r="BD275" s="73"/>
      <c r="BE275" s="66">
        <v>0</v>
      </c>
      <c r="BF275" s="66">
        <v>0.05</v>
      </c>
      <c r="BG275" s="63">
        <v>45719</v>
      </c>
      <c r="BH275" s="2"/>
      <c r="BI275" s="2"/>
      <c r="BJ275" s="2">
        <v>157221</v>
      </c>
      <c r="BK275" s="2">
        <v>8254.1</v>
      </c>
      <c r="BL275" s="1" t="s">
        <v>97</v>
      </c>
    </row>
    <row r="276" spans="1:64" x14ac:dyDescent="0.25">
      <c r="A276" s="81" t="s">
        <v>498</v>
      </c>
      <c r="B276" s="82" t="s">
        <v>498</v>
      </c>
      <c r="C276" s="81" t="s">
        <v>499</v>
      </c>
      <c r="D276" s="16">
        <v>42050</v>
      </c>
      <c r="E276" s="17"/>
      <c r="F276" s="2" t="s">
        <v>109</v>
      </c>
      <c r="G276" s="2" t="s">
        <v>111</v>
      </c>
      <c r="H276" s="10" t="s">
        <v>98</v>
      </c>
      <c r="I276" s="11" t="s">
        <v>110</v>
      </c>
      <c r="J276" s="11" t="s">
        <v>286</v>
      </c>
      <c r="K276" s="61" t="s">
        <v>287</v>
      </c>
      <c r="L276" s="11" t="s">
        <v>67</v>
      </c>
      <c r="M276" s="25"/>
      <c r="N276" s="82"/>
      <c r="O276" s="3" t="str">
        <f t="shared" ref="O276:O283" si="134">IF($A276="","",IF(P276=0,"A",IF(P276=AZ276,"E","A")))</f>
        <v>A</v>
      </c>
      <c r="P276" s="84">
        <v>81123</v>
      </c>
      <c r="Q276" s="84">
        <v>6242</v>
      </c>
      <c r="R276" s="32"/>
      <c r="S276" s="3" t="str">
        <f t="shared" ref="S276:S297" si="135">IF($A276="","",IF(T276=0,"A",IF(T276=BA276,"E","A")))</f>
        <v>A</v>
      </c>
      <c r="T276" s="84">
        <v>82097</v>
      </c>
      <c r="U276" s="84">
        <v>8319</v>
      </c>
      <c r="V276" s="32"/>
      <c r="W276" s="3" t="str">
        <f t="shared" si="123"/>
        <v>A</v>
      </c>
      <c r="X276" s="84">
        <v>81780.5</v>
      </c>
      <c r="Y276" s="84">
        <v>6059</v>
      </c>
      <c r="Z276" s="32"/>
      <c r="AA276" s="3" t="str">
        <f t="shared" si="124"/>
        <v>A</v>
      </c>
      <c r="AB276" s="84">
        <v>87414.5</v>
      </c>
      <c r="AC276" s="84">
        <v>6868</v>
      </c>
      <c r="AD276" s="36"/>
      <c r="AE276" s="82"/>
      <c r="AF276" s="3" t="str">
        <f t="shared" si="125"/>
        <v>A</v>
      </c>
      <c r="AG276" s="84">
        <v>0</v>
      </c>
      <c r="AH276" s="84">
        <v>0</v>
      </c>
      <c r="AI276" s="39"/>
      <c r="AJ276" s="79" t="s">
        <v>1801</v>
      </c>
      <c r="AK276" s="39"/>
      <c r="AL276" s="4">
        <f t="shared" si="130"/>
        <v>332415</v>
      </c>
      <c r="AM276" s="4">
        <f t="shared" si="131"/>
        <v>27488</v>
      </c>
      <c r="AN276" s="4">
        <f t="shared" si="126"/>
        <v>359903</v>
      </c>
      <c r="AO276" s="39"/>
      <c r="AP276" s="8">
        <f t="shared" si="132"/>
        <v>0</v>
      </c>
      <c r="AQ276" s="8">
        <f t="shared" si="133"/>
        <v>0</v>
      </c>
      <c r="AR276" s="8">
        <f t="shared" si="127"/>
        <v>0</v>
      </c>
      <c r="AS276" s="42"/>
      <c r="AT276" s="84">
        <v>332415</v>
      </c>
      <c r="AU276" s="84">
        <v>27488</v>
      </c>
      <c r="AV276" s="4">
        <f t="shared" si="128"/>
        <v>359903</v>
      </c>
      <c r="AW276" s="50" t="str">
        <f t="shared" si="129"/>
        <v/>
      </c>
      <c r="AX276" s="1" t="s">
        <v>1647</v>
      </c>
      <c r="AY276" s="2" t="s">
        <v>1640</v>
      </c>
      <c r="AZ276" s="2">
        <v>116258</v>
      </c>
      <c r="BA276" s="73">
        <v>101725.75</v>
      </c>
      <c r="BB276" s="73">
        <v>101725.75</v>
      </c>
      <c r="BC276" s="73">
        <v>116258</v>
      </c>
      <c r="BD276" s="73"/>
      <c r="BE276" s="66">
        <v>0</v>
      </c>
      <c r="BF276" s="66">
        <v>0.02</v>
      </c>
      <c r="BG276" s="63">
        <v>45575</v>
      </c>
      <c r="BH276" s="2"/>
      <c r="BI276" s="2"/>
      <c r="BJ276" s="2"/>
      <c r="BK276" s="2"/>
      <c r="BL276" s="1" t="s">
        <v>237</v>
      </c>
    </row>
    <row r="277" spans="1:64" x14ac:dyDescent="0.25">
      <c r="A277" s="81" t="s">
        <v>500</v>
      </c>
      <c r="B277" s="82" t="s">
        <v>500</v>
      </c>
      <c r="C277" s="81" t="s">
        <v>501</v>
      </c>
      <c r="D277" s="16">
        <v>39059</v>
      </c>
      <c r="E277" s="17"/>
      <c r="F277" s="2" t="s">
        <v>502</v>
      </c>
      <c r="G277" s="2" t="s">
        <v>503</v>
      </c>
      <c r="H277" s="10" t="s">
        <v>105</v>
      </c>
      <c r="I277" s="11" t="s">
        <v>53</v>
      </c>
      <c r="J277" s="11" t="s">
        <v>258</v>
      </c>
      <c r="K277" s="61"/>
      <c r="L277" s="11" t="s">
        <v>67</v>
      </c>
      <c r="M277" s="25"/>
      <c r="N277" s="82"/>
      <c r="O277" s="3" t="str">
        <f t="shared" si="134"/>
        <v>E</v>
      </c>
      <c r="P277" s="84">
        <v>104095.67999999999</v>
      </c>
      <c r="Q277" s="84">
        <v>28602.639999999999</v>
      </c>
      <c r="R277" s="32"/>
      <c r="S277" s="3" t="str">
        <f t="shared" si="135"/>
        <v>E</v>
      </c>
      <c r="T277" s="84">
        <v>91083.72</v>
      </c>
      <c r="U277" s="84">
        <v>25027.31</v>
      </c>
      <c r="V277" s="32"/>
      <c r="W277" s="3" t="str">
        <f t="shared" si="123"/>
        <v>E</v>
      </c>
      <c r="X277" s="84">
        <v>91083.72</v>
      </c>
      <c r="Y277" s="84">
        <v>25027.31</v>
      </c>
      <c r="Z277" s="32"/>
      <c r="AA277" s="3" t="str">
        <f t="shared" si="124"/>
        <v>E</v>
      </c>
      <c r="AB277" s="84">
        <v>104095.67999999999</v>
      </c>
      <c r="AC277" s="84">
        <v>28602.639999999999</v>
      </c>
      <c r="AD277" s="36"/>
      <c r="AE277" s="82"/>
      <c r="AF277" s="3" t="str">
        <f t="shared" si="125"/>
        <v>A</v>
      </c>
      <c r="AG277" s="84"/>
      <c r="AH277" s="84"/>
      <c r="AI277" s="39"/>
      <c r="AJ277" s="79" t="s">
        <v>38</v>
      </c>
      <c r="AK277" s="39"/>
      <c r="AL277" s="4">
        <f t="shared" si="130"/>
        <v>0</v>
      </c>
      <c r="AM277" s="4">
        <f t="shared" si="131"/>
        <v>0</v>
      </c>
      <c r="AN277" s="4">
        <f t="shared" si="126"/>
        <v>0</v>
      </c>
      <c r="AO277" s="39"/>
      <c r="AP277" s="8">
        <f t="shared" si="132"/>
        <v>390358.8</v>
      </c>
      <c r="AQ277" s="8">
        <f t="shared" si="133"/>
        <v>107259.9</v>
      </c>
      <c r="AR277" s="8">
        <f t="shared" si="127"/>
        <v>497618.69999999995</v>
      </c>
      <c r="AS277" s="42"/>
      <c r="AT277" s="84"/>
      <c r="AU277" s="84"/>
      <c r="AV277" s="4">
        <f t="shared" si="128"/>
        <v>0</v>
      </c>
      <c r="AW277" s="50" t="str">
        <f t="shared" si="129"/>
        <v/>
      </c>
      <c r="AX277" s="1" t="s">
        <v>1715</v>
      </c>
      <c r="AY277" s="2" t="s">
        <v>1716</v>
      </c>
      <c r="AZ277" s="2">
        <v>104095.67999999999</v>
      </c>
      <c r="BA277" s="73">
        <v>91083.72</v>
      </c>
      <c r="BB277" s="73">
        <v>91083.72</v>
      </c>
      <c r="BC277" s="73">
        <v>104095.67999999999</v>
      </c>
      <c r="BD277" s="73"/>
      <c r="BE277" s="66">
        <v>3.5000000000000003E-2</v>
      </c>
      <c r="BF277" s="66">
        <v>0.05</v>
      </c>
      <c r="BG277" s="63">
        <v>44538</v>
      </c>
      <c r="BH277" s="2"/>
      <c r="BI277" s="2"/>
      <c r="BJ277" s="2"/>
      <c r="BK277" s="2"/>
      <c r="BL277" s="1" t="s">
        <v>104</v>
      </c>
    </row>
    <row r="278" spans="1:64" x14ac:dyDescent="0.25">
      <c r="A278" s="81" t="s">
        <v>504</v>
      </c>
      <c r="B278" s="82" t="s">
        <v>504</v>
      </c>
      <c r="C278" s="81" t="s">
        <v>505</v>
      </c>
      <c r="D278" s="16">
        <v>42014</v>
      </c>
      <c r="E278" s="17"/>
      <c r="F278" s="2" t="s">
        <v>235</v>
      </c>
      <c r="G278" s="2" t="s">
        <v>236</v>
      </c>
      <c r="H278" s="10" t="s">
        <v>98</v>
      </c>
      <c r="I278" s="11" t="s">
        <v>53</v>
      </c>
      <c r="J278" s="11" t="s">
        <v>238</v>
      </c>
      <c r="K278" s="61"/>
      <c r="L278" s="11" t="s">
        <v>67</v>
      </c>
      <c r="M278" s="25"/>
      <c r="N278" s="82"/>
      <c r="O278" s="3" t="str">
        <f t="shared" si="134"/>
        <v>A</v>
      </c>
      <c r="P278" s="84">
        <v>558881</v>
      </c>
      <c r="Q278" s="84">
        <v>19223</v>
      </c>
      <c r="R278" s="32"/>
      <c r="S278" s="3" t="str">
        <f t="shared" si="135"/>
        <v>A</v>
      </c>
      <c r="T278" s="84">
        <v>518436</v>
      </c>
      <c r="U278" s="84">
        <v>24719</v>
      </c>
      <c r="V278" s="32"/>
      <c r="W278" s="3" t="str">
        <f t="shared" si="123"/>
        <v>A</v>
      </c>
      <c r="X278" s="84">
        <v>437568</v>
      </c>
      <c r="Y278" s="84">
        <v>18815</v>
      </c>
      <c r="Z278" s="32"/>
      <c r="AA278" s="3" t="str">
        <f t="shared" si="124"/>
        <v>A</v>
      </c>
      <c r="AB278" s="84">
        <v>493893</v>
      </c>
      <c r="AC278" s="84">
        <v>18689</v>
      </c>
      <c r="AD278" s="36"/>
      <c r="AE278" s="82"/>
      <c r="AF278" s="3" t="str">
        <f t="shared" si="125"/>
        <v>A</v>
      </c>
      <c r="AG278" s="84">
        <v>0</v>
      </c>
      <c r="AH278" s="84">
        <v>0</v>
      </c>
      <c r="AI278" s="39"/>
      <c r="AJ278" s="79" t="s">
        <v>1801</v>
      </c>
      <c r="AK278" s="39"/>
      <c r="AL278" s="4">
        <f t="shared" si="130"/>
        <v>2008778</v>
      </c>
      <c r="AM278" s="4">
        <f t="shared" si="131"/>
        <v>81446</v>
      </c>
      <c r="AN278" s="4">
        <f t="shared" si="126"/>
        <v>2090224</v>
      </c>
      <c r="AO278" s="39"/>
      <c r="AP278" s="8">
        <f t="shared" si="132"/>
        <v>0</v>
      </c>
      <c r="AQ278" s="8">
        <f t="shared" si="133"/>
        <v>0</v>
      </c>
      <c r="AR278" s="8">
        <f t="shared" si="127"/>
        <v>0</v>
      </c>
      <c r="AS278" s="42"/>
      <c r="AT278" s="84">
        <v>2008778</v>
      </c>
      <c r="AU278" s="84">
        <v>81446</v>
      </c>
      <c r="AV278" s="4">
        <f t="shared" si="128"/>
        <v>2090224</v>
      </c>
      <c r="AW278" s="50" t="str">
        <f t="shared" si="129"/>
        <v/>
      </c>
      <c r="AX278" s="1" t="s">
        <v>1662</v>
      </c>
      <c r="AY278" s="2" t="s">
        <v>1663</v>
      </c>
      <c r="AZ278" s="2">
        <v>288264.56</v>
      </c>
      <c r="BA278" s="73">
        <v>252231.49</v>
      </c>
      <c r="BB278" s="73">
        <v>252231.49</v>
      </c>
      <c r="BC278" s="73">
        <v>288264.56</v>
      </c>
      <c r="BD278" s="73"/>
      <c r="BE278" s="66">
        <v>3.5000000000000003E-2</v>
      </c>
      <c r="BF278" s="66">
        <v>0.05</v>
      </c>
      <c r="BG278" s="63">
        <v>45667</v>
      </c>
      <c r="BH278" s="74">
        <v>43914</v>
      </c>
      <c r="BI278" s="74">
        <v>43927</v>
      </c>
      <c r="BJ278" s="2"/>
      <c r="BK278" s="2"/>
      <c r="BL278" s="1" t="s">
        <v>237</v>
      </c>
    </row>
    <row r="279" spans="1:64" x14ac:dyDescent="0.25">
      <c r="A279" s="81" t="s">
        <v>506</v>
      </c>
      <c r="B279" s="82" t="s">
        <v>506</v>
      </c>
      <c r="C279" s="81" t="s">
        <v>507</v>
      </c>
      <c r="D279" s="16">
        <v>42234</v>
      </c>
      <c r="E279" s="17"/>
      <c r="F279" s="2" t="s">
        <v>243</v>
      </c>
      <c r="G279" s="2" t="s">
        <v>245</v>
      </c>
      <c r="H279" s="10" t="s">
        <v>57</v>
      </c>
      <c r="I279" s="11" t="s">
        <v>244</v>
      </c>
      <c r="J279" s="11" t="s">
        <v>478</v>
      </c>
      <c r="K279" s="61" t="s">
        <v>479</v>
      </c>
      <c r="L279" s="11" t="s">
        <v>67</v>
      </c>
      <c r="M279" s="25"/>
      <c r="N279" s="82"/>
      <c r="O279" s="3" t="str">
        <f t="shared" si="134"/>
        <v>A</v>
      </c>
      <c r="P279" s="84">
        <v>115814</v>
      </c>
      <c r="Q279" s="84">
        <v>14631</v>
      </c>
      <c r="R279" s="32"/>
      <c r="S279" s="3" t="str">
        <f t="shared" si="135"/>
        <v>A</v>
      </c>
      <c r="T279" s="84">
        <v>123087</v>
      </c>
      <c r="U279" s="84">
        <v>37662</v>
      </c>
      <c r="V279" s="32"/>
      <c r="W279" s="3" t="str">
        <f t="shared" si="123"/>
        <v>A</v>
      </c>
      <c r="X279" s="84">
        <v>95490.240000000005</v>
      </c>
      <c r="Y279" s="84">
        <v>18391.900000000001</v>
      </c>
      <c r="Z279" s="32"/>
      <c r="AA279" s="3" t="str">
        <f t="shared" si="124"/>
        <v>A</v>
      </c>
      <c r="AB279" s="84">
        <v>103723.7</v>
      </c>
      <c r="AC279" s="84">
        <v>14986</v>
      </c>
      <c r="AD279" s="36"/>
      <c r="AE279" s="82"/>
      <c r="AF279" s="3" t="str">
        <f t="shared" si="125"/>
        <v>A</v>
      </c>
      <c r="AG279" s="84">
        <v>0</v>
      </c>
      <c r="AH279" s="84">
        <v>0</v>
      </c>
      <c r="AI279" s="39"/>
      <c r="AJ279" s="79" t="s">
        <v>1801</v>
      </c>
      <c r="AK279" s="39"/>
      <c r="AL279" s="4">
        <f t="shared" si="130"/>
        <v>438114.94</v>
      </c>
      <c r="AM279" s="4">
        <f t="shared" si="131"/>
        <v>85670.9</v>
      </c>
      <c r="AN279" s="4">
        <f t="shared" si="126"/>
        <v>523785.83999999997</v>
      </c>
      <c r="AO279" s="39"/>
      <c r="AP279" s="8">
        <f t="shared" si="132"/>
        <v>0</v>
      </c>
      <c r="AQ279" s="8">
        <f t="shared" si="133"/>
        <v>0</v>
      </c>
      <c r="AR279" s="8">
        <f t="shared" si="127"/>
        <v>0</v>
      </c>
      <c r="AS279" s="42"/>
      <c r="AT279" s="84">
        <v>438114.94000000006</v>
      </c>
      <c r="AU279" s="84">
        <v>85670.9</v>
      </c>
      <c r="AV279" s="4">
        <f t="shared" si="128"/>
        <v>523785.84000000008</v>
      </c>
      <c r="AW279" s="50" t="str">
        <f t="shared" si="129"/>
        <v/>
      </c>
      <c r="AX279" s="1" t="s">
        <v>1639</v>
      </c>
      <c r="AY279" s="2" t="s">
        <v>1640</v>
      </c>
      <c r="AZ279" s="2">
        <v>163140.07999999999</v>
      </c>
      <c r="BA279" s="73">
        <v>142747.57</v>
      </c>
      <c r="BB279" s="73">
        <v>142747.57</v>
      </c>
      <c r="BC279" s="73">
        <v>163140.07999999999</v>
      </c>
      <c r="BD279" s="73"/>
      <c r="BE279" s="66">
        <v>0</v>
      </c>
      <c r="BF279" s="66">
        <v>0.02</v>
      </c>
      <c r="BG279" s="63">
        <v>44013</v>
      </c>
      <c r="BH279" s="2"/>
      <c r="BI279" s="2"/>
      <c r="BJ279" s="2"/>
      <c r="BK279" s="2"/>
      <c r="BL279" s="1" t="s">
        <v>396</v>
      </c>
    </row>
    <row r="280" spans="1:64" x14ac:dyDescent="0.25">
      <c r="A280" s="81" t="s">
        <v>508</v>
      </c>
      <c r="B280" s="82" t="s">
        <v>508</v>
      </c>
      <c r="C280" s="81" t="s">
        <v>509</v>
      </c>
      <c r="D280" s="16">
        <v>42260</v>
      </c>
      <c r="E280" s="17"/>
      <c r="F280" s="2" t="s">
        <v>243</v>
      </c>
      <c r="G280" s="2" t="s">
        <v>245</v>
      </c>
      <c r="H280" s="10" t="s">
        <v>98</v>
      </c>
      <c r="I280" s="11" t="s">
        <v>244</v>
      </c>
      <c r="J280" s="11" t="s">
        <v>278</v>
      </c>
      <c r="K280" s="61" t="s">
        <v>279</v>
      </c>
      <c r="L280" s="11" t="s">
        <v>67</v>
      </c>
      <c r="M280" s="25"/>
      <c r="N280" s="82"/>
      <c r="O280" s="3" t="str">
        <f t="shared" si="134"/>
        <v>A</v>
      </c>
      <c r="P280" s="84">
        <v>82149</v>
      </c>
      <c r="Q280" s="84">
        <v>19765</v>
      </c>
      <c r="R280" s="32"/>
      <c r="S280" s="3" t="str">
        <f t="shared" si="135"/>
        <v>A</v>
      </c>
      <c r="T280" s="84">
        <v>70008</v>
      </c>
      <c r="U280" s="84">
        <v>15323</v>
      </c>
      <c r="V280" s="32"/>
      <c r="W280" s="3" t="str">
        <f t="shared" si="123"/>
        <v>A</v>
      </c>
      <c r="X280" s="84">
        <v>61251</v>
      </c>
      <c r="Y280" s="84">
        <v>15782</v>
      </c>
      <c r="Z280" s="32"/>
      <c r="AA280" s="3" t="str">
        <f t="shared" si="124"/>
        <v>A</v>
      </c>
      <c r="AB280" s="84">
        <v>70232</v>
      </c>
      <c r="AC280" s="84">
        <v>16511</v>
      </c>
      <c r="AD280" s="36"/>
      <c r="AE280" s="82"/>
      <c r="AF280" s="3" t="str">
        <f t="shared" si="125"/>
        <v>A</v>
      </c>
      <c r="AG280" s="84">
        <v>0</v>
      </c>
      <c r="AH280" s="84">
        <v>0</v>
      </c>
      <c r="AI280" s="39"/>
      <c r="AJ280" s="79" t="s">
        <v>1801</v>
      </c>
      <c r="AK280" s="39"/>
      <c r="AL280" s="4">
        <f t="shared" si="130"/>
        <v>283640</v>
      </c>
      <c r="AM280" s="4">
        <f t="shared" si="131"/>
        <v>67381</v>
      </c>
      <c r="AN280" s="4">
        <f t="shared" si="126"/>
        <v>351021</v>
      </c>
      <c r="AO280" s="39"/>
      <c r="AP280" s="8">
        <f t="shared" si="132"/>
        <v>0</v>
      </c>
      <c r="AQ280" s="8">
        <f t="shared" si="133"/>
        <v>0</v>
      </c>
      <c r="AR280" s="8">
        <f t="shared" si="127"/>
        <v>0</v>
      </c>
      <c r="AS280" s="42"/>
      <c r="AT280" s="84">
        <v>283640</v>
      </c>
      <c r="AU280" s="84">
        <v>67381</v>
      </c>
      <c r="AV280" s="4">
        <f t="shared" si="128"/>
        <v>351021</v>
      </c>
      <c r="AW280" s="50" t="str">
        <f t="shared" si="129"/>
        <v/>
      </c>
      <c r="AX280" s="1" t="s">
        <v>1639</v>
      </c>
      <c r="AY280" s="2" t="s">
        <v>1640</v>
      </c>
      <c r="AZ280" s="2">
        <v>70523.44</v>
      </c>
      <c r="BA280" s="73">
        <v>61708.01</v>
      </c>
      <c r="BB280" s="73">
        <v>61708.01</v>
      </c>
      <c r="BC280" s="73">
        <v>70523.44</v>
      </c>
      <c r="BD280" s="73"/>
      <c r="BE280" s="66">
        <v>3.5000000000000003E-2</v>
      </c>
      <c r="BF280" s="66">
        <v>0.02</v>
      </c>
      <c r="BG280" s="63">
        <v>45837</v>
      </c>
      <c r="BH280" s="74">
        <v>43911</v>
      </c>
      <c r="BI280" s="74">
        <v>43924</v>
      </c>
      <c r="BJ280" s="2"/>
      <c r="BK280" s="2"/>
      <c r="BL280" s="1" t="s">
        <v>97</v>
      </c>
    </row>
    <row r="281" spans="1:64" x14ac:dyDescent="0.25">
      <c r="A281" s="81" t="s">
        <v>508</v>
      </c>
      <c r="B281" s="82" t="s">
        <v>788</v>
      </c>
      <c r="C281" s="81" t="s">
        <v>789</v>
      </c>
      <c r="D281" s="16">
        <v>42458</v>
      </c>
      <c r="E281" s="17"/>
      <c r="F281" s="2" t="s">
        <v>243</v>
      </c>
      <c r="G281" s="2" t="s">
        <v>245</v>
      </c>
      <c r="H281" s="10" t="s">
        <v>98</v>
      </c>
      <c r="I281" s="11" t="s">
        <v>244</v>
      </c>
      <c r="J281" s="11" t="s">
        <v>278</v>
      </c>
      <c r="K281" s="61" t="s">
        <v>279</v>
      </c>
      <c r="L281" s="11" t="s">
        <v>67</v>
      </c>
      <c r="M281" s="25"/>
      <c r="N281" s="82"/>
      <c r="O281" s="3" t="str">
        <f t="shared" si="134"/>
        <v>A</v>
      </c>
      <c r="P281" s="84">
        <v>44851</v>
      </c>
      <c r="Q281" s="84">
        <v>10854</v>
      </c>
      <c r="R281" s="32"/>
      <c r="S281" s="3" t="str">
        <f t="shared" si="135"/>
        <v>A</v>
      </c>
      <c r="T281" s="84">
        <v>38922</v>
      </c>
      <c r="U281" s="84">
        <v>9885</v>
      </c>
      <c r="V281" s="32"/>
      <c r="W281" s="3" t="str">
        <f t="shared" si="123"/>
        <v>A</v>
      </c>
      <c r="X281" s="84">
        <v>37639</v>
      </c>
      <c r="Y281" s="84">
        <v>8305</v>
      </c>
      <c r="Z281" s="32"/>
      <c r="AA281" s="3" t="str">
        <f t="shared" si="124"/>
        <v>A</v>
      </c>
      <c r="AB281" s="84">
        <v>49240</v>
      </c>
      <c r="AC281" s="84">
        <v>11124</v>
      </c>
      <c r="AD281" s="36"/>
      <c r="AE281" s="82"/>
      <c r="AF281" s="3" t="str">
        <f t="shared" si="125"/>
        <v>A</v>
      </c>
      <c r="AG281" s="84">
        <v>0</v>
      </c>
      <c r="AH281" s="84">
        <v>0</v>
      </c>
      <c r="AI281" s="39"/>
      <c r="AJ281" s="79" t="s">
        <v>1801</v>
      </c>
      <c r="AK281" s="39"/>
      <c r="AL281" s="4">
        <f t="shared" si="130"/>
        <v>170652</v>
      </c>
      <c r="AM281" s="4">
        <f t="shared" si="131"/>
        <v>40168</v>
      </c>
      <c r="AN281" s="4">
        <f t="shared" si="126"/>
        <v>210820</v>
      </c>
      <c r="AO281" s="39"/>
      <c r="AP281" s="8">
        <f t="shared" si="132"/>
        <v>0</v>
      </c>
      <c r="AQ281" s="8">
        <f t="shared" si="133"/>
        <v>0</v>
      </c>
      <c r="AR281" s="8">
        <f t="shared" si="127"/>
        <v>0</v>
      </c>
      <c r="AS281" s="42"/>
      <c r="AT281" s="84">
        <v>170652</v>
      </c>
      <c r="AU281" s="84">
        <v>40168</v>
      </c>
      <c r="AV281" s="4">
        <f t="shared" si="128"/>
        <v>210820</v>
      </c>
      <c r="AW281" s="50" t="str">
        <f t="shared" si="129"/>
        <v/>
      </c>
      <c r="AX281" s="1" t="s">
        <v>1639</v>
      </c>
      <c r="AY281" s="2" t="s">
        <v>1640</v>
      </c>
      <c r="AZ281" s="2">
        <v>26160.959999999999</v>
      </c>
      <c r="BA281" s="73">
        <v>22890.84</v>
      </c>
      <c r="BB281" s="73">
        <v>22890.84</v>
      </c>
      <c r="BC281" s="73">
        <v>26160.959999999999</v>
      </c>
      <c r="BD281" s="73"/>
      <c r="BE281" s="66">
        <v>3.5000000000000003E-2</v>
      </c>
      <c r="BF281" s="66">
        <v>0.02</v>
      </c>
      <c r="BG281" s="63">
        <v>45837</v>
      </c>
      <c r="BH281" s="74">
        <v>43908</v>
      </c>
      <c r="BI281" s="74">
        <v>43971</v>
      </c>
      <c r="BJ281" s="2"/>
      <c r="BK281" s="2"/>
      <c r="BL281" s="1" t="s">
        <v>97</v>
      </c>
    </row>
    <row r="282" spans="1:64" x14ac:dyDescent="0.25">
      <c r="A282" s="81" t="s">
        <v>508</v>
      </c>
      <c r="B282" s="82" t="s">
        <v>1047</v>
      </c>
      <c r="C282" s="81" t="s">
        <v>1048</v>
      </c>
      <c r="D282" s="16">
        <v>0</v>
      </c>
      <c r="E282" s="17"/>
      <c r="F282" s="2" t="s">
        <v>243</v>
      </c>
      <c r="G282" s="2" t="s">
        <v>245</v>
      </c>
      <c r="H282" s="10" t="s">
        <v>98</v>
      </c>
      <c r="I282" s="11" t="s">
        <v>244</v>
      </c>
      <c r="J282" s="11" t="s">
        <v>278</v>
      </c>
      <c r="K282" s="61" t="s">
        <v>279</v>
      </c>
      <c r="L282" s="11" t="s">
        <v>67</v>
      </c>
      <c r="M282" s="25"/>
      <c r="N282" s="82"/>
      <c r="O282" s="3" t="str">
        <f t="shared" si="134"/>
        <v>A</v>
      </c>
      <c r="P282" s="84">
        <v>33480</v>
      </c>
      <c r="Q282" s="84">
        <v>2866</v>
      </c>
      <c r="R282" s="32"/>
      <c r="S282" s="3" t="str">
        <f t="shared" si="135"/>
        <v>A</v>
      </c>
      <c r="T282" s="84">
        <v>32316</v>
      </c>
      <c r="U282" s="84">
        <v>2966</v>
      </c>
      <c r="V282" s="32"/>
      <c r="W282" s="3" t="str">
        <f t="shared" si="123"/>
        <v>A</v>
      </c>
      <c r="X282" s="84">
        <v>21943</v>
      </c>
      <c r="Y282" s="84">
        <v>2685</v>
      </c>
      <c r="Z282" s="32"/>
      <c r="AA282" s="3" t="str">
        <f t="shared" si="124"/>
        <v>A</v>
      </c>
      <c r="AB282" s="84">
        <v>32253</v>
      </c>
      <c r="AC282" s="84">
        <v>4310</v>
      </c>
      <c r="AD282" s="36"/>
      <c r="AE282" s="82"/>
      <c r="AF282" s="3" t="str">
        <f t="shared" si="125"/>
        <v>A</v>
      </c>
      <c r="AG282" s="84">
        <v>0</v>
      </c>
      <c r="AH282" s="84">
        <v>0</v>
      </c>
      <c r="AI282" s="39"/>
      <c r="AJ282" s="79" t="s">
        <v>1801</v>
      </c>
      <c r="AK282" s="39"/>
      <c r="AL282" s="4">
        <f t="shared" si="130"/>
        <v>119992</v>
      </c>
      <c r="AM282" s="4">
        <f t="shared" si="131"/>
        <v>12827</v>
      </c>
      <c r="AN282" s="4">
        <f t="shared" si="126"/>
        <v>132819</v>
      </c>
      <c r="AO282" s="39"/>
      <c r="AP282" s="8">
        <f t="shared" si="132"/>
        <v>0</v>
      </c>
      <c r="AQ282" s="8">
        <f t="shared" si="133"/>
        <v>0</v>
      </c>
      <c r="AR282" s="8">
        <f t="shared" si="127"/>
        <v>0</v>
      </c>
      <c r="AS282" s="42"/>
      <c r="AT282" s="84">
        <v>119992</v>
      </c>
      <c r="AU282" s="84">
        <v>12827</v>
      </c>
      <c r="AV282" s="4">
        <f t="shared" si="128"/>
        <v>132819</v>
      </c>
      <c r="AW282" s="50" t="str">
        <f t="shared" si="129"/>
        <v/>
      </c>
      <c r="AX282" s="1" t="s">
        <v>1639</v>
      </c>
      <c r="AY282" s="2" t="s">
        <v>1640</v>
      </c>
      <c r="AZ282" s="2">
        <v>105740.32</v>
      </c>
      <c r="BA282" s="73">
        <v>92522.78</v>
      </c>
      <c r="BB282" s="73">
        <v>92522.78</v>
      </c>
      <c r="BC282" s="73">
        <v>105740.32</v>
      </c>
      <c r="BD282" s="73"/>
      <c r="BE282" s="66">
        <v>0</v>
      </c>
      <c r="BF282" s="66">
        <v>0.02</v>
      </c>
      <c r="BG282" s="63">
        <v>45837</v>
      </c>
      <c r="BH282" s="2"/>
      <c r="BI282" s="2"/>
      <c r="BJ282" s="2">
        <v>385136.78</v>
      </c>
      <c r="BK282" s="2">
        <v>41769</v>
      </c>
      <c r="BL282" s="1" t="s">
        <v>97</v>
      </c>
    </row>
    <row r="283" spans="1:64" x14ac:dyDescent="0.25">
      <c r="A283" s="81" t="s">
        <v>508</v>
      </c>
      <c r="B283" s="82" t="s">
        <v>1085</v>
      </c>
      <c r="C283" s="81" t="s">
        <v>1086</v>
      </c>
      <c r="D283" s="16">
        <v>0</v>
      </c>
      <c r="E283" s="17"/>
      <c r="F283" s="2" t="s">
        <v>243</v>
      </c>
      <c r="G283" s="2" t="s">
        <v>245</v>
      </c>
      <c r="H283" s="10" t="s">
        <v>98</v>
      </c>
      <c r="I283" s="11" t="s">
        <v>244</v>
      </c>
      <c r="J283" s="11" t="s">
        <v>278</v>
      </c>
      <c r="K283" s="61" t="s">
        <v>279</v>
      </c>
      <c r="L283" s="11" t="s">
        <v>67</v>
      </c>
      <c r="M283" s="25"/>
      <c r="N283" s="82"/>
      <c r="O283" s="3" t="str">
        <f t="shared" si="134"/>
        <v>A</v>
      </c>
      <c r="P283" s="84">
        <v>57015</v>
      </c>
      <c r="Q283" s="84">
        <v>1546</v>
      </c>
      <c r="R283" s="32"/>
      <c r="S283" s="3" t="str">
        <f t="shared" si="135"/>
        <v>A</v>
      </c>
      <c r="T283" s="84">
        <v>49523</v>
      </c>
      <c r="U283" s="84">
        <v>1283</v>
      </c>
      <c r="V283" s="32"/>
      <c r="W283" s="3" t="str">
        <f t="shared" si="123"/>
        <v>A</v>
      </c>
      <c r="X283" s="84">
        <v>43654</v>
      </c>
      <c r="Y283" s="84">
        <v>1334</v>
      </c>
      <c r="Z283" s="32"/>
      <c r="AA283" s="3" t="str">
        <f t="shared" si="124"/>
        <v>A</v>
      </c>
      <c r="AB283" s="84">
        <v>58776</v>
      </c>
      <c r="AC283" s="84">
        <v>1342</v>
      </c>
      <c r="AD283" s="36"/>
      <c r="AE283" s="82"/>
      <c r="AF283" s="3" t="str">
        <f t="shared" si="125"/>
        <v>A</v>
      </c>
      <c r="AG283" s="84">
        <v>0</v>
      </c>
      <c r="AH283" s="84">
        <v>0</v>
      </c>
      <c r="AI283" s="39"/>
      <c r="AJ283" s="79" t="s">
        <v>1801</v>
      </c>
      <c r="AK283" s="39"/>
      <c r="AL283" s="4">
        <f t="shared" si="130"/>
        <v>208968</v>
      </c>
      <c r="AM283" s="4">
        <f t="shared" si="131"/>
        <v>5505</v>
      </c>
      <c r="AN283" s="4">
        <f t="shared" si="126"/>
        <v>214473</v>
      </c>
      <c r="AO283" s="39"/>
      <c r="AP283" s="8">
        <f t="shared" si="132"/>
        <v>0</v>
      </c>
      <c r="AQ283" s="8">
        <f t="shared" si="133"/>
        <v>0</v>
      </c>
      <c r="AR283" s="8">
        <f t="shared" si="127"/>
        <v>0</v>
      </c>
      <c r="AS283" s="42"/>
      <c r="AT283" s="84">
        <v>208968</v>
      </c>
      <c r="AU283" s="84">
        <v>5505</v>
      </c>
      <c r="AV283" s="4">
        <f t="shared" si="128"/>
        <v>214473</v>
      </c>
      <c r="AW283" s="50" t="str">
        <f t="shared" si="129"/>
        <v/>
      </c>
      <c r="AX283" s="1" t="s">
        <v>1639</v>
      </c>
      <c r="AY283" s="2" t="s">
        <v>1640</v>
      </c>
      <c r="AZ283" s="2">
        <v>40382</v>
      </c>
      <c r="BA283" s="73">
        <v>35334.25</v>
      </c>
      <c r="BB283" s="73">
        <v>35334.25</v>
      </c>
      <c r="BC283" s="73">
        <v>40382</v>
      </c>
      <c r="BD283" s="73"/>
      <c r="BE283" s="66">
        <v>0</v>
      </c>
      <c r="BF283" s="66">
        <v>0.02</v>
      </c>
      <c r="BG283" s="63">
        <v>45837</v>
      </c>
      <c r="BH283" s="2"/>
      <c r="BI283" s="2"/>
      <c r="BJ283" s="2">
        <v>146124</v>
      </c>
      <c r="BK283" s="2">
        <v>18265.5</v>
      </c>
      <c r="BL283" s="1" t="s">
        <v>97</v>
      </c>
    </row>
    <row r="284" spans="1:64" x14ac:dyDescent="0.25">
      <c r="A284" s="81" t="s">
        <v>508</v>
      </c>
      <c r="B284" s="82" t="s">
        <v>1358</v>
      </c>
      <c r="C284" s="81" t="s">
        <v>1359</v>
      </c>
      <c r="D284" s="16">
        <v>0</v>
      </c>
      <c r="E284" s="17"/>
      <c r="F284" s="2" t="s">
        <v>243</v>
      </c>
      <c r="G284" s="2" t="s">
        <v>245</v>
      </c>
      <c r="H284" s="10" t="s">
        <v>98</v>
      </c>
      <c r="I284" s="11" t="s">
        <v>244</v>
      </c>
      <c r="J284" s="11" t="s">
        <v>278</v>
      </c>
      <c r="K284" s="61" t="s">
        <v>279</v>
      </c>
      <c r="L284" s="11" t="s">
        <v>67</v>
      </c>
      <c r="M284" s="25"/>
      <c r="N284" s="82"/>
      <c r="O284" s="3" t="str">
        <f>IF($A284="","",IF(P284=AZ284,"E","A"))</f>
        <v>A</v>
      </c>
      <c r="P284" s="84">
        <v>32131</v>
      </c>
      <c r="Q284" s="84">
        <v>3548</v>
      </c>
      <c r="R284" s="32"/>
      <c r="S284" s="3" t="str">
        <f t="shared" si="135"/>
        <v>A</v>
      </c>
      <c r="T284" s="84">
        <v>26353</v>
      </c>
      <c r="U284" s="84">
        <v>4142</v>
      </c>
      <c r="V284" s="32"/>
      <c r="W284" s="3" t="str">
        <f t="shared" si="123"/>
        <v>A</v>
      </c>
      <c r="X284" s="84">
        <v>22270</v>
      </c>
      <c r="Y284" s="84">
        <v>2552</v>
      </c>
      <c r="Z284" s="32"/>
      <c r="AA284" s="3" t="str">
        <f t="shared" si="124"/>
        <v>A</v>
      </c>
      <c r="AB284" s="84">
        <v>31047</v>
      </c>
      <c r="AC284" s="84">
        <v>2960</v>
      </c>
      <c r="AD284" s="36"/>
      <c r="AE284" s="82"/>
      <c r="AF284" s="3" t="str">
        <f t="shared" si="125"/>
        <v>A</v>
      </c>
      <c r="AG284" s="84">
        <v>0</v>
      </c>
      <c r="AH284" s="84">
        <v>0</v>
      </c>
      <c r="AI284" s="39"/>
      <c r="AJ284" s="79" t="s">
        <v>1801</v>
      </c>
      <c r="AK284" s="39"/>
      <c r="AL284" s="4">
        <f t="shared" si="130"/>
        <v>111801</v>
      </c>
      <c r="AM284" s="4">
        <f t="shared" si="131"/>
        <v>13202</v>
      </c>
      <c r="AN284" s="4">
        <f t="shared" si="126"/>
        <v>125003</v>
      </c>
      <c r="AO284" s="39"/>
      <c r="AP284" s="8">
        <f t="shared" si="132"/>
        <v>0</v>
      </c>
      <c r="AQ284" s="8">
        <f t="shared" si="133"/>
        <v>0</v>
      </c>
      <c r="AR284" s="8">
        <f t="shared" si="127"/>
        <v>0</v>
      </c>
      <c r="AS284" s="42"/>
      <c r="AT284" s="84">
        <v>111801</v>
      </c>
      <c r="AU284" s="84">
        <v>13202</v>
      </c>
      <c r="AV284" s="4">
        <f t="shared" si="128"/>
        <v>125003</v>
      </c>
      <c r="AW284" s="50" t="str">
        <f t="shared" si="129"/>
        <v/>
      </c>
      <c r="AX284" s="1" t="s">
        <v>1639</v>
      </c>
      <c r="AY284" s="2" t="s">
        <v>1640</v>
      </c>
      <c r="AZ284" s="2">
        <v>81558.399999999994</v>
      </c>
      <c r="BA284" s="73">
        <v>71363.600000000006</v>
      </c>
      <c r="BB284" s="73">
        <v>71363.600000000006</v>
      </c>
      <c r="BC284" s="73">
        <v>81558.399999999994</v>
      </c>
      <c r="BD284" s="73"/>
      <c r="BE284" s="66">
        <v>0</v>
      </c>
      <c r="BF284" s="66">
        <v>0.02</v>
      </c>
      <c r="BG284" s="63">
        <v>45837</v>
      </c>
      <c r="BH284" s="2"/>
      <c r="BI284" s="2"/>
      <c r="BJ284" s="2">
        <v>312111</v>
      </c>
      <c r="BK284" s="2">
        <v>16385.830000000002</v>
      </c>
      <c r="BL284" s="1" t="s">
        <v>97</v>
      </c>
    </row>
    <row r="285" spans="1:64" x14ac:dyDescent="0.25">
      <c r="A285" s="81" t="s">
        <v>510</v>
      </c>
      <c r="B285" s="82" t="s">
        <v>510</v>
      </c>
      <c r="C285" s="81" t="s">
        <v>511</v>
      </c>
      <c r="D285" s="16">
        <v>42145</v>
      </c>
      <c r="E285" s="17"/>
      <c r="F285" s="2" t="s">
        <v>52</v>
      </c>
      <c r="G285" s="2" t="s">
        <v>55</v>
      </c>
      <c r="H285" s="10" t="s">
        <v>57</v>
      </c>
      <c r="I285" s="11" t="s">
        <v>54</v>
      </c>
      <c r="J285" s="11" t="s">
        <v>72</v>
      </c>
      <c r="K285" s="61" t="s">
        <v>73</v>
      </c>
      <c r="L285" s="11" t="s">
        <v>67</v>
      </c>
      <c r="M285" s="25"/>
      <c r="N285" s="82"/>
      <c r="O285" s="3" t="str">
        <f t="shared" ref="O285:O295" si="136">IF($A285="","",IF(P285=0,"A",IF(P285=AZ285,"E","A")))</f>
        <v>A</v>
      </c>
      <c r="P285" s="84">
        <v>87966.950000000012</v>
      </c>
      <c r="Q285" s="84">
        <v>28476</v>
      </c>
      <c r="R285" s="32"/>
      <c r="S285" s="3" t="str">
        <f t="shared" si="135"/>
        <v>A</v>
      </c>
      <c r="T285" s="84">
        <v>81542.149999999994</v>
      </c>
      <c r="U285" s="84">
        <v>25590</v>
      </c>
      <c r="V285" s="32"/>
      <c r="W285" s="3" t="str">
        <f t="shared" si="123"/>
        <v>A</v>
      </c>
      <c r="X285" s="84">
        <v>74610.75</v>
      </c>
      <c r="Y285" s="84">
        <v>23819</v>
      </c>
      <c r="Z285" s="32"/>
      <c r="AA285" s="3" t="str">
        <f t="shared" si="124"/>
        <v>A</v>
      </c>
      <c r="AB285" s="84">
        <v>79328.55</v>
      </c>
      <c r="AC285" s="84">
        <v>25278</v>
      </c>
      <c r="AD285" s="36"/>
      <c r="AE285" s="82"/>
      <c r="AF285" s="3" t="str">
        <f t="shared" si="125"/>
        <v>A</v>
      </c>
      <c r="AG285" s="84">
        <v>0</v>
      </c>
      <c r="AH285" s="84">
        <v>0</v>
      </c>
      <c r="AI285" s="39"/>
      <c r="AJ285" s="79" t="s">
        <v>1801</v>
      </c>
      <c r="AK285" s="39"/>
      <c r="AL285" s="4">
        <f t="shared" si="130"/>
        <v>323448.40000000002</v>
      </c>
      <c r="AM285" s="4">
        <f t="shared" si="131"/>
        <v>103163</v>
      </c>
      <c r="AN285" s="4">
        <f t="shared" si="126"/>
        <v>426611.4</v>
      </c>
      <c r="AO285" s="39"/>
      <c r="AP285" s="8">
        <f t="shared" si="132"/>
        <v>0</v>
      </c>
      <c r="AQ285" s="8">
        <f t="shared" si="133"/>
        <v>0</v>
      </c>
      <c r="AR285" s="8">
        <f t="shared" si="127"/>
        <v>0</v>
      </c>
      <c r="AS285" s="42"/>
      <c r="AT285" s="84">
        <v>323448.40000000002</v>
      </c>
      <c r="AU285" s="84">
        <v>103163</v>
      </c>
      <c r="AV285" s="4">
        <f t="shared" si="128"/>
        <v>426611.4</v>
      </c>
      <c r="AW285" s="50" t="str">
        <f t="shared" si="129"/>
        <v/>
      </c>
      <c r="AX285" s="1" t="s">
        <v>1639</v>
      </c>
      <c r="AY285" s="2" t="s">
        <v>1640</v>
      </c>
      <c r="AZ285" s="2">
        <v>111147.92</v>
      </c>
      <c r="BA285" s="73">
        <v>97254.43</v>
      </c>
      <c r="BB285" s="73">
        <v>97254.43</v>
      </c>
      <c r="BC285" s="73">
        <v>111147.92</v>
      </c>
      <c r="BD285" s="73"/>
      <c r="BE285" s="66">
        <v>0</v>
      </c>
      <c r="BF285" s="66">
        <v>0.02</v>
      </c>
      <c r="BG285" s="63">
        <v>45777</v>
      </c>
      <c r="BH285" s="2"/>
      <c r="BI285" s="2"/>
      <c r="BJ285" s="2"/>
      <c r="BK285" s="2"/>
      <c r="BL285" s="1" t="s">
        <v>56</v>
      </c>
    </row>
    <row r="286" spans="1:64" x14ac:dyDescent="0.25">
      <c r="A286" s="81" t="s">
        <v>512</v>
      </c>
      <c r="B286" s="82" t="s">
        <v>512</v>
      </c>
      <c r="C286" s="81" t="s">
        <v>513</v>
      </c>
      <c r="D286" s="16">
        <v>42692</v>
      </c>
      <c r="E286" s="17"/>
      <c r="F286" s="2" t="s">
        <v>423</v>
      </c>
      <c r="G286" s="2" t="s">
        <v>424</v>
      </c>
      <c r="H286" s="10" t="s">
        <v>105</v>
      </c>
      <c r="I286" s="11" t="s">
        <v>53</v>
      </c>
      <c r="J286" s="11" t="s">
        <v>312</v>
      </c>
      <c r="K286" s="61"/>
      <c r="L286" s="11" t="s">
        <v>67</v>
      </c>
      <c r="M286" s="25"/>
      <c r="N286" s="82"/>
      <c r="O286" s="3" t="str">
        <f t="shared" si="136"/>
        <v>A</v>
      </c>
      <c r="P286" s="84">
        <v>53550</v>
      </c>
      <c r="Q286" s="84">
        <v>14710</v>
      </c>
      <c r="R286" s="32"/>
      <c r="S286" s="3" t="str">
        <f t="shared" si="135"/>
        <v>A</v>
      </c>
      <c r="T286" s="84">
        <v>46787</v>
      </c>
      <c r="U286" s="84">
        <v>12805</v>
      </c>
      <c r="V286" s="32"/>
      <c r="W286" s="3" t="str">
        <f t="shared" si="123"/>
        <v>A</v>
      </c>
      <c r="X286" s="84">
        <v>45008</v>
      </c>
      <c r="Y286" s="84">
        <v>8505</v>
      </c>
      <c r="Z286" s="32"/>
      <c r="AA286" s="3" t="str">
        <f t="shared" si="124"/>
        <v>A</v>
      </c>
      <c r="AB286" s="84">
        <v>47112</v>
      </c>
      <c r="AC286" s="84">
        <v>7055</v>
      </c>
      <c r="AD286" s="36"/>
      <c r="AE286" s="82"/>
      <c r="AF286" s="3" t="str">
        <f t="shared" si="125"/>
        <v>A</v>
      </c>
      <c r="AG286" s="84">
        <v>0</v>
      </c>
      <c r="AH286" s="84">
        <v>0</v>
      </c>
      <c r="AI286" s="39"/>
      <c r="AJ286" s="79" t="s">
        <v>1801</v>
      </c>
      <c r="AK286" s="39"/>
      <c r="AL286" s="4">
        <f t="shared" si="130"/>
        <v>192457</v>
      </c>
      <c r="AM286" s="4">
        <f t="shared" si="131"/>
        <v>43075</v>
      </c>
      <c r="AN286" s="4">
        <f t="shared" si="126"/>
        <v>235532</v>
      </c>
      <c r="AO286" s="39"/>
      <c r="AP286" s="8">
        <f t="shared" si="132"/>
        <v>0</v>
      </c>
      <c r="AQ286" s="8">
        <f t="shared" si="133"/>
        <v>0</v>
      </c>
      <c r="AR286" s="8">
        <f t="shared" si="127"/>
        <v>0</v>
      </c>
      <c r="AS286" s="42"/>
      <c r="AT286" s="84">
        <v>192457</v>
      </c>
      <c r="AU286" s="84">
        <v>43075</v>
      </c>
      <c r="AV286" s="4">
        <f t="shared" si="128"/>
        <v>235532</v>
      </c>
      <c r="AW286" s="50" t="str">
        <f t="shared" si="129"/>
        <v/>
      </c>
      <c r="AX286" s="1" t="s">
        <v>1705</v>
      </c>
      <c r="AY286" s="2" t="s">
        <v>1706</v>
      </c>
      <c r="AZ286" s="2">
        <v>127689.36</v>
      </c>
      <c r="BA286" s="73">
        <v>111728.19</v>
      </c>
      <c r="BB286" s="73">
        <v>111728.19</v>
      </c>
      <c r="BC286" s="73">
        <v>127689.36</v>
      </c>
      <c r="BD286" s="73"/>
      <c r="BE286" s="66">
        <v>3.5000000000000003E-2</v>
      </c>
      <c r="BF286" s="66">
        <v>0.05</v>
      </c>
      <c r="BG286" s="63">
        <v>44482</v>
      </c>
      <c r="BH286" s="2"/>
      <c r="BI286" s="2"/>
      <c r="BJ286" s="2"/>
      <c r="BK286" s="2"/>
      <c r="BL286" s="1" t="s">
        <v>104</v>
      </c>
    </row>
    <row r="287" spans="1:64" x14ac:dyDescent="0.25">
      <c r="A287" s="81" t="s">
        <v>514</v>
      </c>
      <c r="B287" s="82" t="s">
        <v>514</v>
      </c>
      <c r="C287" s="81" t="s">
        <v>515</v>
      </c>
      <c r="D287" s="16">
        <v>42334</v>
      </c>
      <c r="E287" s="17"/>
      <c r="F287" s="2" t="s">
        <v>516</v>
      </c>
      <c r="G287" s="2" t="s">
        <v>517</v>
      </c>
      <c r="H287" s="10" t="s">
        <v>57</v>
      </c>
      <c r="I287" s="11" t="s">
        <v>53</v>
      </c>
      <c r="J287" s="11" t="s">
        <v>156</v>
      </c>
      <c r="K287" s="61"/>
      <c r="L287" s="11" t="s">
        <v>67</v>
      </c>
      <c r="M287" s="25"/>
      <c r="N287" s="82"/>
      <c r="O287" s="3" t="str">
        <f t="shared" si="136"/>
        <v>E</v>
      </c>
      <c r="P287" s="84">
        <v>78890.559999999998</v>
      </c>
      <c r="Q287" s="84">
        <v>22469.599999999999</v>
      </c>
      <c r="R287" s="32"/>
      <c r="S287" s="3" t="str">
        <f t="shared" si="135"/>
        <v>E</v>
      </c>
      <c r="T287" s="84">
        <v>69029.240000000005</v>
      </c>
      <c r="U287" s="84">
        <v>19660.900000000001</v>
      </c>
      <c r="V287" s="32"/>
      <c r="W287" s="3" t="str">
        <f t="shared" si="123"/>
        <v>E</v>
      </c>
      <c r="X287" s="84">
        <v>69029.240000000005</v>
      </c>
      <c r="Y287" s="84">
        <v>19660.900000000001</v>
      </c>
      <c r="Z287" s="32"/>
      <c r="AA287" s="3" t="str">
        <f t="shared" si="124"/>
        <v>E</v>
      </c>
      <c r="AB287" s="84">
        <v>78890.559999999998</v>
      </c>
      <c r="AC287" s="84">
        <v>22469.599999999999</v>
      </c>
      <c r="AD287" s="36"/>
      <c r="AE287" s="82"/>
      <c r="AF287" s="3" t="str">
        <f t="shared" si="125"/>
        <v>A</v>
      </c>
      <c r="AG287" s="84"/>
      <c r="AH287" s="84"/>
      <c r="AI287" s="39"/>
      <c r="AJ287" s="79" t="s">
        <v>38</v>
      </c>
      <c r="AK287" s="39"/>
      <c r="AL287" s="4">
        <f t="shared" si="130"/>
        <v>0</v>
      </c>
      <c r="AM287" s="4">
        <f t="shared" si="131"/>
        <v>0</v>
      </c>
      <c r="AN287" s="4">
        <f t="shared" si="126"/>
        <v>0</v>
      </c>
      <c r="AO287" s="39"/>
      <c r="AP287" s="8">
        <f t="shared" si="132"/>
        <v>295839.59999999998</v>
      </c>
      <c r="AQ287" s="8">
        <f t="shared" si="133"/>
        <v>84261</v>
      </c>
      <c r="AR287" s="8">
        <f t="shared" si="127"/>
        <v>380100.6</v>
      </c>
      <c r="AS287" s="42"/>
      <c r="AT287" s="84"/>
      <c r="AU287" s="84"/>
      <c r="AV287" s="4">
        <f t="shared" si="128"/>
        <v>0</v>
      </c>
      <c r="AW287" s="50" t="str">
        <f t="shared" si="129"/>
        <v/>
      </c>
      <c r="AX287" s="1" t="s">
        <v>1717</v>
      </c>
      <c r="AY287" s="2" t="s">
        <v>1718</v>
      </c>
      <c r="AZ287" s="2">
        <v>78890.559999999998</v>
      </c>
      <c r="BA287" s="73">
        <v>69029.240000000005</v>
      </c>
      <c r="BB287" s="73">
        <v>69029.240000000005</v>
      </c>
      <c r="BC287" s="73">
        <v>78890.559999999998</v>
      </c>
      <c r="BD287" s="73"/>
      <c r="BE287" s="66">
        <v>3.5000000000000003E-2</v>
      </c>
      <c r="BF287" s="66">
        <v>0.05</v>
      </c>
      <c r="BG287" s="63">
        <v>44044</v>
      </c>
      <c r="BH287" s="2"/>
      <c r="BI287" s="2"/>
      <c r="BJ287" s="2"/>
      <c r="BK287" s="2"/>
      <c r="BL287" s="1" t="s">
        <v>56</v>
      </c>
    </row>
    <row r="288" spans="1:64" x14ac:dyDescent="0.25">
      <c r="A288" s="81" t="s">
        <v>514</v>
      </c>
      <c r="B288" s="82" t="s">
        <v>792</v>
      </c>
      <c r="C288" s="81" t="s">
        <v>793</v>
      </c>
      <c r="D288" s="16">
        <v>42916</v>
      </c>
      <c r="E288" s="17"/>
      <c r="F288" s="2" t="s">
        <v>516</v>
      </c>
      <c r="G288" s="2" t="s">
        <v>517</v>
      </c>
      <c r="H288" s="10" t="s">
        <v>57</v>
      </c>
      <c r="I288" s="11" t="s">
        <v>53</v>
      </c>
      <c r="J288" s="11" t="s">
        <v>156</v>
      </c>
      <c r="K288" s="61"/>
      <c r="L288" s="11" t="s">
        <v>67</v>
      </c>
      <c r="M288" s="25"/>
      <c r="N288" s="82"/>
      <c r="O288" s="3" t="str">
        <f t="shared" si="136"/>
        <v>E</v>
      </c>
      <c r="P288" s="84">
        <v>48418.879999999997</v>
      </c>
      <c r="Q288" s="84">
        <v>11815.68</v>
      </c>
      <c r="R288" s="32"/>
      <c r="S288" s="3" t="str">
        <f t="shared" si="135"/>
        <v>E</v>
      </c>
      <c r="T288" s="84">
        <v>42366.52</v>
      </c>
      <c r="U288" s="84">
        <v>10338.719999999999</v>
      </c>
      <c r="V288" s="32"/>
      <c r="W288" s="3" t="str">
        <f t="shared" si="123"/>
        <v>E</v>
      </c>
      <c r="X288" s="84">
        <v>42366.52</v>
      </c>
      <c r="Y288" s="84">
        <v>10338.719999999999</v>
      </c>
      <c r="Z288" s="32"/>
      <c r="AA288" s="3" t="str">
        <f t="shared" si="124"/>
        <v>E</v>
      </c>
      <c r="AB288" s="84">
        <v>48418.879999999997</v>
      </c>
      <c r="AC288" s="84">
        <v>11815.68</v>
      </c>
      <c r="AD288" s="36"/>
      <c r="AE288" s="82"/>
      <c r="AF288" s="3" t="str">
        <f t="shared" si="125"/>
        <v>A</v>
      </c>
      <c r="AG288" s="84"/>
      <c r="AH288" s="84"/>
      <c r="AI288" s="39"/>
      <c r="AJ288" s="79" t="s">
        <v>38</v>
      </c>
      <c r="AK288" s="39"/>
      <c r="AL288" s="4">
        <f t="shared" si="130"/>
        <v>0</v>
      </c>
      <c r="AM288" s="4">
        <f t="shared" si="131"/>
        <v>0</v>
      </c>
      <c r="AN288" s="4">
        <f t="shared" si="126"/>
        <v>0</v>
      </c>
      <c r="AO288" s="39"/>
      <c r="AP288" s="8">
        <f t="shared" si="132"/>
        <v>181570.8</v>
      </c>
      <c r="AQ288" s="8">
        <f t="shared" si="133"/>
        <v>44308.800000000003</v>
      </c>
      <c r="AR288" s="8">
        <f t="shared" si="127"/>
        <v>225879.59999999998</v>
      </c>
      <c r="AS288" s="42"/>
      <c r="AT288" s="84"/>
      <c r="AU288" s="84"/>
      <c r="AV288" s="4">
        <f t="shared" si="128"/>
        <v>0</v>
      </c>
      <c r="AW288" s="50" t="str">
        <f t="shared" si="129"/>
        <v/>
      </c>
      <c r="AX288" s="1" t="s">
        <v>1717</v>
      </c>
      <c r="AY288" s="2" t="s">
        <v>1718</v>
      </c>
      <c r="AZ288" s="2">
        <v>48418.879999999997</v>
      </c>
      <c r="BA288" s="73">
        <v>42366.52</v>
      </c>
      <c r="BB288" s="73">
        <v>42366.52</v>
      </c>
      <c r="BC288" s="73">
        <v>48418.879999999997</v>
      </c>
      <c r="BD288" s="73"/>
      <c r="BE288" s="66">
        <v>0.04</v>
      </c>
      <c r="BF288" s="66">
        <v>0.05</v>
      </c>
      <c r="BG288" s="63">
        <v>44044</v>
      </c>
      <c r="BH288" s="2"/>
      <c r="BI288" s="2"/>
      <c r="BJ288" s="2"/>
      <c r="BK288" s="2"/>
      <c r="BL288" s="1" t="s">
        <v>56</v>
      </c>
    </row>
    <row r="289" spans="1:64" x14ac:dyDescent="0.25">
      <c r="A289" s="81" t="s">
        <v>518</v>
      </c>
      <c r="B289" s="82" t="s">
        <v>518</v>
      </c>
      <c r="C289" s="81" t="s">
        <v>519</v>
      </c>
      <c r="D289" s="16">
        <v>42318</v>
      </c>
      <c r="E289" s="17">
        <v>45838</v>
      </c>
      <c r="F289" s="2" t="s">
        <v>431</v>
      </c>
      <c r="G289" s="2" t="s">
        <v>432</v>
      </c>
      <c r="H289" s="10" t="s">
        <v>57</v>
      </c>
      <c r="I289" s="11" t="s">
        <v>53</v>
      </c>
      <c r="J289" s="11" t="s">
        <v>397</v>
      </c>
      <c r="K289" s="61"/>
      <c r="L289" s="11" t="s">
        <v>67</v>
      </c>
      <c r="M289" s="25"/>
      <c r="N289" s="82"/>
      <c r="O289" s="3" t="str">
        <f t="shared" si="136"/>
        <v>A</v>
      </c>
      <c r="P289" s="84"/>
      <c r="Q289" s="84"/>
      <c r="R289" s="32"/>
      <c r="S289" s="3" t="str">
        <f t="shared" si="135"/>
        <v>A</v>
      </c>
      <c r="T289" s="84"/>
      <c r="U289" s="84"/>
      <c r="V289" s="32"/>
      <c r="W289" s="3" t="str">
        <f t="shared" si="123"/>
        <v>A</v>
      </c>
      <c r="X289" s="84"/>
      <c r="Y289" s="84"/>
      <c r="Z289" s="32"/>
      <c r="AA289" s="3" t="str">
        <f t="shared" si="124"/>
        <v>A</v>
      </c>
      <c r="AB289" s="84"/>
      <c r="AC289" s="84"/>
      <c r="AD289" s="36"/>
      <c r="AE289" s="82"/>
      <c r="AF289" s="3" t="str">
        <f t="shared" si="125"/>
        <v>A</v>
      </c>
      <c r="AG289" s="84"/>
      <c r="AH289" s="84"/>
      <c r="AI289" s="39"/>
      <c r="AJ289" s="79" t="s">
        <v>1801</v>
      </c>
      <c r="AK289" s="39"/>
      <c r="AL289" s="4">
        <f t="shared" si="130"/>
        <v>0</v>
      </c>
      <c r="AM289" s="4">
        <f t="shared" si="131"/>
        <v>0</v>
      </c>
      <c r="AN289" s="4">
        <f t="shared" si="126"/>
        <v>0</v>
      </c>
      <c r="AO289" s="39"/>
      <c r="AP289" s="8">
        <f t="shared" si="132"/>
        <v>0</v>
      </c>
      <c r="AQ289" s="8">
        <f t="shared" si="133"/>
        <v>0</v>
      </c>
      <c r="AR289" s="8">
        <f t="shared" si="127"/>
        <v>0</v>
      </c>
      <c r="AS289" s="42"/>
      <c r="AT289" s="84"/>
      <c r="AU289" s="84"/>
      <c r="AV289" s="4">
        <f t="shared" si="128"/>
        <v>0</v>
      </c>
      <c r="AW289" s="50" t="str">
        <f t="shared" si="129"/>
        <v/>
      </c>
      <c r="AX289" s="1" t="s">
        <v>1707</v>
      </c>
      <c r="AY289" s="2" t="s">
        <v>1708</v>
      </c>
      <c r="AZ289" s="2"/>
      <c r="BA289" s="73"/>
      <c r="BB289" s="73"/>
      <c r="BC289" s="73"/>
      <c r="BD289" s="73"/>
      <c r="BE289" s="66">
        <v>3.5000000000000003E-2</v>
      </c>
      <c r="BF289" s="66">
        <v>0.05</v>
      </c>
      <c r="BG289" s="63">
        <v>44130</v>
      </c>
      <c r="BH289" s="74">
        <v>45292</v>
      </c>
      <c r="BI289" s="2"/>
      <c r="BJ289" s="2"/>
      <c r="BK289" s="2"/>
      <c r="BL289" s="1" t="s">
        <v>396</v>
      </c>
    </row>
    <row r="290" spans="1:64" x14ac:dyDescent="0.25">
      <c r="A290" s="81" t="s">
        <v>520</v>
      </c>
      <c r="B290" s="82" t="s">
        <v>520</v>
      </c>
      <c r="C290" s="81" t="s">
        <v>521</v>
      </c>
      <c r="D290" s="16">
        <v>42346</v>
      </c>
      <c r="E290" s="17"/>
      <c r="F290" s="2" t="s">
        <v>522</v>
      </c>
      <c r="G290" s="2" t="s">
        <v>523</v>
      </c>
      <c r="H290" s="10" t="s">
        <v>105</v>
      </c>
      <c r="I290" s="11" t="s">
        <v>53</v>
      </c>
      <c r="J290" s="11" t="s">
        <v>145</v>
      </c>
      <c r="K290" s="61"/>
      <c r="L290" s="11" t="s">
        <v>67</v>
      </c>
      <c r="M290" s="25"/>
      <c r="N290" s="82"/>
      <c r="O290" s="3" t="str">
        <f t="shared" si="136"/>
        <v>A</v>
      </c>
      <c r="P290" s="84">
        <v>85057</v>
      </c>
      <c r="Q290" s="84">
        <v>8940</v>
      </c>
      <c r="R290" s="32"/>
      <c r="S290" s="3" t="str">
        <f t="shared" si="135"/>
        <v>A</v>
      </c>
      <c r="T290" s="84">
        <v>97346</v>
      </c>
      <c r="U290" s="84">
        <v>6470</v>
      </c>
      <c r="V290" s="32"/>
      <c r="W290" s="3" t="str">
        <f t="shared" si="123"/>
        <v>A</v>
      </c>
      <c r="X290" s="84">
        <v>96812</v>
      </c>
      <c r="Y290" s="84">
        <v>7554</v>
      </c>
      <c r="Z290" s="32"/>
      <c r="AA290" s="3" t="str">
        <f t="shared" si="124"/>
        <v>A</v>
      </c>
      <c r="AB290" s="84">
        <v>97801</v>
      </c>
      <c r="AC290" s="84">
        <v>8337</v>
      </c>
      <c r="AD290" s="36"/>
      <c r="AE290" s="82"/>
      <c r="AF290" s="3" t="str">
        <f t="shared" si="125"/>
        <v>A</v>
      </c>
      <c r="AG290" s="84">
        <v>0</v>
      </c>
      <c r="AH290" s="84">
        <v>0</v>
      </c>
      <c r="AI290" s="39"/>
      <c r="AJ290" s="79" t="s">
        <v>1801</v>
      </c>
      <c r="AK290" s="39"/>
      <c r="AL290" s="4">
        <f t="shared" si="130"/>
        <v>377016</v>
      </c>
      <c r="AM290" s="4">
        <f t="shared" si="131"/>
        <v>31301</v>
      </c>
      <c r="AN290" s="4">
        <f t="shared" si="126"/>
        <v>408317</v>
      </c>
      <c r="AO290" s="39"/>
      <c r="AP290" s="8">
        <f t="shared" si="132"/>
        <v>0</v>
      </c>
      <c r="AQ290" s="8">
        <f t="shared" si="133"/>
        <v>0</v>
      </c>
      <c r="AR290" s="8">
        <f t="shared" si="127"/>
        <v>0</v>
      </c>
      <c r="AS290" s="42"/>
      <c r="AT290" s="84">
        <v>377016</v>
      </c>
      <c r="AU290" s="84">
        <v>31301</v>
      </c>
      <c r="AV290" s="4">
        <f t="shared" si="128"/>
        <v>408317</v>
      </c>
      <c r="AW290" s="50" t="str">
        <f t="shared" si="129"/>
        <v/>
      </c>
      <c r="AX290" s="1" t="s">
        <v>1719</v>
      </c>
      <c r="AY290" s="2" t="s">
        <v>1720</v>
      </c>
      <c r="AZ290" s="2">
        <v>125548.4</v>
      </c>
      <c r="BA290" s="73">
        <v>109854.85</v>
      </c>
      <c r="BB290" s="73">
        <v>109854.85</v>
      </c>
      <c r="BC290" s="73">
        <v>125548.4</v>
      </c>
      <c r="BD290" s="73"/>
      <c r="BE290" s="66">
        <v>3.5000000000000003E-2</v>
      </c>
      <c r="BF290" s="66">
        <v>0.05</v>
      </c>
      <c r="BG290" s="63">
        <v>44113</v>
      </c>
      <c r="BH290" s="74">
        <v>42878</v>
      </c>
      <c r="BI290" s="74">
        <v>43054</v>
      </c>
      <c r="BJ290" s="2"/>
      <c r="BK290" s="2"/>
      <c r="BL290" s="1" t="s">
        <v>104</v>
      </c>
    </row>
    <row r="291" spans="1:64" x14ac:dyDescent="0.25">
      <c r="A291" s="81" t="s">
        <v>520</v>
      </c>
      <c r="B291" s="82" t="s">
        <v>794</v>
      </c>
      <c r="C291" s="81" t="s">
        <v>795</v>
      </c>
      <c r="D291" s="16">
        <v>43508</v>
      </c>
      <c r="E291" s="17"/>
      <c r="F291" s="2" t="s">
        <v>522</v>
      </c>
      <c r="G291" s="2" t="s">
        <v>523</v>
      </c>
      <c r="H291" s="10" t="s">
        <v>105</v>
      </c>
      <c r="I291" s="11" t="s">
        <v>53</v>
      </c>
      <c r="J291" s="11" t="s">
        <v>145</v>
      </c>
      <c r="K291" s="61"/>
      <c r="L291" s="11" t="s">
        <v>67</v>
      </c>
      <c r="M291" s="25"/>
      <c r="N291" s="82"/>
      <c r="O291" s="3" t="str">
        <f t="shared" si="136"/>
        <v>A</v>
      </c>
      <c r="P291" s="84">
        <v>162409</v>
      </c>
      <c r="Q291" s="84">
        <v>8625</v>
      </c>
      <c r="R291" s="32"/>
      <c r="S291" s="3" t="str">
        <f t="shared" si="135"/>
        <v>A</v>
      </c>
      <c r="T291" s="84">
        <v>184039</v>
      </c>
      <c r="U291" s="84">
        <v>6630</v>
      </c>
      <c r="V291" s="32"/>
      <c r="W291" s="3" t="str">
        <f t="shared" si="123"/>
        <v>A</v>
      </c>
      <c r="X291" s="84">
        <v>175608</v>
      </c>
      <c r="Y291" s="84">
        <v>8045</v>
      </c>
      <c r="Z291" s="32"/>
      <c r="AA291" s="3" t="str">
        <f t="shared" si="124"/>
        <v>A</v>
      </c>
      <c r="AB291" s="84">
        <v>211050</v>
      </c>
      <c r="AC291" s="84">
        <v>7070</v>
      </c>
      <c r="AD291" s="36"/>
      <c r="AE291" s="82"/>
      <c r="AF291" s="3" t="str">
        <f t="shared" si="125"/>
        <v>A</v>
      </c>
      <c r="AG291" s="84">
        <v>0</v>
      </c>
      <c r="AH291" s="84">
        <v>0</v>
      </c>
      <c r="AI291" s="39"/>
      <c r="AJ291" s="79" t="s">
        <v>1801</v>
      </c>
      <c r="AK291" s="39"/>
      <c r="AL291" s="4">
        <f t="shared" si="130"/>
        <v>733106</v>
      </c>
      <c r="AM291" s="4">
        <f t="shared" si="131"/>
        <v>30370</v>
      </c>
      <c r="AN291" s="4">
        <f t="shared" si="126"/>
        <v>763476</v>
      </c>
      <c r="AO291" s="39"/>
      <c r="AP291" s="8">
        <f t="shared" si="132"/>
        <v>0</v>
      </c>
      <c r="AQ291" s="8">
        <f t="shared" si="133"/>
        <v>0</v>
      </c>
      <c r="AR291" s="8">
        <f t="shared" si="127"/>
        <v>0</v>
      </c>
      <c r="AS291" s="42"/>
      <c r="AT291" s="84">
        <v>733106</v>
      </c>
      <c r="AU291" s="84">
        <v>30370</v>
      </c>
      <c r="AV291" s="4">
        <f t="shared" si="128"/>
        <v>763476</v>
      </c>
      <c r="AW291" s="50" t="str">
        <f t="shared" si="129"/>
        <v/>
      </c>
      <c r="AX291" s="1" t="s">
        <v>1719</v>
      </c>
      <c r="AY291" s="2" t="s">
        <v>1720</v>
      </c>
      <c r="AZ291" s="2">
        <v>173071.52</v>
      </c>
      <c r="BA291" s="73">
        <v>151437.57999999999</v>
      </c>
      <c r="BB291" s="73">
        <v>151437.57999999999</v>
      </c>
      <c r="BC291" s="73">
        <v>173071.52</v>
      </c>
      <c r="BD291" s="73"/>
      <c r="BE291" s="66">
        <v>4.4999999999999998E-2</v>
      </c>
      <c r="BF291" s="66">
        <v>0.05</v>
      </c>
      <c r="BG291" s="63">
        <v>44113</v>
      </c>
      <c r="BH291" s="2"/>
      <c r="BI291" s="2"/>
      <c r="BJ291" s="2"/>
      <c r="BK291" s="2"/>
      <c r="BL291" s="1" t="s">
        <v>104</v>
      </c>
    </row>
    <row r="292" spans="1:64" x14ac:dyDescent="0.25">
      <c r="A292" s="81" t="s">
        <v>524</v>
      </c>
      <c r="B292" s="82" t="s">
        <v>524</v>
      </c>
      <c r="C292" s="81" t="s">
        <v>525</v>
      </c>
      <c r="D292" s="16">
        <v>42465</v>
      </c>
      <c r="E292" s="17"/>
      <c r="F292" s="2" t="s">
        <v>526</v>
      </c>
      <c r="G292" s="2" t="s">
        <v>527</v>
      </c>
      <c r="H292" s="10" t="s">
        <v>57</v>
      </c>
      <c r="I292" s="11" t="s">
        <v>53</v>
      </c>
      <c r="J292" s="11" t="s">
        <v>64</v>
      </c>
      <c r="K292" s="61"/>
      <c r="L292" s="11" t="s">
        <v>67</v>
      </c>
      <c r="M292" s="25"/>
      <c r="N292" s="82"/>
      <c r="O292" s="3" t="str">
        <f t="shared" si="136"/>
        <v>A</v>
      </c>
      <c r="P292" s="84">
        <v>215939</v>
      </c>
      <c r="Q292" s="84">
        <v>22258</v>
      </c>
      <c r="R292" s="32"/>
      <c r="S292" s="3" t="str">
        <f t="shared" si="135"/>
        <v>A</v>
      </c>
      <c r="T292" s="84">
        <v>198313</v>
      </c>
      <c r="U292" s="84">
        <v>21446</v>
      </c>
      <c r="V292" s="32"/>
      <c r="W292" s="3" t="str">
        <f t="shared" si="123"/>
        <v>A</v>
      </c>
      <c r="X292" s="84">
        <v>189368</v>
      </c>
      <c r="Y292" s="84">
        <v>22199</v>
      </c>
      <c r="Z292" s="32"/>
      <c r="AA292" s="3" t="str">
        <f t="shared" si="124"/>
        <v>A</v>
      </c>
      <c r="AB292" s="84">
        <v>210121</v>
      </c>
      <c r="AC292" s="84">
        <v>19964</v>
      </c>
      <c r="AD292" s="36"/>
      <c r="AE292" s="82"/>
      <c r="AF292" s="3" t="str">
        <f t="shared" si="125"/>
        <v>A</v>
      </c>
      <c r="AG292" s="84">
        <v>0</v>
      </c>
      <c r="AH292" s="84">
        <v>0</v>
      </c>
      <c r="AI292" s="39"/>
      <c r="AJ292" s="79" t="s">
        <v>1801</v>
      </c>
      <c r="AK292" s="39"/>
      <c r="AL292" s="4">
        <f t="shared" si="130"/>
        <v>813741</v>
      </c>
      <c r="AM292" s="4">
        <f t="shared" si="131"/>
        <v>85867</v>
      </c>
      <c r="AN292" s="4">
        <f t="shared" si="126"/>
        <v>899608</v>
      </c>
      <c r="AO292" s="39"/>
      <c r="AP292" s="8">
        <f t="shared" si="132"/>
        <v>0</v>
      </c>
      <c r="AQ292" s="8">
        <f t="shared" si="133"/>
        <v>0</v>
      </c>
      <c r="AR292" s="8">
        <f t="shared" si="127"/>
        <v>0</v>
      </c>
      <c r="AS292" s="42"/>
      <c r="AT292" s="84">
        <v>813741</v>
      </c>
      <c r="AU292" s="84">
        <v>85867</v>
      </c>
      <c r="AV292" s="4">
        <f t="shared" si="128"/>
        <v>899608</v>
      </c>
      <c r="AW292" s="50" t="str">
        <f t="shared" si="129"/>
        <v/>
      </c>
      <c r="AX292" s="1" t="s">
        <v>1721</v>
      </c>
      <c r="AY292" s="2" t="s">
        <v>1722</v>
      </c>
      <c r="AZ292" s="2">
        <v>135224.56</v>
      </c>
      <c r="BA292" s="73">
        <v>118321.49</v>
      </c>
      <c r="BB292" s="73">
        <v>118321.49</v>
      </c>
      <c r="BC292" s="73">
        <v>135224.56</v>
      </c>
      <c r="BD292" s="73"/>
      <c r="BE292" s="66">
        <v>0.04</v>
      </c>
      <c r="BF292" s="66">
        <v>0.05</v>
      </c>
      <c r="BG292" s="63">
        <v>44232</v>
      </c>
      <c r="BH292" s="74">
        <v>44007</v>
      </c>
      <c r="BI292" s="74">
        <v>44018</v>
      </c>
      <c r="BJ292" s="2"/>
      <c r="BK292" s="2"/>
      <c r="BL292" s="1" t="s">
        <v>56</v>
      </c>
    </row>
    <row r="293" spans="1:64" x14ac:dyDescent="0.25">
      <c r="A293" s="81" t="s">
        <v>528</v>
      </c>
      <c r="B293" s="82" t="s">
        <v>528</v>
      </c>
      <c r="C293" s="81" t="s">
        <v>529</v>
      </c>
      <c r="D293" s="16">
        <v>42553</v>
      </c>
      <c r="E293" s="17"/>
      <c r="F293" s="2" t="s">
        <v>423</v>
      </c>
      <c r="G293" s="2" t="s">
        <v>424</v>
      </c>
      <c r="H293" s="10" t="s">
        <v>105</v>
      </c>
      <c r="I293" s="11" t="s">
        <v>53</v>
      </c>
      <c r="J293" s="11" t="s">
        <v>312</v>
      </c>
      <c r="K293" s="61"/>
      <c r="L293" s="11" t="s">
        <v>67</v>
      </c>
      <c r="M293" s="25"/>
      <c r="N293" s="82"/>
      <c r="O293" s="3" t="str">
        <f t="shared" si="136"/>
        <v>A</v>
      </c>
      <c r="P293" s="84">
        <v>162494</v>
      </c>
      <c r="Q293" s="84">
        <v>28090</v>
      </c>
      <c r="R293" s="32"/>
      <c r="S293" s="3" t="str">
        <f t="shared" si="135"/>
        <v>A</v>
      </c>
      <c r="T293" s="84">
        <v>129188</v>
      </c>
      <c r="U293" s="84">
        <v>19585</v>
      </c>
      <c r="V293" s="32"/>
      <c r="W293" s="3" t="str">
        <f t="shared" si="123"/>
        <v>A</v>
      </c>
      <c r="X293" s="84">
        <v>113320</v>
      </c>
      <c r="Y293" s="84">
        <v>15885</v>
      </c>
      <c r="Z293" s="32"/>
      <c r="AA293" s="3" t="str">
        <f t="shared" si="124"/>
        <v>A</v>
      </c>
      <c r="AB293" s="84">
        <v>138843</v>
      </c>
      <c r="AC293" s="84">
        <v>20460</v>
      </c>
      <c r="AD293" s="36"/>
      <c r="AE293" s="82"/>
      <c r="AF293" s="3" t="str">
        <f t="shared" si="125"/>
        <v>A</v>
      </c>
      <c r="AG293" s="84">
        <v>0</v>
      </c>
      <c r="AH293" s="84">
        <v>0</v>
      </c>
      <c r="AI293" s="39"/>
      <c r="AJ293" s="79" t="s">
        <v>1801</v>
      </c>
      <c r="AK293" s="39"/>
      <c r="AL293" s="4">
        <f t="shared" si="130"/>
        <v>543845</v>
      </c>
      <c r="AM293" s="4">
        <f t="shared" si="131"/>
        <v>84020</v>
      </c>
      <c r="AN293" s="4">
        <f t="shared" si="126"/>
        <v>627865</v>
      </c>
      <c r="AO293" s="39"/>
      <c r="AP293" s="8">
        <f t="shared" si="132"/>
        <v>0</v>
      </c>
      <c r="AQ293" s="8">
        <f t="shared" si="133"/>
        <v>0</v>
      </c>
      <c r="AR293" s="8">
        <f t="shared" si="127"/>
        <v>0</v>
      </c>
      <c r="AS293" s="42"/>
      <c r="AT293" s="84">
        <v>543845</v>
      </c>
      <c r="AU293" s="84">
        <v>84020</v>
      </c>
      <c r="AV293" s="4">
        <f t="shared" si="128"/>
        <v>627865</v>
      </c>
      <c r="AW293" s="50" t="str">
        <f t="shared" si="129"/>
        <v/>
      </c>
      <c r="AX293" s="1" t="s">
        <v>1705</v>
      </c>
      <c r="AY293" s="2" t="s">
        <v>1706</v>
      </c>
      <c r="AZ293" s="2">
        <v>146185.28</v>
      </c>
      <c r="BA293" s="73">
        <v>127912.12</v>
      </c>
      <c r="BB293" s="73">
        <v>127912.12</v>
      </c>
      <c r="BC293" s="73">
        <v>146185.28</v>
      </c>
      <c r="BD293" s="73"/>
      <c r="BE293" s="66">
        <v>3.5000000000000003E-2</v>
      </c>
      <c r="BF293" s="66">
        <v>0.05</v>
      </c>
      <c r="BG293" s="63">
        <v>44328</v>
      </c>
      <c r="BH293" s="2"/>
      <c r="BI293" s="2"/>
      <c r="BJ293" s="2"/>
      <c r="BK293" s="2"/>
      <c r="BL293" s="1" t="s">
        <v>104</v>
      </c>
    </row>
    <row r="294" spans="1:64" x14ac:dyDescent="0.25">
      <c r="A294" s="81" t="s">
        <v>530</v>
      </c>
      <c r="B294" s="82" t="s">
        <v>530</v>
      </c>
      <c r="C294" s="81" t="s">
        <v>531</v>
      </c>
      <c r="D294" s="16">
        <v>42590</v>
      </c>
      <c r="E294" s="17"/>
      <c r="F294" s="2" t="s">
        <v>532</v>
      </c>
      <c r="G294" s="2" t="s">
        <v>533</v>
      </c>
      <c r="H294" s="10" t="s">
        <v>57</v>
      </c>
      <c r="I294" s="11" t="s">
        <v>53</v>
      </c>
      <c r="J294" s="11" t="s">
        <v>384</v>
      </c>
      <c r="K294" s="61"/>
      <c r="L294" s="11" t="s">
        <v>67</v>
      </c>
      <c r="M294" s="25"/>
      <c r="N294" s="82"/>
      <c r="O294" s="3" t="str">
        <f t="shared" si="136"/>
        <v>A</v>
      </c>
      <c r="P294" s="84">
        <v>227819</v>
      </c>
      <c r="Q294" s="84">
        <v>14177</v>
      </c>
      <c r="R294" s="32"/>
      <c r="S294" s="3" t="str">
        <f t="shared" si="135"/>
        <v>A</v>
      </c>
      <c r="T294" s="84">
        <v>234183</v>
      </c>
      <c r="U294" s="84">
        <v>8146</v>
      </c>
      <c r="V294" s="32"/>
      <c r="W294" s="3" t="str">
        <f t="shared" si="123"/>
        <v>A</v>
      </c>
      <c r="X294" s="84">
        <v>214426</v>
      </c>
      <c r="Y294" s="84">
        <v>9665</v>
      </c>
      <c r="Z294" s="32"/>
      <c r="AA294" s="3" t="str">
        <f t="shared" si="124"/>
        <v>A</v>
      </c>
      <c r="AB294" s="84">
        <v>270604</v>
      </c>
      <c r="AC294" s="84">
        <v>9899</v>
      </c>
      <c r="AD294" s="36"/>
      <c r="AE294" s="82"/>
      <c r="AF294" s="3" t="str">
        <f t="shared" si="125"/>
        <v>A</v>
      </c>
      <c r="AG294" s="84">
        <v>0</v>
      </c>
      <c r="AH294" s="84">
        <v>0</v>
      </c>
      <c r="AI294" s="39"/>
      <c r="AJ294" s="79" t="s">
        <v>1801</v>
      </c>
      <c r="AK294" s="39"/>
      <c r="AL294" s="4">
        <f t="shared" si="130"/>
        <v>947032</v>
      </c>
      <c r="AM294" s="4">
        <f t="shared" si="131"/>
        <v>41887</v>
      </c>
      <c r="AN294" s="4">
        <f t="shared" si="126"/>
        <v>988919</v>
      </c>
      <c r="AO294" s="39"/>
      <c r="AP294" s="8">
        <f t="shared" si="132"/>
        <v>0</v>
      </c>
      <c r="AQ294" s="8">
        <f t="shared" si="133"/>
        <v>0</v>
      </c>
      <c r="AR294" s="8">
        <f t="shared" si="127"/>
        <v>0</v>
      </c>
      <c r="AS294" s="42"/>
      <c r="AT294" s="84">
        <v>947032</v>
      </c>
      <c r="AU294" s="84">
        <v>41887</v>
      </c>
      <c r="AV294" s="4">
        <f t="shared" si="128"/>
        <v>988919</v>
      </c>
      <c r="AW294" s="50" t="str">
        <f t="shared" si="129"/>
        <v/>
      </c>
      <c r="AX294" s="1" t="s">
        <v>1723</v>
      </c>
      <c r="AY294" s="2" t="s">
        <v>1724</v>
      </c>
      <c r="AZ294" s="2">
        <v>159627.20000000001</v>
      </c>
      <c r="BA294" s="73">
        <v>139673.79999999999</v>
      </c>
      <c r="BB294" s="73">
        <v>139673.79999999999</v>
      </c>
      <c r="BC294" s="73">
        <v>159627.20000000001</v>
      </c>
      <c r="BD294" s="73"/>
      <c r="BE294" s="66">
        <v>0.04</v>
      </c>
      <c r="BF294" s="66">
        <v>0.05</v>
      </c>
      <c r="BG294" s="63">
        <v>44313</v>
      </c>
      <c r="BH294" s="2"/>
      <c r="BI294" s="2"/>
      <c r="BJ294" s="2"/>
      <c r="BK294" s="2"/>
      <c r="BL294" s="1" t="s">
        <v>56</v>
      </c>
    </row>
    <row r="295" spans="1:64" x14ac:dyDescent="0.25">
      <c r="A295" s="81" t="s">
        <v>530</v>
      </c>
      <c r="B295" s="82" t="s">
        <v>796</v>
      </c>
      <c r="C295" s="81" t="s">
        <v>797</v>
      </c>
      <c r="D295" s="16">
        <v>43140</v>
      </c>
      <c r="E295" s="17"/>
      <c r="F295" s="2" t="s">
        <v>532</v>
      </c>
      <c r="G295" s="2" t="s">
        <v>533</v>
      </c>
      <c r="H295" s="10" t="s">
        <v>57</v>
      </c>
      <c r="I295" s="11" t="s">
        <v>53</v>
      </c>
      <c r="J295" s="11" t="s">
        <v>384</v>
      </c>
      <c r="K295" s="61"/>
      <c r="L295" s="11" t="s">
        <v>67</v>
      </c>
      <c r="M295" s="25"/>
      <c r="N295" s="82"/>
      <c r="O295" s="3" t="str">
        <f t="shared" si="136"/>
        <v>A</v>
      </c>
      <c r="P295" s="84">
        <v>138676</v>
      </c>
      <c r="Q295" s="84">
        <v>12146</v>
      </c>
      <c r="R295" s="32"/>
      <c r="S295" s="3" t="str">
        <f t="shared" si="135"/>
        <v>A</v>
      </c>
      <c r="T295" s="84">
        <v>106335</v>
      </c>
      <c r="U295" s="84">
        <v>9018</v>
      </c>
      <c r="V295" s="32"/>
      <c r="W295" s="3" t="str">
        <f t="shared" si="123"/>
        <v>A</v>
      </c>
      <c r="X295" s="84">
        <v>114380</v>
      </c>
      <c r="Y295" s="84">
        <v>8617</v>
      </c>
      <c r="Z295" s="32"/>
      <c r="AA295" s="3" t="str">
        <f t="shared" si="124"/>
        <v>A</v>
      </c>
      <c r="AB295" s="84">
        <v>134666.4</v>
      </c>
      <c r="AC295" s="84">
        <v>8841</v>
      </c>
      <c r="AD295" s="36"/>
      <c r="AE295" s="82"/>
      <c r="AF295" s="3" t="str">
        <f t="shared" si="125"/>
        <v>A</v>
      </c>
      <c r="AG295" s="84">
        <v>0</v>
      </c>
      <c r="AH295" s="84">
        <v>0</v>
      </c>
      <c r="AI295" s="39"/>
      <c r="AJ295" s="79" t="s">
        <v>1801</v>
      </c>
      <c r="AK295" s="39"/>
      <c r="AL295" s="4">
        <f t="shared" si="130"/>
        <v>494057.4</v>
      </c>
      <c r="AM295" s="4">
        <f t="shared" si="131"/>
        <v>38622</v>
      </c>
      <c r="AN295" s="4">
        <f t="shared" si="126"/>
        <v>532679.4</v>
      </c>
      <c r="AO295" s="39"/>
      <c r="AP295" s="8">
        <f t="shared" si="132"/>
        <v>0</v>
      </c>
      <c r="AQ295" s="8">
        <f t="shared" si="133"/>
        <v>0</v>
      </c>
      <c r="AR295" s="8">
        <f t="shared" si="127"/>
        <v>0</v>
      </c>
      <c r="AS295" s="42"/>
      <c r="AT295" s="84">
        <v>494057.4</v>
      </c>
      <c r="AU295" s="84">
        <v>38622</v>
      </c>
      <c r="AV295" s="4">
        <f t="shared" si="128"/>
        <v>532679.4</v>
      </c>
      <c r="AW295" s="50" t="str">
        <f t="shared" si="129"/>
        <v/>
      </c>
      <c r="AX295" s="1" t="s">
        <v>1723</v>
      </c>
      <c r="AY295" s="2" t="s">
        <v>1724</v>
      </c>
      <c r="AZ295" s="2">
        <v>66524.240000000005</v>
      </c>
      <c r="BA295" s="73">
        <v>58208.71</v>
      </c>
      <c r="BB295" s="73">
        <v>58208.71</v>
      </c>
      <c r="BC295" s="73">
        <v>66524.240000000005</v>
      </c>
      <c r="BD295" s="73"/>
      <c r="BE295" s="66">
        <v>0.04</v>
      </c>
      <c r="BF295" s="66">
        <v>0.05</v>
      </c>
      <c r="BG295" s="63">
        <v>44313</v>
      </c>
      <c r="BH295" s="2"/>
      <c r="BI295" s="2"/>
      <c r="BJ295" s="2"/>
      <c r="BK295" s="2"/>
      <c r="BL295" s="1" t="s">
        <v>56</v>
      </c>
    </row>
    <row r="296" spans="1:64" x14ac:dyDescent="0.25">
      <c r="A296" s="81" t="s">
        <v>530</v>
      </c>
      <c r="B296" s="82" t="s">
        <v>1292</v>
      </c>
      <c r="C296" s="81" t="s">
        <v>1293</v>
      </c>
      <c r="D296" s="16">
        <v>0</v>
      </c>
      <c r="E296" s="17"/>
      <c r="F296" s="2" t="s">
        <v>532</v>
      </c>
      <c r="G296" s="2" t="s">
        <v>533</v>
      </c>
      <c r="H296" s="10" t="s">
        <v>57</v>
      </c>
      <c r="I296" s="11" t="s">
        <v>53</v>
      </c>
      <c r="J296" s="11" t="s">
        <v>384</v>
      </c>
      <c r="K296" s="61"/>
      <c r="L296" s="11" t="s">
        <v>67</v>
      </c>
      <c r="M296" s="25"/>
      <c r="N296" s="82"/>
      <c r="O296" s="3" t="str">
        <f t="shared" ref="O296:O303" si="137">IF($A296="","",IF(P296=AZ296,"E","A"))</f>
        <v>A</v>
      </c>
      <c r="P296" s="84">
        <v>24688</v>
      </c>
      <c r="Q296" s="84">
        <v>2355</v>
      </c>
      <c r="R296" s="32"/>
      <c r="S296" s="3" t="str">
        <f t="shared" si="135"/>
        <v>A</v>
      </c>
      <c r="T296" s="84">
        <v>20003</v>
      </c>
      <c r="U296" s="84">
        <v>2745</v>
      </c>
      <c r="V296" s="32"/>
      <c r="W296" s="3" t="str">
        <f t="shared" si="123"/>
        <v>A</v>
      </c>
      <c r="X296" s="84">
        <v>18648</v>
      </c>
      <c r="Y296" s="84">
        <v>1770</v>
      </c>
      <c r="Z296" s="32"/>
      <c r="AA296" s="3" t="str">
        <f t="shared" si="124"/>
        <v>A</v>
      </c>
      <c r="AB296" s="84">
        <v>21283</v>
      </c>
      <c r="AC296" s="84">
        <v>2285</v>
      </c>
      <c r="AD296" s="36"/>
      <c r="AE296" s="82"/>
      <c r="AF296" s="3" t="str">
        <f t="shared" si="125"/>
        <v>A</v>
      </c>
      <c r="AG296" s="84">
        <v>0</v>
      </c>
      <c r="AH296" s="84">
        <v>0</v>
      </c>
      <c r="AI296" s="39"/>
      <c r="AJ296" s="79" t="s">
        <v>1801</v>
      </c>
      <c r="AK296" s="39"/>
      <c r="AL296" s="4">
        <f t="shared" si="130"/>
        <v>84622</v>
      </c>
      <c r="AM296" s="4">
        <f t="shared" si="131"/>
        <v>9155</v>
      </c>
      <c r="AN296" s="4">
        <f t="shared" si="126"/>
        <v>93777</v>
      </c>
      <c r="AO296" s="39"/>
      <c r="AP296" s="8">
        <f t="shared" si="132"/>
        <v>0</v>
      </c>
      <c r="AQ296" s="8">
        <f t="shared" si="133"/>
        <v>0</v>
      </c>
      <c r="AR296" s="8">
        <f t="shared" si="127"/>
        <v>0</v>
      </c>
      <c r="AS296" s="42"/>
      <c r="AT296" s="84">
        <v>84622</v>
      </c>
      <c r="AU296" s="84">
        <v>9155</v>
      </c>
      <c r="AV296" s="4">
        <f t="shared" si="128"/>
        <v>93777</v>
      </c>
      <c r="AW296" s="50" t="str">
        <f t="shared" si="129"/>
        <v/>
      </c>
      <c r="AX296" s="1" t="s">
        <v>1723</v>
      </c>
      <c r="AY296" s="2" t="s">
        <v>1724</v>
      </c>
      <c r="AZ296" s="2">
        <v>67956</v>
      </c>
      <c r="BA296" s="73">
        <v>59461.5</v>
      </c>
      <c r="BB296" s="73">
        <v>59461.5</v>
      </c>
      <c r="BC296" s="73">
        <v>67956</v>
      </c>
      <c r="BD296" s="73"/>
      <c r="BE296" s="66">
        <v>0</v>
      </c>
      <c r="BF296" s="66">
        <v>0.05</v>
      </c>
      <c r="BG296" s="63">
        <v>45047</v>
      </c>
      <c r="BH296" s="2"/>
      <c r="BI296" s="2"/>
      <c r="BJ296" s="2">
        <v>248580</v>
      </c>
      <c r="BK296" s="2">
        <v>27620</v>
      </c>
      <c r="BL296" s="1" t="s">
        <v>56</v>
      </c>
    </row>
    <row r="297" spans="1:64" x14ac:dyDescent="0.25">
      <c r="A297" s="81" t="s">
        <v>530</v>
      </c>
      <c r="B297" s="82" t="s">
        <v>1294</v>
      </c>
      <c r="C297" s="81" t="s">
        <v>1295</v>
      </c>
      <c r="D297" s="16">
        <v>0</v>
      </c>
      <c r="E297" s="17"/>
      <c r="F297" s="2" t="s">
        <v>532</v>
      </c>
      <c r="G297" s="2" t="s">
        <v>533</v>
      </c>
      <c r="H297" s="10" t="s">
        <v>57</v>
      </c>
      <c r="I297" s="11" t="s">
        <v>53</v>
      </c>
      <c r="J297" s="11" t="s">
        <v>384</v>
      </c>
      <c r="K297" s="61"/>
      <c r="L297" s="11" t="s">
        <v>67</v>
      </c>
      <c r="M297" s="25"/>
      <c r="N297" s="82"/>
      <c r="O297" s="3" t="str">
        <f t="shared" si="137"/>
        <v>A</v>
      </c>
      <c r="P297" s="84">
        <v>30038</v>
      </c>
      <c r="Q297" s="84">
        <v>5455</v>
      </c>
      <c r="R297" s="32"/>
      <c r="S297" s="3" t="str">
        <f t="shared" si="135"/>
        <v>A</v>
      </c>
      <c r="T297" s="84">
        <v>26877</v>
      </c>
      <c r="U297" s="84">
        <v>4800</v>
      </c>
      <c r="V297" s="32"/>
      <c r="W297" s="3" t="str">
        <f t="shared" si="123"/>
        <v>A</v>
      </c>
      <c r="X297" s="84">
        <v>24643</v>
      </c>
      <c r="Y297" s="84">
        <v>4525</v>
      </c>
      <c r="Z297" s="32"/>
      <c r="AA297" s="3" t="str">
        <f t="shared" si="124"/>
        <v>A</v>
      </c>
      <c r="AB297" s="84">
        <v>27763</v>
      </c>
      <c r="AC297" s="84">
        <v>5365</v>
      </c>
      <c r="AD297" s="36"/>
      <c r="AE297" s="82"/>
      <c r="AF297" s="3" t="str">
        <f t="shared" si="125"/>
        <v>A</v>
      </c>
      <c r="AG297" s="84">
        <v>0</v>
      </c>
      <c r="AH297" s="84">
        <v>0</v>
      </c>
      <c r="AI297" s="39"/>
      <c r="AJ297" s="79" t="s">
        <v>1801</v>
      </c>
      <c r="AK297" s="39"/>
      <c r="AL297" s="4">
        <f t="shared" si="130"/>
        <v>109321</v>
      </c>
      <c r="AM297" s="4">
        <f t="shared" si="131"/>
        <v>20145</v>
      </c>
      <c r="AN297" s="4">
        <f t="shared" si="126"/>
        <v>129466</v>
      </c>
      <c r="AO297" s="39"/>
      <c r="AP297" s="8">
        <f t="shared" si="132"/>
        <v>0</v>
      </c>
      <c r="AQ297" s="8">
        <f t="shared" si="133"/>
        <v>0</v>
      </c>
      <c r="AR297" s="8">
        <f t="shared" si="127"/>
        <v>0</v>
      </c>
      <c r="AS297" s="42"/>
      <c r="AT297" s="84">
        <v>109321</v>
      </c>
      <c r="AU297" s="84">
        <v>20145</v>
      </c>
      <c r="AV297" s="4">
        <f t="shared" si="128"/>
        <v>129466</v>
      </c>
      <c r="AW297" s="50" t="str">
        <f t="shared" si="129"/>
        <v/>
      </c>
      <c r="AX297" s="1" t="s">
        <v>1723</v>
      </c>
      <c r="AY297" s="2" t="s">
        <v>1724</v>
      </c>
      <c r="AZ297" s="2">
        <v>74580.72</v>
      </c>
      <c r="BA297" s="73">
        <v>65258.13</v>
      </c>
      <c r="BB297" s="73">
        <v>65258.13</v>
      </c>
      <c r="BC297" s="73">
        <v>74580.72</v>
      </c>
      <c r="BD297" s="73"/>
      <c r="BE297" s="66">
        <v>0</v>
      </c>
      <c r="BF297" s="66">
        <v>0.05</v>
      </c>
      <c r="BG297" s="63">
        <v>45047</v>
      </c>
      <c r="BH297" s="2"/>
      <c r="BI297" s="2"/>
      <c r="BJ297" s="2">
        <v>272812.5</v>
      </c>
      <c r="BK297" s="2">
        <v>30312.5</v>
      </c>
      <c r="BL297" s="1" t="s">
        <v>56</v>
      </c>
    </row>
    <row r="298" spans="1:64" x14ac:dyDescent="0.25">
      <c r="A298" s="81" t="s">
        <v>530</v>
      </c>
      <c r="B298" s="82" t="s">
        <v>1389</v>
      </c>
      <c r="C298" s="81" t="s">
        <v>1390</v>
      </c>
      <c r="D298" s="16">
        <v>0</v>
      </c>
      <c r="E298" s="17"/>
      <c r="F298" s="2" t="s">
        <v>532</v>
      </c>
      <c r="G298" s="2" t="s">
        <v>533</v>
      </c>
      <c r="H298" s="10" t="s">
        <v>57</v>
      </c>
      <c r="I298" s="11" t="s">
        <v>53</v>
      </c>
      <c r="J298" s="11" t="s">
        <v>384</v>
      </c>
      <c r="K298" s="61"/>
      <c r="L298" s="11" t="s">
        <v>67</v>
      </c>
      <c r="M298" s="25"/>
      <c r="N298" s="82"/>
      <c r="O298" s="3" t="str">
        <f t="shared" si="137"/>
        <v>A</v>
      </c>
      <c r="P298" s="84">
        <v>35920</v>
      </c>
      <c r="Q298" s="84">
        <v>7327</v>
      </c>
      <c r="R298" s="32"/>
      <c r="S298" s="3" t="str">
        <f t="shared" ref="S298:S303" si="138">IF($A298="","",IF(T298=BA298,"E","A"))</f>
        <v>A</v>
      </c>
      <c r="T298" s="84">
        <v>31492</v>
      </c>
      <c r="U298" s="84">
        <v>6710</v>
      </c>
      <c r="V298" s="32"/>
      <c r="W298" s="3" t="str">
        <f t="shared" si="123"/>
        <v>A</v>
      </c>
      <c r="X298" s="84">
        <v>31066</v>
      </c>
      <c r="Y298" s="84">
        <v>7388</v>
      </c>
      <c r="Z298" s="32"/>
      <c r="AA298" s="3" t="str">
        <f t="shared" si="124"/>
        <v>A</v>
      </c>
      <c r="AB298" s="84">
        <v>33269</v>
      </c>
      <c r="AC298" s="84">
        <v>8197</v>
      </c>
      <c r="AD298" s="36"/>
      <c r="AE298" s="82"/>
      <c r="AF298" s="3" t="str">
        <f t="shared" si="125"/>
        <v>A</v>
      </c>
      <c r="AG298" s="84">
        <v>0</v>
      </c>
      <c r="AH298" s="84">
        <v>0</v>
      </c>
      <c r="AI298" s="39"/>
      <c r="AJ298" s="79" t="s">
        <v>1801</v>
      </c>
      <c r="AK298" s="39"/>
      <c r="AL298" s="4">
        <f t="shared" si="130"/>
        <v>131747</v>
      </c>
      <c r="AM298" s="4">
        <f t="shared" si="131"/>
        <v>29622</v>
      </c>
      <c r="AN298" s="4">
        <f t="shared" si="126"/>
        <v>161369</v>
      </c>
      <c r="AO298" s="39"/>
      <c r="AP298" s="8">
        <f t="shared" si="132"/>
        <v>0</v>
      </c>
      <c r="AQ298" s="8">
        <f t="shared" si="133"/>
        <v>0</v>
      </c>
      <c r="AR298" s="8">
        <f t="shared" si="127"/>
        <v>0</v>
      </c>
      <c r="AS298" s="42"/>
      <c r="AT298" s="84">
        <v>131747</v>
      </c>
      <c r="AU298" s="84">
        <v>29622</v>
      </c>
      <c r="AV298" s="4">
        <f t="shared" si="128"/>
        <v>161369</v>
      </c>
      <c r="AW298" s="50" t="str">
        <f t="shared" si="129"/>
        <v/>
      </c>
      <c r="AX298" s="1" t="s">
        <v>1723</v>
      </c>
      <c r="AY298" s="2" t="s">
        <v>1724</v>
      </c>
      <c r="AZ298" s="2">
        <v>62580.72</v>
      </c>
      <c r="BA298" s="73">
        <v>54758.13</v>
      </c>
      <c r="BB298" s="73">
        <v>54758.13</v>
      </c>
      <c r="BC298" s="73">
        <v>62580.72</v>
      </c>
      <c r="BD298" s="73"/>
      <c r="BE298" s="66">
        <v>0</v>
      </c>
      <c r="BF298" s="66">
        <v>0.05</v>
      </c>
      <c r="BG298" s="63">
        <v>45275</v>
      </c>
      <c r="BH298" s="2"/>
      <c r="BI298" s="2"/>
      <c r="BJ298" s="2">
        <v>238061.25</v>
      </c>
      <c r="BK298" s="2">
        <v>26451.25</v>
      </c>
      <c r="BL298" s="1" t="s">
        <v>56</v>
      </c>
    </row>
    <row r="299" spans="1:64" x14ac:dyDescent="0.25">
      <c r="A299" s="81" t="s">
        <v>530</v>
      </c>
      <c r="B299" s="82" t="s">
        <v>1391</v>
      </c>
      <c r="C299" s="81" t="s">
        <v>1392</v>
      </c>
      <c r="D299" s="16">
        <v>0</v>
      </c>
      <c r="E299" s="17"/>
      <c r="F299" s="2" t="s">
        <v>532</v>
      </c>
      <c r="G299" s="2" t="s">
        <v>533</v>
      </c>
      <c r="H299" s="10" t="s">
        <v>57</v>
      </c>
      <c r="I299" s="11" t="s">
        <v>53</v>
      </c>
      <c r="J299" s="11" t="s">
        <v>384</v>
      </c>
      <c r="K299" s="61"/>
      <c r="L299" s="11" t="s">
        <v>67</v>
      </c>
      <c r="M299" s="25"/>
      <c r="N299" s="82"/>
      <c r="O299" s="3" t="str">
        <f t="shared" si="137"/>
        <v>A</v>
      </c>
      <c r="P299" s="84">
        <v>46999</v>
      </c>
      <c r="Q299" s="84">
        <v>8127</v>
      </c>
      <c r="R299" s="32"/>
      <c r="S299" s="3" t="str">
        <f t="shared" si="138"/>
        <v>A</v>
      </c>
      <c r="T299" s="84">
        <v>48121</v>
      </c>
      <c r="U299" s="84">
        <v>5781</v>
      </c>
      <c r="V299" s="32"/>
      <c r="W299" s="3" t="str">
        <f t="shared" si="123"/>
        <v>A</v>
      </c>
      <c r="X299" s="84">
        <v>39383</v>
      </c>
      <c r="Y299" s="84">
        <v>7268</v>
      </c>
      <c r="Z299" s="32"/>
      <c r="AA299" s="3" t="str">
        <f t="shared" si="124"/>
        <v>A</v>
      </c>
      <c r="AB299" s="84">
        <v>49999</v>
      </c>
      <c r="AC299" s="84">
        <v>7962</v>
      </c>
      <c r="AD299" s="36"/>
      <c r="AE299" s="82"/>
      <c r="AF299" s="3" t="str">
        <f t="shared" si="125"/>
        <v>A</v>
      </c>
      <c r="AG299" s="84">
        <v>0</v>
      </c>
      <c r="AH299" s="84">
        <v>0</v>
      </c>
      <c r="AI299" s="39"/>
      <c r="AJ299" s="79" t="s">
        <v>1801</v>
      </c>
      <c r="AK299" s="39"/>
      <c r="AL299" s="4">
        <f t="shared" si="130"/>
        <v>184502</v>
      </c>
      <c r="AM299" s="4">
        <f t="shared" si="131"/>
        <v>29138</v>
      </c>
      <c r="AN299" s="4">
        <f t="shared" si="126"/>
        <v>213640</v>
      </c>
      <c r="AO299" s="39"/>
      <c r="AP299" s="8">
        <f t="shared" si="132"/>
        <v>0</v>
      </c>
      <c r="AQ299" s="8">
        <f t="shared" si="133"/>
        <v>0</v>
      </c>
      <c r="AR299" s="8">
        <f t="shared" si="127"/>
        <v>0</v>
      </c>
      <c r="AS299" s="42"/>
      <c r="AT299" s="84">
        <v>184502</v>
      </c>
      <c r="AU299" s="84">
        <v>29138</v>
      </c>
      <c r="AV299" s="4">
        <f t="shared" si="128"/>
        <v>213640</v>
      </c>
      <c r="AW299" s="50" t="str">
        <f t="shared" si="129"/>
        <v/>
      </c>
      <c r="AX299" s="1" t="s">
        <v>1723</v>
      </c>
      <c r="AY299" s="2" t="s">
        <v>1724</v>
      </c>
      <c r="AZ299" s="2">
        <v>43519.199999999997</v>
      </c>
      <c r="BA299" s="73">
        <v>38079.300000000003</v>
      </c>
      <c r="BB299" s="73">
        <v>38079.300000000003</v>
      </c>
      <c r="BC299" s="73">
        <v>43519.199999999997</v>
      </c>
      <c r="BD299" s="73"/>
      <c r="BE299" s="66">
        <v>0</v>
      </c>
      <c r="BF299" s="66">
        <v>0.05</v>
      </c>
      <c r="BG299" s="63">
        <v>45383</v>
      </c>
      <c r="BH299" s="2"/>
      <c r="BI299" s="2"/>
      <c r="BJ299" s="2">
        <v>158492.25</v>
      </c>
      <c r="BK299" s="2">
        <v>17610.25</v>
      </c>
      <c r="BL299" s="1" t="s">
        <v>56</v>
      </c>
    </row>
    <row r="300" spans="1:64" x14ac:dyDescent="0.25">
      <c r="A300" s="81" t="s">
        <v>530</v>
      </c>
      <c r="B300" s="82" t="s">
        <v>1556</v>
      </c>
      <c r="C300" s="81" t="s">
        <v>1557</v>
      </c>
      <c r="D300" s="16">
        <v>0</v>
      </c>
      <c r="E300" s="17"/>
      <c r="F300" s="2" t="s">
        <v>532</v>
      </c>
      <c r="G300" s="2" t="s">
        <v>533</v>
      </c>
      <c r="H300" s="10" t="s">
        <v>57</v>
      </c>
      <c r="I300" s="11" t="s">
        <v>53</v>
      </c>
      <c r="J300" s="11" t="s">
        <v>384</v>
      </c>
      <c r="K300" s="61"/>
      <c r="L300" s="11" t="s">
        <v>67</v>
      </c>
      <c r="M300" s="25"/>
      <c r="N300" s="82"/>
      <c r="O300" s="3" t="str">
        <f t="shared" si="137"/>
        <v>A</v>
      </c>
      <c r="P300" s="84">
        <v>28183</v>
      </c>
      <c r="Q300" s="84">
        <v>7493</v>
      </c>
      <c r="R300" s="32"/>
      <c r="S300" s="3" t="str">
        <f t="shared" si="138"/>
        <v>A</v>
      </c>
      <c r="T300" s="84">
        <v>25697</v>
      </c>
      <c r="U300" s="84">
        <v>5949</v>
      </c>
      <c r="V300" s="32"/>
      <c r="W300" s="3" t="str">
        <f t="shared" si="123"/>
        <v>A</v>
      </c>
      <c r="X300" s="84">
        <v>23858</v>
      </c>
      <c r="Y300" s="84">
        <v>7143</v>
      </c>
      <c r="Z300" s="32"/>
      <c r="AA300" s="3" t="str">
        <f t="shared" si="124"/>
        <v>A</v>
      </c>
      <c r="AB300" s="84">
        <v>24951</v>
      </c>
      <c r="AC300" s="84">
        <v>8062</v>
      </c>
      <c r="AD300" s="36"/>
      <c r="AE300" s="82"/>
      <c r="AF300" s="3" t="str">
        <f t="shared" si="125"/>
        <v>A</v>
      </c>
      <c r="AG300" s="84">
        <v>0</v>
      </c>
      <c r="AH300" s="84">
        <v>0</v>
      </c>
      <c r="AI300" s="39"/>
      <c r="AJ300" s="79" t="s">
        <v>1801</v>
      </c>
      <c r="AK300" s="39"/>
      <c r="AL300" s="4">
        <f t="shared" si="130"/>
        <v>102689</v>
      </c>
      <c r="AM300" s="4">
        <f t="shared" si="131"/>
        <v>28647</v>
      </c>
      <c r="AN300" s="4">
        <f t="shared" si="126"/>
        <v>131336</v>
      </c>
      <c r="AO300" s="39"/>
      <c r="AP300" s="8">
        <f t="shared" si="132"/>
        <v>0</v>
      </c>
      <c r="AQ300" s="8">
        <f t="shared" si="133"/>
        <v>0</v>
      </c>
      <c r="AR300" s="8">
        <f t="shared" si="127"/>
        <v>0</v>
      </c>
      <c r="AS300" s="42"/>
      <c r="AT300" s="84">
        <v>102689</v>
      </c>
      <c r="AU300" s="84">
        <v>28647</v>
      </c>
      <c r="AV300" s="4">
        <f t="shared" si="128"/>
        <v>131336</v>
      </c>
      <c r="AW300" s="50" t="str">
        <f t="shared" si="129"/>
        <v/>
      </c>
      <c r="AX300" s="1" t="s">
        <v>1723</v>
      </c>
      <c r="AY300" s="2" t="s">
        <v>1724</v>
      </c>
      <c r="AZ300" s="2">
        <v>118538.24000000001</v>
      </c>
      <c r="BA300" s="73">
        <v>103720.96000000001</v>
      </c>
      <c r="BB300" s="73">
        <v>103720.96000000001</v>
      </c>
      <c r="BC300" s="73">
        <v>118538.24000000001</v>
      </c>
      <c r="BD300" s="73"/>
      <c r="BE300" s="66">
        <v>0</v>
      </c>
      <c r="BF300" s="66">
        <v>0.05</v>
      </c>
      <c r="BG300" s="63">
        <v>45656</v>
      </c>
      <c r="BH300" s="2"/>
      <c r="BI300" s="2"/>
      <c r="BJ300" s="2">
        <v>454836.23</v>
      </c>
      <c r="BK300" s="2">
        <v>45483.63</v>
      </c>
      <c r="BL300" s="1" t="s">
        <v>56</v>
      </c>
    </row>
    <row r="301" spans="1:64" x14ac:dyDescent="0.25">
      <c r="A301" s="81" t="s">
        <v>530</v>
      </c>
      <c r="B301" s="82" t="s">
        <v>1572</v>
      </c>
      <c r="C301" s="81" t="s">
        <v>1573</v>
      </c>
      <c r="D301" s="16">
        <v>0</v>
      </c>
      <c r="E301" s="17"/>
      <c r="F301" s="2" t="s">
        <v>532</v>
      </c>
      <c r="G301" s="2" t="s">
        <v>533</v>
      </c>
      <c r="H301" s="10" t="s">
        <v>57</v>
      </c>
      <c r="I301" s="11" t="s">
        <v>53</v>
      </c>
      <c r="J301" s="11" t="s">
        <v>384</v>
      </c>
      <c r="K301" s="61"/>
      <c r="L301" s="11" t="s">
        <v>67</v>
      </c>
      <c r="M301" s="25"/>
      <c r="N301" s="82"/>
      <c r="O301" s="3" t="str">
        <f t="shared" si="137"/>
        <v>A</v>
      </c>
      <c r="P301" s="84">
        <v>44749</v>
      </c>
      <c r="Q301" s="84">
        <v>7742</v>
      </c>
      <c r="R301" s="32"/>
      <c r="S301" s="3" t="str">
        <f t="shared" si="138"/>
        <v>A</v>
      </c>
      <c r="T301" s="84">
        <v>46134</v>
      </c>
      <c r="U301" s="84">
        <v>6768</v>
      </c>
      <c r="V301" s="32"/>
      <c r="W301" s="3" t="str">
        <f t="shared" si="123"/>
        <v>A</v>
      </c>
      <c r="X301" s="84">
        <v>36875</v>
      </c>
      <c r="Y301" s="84">
        <v>7238</v>
      </c>
      <c r="Z301" s="32"/>
      <c r="AA301" s="3" t="str">
        <f t="shared" si="124"/>
        <v>A</v>
      </c>
      <c r="AB301" s="84">
        <v>46817</v>
      </c>
      <c r="AC301" s="84">
        <v>8232</v>
      </c>
      <c r="AD301" s="36"/>
      <c r="AE301" s="82"/>
      <c r="AF301" s="3" t="str">
        <f t="shared" si="125"/>
        <v>A</v>
      </c>
      <c r="AG301" s="84">
        <v>0</v>
      </c>
      <c r="AH301" s="84">
        <v>0</v>
      </c>
      <c r="AI301" s="39"/>
      <c r="AJ301" s="79" t="s">
        <v>1801</v>
      </c>
      <c r="AK301" s="39"/>
      <c r="AL301" s="4">
        <f t="shared" si="130"/>
        <v>174575</v>
      </c>
      <c r="AM301" s="4">
        <f t="shared" si="131"/>
        <v>29980</v>
      </c>
      <c r="AN301" s="4">
        <f t="shared" si="126"/>
        <v>204555</v>
      </c>
      <c r="AO301" s="39"/>
      <c r="AP301" s="8">
        <f t="shared" si="132"/>
        <v>0</v>
      </c>
      <c r="AQ301" s="8">
        <f t="shared" si="133"/>
        <v>0</v>
      </c>
      <c r="AR301" s="8">
        <f t="shared" si="127"/>
        <v>0</v>
      </c>
      <c r="AS301" s="42"/>
      <c r="AT301" s="84">
        <v>174575</v>
      </c>
      <c r="AU301" s="84">
        <v>29980</v>
      </c>
      <c r="AV301" s="4">
        <f t="shared" si="128"/>
        <v>204555</v>
      </c>
      <c r="AW301" s="50" t="str">
        <f t="shared" si="129"/>
        <v/>
      </c>
      <c r="AX301" s="1" t="s">
        <v>1723</v>
      </c>
      <c r="AY301" s="2" t="s">
        <v>1724</v>
      </c>
      <c r="AZ301" s="2">
        <v>107483.36</v>
      </c>
      <c r="BA301" s="73">
        <v>94047.94</v>
      </c>
      <c r="BB301" s="73">
        <v>94047.94</v>
      </c>
      <c r="BC301" s="73">
        <v>107483.36</v>
      </c>
      <c r="BD301" s="73"/>
      <c r="BE301" s="66">
        <v>0</v>
      </c>
      <c r="BF301" s="66">
        <v>0.05</v>
      </c>
      <c r="BG301" s="63">
        <v>45710</v>
      </c>
      <c r="BH301" s="2"/>
      <c r="BI301" s="2"/>
      <c r="BJ301" s="2">
        <v>391500</v>
      </c>
      <c r="BK301" s="2">
        <v>43500</v>
      </c>
      <c r="BL301" s="1" t="s">
        <v>56</v>
      </c>
    </row>
    <row r="302" spans="1:64" x14ac:dyDescent="0.25">
      <c r="A302" s="81" t="s">
        <v>530</v>
      </c>
      <c r="B302" s="82" t="s">
        <v>1596</v>
      </c>
      <c r="C302" s="81" t="s">
        <v>1597</v>
      </c>
      <c r="D302" s="16">
        <v>54788</v>
      </c>
      <c r="E302" s="17"/>
      <c r="F302" s="2" t="s">
        <v>532</v>
      </c>
      <c r="G302" s="2" t="s">
        <v>533</v>
      </c>
      <c r="H302" s="10" t="s">
        <v>57</v>
      </c>
      <c r="I302" s="11" t="s">
        <v>53</v>
      </c>
      <c r="J302" s="11" t="s">
        <v>384</v>
      </c>
      <c r="K302" s="61"/>
      <c r="L302" s="11" t="s">
        <v>67</v>
      </c>
      <c r="M302" s="25"/>
      <c r="N302" s="82"/>
      <c r="O302" s="3" t="str">
        <f t="shared" si="137"/>
        <v>E</v>
      </c>
      <c r="P302" s="84"/>
      <c r="Q302" s="84"/>
      <c r="R302" s="32"/>
      <c r="S302" s="3" t="str">
        <f t="shared" si="138"/>
        <v>E</v>
      </c>
      <c r="T302" s="84"/>
      <c r="U302" s="84"/>
      <c r="V302" s="32"/>
      <c r="W302" s="3" t="str">
        <f t="shared" si="123"/>
        <v>A</v>
      </c>
      <c r="X302" s="84"/>
      <c r="Y302" s="84"/>
      <c r="Z302" s="32"/>
      <c r="AA302" s="3" t="str">
        <f t="shared" si="124"/>
        <v>A</v>
      </c>
      <c r="AB302" s="84"/>
      <c r="AC302" s="84"/>
      <c r="AD302" s="36"/>
      <c r="AE302" s="82"/>
      <c r="AF302" s="3" t="str">
        <f t="shared" si="125"/>
        <v>A</v>
      </c>
      <c r="AG302" s="84"/>
      <c r="AH302" s="84"/>
      <c r="AI302" s="39"/>
      <c r="AJ302" s="79" t="s">
        <v>38</v>
      </c>
      <c r="AK302" s="39"/>
      <c r="AL302" s="4">
        <f t="shared" si="130"/>
        <v>0</v>
      </c>
      <c r="AM302" s="4">
        <f t="shared" si="131"/>
        <v>0</v>
      </c>
      <c r="AN302" s="4">
        <f t="shared" si="126"/>
        <v>0</v>
      </c>
      <c r="AO302" s="39"/>
      <c r="AP302" s="8">
        <f t="shared" si="132"/>
        <v>0</v>
      </c>
      <c r="AQ302" s="8">
        <f t="shared" si="133"/>
        <v>0</v>
      </c>
      <c r="AR302" s="8">
        <f t="shared" si="127"/>
        <v>0</v>
      </c>
      <c r="AS302" s="42"/>
      <c r="AT302" s="84"/>
      <c r="AU302" s="84"/>
      <c r="AV302" s="4">
        <f t="shared" si="128"/>
        <v>0</v>
      </c>
      <c r="AW302" s="50" t="str">
        <f t="shared" si="129"/>
        <v/>
      </c>
      <c r="AX302" s="1" t="s">
        <v>1723</v>
      </c>
      <c r="AY302" s="2" t="s">
        <v>1724</v>
      </c>
      <c r="AZ302" s="2"/>
      <c r="BA302" s="73"/>
      <c r="BB302" s="73"/>
      <c r="BC302" s="73"/>
      <c r="BD302" s="73"/>
      <c r="BE302" s="66">
        <v>0</v>
      </c>
      <c r="BF302" s="66">
        <v>0.05</v>
      </c>
      <c r="BG302" s="63">
        <v>0</v>
      </c>
      <c r="BH302" s="2"/>
      <c r="BI302" s="2"/>
      <c r="BJ302" s="2">
        <v>523437</v>
      </c>
      <c r="BK302" s="2"/>
      <c r="BL302" s="1" t="s">
        <v>56</v>
      </c>
    </row>
    <row r="303" spans="1:64" x14ac:dyDescent="0.25">
      <c r="A303" s="81" t="s">
        <v>530</v>
      </c>
      <c r="B303" s="82" t="s">
        <v>1598</v>
      </c>
      <c r="C303" s="81" t="s">
        <v>1599</v>
      </c>
      <c r="D303" s="16">
        <v>0</v>
      </c>
      <c r="E303" s="17"/>
      <c r="F303" s="2" t="s">
        <v>532</v>
      </c>
      <c r="G303" s="2" t="s">
        <v>533</v>
      </c>
      <c r="H303" s="10" t="s">
        <v>57</v>
      </c>
      <c r="I303" s="11" t="s">
        <v>53</v>
      </c>
      <c r="J303" s="11" t="s">
        <v>384</v>
      </c>
      <c r="K303" s="61"/>
      <c r="L303" s="11" t="s">
        <v>67</v>
      </c>
      <c r="M303" s="25"/>
      <c r="N303" s="82"/>
      <c r="O303" s="3" t="str">
        <f t="shared" si="137"/>
        <v>A</v>
      </c>
      <c r="P303" s="84">
        <v>23303</v>
      </c>
      <c r="Q303" s="84">
        <v>6810</v>
      </c>
      <c r="R303" s="32"/>
      <c r="S303" s="3" t="str">
        <f t="shared" si="138"/>
        <v>A</v>
      </c>
      <c r="T303" s="84">
        <v>18657</v>
      </c>
      <c r="U303" s="84">
        <v>6640</v>
      </c>
      <c r="V303" s="32"/>
      <c r="W303" s="3" t="str">
        <f t="shared" si="123"/>
        <v>A</v>
      </c>
      <c r="X303" s="84">
        <v>22111</v>
      </c>
      <c r="Y303" s="84">
        <v>6240</v>
      </c>
      <c r="Z303" s="32"/>
      <c r="AA303" s="3" t="str">
        <f t="shared" si="124"/>
        <v>A</v>
      </c>
      <c r="AB303" s="84">
        <v>19335.599999999999</v>
      </c>
      <c r="AC303" s="84">
        <v>8160</v>
      </c>
      <c r="AD303" s="36"/>
      <c r="AE303" s="82"/>
      <c r="AF303" s="3" t="str">
        <f t="shared" si="125"/>
        <v>A</v>
      </c>
      <c r="AG303" s="84">
        <v>0</v>
      </c>
      <c r="AH303" s="84">
        <v>0</v>
      </c>
      <c r="AI303" s="39"/>
      <c r="AJ303" s="79" t="s">
        <v>1801</v>
      </c>
      <c r="AK303" s="39"/>
      <c r="AL303" s="4">
        <f t="shared" si="130"/>
        <v>83406.600000000006</v>
      </c>
      <c r="AM303" s="4">
        <f t="shared" si="131"/>
        <v>27850</v>
      </c>
      <c r="AN303" s="4">
        <f t="shared" si="126"/>
        <v>111256.6</v>
      </c>
      <c r="AO303" s="39"/>
      <c r="AP303" s="8">
        <f t="shared" si="132"/>
        <v>0</v>
      </c>
      <c r="AQ303" s="8">
        <f t="shared" si="133"/>
        <v>0</v>
      </c>
      <c r="AR303" s="8">
        <f t="shared" si="127"/>
        <v>0</v>
      </c>
      <c r="AS303" s="42"/>
      <c r="AT303" s="84">
        <v>83406.600000000006</v>
      </c>
      <c r="AU303" s="84">
        <v>27850</v>
      </c>
      <c r="AV303" s="4">
        <f t="shared" si="128"/>
        <v>111256.6</v>
      </c>
      <c r="AW303" s="50" t="str">
        <f t="shared" si="129"/>
        <v/>
      </c>
      <c r="AX303" s="1" t="s">
        <v>1723</v>
      </c>
      <c r="AY303" s="2" t="s">
        <v>1724</v>
      </c>
      <c r="AZ303" s="2">
        <v>101748.48</v>
      </c>
      <c r="BA303" s="73">
        <v>89029.92</v>
      </c>
      <c r="BB303" s="73">
        <v>89029.92</v>
      </c>
      <c r="BC303" s="73">
        <v>101748.48</v>
      </c>
      <c r="BD303" s="73"/>
      <c r="BE303" s="66">
        <v>0</v>
      </c>
      <c r="BF303" s="66">
        <v>0.05</v>
      </c>
      <c r="BG303" s="63">
        <v>45743</v>
      </c>
      <c r="BH303" s="2"/>
      <c r="BI303" s="2"/>
      <c r="BJ303" s="2">
        <v>377390</v>
      </c>
      <c r="BK303" s="2"/>
      <c r="BL303" s="1" t="s">
        <v>56</v>
      </c>
    </row>
    <row r="304" spans="1:64" x14ac:dyDescent="0.25">
      <c r="A304" s="81" t="s">
        <v>534</v>
      </c>
      <c r="B304" s="82" t="s">
        <v>534</v>
      </c>
      <c r="C304" s="81" t="s">
        <v>535</v>
      </c>
      <c r="D304" s="16">
        <v>42567</v>
      </c>
      <c r="E304" s="17"/>
      <c r="F304" s="2" t="s">
        <v>52</v>
      </c>
      <c r="G304" s="2" t="s">
        <v>55</v>
      </c>
      <c r="H304" s="10" t="s">
        <v>57</v>
      </c>
      <c r="I304" s="11" t="s">
        <v>54</v>
      </c>
      <c r="J304" s="11" t="s">
        <v>68</v>
      </c>
      <c r="K304" s="61" t="s">
        <v>69</v>
      </c>
      <c r="L304" s="11" t="s">
        <v>67</v>
      </c>
      <c r="M304" s="25"/>
      <c r="N304" s="82"/>
      <c r="O304" s="3" t="str">
        <f t="shared" ref="O304:O309" si="139">IF($A304="","",IF(P304=0,"A",IF(P304=AZ304,"E","A")))</f>
        <v>A</v>
      </c>
      <c r="P304" s="84">
        <v>64215.1</v>
      </c>
      <c r="Q304" s="84">
        <v>14903.75</v>
      </c>
      <c r="R304" s="32"/>
      <c r="S304" s="3" t="str">
        <f t="shared" ref="S304:S309" si="140">IF($A304="","",IF(T304=0,"A",IF(T304=BA304,"E","A")))</f>
        <v>A</v>
      </c>
      <c r="T304" s="84">
        <v>59649.599999999999</v>
      </c>
      <c r="U304" s="84">
        <v>15029</v>
      </c>
      <c r="V304" s="32"/>
      <c r="W304" s="3" t="str">
        <f t="shared" si="123"/>
        <v>A</v>
      </c>
      <c r="X304" s="84">
        <v>57973.1</v>
      </c>
      <c r="Y304" s="84">
        <v>15228.65</v>
      </c>
      <c r="Z304" s="32"/>
      <c r="AA304" s="3" t="str">
        <f t="shared" si="124"/>
        <v>A</v>
      </c>
      <c r="AB304" s="84">
        <v>72970.349999999991</v>
      </c>
      <c r="AC304" s="84">
        <v>18135.25</v>
      </c>
      <c r="AD304" s="36"/>
      <c r="AE304" s="82"/>
      <c r="AF304" s="3" t="str">
        <f t="shared" si="125"/>
        <v>A</v>
      </c>
      <c r="AG304" s="84">
        <v>0</v>
      </c>
      <c r="AH304" s="84">
        <v>0</v>
      </c>
      <c r="AI304" s="39"/>
      <c r="AJ304" s="79" t="s">
        <v>1801</v>
      </c>
      <c r="AK304" s="39"/>
      <c r="AL304" s="4">
        <f t="shared" si="130"/>
        <v>254808.14999999997</v>
      </c>
      <c r="AM304" s="4">
        <f t="shared" si="131"/>
        <v>63296.65</v>
      </c>
      <c r="AN304" s="4">
        <f t="shared" si="126"/>
        <v>318104.8</v>
      </c>
      <c r="AO304" s="39"/>
      <c r="AP304" s="8">
        <f t="shared" si="132"/>
        <v>0</v>
      </c>
      <c r="AQ304" s="8">
        <f t="shared" si="133"/>
        <v>0</v>
      </c>
      <c r="AR304" s="8">
        <f t="shared" si="127"/>
        <v>0</v>
      </c>
      <c r="AS304" s="42"/>
      <c r="AT304" s="84">
        <v>254808.15</v>
      </c>
      <c r="AU304" s="84">
        <v>63296.65</v>
      </c>
      <c r="AV304" s="4">
        <f t="shared" si="128"/>
        <v>318104.8</v>
      </c>
      <c r="AW304" s="50" t="str">
        <f t="shared" si="129"/>
        <v/>
      </c>
      <c r="AX304" s="1" t="s">
        <v>1639</v>
      </c>
      <c r="AY304" s="2" t="s">
        <v>1640</v>
      </c>
      <c r="AZ304" s="2">
        <v>83656.320000000007</v>
      </c>
      <c r="BA304" s="73">
        <v>73199.28</v>
      </c>
      <c r="BB304" s="73">
        <v>73199.28</v>
      </c>
      <c r="BC304" s="73">
        <v>83656.320000000007</v>
      </c>
      <c r="BD304" s="73"/>
      <c r="BE304" s="66">
        <v>0</v>
      </c>
      <c r="BF304" s="66">
        <v>0.02</v>
      </c>
      <c r="BG304" s="63">
        <v>45835</v>
      </c>
      <c r="BH304" s="2"/>
      <c r="BI304" s="2"/>
      <c r="BJ304" s="2"/>
      <c r="BK304" s="2"/>
      <c r="BL304" s="1" t="s">
        <v>56</v>
      </c>
    </row>
    <row r="305" spans="1:64" x14ac:dyDescent="0.25">
      <c r="A305" s="81" t="s">
        <v>536</v>
      </c>
      <c r="B305" s="82" t="s">
        <v>536</v>
      </c>
      <c r="C305" s="81" t="s">
        <v>537</v>
      </c>
      <c r="D305" s="16">
        <v>39611</v>
      </c>
      <c r="E305" s="17"/>
      <c r="F305" s="2" t="s">
        <v>52</v>
      </c>
      <c r="G305" s="2" t="s">
        <v>55</v>
      </c>
      <c r="H305" s="10" t="s">
        <v>57</v>
      </c>
      <c r="I305" s="11" t="s">
        <v>54</v>
      </c>
      <c r="J305" s="11" t="s">
        <v>83</v>
      </c>
      <c r="K305" s="61" t="s">
        <v>84</v>
      </c>
      <c r="L305" s="11" t="s">
        <v>67</v>
      </c>
      <c r="M305" s="25"/>
      <c r="N305" s="82"/>
      <c r="O305" s="3" t="str">
        <f t="shared" si="139"/>
        <v>A</v>
      </c>
      <c r="P305" s="84">
        <v>90128.319999999992</v>
      </c>
      <c r="Q305" s="84">
        <v>25978.870000000003</v>
      </c>
      <c r="R305" s="32"/>
      <c r="S305" s="3" t="str">
        <f t="shared" si="140"/>
        <v>A</v>
      </c>
      <c r="T305" s="84">
        <v>77259.25</v>
      </c>
      <c r="U305" s="84">
        <v>20323.29</v>
      </c>
      <c r="V305" s="32"/>
      <c r="W305" s="3" t="str">
        <f t="shared" si="123"/>
        <v>A</v>
      </c>
      <c r="X305" s="84">
        <v>82790.090000000011</v>
      </c>
      <c r="Y305" s="84">
        <v>20585.900000000001</v>
      </c>
      <c r="Z305" s="32"/>
      <c r="AA305" s="3" t="str">
        <f t="shared" si="124"/>
        <v>A</v>
      </c>
      <c r="AB305" s="84">
        <v>93432.9</v>
      </c>
      <c r="AC305" s="84">
        <v>23569.600000000002</v>
      </c>
      <c r="AD305" s="36"/>
      <c r="AE305" s="82"/>
      <c r="AF305" s="3" t="str">
        <f t="shared" si="125"/>
        <v>A</v>
      </c>
      <c r="AG305" s="84">
        <v>0</v>
      </c>
      <c r="AH305" s="84">
        <v>0</v>
      </c>
      <c r="AI305" s="39"/>
      <c r="AJ305" s="79" t="s">
        <v>1801</v>
      </c>
      <c r="AK305" s="39"/>
      <c r="AL305" s="4">
        <f t="shared" si="130"/>
        <v>343610.56000000006</v>
      </c>
      <c r="AM305" s="4">
        <f t="shared" si="131"/>
        <v>90457.66</v>
      </c>
      <c r="AN305" s="4">
        <f t="shared" si="126"/>
        <v>434068.22000000009</v>
      </c>
      <c r="AO305" s="39"/>
      <c r="AP305" s="8">
        <f t="shared" si="132"/>
        <v>0</v>
      </c>
      <c r="AQ305" s="8">
        <f t="shared" si="133"/>
        <v>0</v>
      </c>
      <c r="AR305" s="8">
        <f t="shared" si="127"/>
        <v>0</v>
      </c>
      <c r="AS305" s="42"/>
      <c r="AT305" s="84">
        <v>343610.55999999994</v>
      </c>
      <c r="AU305" s="84">
        <v>90457.660000000018</v>
      </c>
      <c r="AV305" s="4">
        <f t="shared" si="128"/>
        <v>434068.22</v>
      </c>
      <c r="AW305" s="50" t="str">
        <f t="shared" si="129"/>
        <v/>
      </c>
      <c r="AX305" s="1" t="s">
        <v>1639</v>
      </c>
      <c r="AY305" s="2" t="s">
        <v>1640</v>
      </c>
      <c r="AZ305" s="2">
        <v>99643.199999999997</v>
      </c>
      <c r="BA305" s="73">
        <v>87187.8</v>
      </c>
      <c r="BB305" s="73">
        <v>87187.8</v>
      </c>
      <c r="BC305" s="73">
        <v>99643.199999999997</v>
      </c>
      <c r="BD305" s="73"/>
      <c r="BE305" s="66">
        <v>3.5000000000000003E-2</v>
      </c>
      <c r="BF305" s="66">
        <v>0.02</v>
      </c>
      <c r="BG305" s="63">
        <v>45083</v>
      </c>
      <c r="BH305" s="2"/>
      <c r="BI305" s="74">
        <v>42731</v>
      </c>
      <c r="BJ305" s="2"/>
      <c r="BK305" s="2"/>
      <c r="BL305" s="1" t="s">
        <v>56</v>
      </c>
    </row>
    <row r="306" spans="1:64" x14ac:dyDescent="0.25">
      <c r="A306" s="81" t="s">
        <v>538</v>
      </c>
      <c r="B306" s="82" t="s">
        <v>538</v>
      </c>
      <c r="C306" s="81" t="s">
        <v>539</v>
      </c>
      <c r="D306" s="16">
        <v>0</v>
      </c>
      <c r="E306" s="17"/>
      <c r="F306" s="2" t="s">
        <v>76</v>
      </c>
      <c r="G306" s="2" t="s">
        <v>78</v>
      </c>
      <c r="H306" s="10" t="s">
        <v>57</v>
      </c>
      <c r="I306" s="11" t="s">
        <v>77</v>
      </c>
      <c r="J306" s="11" t="s">
        <v>87</v>
      </c>
      <c r="K306" s="61" t="s">
        <v>88</v>
      </c>
      <c r="L306" s="11" t="s">
        <v>67</v>
      </c>
      <c r="M306" s="25"/>
      <c r="N306" s="82"/>
      <c r="O306" s="3" t="str">
        <f t="shared" si="139"/>
        <v>A</v>
      </c>
      <c r="P306" s="84">
        <v>236842.02000000002</v>
      </c>
      <c r="Q306" s="84">
        <v>44367</v>
      </c>
      <c r="R306" s="32"/>
      <c r="S306" s="3" t="str">
        <f t="shared" si="140"/>
        <v>A</v>
      </c>
      <c r="T306" s="84">
        <v>198656.02000000002</v>
      </c>
      <c r="U306" s="84">
        <v>41656.979999999996</v>
      </c>
      <c r="V306" s="32"/>
      <c r="W306" s="3" t="str">
        <f t="shared" si="123"/>
        <v>A</v>
      </c>
      <c r="X306" s="84">
        <v>186714</v>
      </c>
      <c r="Y306" s="84">
        <v>27540</v>
      </c>
      <c r="Z306" s="32"/>
      <c r="AA306" s="3" t="str">
        <f t="shared" si="124"/>
        <v>A</v>
      </c>
      <c r="AB306" s="84">
        <v>210866.02</v>
      </c>
      <c r="AC306" s="84">
        <v>33655</v>
      </c>
      <c r="AD306" s="36"/>
      <c r="AE306" s="82"/>
      <c r="AF306" s="3" t="str">
        <f t="shared" si="125"/>
        <v>A</v>
      </c>
      <c r="AG306" s="84">
        <v>0</v>
      </c>
      <c r="AH306" s="84">
        <v>0</v>
      </c>
      <c r="AI306" s="39"/>
      <c r="AJ306" s="79" t="s">
        <v>1801</v>
      </c>
      <c r="AK306" s="39"/>
      <c r="AL306" s="4">
        <f t="shared" si="130"/>
        <v>833078.06</v>
      </c>
      <c r="AM306" s="4">
        <f t="shared" si="131"/>
        <v>147218.97999999998</v>
      </c>
      <c r="AN306" s="4">
        <f t="shared" si="126"/>
        <v>980297.04</v>
      </c>
      <c r="AO306" s="39"/>
      <c r="AP306" s="8">
        <f t="shared" si="132"/>
        <v>0</v>
      </c>
      <c r="AQ306" s="8">
        <f t="shared" si="133"/>
        <v>0</v>
      </c>
      <c r="AR306" s="8">
        <f t="shared" si="127"/>
        <v>0</v>
      </c>
      <c r="AS306" s="42"/>
      <c r="AT306" s="84">
        <v>833078.06</v>
      </c>
      <c r="AU306" s="84">
        <v>147218.97999999998</v>
      </c>
      <c r="AV306" s="4">
        <f t="shared" si="128"/>
        <v>980297.04</v>
      </c>
      <c r="AW306" s="50" t="str">
        <f t="shared" si="129"/>
        <v/>
      </c>
      <c r="AX306" s="1" t="s">
        <v>1639</v>
      </c>
      <c r="AY306" s="2" t="s">
        <v>1640</v>
      </c>
      <c r="AZ306" s="2">
        <v>204391.44</v>
      </c>
      <c r="BA306" s="73">
        <v>178842.51</v>
      </c>
      <c r="BB306" s="73">
        <v>178842.51</v>
      </c>
      <c r="BC306" s="73">
        <v>204391.44</v>
      </c>
      <c r="BD306" s="73"/>
      <c r="BE306" s="66">
        <v>0</v>
      </c>
      <c r="BF306" s="66">
        <v>0.02</v>
      </c>
      <c r="BG306" s="63">
        <v>44216</v>
      </c>
      <c r="BH306" s="2"/>
      <c r="BI306" s="2"/>
      <c r="BJ306" s="2"/>
      <c r="BK306" s="2"/>
      <c r="BL306" s="1" t="s">
        <v>56</v>
      </c>
    </row>
    <row r="307" spans="1:64" x14ac:dyDescent="0.25">
      <c r="A307" s="81" t="s">
        <v>538</v>
      </c>
      <c r="B307" s="82" t="s">
        <v>877</v>
      </c>
      <c r="C307" s="81" t="s">
        <v>878</v>
      </c>
      <c r="D307" s="16">
        <v>0</v>
      </c>
      <c r="E307" s="17"/>
      <c r="F307" s="2" t="s">
        <v>76</v>
      </c>
      <c r="G307" s="2" t="s">
        <v>78</v>
      </c>
      <c r="H307" s="10" t="s">
        <v>57</v>
      </c>
      <c r="I307" s="11" t="s">
        <v>77</v>
      </c>
      <c r="J307" s="11" t="s">
        <v>87</v>
      </c>
      <c r="K307" s="61" t="s">
        <v>88</v>
      </c>
      <c r="L307" s="11" t="s">
        <v>67</v>
      </c>
      <c r="M307" s="25"/>
      <c r="N307" s="82"/>
      <c r="O307" s="3" t="str">
        <f t="shared" si="139"/>
        <v>A</v>
      </c>
      <c r="P307" s="84">
        <v>22301</v>
      </c>
      <c r="Q307" s="84">
        <v>5384</v>
      </c>
      <c r="R307" s="32"/>
      <c r="S307" s="3" t="str">
        <f t="shared" si="140"/>
        <v>A</v>
      </c>
      <c r="T307" s="84">
        <v>16157</v>
      </c>
      <c r="U307" s="84">
        <v>2623</v>
      </c>
      <c r="V307" s="32"/>
      <c r="W307" s="3" t="str">
        <f t="shared" si="123"/>
        <v>A</v>
      </c>
      <c r="X307" s="84">
        <v>16240</v>
      </c>
      <c r="Y307" s="84">
        <v>3592</v>
      </c>
      <c r="Z307" s="32"/>
      <c r="AA307" s="3" t="str">
        <f t="shared" si="124"/>
        <v>A</v>
      </c>
      <c r="AB307" s="84">
        <v>16399</v>
      </c>
      <c r="AC307" s="84">
        <v>4172</v>
      </c>
      <c r="AD307" s="36"/>
      <c r="AE307" s="82"/>
      <c r="AF307" s="3" t="str">
        <f t="shared" si="125"/>
        <v>A</v>
      </c>
      <c r="AG307" s="84">
        <v>0</v>
      </c>
      <c r="AH307" s="84">
        <v>0</v>
      </c>
      <c r="AI307" s="39"/>
      <c r="AJ307" s="79" t="s">
        <v>1801</v>
      </c>
      <c r="AK307" s="39"/>
      <c r="AL307" s="4">
        <f t="shared" si="130"/>
        <v>71097</v>
      </c>
      <c r="AM307" s="4">
        <f t="shared" si="131"/>
        <v>15771</v>
      </c>
      <c r="AN307" s="4">
        <f t="shared" si="126"/>
        <v>86868</v>
      </c>
      <c r="AO307" s="39"/>
      <c r="AP307" s="8">
        <f t="shared" si="132"/>
        <v>0</v>
      </c>
      <c r="AQ307" s="8">
        <f t="shared" si="133"/>
        <v>0</v>
      </c>
      <c r="AR307" s="8">
        <f t="shared" si="127"/>
        <v>0</v>
      </c>
      <c r="AS307" s="42"/>
      <c r="AT307" s="84">
        <v>71097</v>
      </c>
      <c r="AU307" s="84">
        <v>15771</v>
      </c>
      <c r="AV307" s="4">
        <f t="shared" si="128"/>
        <v>86868</v>
      </c>
      <c r="AW307" s="50" t="str">
        <f t="shared" si="129"/>
        <v/>
      </c>
      <c r="AX307" s="1" t="s">
        <v>1639</v>
      </c>
      <c r="AY307" s="2" t="s">
        <v>1640</v>
      </c>
      <c r="AZ307" s="2">
        <v>34700.239999999998</v>
      </c>
      <c r="BA307" s="73">
        <v>30362.71</v>
      </c>
      <c r="BB307" s="73">
        <v>30362.71</v>
      </c>
      <c r="BC307" s="73">
        <v>34700.239999999998</v>
      </c>
      <c r="BD307" s="73"/>
      <c r="BE307" s="66">
        <v>0</v>
      </c>
      <c r="BF307" s="66">
        <v>0.02</v>
      </c>
      <c r="BG307" s="63">
        <v>44216</v>
      </c>
      <c r="BH307" s="2"/>
      <c r="BI307" s="2"/>
      <c r="BJ307" s="2"/>
      <c r="BK307" s="2"/>
      <c r="BL307" s="1" t="s">
        <v>56</v>
      </c>
    </row>
    <row r="308" spans="1:64" x14ac:dyDescent="0.25">
      <c r="A308" s="81" t="s">
        <v>540</v>
      </c>
      <c r="B308" s="82" t="s">
        <v>540</v>
      </c>
      <c r="C308" s="81" t="s">
        <v>541</v>
      </c>
      <c r="D308" s="16">
        <v>40628</v>
      </c>
      <c r="E308" s="17"/>
      <c r="F308" s="2" t="s">
        <v>76</v>
      </c>
      <c r="G308" s="2" t="s">
        <v>78</v>
      </c>
      <c r="H308" s="10" t="s">
        <v>57</v>
      </c>
      <c r="I308" s="11" t="s">
        <v>77</v>
      </c>
      <c r="J308" s="11" t="s">
        <v>87</v>
      </c>
      <c r="K308" s="61" t="s">
        <v>88</v>
      </c>
      <c r="L308" s="11" t="s">
        <v>67</v>
      </c>
      <c r="M308" s="25"/>
      <c r="N308" s="82"/>
      <c r="O308" s="3" t="str">
        <f t="shared" si="139"/>
        <v>A</v>
      </c>
      <c r="P308" s="84">
        <v>212702.75</v>
      </c>
      <c r="Q308" s="84">
        <v>51209.65</v>
      </c>
      <c r="R308" s="32"/>
      <c r="S308" s="3" t="str">
        <f t="shared" si="140"/>
        <v>A</v>
      </c>
      <c r="T308" s="84">
        <v>188617.60000000001</v>
      </c>
      <c r="U308" s="84">
        <v>47598</v>
      </c>
      <c r="V308" s="32"/>
      <c r="W308" s="3" t="str">
        <f t="shared" si="123"/>
        <v>A</v>
      </c>
      <c r="X308" s="84">
        <v>162951.6</v>
      </c>
      <c r="Y308" s="84">
        <v>43078</v>
      </c>
      <c r="Z308" s="32"/>
      <c r="AA308" s="3" t="str">
        <f t="shared" si="124"/>
        <v>A</v>
      </c>
      <c r="AB308" s="84">
        <v>181614.80000000002</v>
      </c>
      <c r="AC308" s="84">
        <v>45201</v>
      </c>
      <c r="AD308" s="36"/>
      <c r="AE308" s="82"/>
      <c r="AF308" s="3" t="str">
        <f t="shared" si="125"/>
        <v>A</v>
      </c>
      <c r="AG308" s="84">
        <v>0</v>
      </c>
      <c r="AH308" s="84">
        <v>0</v>
      </c>
      <c r="AI308" s="39"/>
      <c r="AJ308" s="79" t="s">
        <v>1801</v>
      </c>
      <c r="AK308" s="39"/>
      <c r="AL308" s="4">
        <f t="shared" si="130"/>
        <v>745886.75</v>
      </c>
      <c r="AM308" s="4">
        <f t="shared" si="131"/>
        <v>187086.65</v>
      </c>
      <c r="AN308" s="4">
        <f t="shared" si="126"/>
        <v>932973.4</v>
      </c>
      <c r="AO308" s="39"/>
      <c r="AP308" s="8">
        <f t="shared" si="132"/>
        <v>0</v>
      </c>
      <c r="AQ308" s="8">
        <f t="shared" si="133"/>
        <v>0</v>
      </c>
      <c r="AR308" s="8">
        <f t="shared" si="127"/>
        <v>0</v>
      </c>
      <c r="AS308" s="42"/>
      <c r="AT308" s="84">
        <v>745886.75</v>
      </c>
      <c r="AU308" s="84">
        <v>187086.65</v>
      </c>
      <c r="AV308" s="4">
        <f t="shared" si="128"/>
        <v>932973.4</v>
      </c>
      <c r="AW308" s="50" t="str">
        <f t="shared" si="129"/>
        <v/>
      </c>
      <c r="AX308" s="1" t="s">
        <v>1639</v>
      </c>
      <c r="AY308" s="2" t="s">
        <v>1640</v>
      </c>
      <c r="AZ308" s="2">
        <v>169168.64000000001</v>
      </c>
      <c r="BA308" s="73">
        <v>148022.56</v>
      </c>
      <c r="BB308" s="73">
        <v>148022.56</v>
      </c>
      <c r="BC308" s="73">
        <v>169168.64000000001</v>
      </c>
      <c r="BD308" s="73"/>
      <c r="BE308" s="66">
        <v>0</v>
      </c>
      <c r="BF308" s="66">
        <v>0.02</v>
      </c>
      <c r="BG308" s="63">
        <v>45657</v>
      </c>
      <c r="BH308" s="2"/>
      <c r="BI308" s="2"/>
      <c r="BJ308" s="2"/>
      <c r="BK308" s="2"/>
      <c r="BL308" s="1" t="s">
        <v>56</v>
      </c>
    </row>
    <row r="309" spans="1:64" x14ac:dyDescent="0.25">
      <c r="A309" s="81" t="s">
        <v>542</v>
      </c>
      <c r="B309" s="82" t="s">
        <v>542</v>
      </c>
      <c r="C309" s="81" t="s">
        <v>543</v>
      </c>
      <c r="D309" s="16">
        <v>42688</v>
      </c>
      <c r="E309" s="17"/>
      <c r="F309" s="2" t="s">
        <v>109</v>
      </c>
      <c r="G309" s="2" t="s">
        <v>111</v>
      </c>
      <c r="H309" s="10" t="s">
        <v>105</v>
      </c>
      <c r="I309" s="11" t="s">
        <v>110</v>
      </c>
      <c r="J309" s="11" t="s">
        <v>544</v>
      </c>
      <c r="K309" s="61" t="s">
        <v>230</v>
      </c>
      <c r="L309" s="11" t="s">
        <v>67</v>
      </c>
      <c r="M309" s="25"/>
      <c r="N309" s="82"/>
      <c r="O309" s="3" t="str">
        <f t="shared" si="139"/>
        <v>A</v>
      </c>
      <c r="P309" s="84">
        <v>97641.05</v>
      </c>
      <c r="Q309" s="84">
        <v>10017.43</v>
      </c>
      <c r="R309" s="32"/>
      <c r="S309" s="3" t="str">
        <f t="shared" si="140"/>
        <v>A</v>
      </c>
      <c r="T309" s="84">
        <v>87071.08</v>
      </c>
      <c r="U309" s="84">
        <v>10357.58</v>
      </c>
      <c r="V309" s="32"/>
      <c r="W309" s="3" t="str">
        <f t="shared" si="123"/>
        <v>A</v>
      </c>
      <c r="X309" s="84">
        <v>80596.69</v>
      </c>
      <c r="Y309" s="84">
        <v>9793.77</v>
      </c>
      <c r="Z309" s="32"/>
      <c r="AA309" s="3" t="str">
        <f t="shared" si="124"/>
        <v>A</v>
      </c>
      <c r="AB309" s="84">
        <v>84121.73000000001</v>
      </c>
      <c r="AC309" s="84">
        <v>8839.27</v>
      </c>
      <c r="AD309" s="36"/>
      <c r="AE309" s="82"/>
      <c r="AF309" s="3" t="str">
        <f t="shared" si="125"/>
        <v>A</v>
      </c>
      <c r="AG309" s="84">
        <v>0</v>
      </c>
      <c r="AH309" s="84">
        <v>0</v>
      </c>
      <c r="AI309" s="39"/>
      <c r="AJ309" s="79" t="s">
        <v>1801</v>
      </c>
      <c r="AK309" s="39"/>
      <c r="AL309" s="4">
        <f t="shared" si="130"/>
        <v>349430.55000000005</v>
      </c>
      <c r="AM309" s="4">
        <f t="shared" si="131"/>
        <v>39008.050000000003</v>
      </c>
      <c r="AN309" s="4">
        <f t="shared" si="126"/>
        <v>388438.60000000003</v>
      </c>
      <c r="AO309" s="39"/>
      <c r="AP309" s="8">
        <f t="shared" si="132"/>
        <v>0</v>
      </c>
      <c r="AQ309" s="8">
        <f t="shared" si="133"/>
        <v>0</v>
      </c>
      <c r="AR309" s="8">
        <f t="shared" si="127"/>
        <v>0</v>
      </c>
      <c r="AS309" s="42"/>
      <c r="AT309" s="84">
        <v>349430.55</v>
      </c>
      <c r="AU309" s="84">
        <v>39008.050000000003</v>
      </c>
      <c r="AV309" s="4">
        <f t="shared" si="128"/>
        <v>388438.6</v>
      </c>
      <c r="AW309" s="50" t="str">
        <f t="shared" si="129"/>
        <v/>
      </c>
      <c r="AX309" s="1" t="s">
        <v>1647</v>
      </c>
      <c r="AY309" s="2" t="s">
        <v>1640</v>
      </c>
      <c r="AZ309" s="2">
        <v>151416.64000000001</v>
      </c>
      <c r="BA309" s="73">
        <v>132489.56</v>
      </c>
      <c r="BB309" s="73">
        <v>132489.56</v>
      </c>
      <c r="BC309" s="73">
        <v>151416.64000000001</v>
      </c>
      <c r="BD309" s="73"/>
      <c r="BE309" s="66">
        <v>0</v>
      </c>
      <c r="BF309" s="66">
        <v>0.02</v>
      </c>
      <c r="BG309" s="63">
        <v>44511</v>
      </c>
      <c r="BH309" s="2"/>
      <c r="BI309" s="2"/>
      <c r="BJ309" s="2"/>
      <c r="BK309" s="2"/>
      <c r="BL309" s="1" t="s">
        <v>219</v>
      </c>
    </row>
    <row r="310" spans="1:64" x14ac:dyDescent="0.25">
      <c r="A310" s="81" t="s">
        <v>542</v>
      </c>
      <c r="B310" s="82" t="s">
        <v>1433</v>
      </c>
      <c r="C310" s="81" t="s">
        <v>1434</v>
      </c>
      <c r="D310" s="16">
        <v>45268</v>
      </c>
      <c r="E310" s="17"/>
      <c r="F310" s="2" t="s">
        <v>109</v>
      </c>
      <c r="G310" s="2" t="s">
        <v>111</v>
      </c>
      <c r="H310" s="10" t="s">
        <v>105</v>
      </c>
      <c r="I310" s="11" t="s">
        <v>110</v>
      </c>
      <c r="J310" s="11" t="s">
        <v>544</v>
      </c>
      <c r="K310" s="61" t="s">
        <v>230</v>
      </c>
      <c r="L310" s="11" t="s">
        <v>67</v>
      </c>
      <c r="M310" s="25"/>
      <c r="N310" s="82"/>
      <c r="O310" s="3" t="str">
        <f>IF($A310="","",IF(P310=AZ310,"E","A"))</f>
        <v>A</v>
      </c>
      <c r="P310" s="84">
        <v>115881</v>
      </c>
      <c r="Q310" s="84">
        <v>2695</v>
      </c>
      <c r="R310" s="32"/>
      <c r="S310" s="3" t="str">
        <f>IF($A310="","",IF(T310=BA310,"E","A"))</f>
        <v>A</v>
      </c>
      <c r="T310" s="84">
        <v>98080</v>
      </c>
      <c r="U310" s="84">
        <v>1945</v>
      </c>
      <c r="V310" s="32"/>
      <c r="W310" s="3" t="str">
        <f t="shared" si="123"/>
        <v>A</v>
      </c>
      <c r="X310" s="84">
        <v>86405</v>
      </c>
      <c r="Y310" s="84">
        <v>1950</v>
      </c>
      <c r="Z310" s="32"/>
      <c r="AA310" s="3" t="str">
        <f t="shared" si="124"/>
        <v>A</v>
      </c>
      <c r="AB310" s="84">
        <v>93167</v>
      </c>
      <c r="AC310" s="84">
        <v>2150</v>
      </c>
      <c r="AD310" s="36"/>
      <c r="AE310" s="82"/>
      <c r="AF310" s="3" t="str">
        <f t="shared" si="125"/>
        <v>A</v>
      </c>
      <c r="AG310" s="84">
        <v>0</v>
      </c>
      <c r="AH310" s="84">
        <v>0</v>
      </c>
      <c r="AI310" s="39"/>
      <c r="AJ310" s="79" t="s">
        <v>1801</v>
      </c>
      <c r="AK310" s="39"/>
      <c r="AL310" s="4">
        <f t="shared" si="130"/>
        <v>393533</v>
      </c>
      <c r="AM310" s="4">
        <f t="shared" si="131"/>
        <v>8740</v>
      </c>
      <c r="AN310" s="4">
        <f t="shared" si="126"/>
        <v>402273</v>
      </c>
      <c r="AO310" s="39"/>
      <c r="AP310" s="8">
        <f t="shared" si="132"/>
        <v>0</v>
      </c>
      <c r="AQ310" s="8">
        <f t="shared" si="133"/>
        <v>0</v>
      </c>
      <c r="AR310" s="8">
        <f t="shared" si="127"/>
        <v>0</v>
      </c>
      <c r="AS310" s="42"/>
      <c r="AT310" s="84">
        <v>393533</v>
      </c>
      <c r="AU310" s="84">
        <v>8740</v>
      </c>
      <c r="AV310" s="4">
        <f t="shared" si="128"/>
        <v>402273</v>
      </c>
      <c r="AW310" s="50" t="str">
        <f t="shared" si="129"/>
        <v/>
      </c>
      <c r="AX310" s="1" t="s">
        <v>1647</v>
      </c>
      <c r="AY310" s="2" t="s">
        <v>1640</v>
      </c>
      <c r="AZ310" s="2">
        <v>52380.800000000003</v>
      </c>
      <c r="BA310" s="73">
        <v>45833.2</v>
      </c>
      <c r="BB310" s="73">
        <v>45833.2</v>
      </c>
      <c r="BC310" s="73">
        <v>52380.800000000003</v>
      </c>
      <c r="BD310" s="73"/>
      <c r="BE310" s="66">
        <v>0</v>
      </c>
      <c r="BF310" s="66">
        <v>0.02</v>
      </c>
      <c r="BG310" s="63">
        <v>45268</v>
      </c>
      <c r="BH310" s="2"/>
      <c r="BI310" s="2"/>
      <c r="BJ310" s="2">
        <v>199260</v>
      </c>
      <c r="BK310" s="2"/>
      <c r="BL310" s="1" t="s">
        <v>219</v>
      </c>
    </row>
    <row r="311" spans="1:64" x14ac:dyDescent="0.25">
      <c r="A311" s="81" t="s">
        <v>545</v>
      </c>
      <c r="B311" s="82" t="s">
        <v>545</v>
      </c>
      <c r="C311" s="81" t="s">
        <v>546</v>
      </c>
      <c r="D311" s="16">
        <v>42998</v>
      </c>
      <c r="E311" s="17"/>
      <c r="F311" s="2" t="s">
        <v>52</v>
      </c>
      <c r="G311" s="2" t="s">
        <v>55</v>
      </c>
      <c r="H311" s="10" t="s">
        <v>57</v>
      </c>
      <c r="I311" s="11" t="s">
        <v>54</v>
      </c>
      <c r="J311" s="11" t="s">
        <v>72</v>
      </c>
      <c r="K311" s="61" t="s">
        <v>73</v>
      </c>
      <c r="L311" s="11" t="s">
        <v>67</v>
      </c>
      <c r="M311" s="25"/>
      <c r="N311" s="82"/>
      <c r="O311" s="3" t="str">
        <f t="shared" ref="O311:O320" si="141">IF($A311="","",IF(P311=0,"A",IF(P311=AZ311,"E","A")))</f>
        <v>A</v>
      </c>
      <c r="P311" s="84">
        <v>114579</v>
      </c>
      <c r="Q311" s="84">
        <v>32967</v>
      </c>
      <c r="R311" s="32"/>
      <c r="S311" s="3" t="str">
        <f t="shared" ref="S311:S342" si="142">IF($A311="","",IF(T311=0,"A",IF(T311=BA311,"E","A")))</f>
        <v>A</v>
      </c>
      <c r="T311" s="84">
        <v>111779.25</v>
      </c>
      <c r="U311" s="84">
        <v>29065</v>
      </c>
      <c r="V311" s="32"/>
      <c r="W311" s="3" t="str">
        <f t="shared" si="123"/>
        <v>A</v>
      </c>
      <c r="X311" s="84">
        <v>95715</v>
      </c>
      <c r="Y311" s="84">
        <v>27910</v>
      </c>
      <c r="Z311" s="32"/>
      <c r="AA311" s="3" t="str">
        <f t="shared" si="124"/>
        <v>A</v>
      </c>
      <c r="AB311" s="84">
        <v>118218</v>
      </c>
      <c r="AC311" s="84">
        <v>30172</v>
      </c>
      <c r="AD311" s="36"/>
      <c r="AE311" s="82"/>
      <c r="AF311" s="3" t="str">
        <f t="shared" si="125"/>
        <v>A</v>
      </c>
      <c r="AG311" s="84">
        <v>0</v>
      </c>
      <c r="AH311" s="84">
        <v>0</v>
      </c>
      <c r="AI311" s="39"/>
      <c r="AJ311" s="79" t="s">
        <v>1801</v>
      </c>
      <c r="AK311" s="39"/>
      <c r="AL311" s="4">
        <f t="shared" si="130"/>
        <v>440291.25</v>
      </c>
      <c r="AM311" s="4">
        <f t="shared" si="131"/>
        <v>120114</v>
      </c>
      <c r="AN311" s="4">
        <f t="shared" si="126"/>
        <v>560405.25</v>
      </c>
      <c r="AO311" s="39"/>
      <c r="AP311" s="8">
        <f t="shared" si="132"/>
        <v>0</v>
      </c>
      <c r="AQ311" s="8">
        <f t="shared" si="133"/>
        <v>0</v>
      </c>
      <c r="AR311" s="8">
        <f t="shared" si="127"/>
        <v>0</v>
      </c>
      <c r="AS311" s="42"/>
      <c r="AT311" s="84">
        <v>440291.25</v>
      </c>
      <c r="AU311" s="84">
        <v>120114</v>
      </c>
      <c r="AV311" s="4">
        <f t="shared" si="128"/>
        <v>560405.25</v>
      </c>
      <c r="AW311" s="50" t="str">
        <f t="shared" si="129"/>
        <v/>
      </c>
      <c r="AX311" s="1" t="s">
        <v>1639</v>
      </c>
      <c r="AY311" s="2" t="s">
        <v>1640</v>
      </c>
      <c r="AZ311" s="2">
        <v>187217.44</v>
      </c>
      <c r="BA311" s="73">
        <v>163815.26</v>
      </c>
      <c r="BB311" s="73">
        <v>163815.26</v>
      </c>
      <c r="BC311" s="73">
        <v>187217.44</v>
      </c>
      <c r="BD311" s="73"/>
      <c r="BE311" s="66">
        <v>0</v>
      </c>
      <c r="BF311" s="66">
        <v>0.02</v>
      </c>
      <c r="BG311" s="63">
        <v>44612</v>
      </c>
      <c r="BH311" s="2"/>
      <c r="BI311" s="2"/>
      <c r="BJ311" s="2"/>
      <c r="BK311" s="2"/>
      <c r="BL311" s="1" t="s">
        <v>56</v>
      </c>
    </row>
    <row r="312" spans="1:64" x14ac:dyDescent="0.25">
      <c r="A312" s="81" t="s">
        <v>549</v>
      </c>
      <c r="B312" s="82" t="s">
        <v>549</v>
      </c>
      <c r="C312" s="81" t="s">
        <v>550</v>
      </c>
      <c r="D312" s="16">
        <v>34742</v>
      </c>
      <c r="E312" s="17"/>
      <c r="F312" s="2" t="s">
        <v>551</v>
      </c>
      <c r="G312" s="2" t="s">
        <v>552</v>
      </c>
      <c r="H312" s="10" t="s">
        <v>105</v>
      </c>
      <c r="I312" s="11" t="s">
        <v>53</v>
      </c>
      <c r="J312" s="11" t="s">
        <v>106</v>
      </c>
      <c r="K312" s="61"/>
      <c r="L312" s="11" t="s">
        <v>67</v>
      </c>
      <c r="M312" s="25"/>
      <c r="N312" s="82"/>
      <c r="O312" s="3" t="str">
        <f t="shared" si="141"/>
        <v>A</v>
      </c>
      <c r="P312" s="84">
        <v>167450</v>
      </c>
      <c r="Q312" s="84">
        <v>18730</v>
      </c>
      <c r="R312" s="32"/>
      <c r="S312" s="3" t="str">
        <f t="shared" si="142"/>
        <v>A</v>
      </c>
      <c r="T312" s="84">
        <v>132801</v>
      </c>
      <c r="U312" s="84">
        <v>18566</v>
      </c>
      <c r="V312" s="32"/>
      <c r="W312" s="3" t="str">
        <f t="shared" si="123"/>
        <v>A</v>
      </c>
      <c r="X312" s="84">
        <v>123900</v>
      </c>
      <c r="Y312" s="84">
        <v>15321</v>
      </c>
      <c r="Z312" s="32"/>
      <c r="AA312" s="3" t="str">
        <f t="shared" si="124"/>
        <v>A</v>
      </c>
      <c r="AB312" s="84">
        <v>145966</v>
      </c>
      <c r="AC312" s="84">
        <v>15258</v>
      </c>
      <c r="AD312" s="36"/>
      <c r="AE312" s="82"/>
      <c r="AF312" s="3" t="str">
        <f t="shared" si="125"/>
        <v>A</v>
      </c>
      <c r="AG312" s="84">
        <v>0</v>
      </c>
      <c r="AH312" s="84">
        <v>0</v>
      </c>
      <c r="AI312" s="39"/>
      <c r="AJ312" s="79" t="s">
        <v>1801</v>
      </c>
      <c r="AK312" s="39"/>
      <c r="AL312" s="4">
        <f t="shared" si="130"/>
        <v>570117</v>
      </c>
      <c r="AM312" s="4">
        <f t="shared" si="131"/>
        <v>67875</v>
      </c>
      <c r="AN312" s="4">
        <f t="shared" si="126"/>
        <v>637992</v>
      </c>
      <c r="AO312" s="39"/>
      <c r="AP312" s="8">
        <f t="shared" si="132"/>
        <v>0</v>
      </c>
      <c r="AQ312" s="8">
        <f t="shared" si="133"/>
        <v>0</v>
      </c>
      <c r="AR312" s="8">
        <f t="shared" si="127"/>
        <v>0</v>
      </c>
      <c r="AS312" s="42"/>
      <c r="AT312" s="84">
        <v>570117</v>
      </c>
      <c r="AU312" s="84">
        <v>67875</v>
      </c>
      <c r="AV312" s="4">
        <f t="shared" si="128"/>
        <v>637992</v>
      </c>
      <c r="AW312" s="50" t="str">
        <f t="shared" si="129"/>
        <v/>
      </c>
      <c r="AX312" s="1" t="s">
        <v>1725</v>
      </c>
      <c r="AY312" s="2" t="s">
        <v>1659</v>
      </c>
      <c r="AZ312" s="2">
        <v>148784.95999999999</v>
      </c>
      <c r="BA312" s="73">
        <v>130186.84</v>
      </c>
      <c r="BB312" s="73">
        <v>130186.84</v>
      </c>
      <c r="BC312" s="73">
        <v>148784.95999999999</v>
      </c>
      <c r="BD312" s="73"/>
      <c r="BE312" s="66">
        <v>3.5000000000000003E-2</v>
      </c>
      <c r="BF312" s="66">
        <v>0.05</v>
      </c>
      <c r="BG312" s="63">
        <v>45608</v>
      </c>
      <c r="BH312" s="2"/>
      <c r="BI312" s="2"/>
      <c r="BJ312" s="2"/>
      <c r="BK312" s="2"/>
      <c r="BL312" s="1" t="s">
        <v>104</v>
      </c>
    </row>
    <row r="313" spans="1:64" x14ac:dyDescent="0.25">
      <c r="A313" s="81" t="s">
        <v>549</v>
      </c>
      <c r="B313" s="82" t="s">
        <v>805</v>
      </c>
      <c r="C313" s="81" t="s">
        <v>806</v>
      </c>
      <c r="D313" s="16">
        <v>38301</v>
      </c>
      <c r="E313" s="17"/>
      <c r="F313" s="2" t="s">
        <v>551</v>
      </c>
      <c r="G313" s="2" t="s">
        <v>552</v>
      </c>
      <c r="H313" s="10" t="s">
        <v>105</v>
      </c>
      <c r="I313" s="11" t="s">
        <v>53</v>
      </c>
      <c r="J313" s="11" t="s">
        <v>106</v>
      </c>
      <c r="K313" s="61"/>
      <c r="L313" s="11" t="s">
        <v>67</v>
      </c>
      <c r="M313" s="25"/>
      <c r="N313" s="82"/>
      <c r="O313" s="3" t="str">
        <f t="shared" si="141"/>
        <v>A</v>
      </c>
      <c r="P313" s="84">
        <v>128345</v>
      </c>
      <c r="Q313" s="84">
        <v>20135</v>
      </c>
      <c r="R313" s="32"/>
      <c r="S313" s="3" t="str">
        <f t="shared" si="142"/>
        <v>A</v>
      </c>
      <c r="T313" s="84">
        <v>109857</v>
      </c>
      <c r="U313" s="84">
        <v>22185</v>
      </c>
      <c r="V313" s="32"/>
      <c r="W313" s="3" t="str">
        <f t="shared" si="123"/>
        <v>A</v>
      </c>
      <c r="X313" s="84">
        <v>105767</v>
      </c>
      <c r="Y313" s="84">
        <v>18836</v>
      </c>
      <c r="Z313" s="32"/>
      <c r="AA313" s="3" t="str">
        <f t="shared" si="124"/>
        <v>A</v>
      </c>
      <c r="AB313" s="84">
        <v>105304</v>
      </c>
      <c r="AC313" s="84">
        <v>14829</v>
      </c>
      <c r="AD313" s="36"/>
      <c r="AE313" s="82"/>
      <c r="AF313" s="3" t="str">
        <f t="shared" si="125"/>
        <v>A</v>
      </c>
      <c r="AG313" s="84">
        <v>0</v>
      </c>
      <c r="AH313" s="84">
        <v>0</v>
      </c>
      <c r="AI313" s="39"/>
      <c r="AJ313" s="79" t="s">
        <v>1801</v>
      </c>
      <c r="AK313" s="39"/>
      <c r="AL313" s="4">
        <f t="shared" si="130"/>
        <v>449273</v>
      </c>
      <c r="AM313" s="4">
        <f t="shared" si="131"/>
        <v>75985</v>
      </c>
      <c r="AN313" s="4">
        <f t="shared" si="126"/>
        <v>525258</v>
      </c>
      <c r="AO313" s="39"/>
      <c r="AP313" s="8">
        <f t="shared" si="132"/>
        <v>0</v>
      </c>
      <c r="AQ313" s="8">
        <f t="shared" si="133"/>
        <v>0</v>
      </c>
      <c r="AR313" s="8">
        <f t="shared" si="127"/>
        <v>0</v>
      </c>
      <c r="AS313" s="42"/>
      <c r="AT313" s="84">
        <v>449273</v>
      </c>
      <c r="AU313" s="84">
        <v>75985</v>
      </c>
      <c r="AV313" s="4">
        <f t="shared" si="128"/>
        <v>525258</v>
      </c>
      <c r="AW313" s="50" t="str">
        <f t="shared" si="129"/>
        <v/>
      </c>
      <c r="AX313" s="1" t="s">
        <v>1725</v>
      </c>
      <c r="AY313" s="2" t="s">
        <v>1659</v>
      </c>
      <c r="AZ313" s="2">
        <v>25795.040000000001</v>
      </c>
      <c r="BA313" s="73">
        <v>22570.66</v>
      </c>
      <c r="BB313" s="73">
        <v>22570.66</v>
      </c>
      <c r="BC313" s="73">
        <v>25795.040000000001</v>
      </c>
      <c r="BD313" s="73"/>
      <c r="BE313" s="66">
        <v>3.5000000000000003E-2</v>
      </c>
      <c r="BF313" s="66">
        <v>0.05</v>
      </c>
      <c r="BG313" s="63">
        <v>45608</v>
      </c>
      <c r="BH313" s="2"/>
      <c r="BI313" s="2"/>
      <c r="BJ313" s="2"/>
      <c r="BK313" s="2"/>
      <c r="BL313" s="1" t="s">
        <v>104</v>
      </c>
    </row>
    <row r="314" spans="1:64" x14ac:dyDescent="0.25">
      <c r="A314" s="81" t="s">
        <v>549</v>
      </c>
      <c r="B314" s="82" t="s">
        <v>919</v>
      </c>
      <c r="C314" s="81" t="s">
        <v>920</v>
      </c>
      <c r="D314" s="16">
        <v>0</v>
      </c>
      <c r="E314" s="17"/>
      <c r="F314" s="2" t="s">
        <v>551</v>
      </c>
      <c r="G314" s="2" t="s">
        <v>552</v>
      </c>
      <c r="H314" s="10" t="s">
        <v>105</v>
      </c>
      <c r="I314" s="11" t="s">
        <v>53</v>
      </c>
      <c r="J314" s="11" t="s">
        <v>106</v>
      </c>
      <c r="K314" s="61"/>
      <c r="L314" s="11" t="s">
        <v>67</v>
      </c>
      <c r="M314" s="25"/>
      <c r="N314" s="82"/>
      <c r="O314" s="3" t="str">
        <f t="shared" si="141"/>
        <v>A</v>
      </c>
      <c r="P314" s="84">
        <v>189060</v>
      </c>
      <c r="Q314" s="84">
        <v>7645</v>
      </c>
      <c r="R314" s="32"/>
      <c r="S314" s="3" t="str">
        <f t="shared" si="142"/>
        <v>A</v>
      </c>
      <c r="T314" s="84">
        <v>167310</v>
      </c>
      <c r="U314" s="84">
        <v>7494</v>
      </c>
      <c r="V314" s="32"/>
      <c r="W314" s="3" t="str">
        <f t="shared" si="123"/>
        <v>A</v>
      </c>
      <c r="X314" s="84">
        <v>143447</v>
      </c>
      <c r="Y314" s="84">
        <v>6835</v>
      </c>
      <c r="Z314" s="32"/>
      <c r="AA314" s="3" t="str">
        <f t="shared" si="124"/>
        <v>A</v>
      </c>
      <c r="AB314" s="84">
        <v>134797</v>
      </c>
      <c r="AC314" s="84">
        <v>6716</v>
      </c>
      <c r="AD314" s="36"/>
      <c r="AE314" s="82"/>
      <c r="AF314" s="3" t="str">
        <f t="shared" si="125"/>
        <v>A</v>
      </c>
      <c r="AG314" s="84">
        <v>0</v>
      </c>
      <c r="AH314" s="84">
        <v>0</v>
      </c>
      <c r="AI314" s="39"/>
      <c r="AJ314" s="79" t="s">
        <v>1801</v>
      </c>
      <c r="AK314" s="39"/>
      <c r="AL314" s="4">
        <f t="shared" si="130"/>
        <v>634614</v>
      </c>
      <c r="AM314" s="4">
        <f t="shared" si="131"/>
        <v>28690</v>
      </c>
      <c r="AN314" s="4">
        <f t="shared" si="126"/>
        <v>663304</v>
      </c>
      <c r="AO314" s="39"/>
      <c r="AP314" s="8">
        <f t="shared" si="132"/>
        <v>0</v>
      </c>
      <c r="AQ314" s="8">
        <f t="shared" si="133"/>
        <v>0</v>
      </c>
      <c r="AR314" s="8">
        <f t="shared" si="127"/>
        <v>0</v>
      </c>
      <c r="AS314" s="42"/>
      <c r="AT314" s="84">
        <v>634614</v>
      </c>
      <c r="AU314" s="84">
        <v>28690</v>
      </c>
      <c r="AV314" s="4">
        <f t="shared" si="128"/>
        <v>663304</v>
      </c>
      <c r="AW314" s="50" t="str">
        <f t="shared" si="129"/>
        <v/>
      </c>
      <c r="AX314" s="1" t="s">
        <v>1725</v>
      </c>
      <c r="AY314" s="2" t="s">
        <v>1659</v>
      </c>
      <c r="AZ314" s="2">
        <v>109403.84</v>
      </c>
      <c r="BA314" s="73">
        <v>95728.36</v>
      </c>
      <c r="BB314" s="73">
        <v>95728.36</v>
      </c>
      <c r="BC314" s="73">
        <v>109403.84</v>
      </c>
      <c r="BD314" s="73"/>
      <c r="BE314" s="66">
        <v>0</v>
      </c>
      <c r="BF314" s="66">
        <v>0.05</v>
      </c>
      <c r="BG314" s="63">
        <v>45608</v>
      </c>
      <c r="BH314" s="2"/>
      <c r="BI314" s="2"/>
      <c r="BJ314" s="2">
        <v>396981</v>
      </c>
      <c r="BK314" s="2">
        <v>44109</v>
      </c>
      <c r="BL314" s="1" t="s">
        <v>104</v>
      </c>
    </row>
    <row r="315" spans="1:64" x14ac:dyDescent="0.25">
      <c r="A315" s="81" t="s">
        <v>553</v>
      </c>
      <c r="B315" s="82" t="s">
        <v>553</v>
      </c>
      <c r="C315" s="81" t="s">
        <v>554</v>
      </c>
      <c r="D315" s="16">
        <v>42853</v>
      </c>
      <c r="E315" s="17"/>
      <c r="F315" s="2" t="s">
        <v>187</v>
      </c>
      <c r="G315" s="2" t="s">
        <v>189</v>
      </c>
      <c r="H315" s="10" t="s">
        <v>57</v>
      </c>
      <c r="I315" s="11" t="s">
        <v>188</v>
      </c>
      <c r="J315" s="11" t="s">
        <v>338</v>
      </c>
      <c r="K315" s="61" t="s">
        <v>339</v>
      </c>
      <c r="L315" s="11" t="s">
        <v>67</v>
      </c>
      <c r="M315" s="25"/>
      <c r="N315" s="82"/>
      <c r="O315" s="3" t="str">
        <f t="shared" si="141"/>
        <v>A</v>
      </c>
      <c r="P315" s="84">
        <v>227974.5</v>
      </c>
      <c r="Q315" s="84">
        <v>45368</v>
      </c>
      <c r="R315" s="32"/>
      <c r="S315" s="3" t="str">
        <f t="shared" si="142"/>
        <v>A</v>
      </c>
      <c r="T315" s="84">
        <v>197030.1</v>
      </c>
      <c r="U315" s="84">
        <v>37235</v>
      </c>
      <c r="V315" s="32"/>
      <c r="W315" s="3" t="str">
        <f t="shared" si="123"/>
        <v>A</v>
      </c>
      <c r="X315" s="84">
        <v>175125.41</v>
      </c>
      <c r="Y315" s="84">
        <v>32524.940000000002</v>
      </c>
      <c r="Z315" s="32"/>
      <c r="AA315" s="3" t="str">
        <f t="shared" si="124"/>
        <v>A</v>
      </c>
      <c r="AB315" s="84">
        <v>194892.95</v>
      </c>
      <c r="AC315" s="84">
        <v>36437</v>
      </c>
      <c r="AD315" s="36"/>
      <c r="AE315" s="82"/>
      <c r="AF315" s="3" t="str">
        <f t="shared" si="125"/>
        <v>A</v>
      </c>
      <c r="AG315" s="84">
        <v>0</v>
      </c>
      <c r="AH315" s="84">
        <v>0</v>
      </c>
      <c r="AI315" s="39"/>
      <c r="AJ315" s="79" t="s">
        <v>1801</v>
      </c>
      <c r="AK315" s="39"/>
      <c r="AL315" s="4">
        <f t="shared" si="130"/>
        <v>795022.96</v>
      </c>
      <c r="AM315" s="4">
        <f t="shared" si="131"/>
        <v>151564.94</v>
      </c>
      <c r="AN315" s="4">
        <f t="shared" si="126"/>
        <v>946587.89999999991</v>
      </c>
      <c r="AO315" s="39"/>
      <c r="AP315" s="8">
        <f t="shared" si="132"/>
        <v>0</v>
      </c>
      <c r="AQ315" s="8">
        <f t="shared" si="133"/>
        <v>0</v>
      </c>
      <c r="AR315" s="8">
        <f t="shared" si="127"/>
        <v>0</v>
      </c>
      <c r="AS315" s="42"/>
      <c r="AT315" s="84">
        <v>795022.96</v>
      </c>
      <c r="AU315" s="84">
        <v>151564.94</v>
      </c>
      <c r="AV315" s="4">
        <f t="shared" si="128"/>
        <v>946587.89999999991</v>
      </c>
      <c r="AW315" s="50" t="str">
        <f t="shared" si="129"/>
        <v/>
      </c>
      <c r="AX315" s="1" t="s">
        <v>1639</v>
      </c>
      <c r="AY315" s="2" t="s">
        <v>1640</v>
      </c>
      <c r="AZ315" s="2">
        <v>159404.24</v>
      </c>
      <c r="BA315" s="73">
        <v>139478.71</v>
      </c>
      <c r="BB315" s="73">
        <v>139478.71</v>
      </c>
      <c r="BC315" s="73">
        <v>159404.24</v>
      </c>
      <c r="BD315" s="73"/>
      <c r="BE315" s="66">
        <v>0</v>
      </c>
      <c r="BF315" s="66">
        <v>0.02</v>
      </c>
      <c r="BG315" s="63">
        <v>44612</v>
      </c>
      <c r="BH315" s="2"/>
      <c r="BI315" s="2"/>
      <c r="BJ315" s="2"/>
      <c r="BK315" s="2"/>
      <c r="BL315" s="1" t="s">
        <v>56</v>
      </c>
    </row>
    <row r="316" spans="1:64" x14ac:dyDescent="0.25">
      <c r="A316" s="81" t="s">
        <v>555</v>
      </c>
      <c r="B316" s="82" t="s">
        <v>555</v>
      </c>
      <c r="C316" s="81" t="s">
        <v>556</v>
      </c>
      <c r="D316" s="16">
        <v>36699</v>
      </c>
      <c r="E316" s="17"/>
      <c r="F316" s="2" t="s">
        <v>52</v>
      </c>
      <c r="G316" s="2" t="s">
        <v>55</v>
      </c>
      <c r="H316" s="10" t="s">
        <v>57</v>
      </c>
      <c r="I316" s="11" t="s">
        <v>54</v>
      </c>
      <c r="J316" s="11" t="s">
        <v>68</v>
      </c>
      <c r="K316" s="61" t="s">
        <v>69</v>
      </c>
      <c r="L316" s="11" t="s">
        <v>67</v>
      </c>
      <c r="M316" s="25"/>
      <c r="N316" s="82"/>
      <c r="O316" s="3" t="str">
        <f t="shared" si="141"/>
        <v>A</v>
      </c>
      <c r="P316" s="84">
        <v>293571.29000000004</v>
      </c>
      <c r="Q316" s="84">
        <v>59307.79</v>
      </c>
      <c r="R316" s="32"/>
      <c r="S316" s="3" t="str">
        <f t="shared" si="142"/>
        <v>A</v>
      </c>
      <c r="T316" s="84">
        <v>263365.90999999997</v>
      </c>
      <c r="U316" s="84">
        <v>45856.75</v>
      </c>
      <c r="V316" s="32"/>
      <c r="W316" s="3" t="str">
        <f t="shared" si="123"/>
        <v>A</v>
      </c>
      <c r="X316" s="84">
        <v>223712.97000000003</v>
      </c>
      <c r="Y316" s="84">
        <v>42034.5</v>
      </c>
      <c r="Z316" s="32"/>
      <c r="AA316" s="3" t="str">
        <f t="shared" si="124"/>
        <v>A</v>
      </c>
      <c r="AB316" s="84">
        <v>252114.80000000002</v>
      </c>
      <c r="AC316" s="84">
        <v>47038.3</v>
      </c>
      <c r="AD316" s="36"/>
      <c r="AE316" s="82"/>
      <c r="AF316" s="3" t="str">
        <f t="shared" si="125"/>
        <v>A</v>
      </c>
      <c r="AG316" s="84">
        <v>0</v>
      </c>
      <c r="AH316" s="84">
        <v>0</v>
      </c>
      <c r="AI316" s="39"/>
      <c r="AJ316" s="79" t="s">
        <v>1801</v>
      </c>
      <c r="AK316" s="39"/>
      <c r="AL316" s="4">
        <f t="shared" si="130"/>
        <v>1032764.97</v>
      </c>
      <c r="AM316" s="4">
        <f t="shared" si="131"/>
        <v>194237.34000000003</v>
      </c>
      <c r="AN316" s="4">
        <f t="shared" si="126"/>
        <v>1227002.31</v>
      </c>
      <c r="AO316" s="39"/>
      <c r="AP316" s="8">
        <f t="shared" si="132"/>
        <v>0</v>
      </c>
      <c r="AQ316" s="8">
        <f t="shared" si="133"/>
        <v>0</v>
      </c>
      <c r="AR316" s="8">
        <f t="shared" si="127"/>
        <v>0</v>
      </c>
      <c r="AS316" s="42"/>
      <c r="AT316" s="84">
        <v>1032764.97</v>
      </c>
      <c r="AU316" s="84">
        <v>194237.34</v>
      </c>
      <c r="AV316" s="4">
        <f t="shared" si="128"/>
        <v>1227002.31</v>
      </c>
      <c r="AW316" s="50" t="str">
        <f t="shared" si="129"/>
        <v/>
      </c>
      <c r="AX316" s="1" t="s">
        <v>1639</v>
      </c>
      <c r="AY316" s="2" t="s">
        <v>1640</v>
      </c>
      <c r="AZ316" s="2">
        <v>298381.68</v>
      </c>
      <c r="BA316" s="73">
        <v>261083.97</v>
      </c>
      <c r="BB316" s="73">
        <v>261083.97</v>
      </c>
      <c r="BC316" s="73">
        <v>298381.68</v>
      </c>
      <c r="BD316" s="73"/>
      <c r="BE316" s="66">
        <v>3.5000000000000003E-2</v>
      </c>
      <c r="BF316" s="66">
        <v>0.02</v>
      </c>
      <c r="BG316" s="63">
        <v>45003</v>
      </c>
      <c r="BH316" s="2"/>
      <c r="BI316" s="2"/>
      <c r="BJ316" s="2"/>
      <c r="BK316" s="2"/>
      <c r="BL316" s="1" t="s">
        <v>56</v>
      </c>
    </row>
    <row r="317" spans="1:64" x14ac:dyDescent="0.25">
      <c r="A317" s="81" t="s">
        <v>557</v>
      </c>
      <c r="B317" s="82" t="s">
        <v>557</v>
      </c>
      <c r="C317" s="81" t="s">
        <v>558</v>
      </c>
      <c r="D317" s="16">
        <v>40992</v>
      </c>
      <c r="E317" s="17"/>
      <c r="F317" s="2" t="s">
        <v>414</v>
      </c>
      <c r="G317" s="2" t="s">
        <v>415</v>
      </c>
      <c r="H317" s="10" t="s">
        <v>105</v>
      </c>
      <c r="I317" s="11" t="s">
        <v>53</v>
      </c>
      <c r="J317" s="11" t="s">
        <v>312</v>
      </c>
      <c r="K317" s="61"/>
      <c r="L317" s="11" t="s">
        <v>67</v>
      </c>
      <c r="M317" s="25"/>
      <c r="N317" s="82"/>
      <c r="O317" s="3" t="str">
        <f t="shared" si="141"/>
        <v>E</v>
      </c>
      <c r="P317" s="84">
        <v>240793.68</v>
      </c>
      <c r="Q317" s="84">
        <v>63311.6</v>
      </c>
      <c r="R317" s="32"/>
      <c r="S317" s="3" t="str">
        <f t="shared" si="142"/>
        <v>E</v>
      </c>
      <c r="T317" s="84">
        <v>210694.47</v>
      </c>
      <c r="U317" s="84">
        <v>55397.65</v>
      </c>
      <c r="V317" s="32"/>
      <c r="W317" s="3" t="str">
        <f t="shared" si="123"/>
        <v>E</v>
      </c>
      <c r="X317" s="84">
        <v>210694.47</v>
      </c>
      <c r="Y317" s="84">
        <v>55397.65</v>
      </c>
      <c r="Z317" s="32"/>
      <c r="AA317" s="3" t="str">
        <f t="shared" si="124"/>
        <v>E</v>
      </c>
      <c r="AB317" s="84">
        <v>240793.68</v>
      </c>
      <c r="AC317" s="84">
        <v>63311.6</v>
      </c>
      <c r="AD317" s="36"/>
      <c r="AE317" s="82"/>
      <c r="AF317" s="3" t="str">
        <f t="shared" si="125"/>
        <v>A</v>
      </c>
      <c r="AG317" s="84"/>
      <c r="AH317" s="84"/>
      <c r="AI317" s="39"/>
      <c r="AJ317" s="79" t="s">
        <v>38</v>
      </c>
      <c r="AK317" s="39"/>
      <c r="AL317" s="4">
        <f t="shared" si="130"/>
        <v>0</v>
      </c>
      <c r="AM317" s="4">
        <f t="shared" si="131"/>
        <v>0</v>
      </c>
      <c r="AN317" s="4">
        <f t="shared" si="126"/>
        <v>0</v>
      </c>
      <c r="AO317" s="39"/>
      <c r="AP317" s="8">
        <f t="shared" si="132"/>
        <v>902976.3</v>
      </c>
      <c r="AQ317" s="8">
        <f t="shared" si="133"/>
        <v>237418.5</v>
      </c>
      <c r="AR317" s="8">
        <f t="shared" si="127"/>
        <v>1140394.8</v>
      </c>
      <c r="AS317" s="42"/>
      <c r="AT317" s="84"/>
      <c r="AU317" s="84"/>
      <c r="AV317" s="4">
        <f t="shared" si="128"/>
        <v>0</v>
      </c>
      <c r="AW317" s="50" t="str">
        <f t="shared" si="129"/>
        <v/>
      </c>
      <c r="AX317" s="1" t="s">
        <v>1703</v>
      </c>
      <c r="AY317" s="2" t="s">
        <v>1704</v>
      </c>
      <c r="AZ317" s="2">
        <v>240793.68</v>
      </c>
      <c r="BA317" s="73">
        <v>210694.47</v>
      </c>
      <c r="BB317" s="73">
        <v>210694.47</v>
      </c>
      <c r="BC317" s="73">
        <v>240793.68</v>
      </c>
      <c r="BD317" s="73"/>
      <c r="BE317" s="66">
        <v>3.5000000000000003E-2</v>
      </c>
      <c r="BF317" s="66">
        <v>0.05</v>
      </c>
      <c r="BG317" s="63">
        <v>44644</v>
      </c>
      <c r="BH317" s="2"/>
      <c r="BI317" s="2"/>
      <c r="BJ317" s="2"/>
      <c r="BK317" s="2"/>
      <c r="BL317" s="1" t="s">
        <v>104</v>
      </c>
    </row>
    <row r="318" spans="1:64" x14ac:dyDescent="0.25">
      <c r="A318" s="81" t="s">
        <v>557</v>
      </c>
      <c r="B318" s="82" t="s">
        <v>933</v>
      </c>
      <c r="C318" s="81" t="s">
        <v>934</v>
      </c>
      <c r="D318" s="16">
        <v>0</v>
      </c>
      <c r="E318" s="17"/>
      <c r="F318" s="2" t="s">
        <v>414</v>
      </c>
      <c r="G318" s="2" t="s">
        <v>415</v>
      </c>
      <c r="H318" s="10" t="s">
        <v>105</v>
      </c>
      <c r="I318" s="11" t="s">
        <v>53</v>
      </c>
      <c r="J318" s="11" t="s">
        <v>312</v>
      </c>
      <c r="K318" s="61"/>
      <c r="L318" s="11" t="s">
        <v>67</v>
      </c>
      <c r="M318" s="25"/>
      <c r="N318" s="82"/>
      <c r="O318" s="3" t="str">
        <f t="shared" si="141"/>
        <v>E</v>
      </c>
      <c r="P318" s="84">
        <v>74519.92</v>
      </c>
      <c r="Q318" s="84">
        <v>8820.4</v>
      </c>
      <c r="R318" s="32"/>
      <c r="S318" s="3" t="str">
        <f t="shared" si="142"/>
        <v>E</v>
      </c>
      <c r="T318" s="84">
        <v>65204.93</v>
      </c>
      <c r="U318" s="84">
        <v>7717.85</v>
      </c>
      <c r="V318" s="32"/>
      <c r="W318" s="3" t="str">
        <f t="shared" si="123"/>
        <v>E</v>
      </c>
      <c r="X318" s="84">
        <v>65204.93</v>
      </c>
      <c r="Y318" s="84">
        <v>7717.85</v>
      </c>
      <c r="Z318" s="32"/>
      <c r="AA318" s="3" t="str">
        <f t="shared" si="124"/>
        <v>E</v>
      </c>
      <c r="AB318" s="84">
        <v>74519.92</v>
      </c>
      <c r="AC318" s="84">
        <v>8820.4</v>
      </c>
      <c r="AD318" s="36"/>
      <c r="AE318" s="82"/>
      <c r="AF318" s="3" t="str">
        <f t="shared" si="125"/>
        <v>A</v>
      </c>
      <c r="AG318" s="84"/>
      <c r="AH318" s="84"/>
      <c r="AI318" s="39"/>
      <c r="AJ318" s="79" t="s">
        <v>38</v>
      </c>
      <c r="AK318" s="39"/>
      <c r="AL318" s="4">
        <f t="shared" si="130"/>
        <v>0</v>
      </c>
      <c r="AM318" s="4">
        <f t="shared" si="131"/>
        <v>0</v>
      </c>
      <c r="AN318" s="4">
        <f t="shared" si="126"/>
        <v>0</v>
      </c>
      <c r="AO318" s="39"/>
      <c r="AP318" s="8">
        <f t="shared" si="132"/>
        <v>279449.7</v>
      </c>
      <c r="AQ318" s="8">
        <f t="shared" si="133"/>
        <v>33076.5</v>
      </c>
      <c r="AR318" s="8">
        <f t="shared" si="127"/>
        <v>312526.2</v>
      </c>
      <c r="AS318" s="42"/>
      <c r="AT318" s="84"/>
      <c r="AU318" s="84"/>
      <c r="AV318" s="4">
        <f t="shared" si="128"/>
        <v>0</v>
      </c>
      <c r="AW318" s="50" t="str">
        <f t="shared" si="129"/>
        <v/>
      </c>
      <c r="AX318" s="1" t="s">
        <v>1703</v>
      </c>
      <c r="AY318" s="2" t="s">
        <v>1704</v>
      </c>
      <c r="AZ318" s="2">
        <v>74519.92</v>
      </c>
      <c r="BA318" s="73">
        <v>65204.93</v>
      </c>
      <c r="BB318" s="73">
        <v>65204.93</v>
      </c>
      <c r="BC318" s="73">
        <v>74519.92</v>
      </c>
      <c r="BD318" s="73"/>
      <c r="BE318" s="66">
        <v>0</v>
      </c>
      <c r="BF318" s="66">
        <v>0.05</v>
      </c>
      <c r="BG318" s="63">
        <v>44644</v>
      </c>
      <c r="BH318" s="2"/>
      <c r="BI318" s="2"/>
      <c r="BJ318" s="2">
        <v>299990.25</v>
      </c>
      <c r="BK318" s="2">
        <v>33332.26</v>
      </c>
      <c r="BL318" s="1" t="s">
        <v>311</v>
      </c>
    </row>
    <row r="319" spans="1:64" x14ac:dyDescent="0.25">
      <c r="A319" s="81" t="s">
        <v>557</v>
      </c>
      <c r="B319" s="82" t="s">
        <v>1169</v>
      </c>
      <c r="C319" s="81" t="s">
        <v>1170</v>
      </c>
      <c r="D319" s="16">
        <v>43037</v>
      </c>
      <c r="E319" s="17">
        <v>45689</v>
      </c>
      <c r="F319" s="2" t="s">
        <v>414</v>
      </c>
      <c r="G319" s="2" t="s">
        <v>415</v>
      </c>
      <c r="H319" s="10" t="s">
        <v>105</v>
      </c>
      <c r="I319" s="11" t="s">
        <v>53</v>
      </c>
      <c r="J319" s="11" t="s">
        <v>312</v>
      </c>
      <c r="K319" s="61"/>
      <c r="L319" s="11" t="s">
        <v>67</v>
      </c>
      <c r="M319" s="25"/>
      <c r="N319" s="82"/>
      <c r="O319" s="3" t="str">
        <f t="shared" si="141"/>
        <v>A</v>
      </c>
      <c r="P319" s="84"/>
      <c r="Q319" s="84"/>
      <c r="R319" s="32"/>
      <c r="S319" s="3" t="str">
        <f t="shared" si="142"/>
        <v>A</v>
      </c>
      <c r="T319" s="84"/>
      <c r="U319" s="84"/>
      <c r="V319" s="32"/>
      <c r="W319" s="3" t="str">
        <f t="shared" si="123"/>
        <v>A</v>
      </c>
      <c r="X319" s="84"/>
      <c r="Y319" s="84"/>
      <c r="Z319" s="32"/>
      <c r="AA319" s="3" t="str">
        <f t="shared" si="124"/>
        <v>A</v>
      </c>
      <c r="AB319" s="84"/>
      <c r="AC319" s="84"/>
      <c r="AD319" s="36"/>
      <c r="AE319" s="82"/>
      <c r="AF319" s="3" t="str">
        <f t="shared" si="125"/>
        <v>A</v>
      </c>
      <c r="AG319" s="84"/>
      <c r="AH319" s="84"/>
      <c r="AI319" s="39"/>
      <c r="AJ319" s="79" t="s">
        <v>1801</v>
      </c>
      <c r="AK319" s="39"/>
      <c r="AL319" s="4">
        <f t="shared" si="130"/>
        <v>0</v>
      </c>
      <c r="AM319" s="4">
        <f t="shared" si="131"/>
        <v>0</v>
      </c>
      <c r="AN319" s="4">
        <f t="shared" si="126"/>
        <v>0</v>
      </c>
      <c r="AO319" s="39"/>
      <c r="AP319" s="8">
        <f t="shared" si="132"/>
        <v>0</v>
      </c>
      <c r="AQ319" s="8">
        <f t="shared" si="133"/>
        <v>0</v>
      </c>
      <c r="AR319" s="8">
        <f t="shared" si="127"/>
        <v>0</v>
      </c>
      <c r="AS319" s="42"/>
      <c r="AT319" s="84"/>
      <c r="AU319" s="84"/>
      <c r="AV319" s="4">
        <f t="shared" si="128"/>
        <v>0</v>
      </c>
      <c r="AW319" s="50" t="str">
        <f t="shared" si="129"/>
        <v/>
      </c>
      <c r="AX319" s="1" t="s">
        <v>1703</v>
      </c>
      <c r="AY319" s="2" t="s">
        <v>1704</v>
      </c>
      <c r="AZ319" s="2"/>
      <c r="BA319" s="73"/>
      <c r="BB319" s="73"/>
      <c r="BC319" s="73"/>
      <c r="BD319" s="73"/>
      <c r="BE319" s="66">
        <v>0.04</v>
      </c>
      <c r="BF319" s="66">
        <v>0.05</v>
      </c>
      <c r="BG319" s="63">
        <v>44544</v>
      </c>
      <c r="BH319" s="74">
        <v>45689</v>
      </c>
      <c r="BI319" s="2"/>
      <c r="BJ319" s="2">
        <v>455900.4</v>
      </c>
      <c r="BK319" s="2">
        <v>50655.6</v>
      </c>
      <c r="BL319" s="1" t="s">
        <v>311</v>
      </c>
    </row>
    <row r="320" spans="1:64" x14ac:dyDescent="0.25">
      <c r="A320" s="81" t="s">
        <v>559</v>
      </c>
      <c r="B320" s="82" t="s">
        <v>559</v>
      </c>
      <c r="C320" s="81" t="s">
        <v>560</v>
      </c>
      <c r="D320" s="16">
        <v>43054</v>
      </c>
      <c r="E320" s="17"/>
      <c r="F320" s="2" t="s">
        <v>187</v>
      </c>
      <c r="G320" s="2" t="s">
        <v>189</v>
      </c>
      <c r="H320" s="10" t="s">
        <v>57</v>
      </c>
      <c r="I320" s="11" t="s">
        <v>188</v>
      </c>
      <c r="J320" s="11" t="s">
        <v>190</v>
      </c>
      <c r="K320" s="61" t="s">
        <v>191</v>
      </c>
      <c r="L320" s="11" t="s">
        <v>67</v>
      </c>
      <c r="M320" s="25"/>
      <c r="N320" s="82"/>
      <c r="O320" s="3" t="str">
        <f t="shared" si="141"/>
        <v>A</v>
      </c>
      <c r="P320" s="84">
        <v>247729.21</v>
      </c>
      <c r="Q320" s="84">
        <v>39785</v>
      </c>
      <c r="R320" s="32"/>
      <c r="S320" s="3" t="str">
        <f t="shared" si="142"/>
        <v>A</v>
      </c>
      <c r="T320" s="84">
        <v>193449.74999999997</v>
      </c>
      <c r="U320" s="84">
        <v>43137</v>
      </c>
      <c r="V320" s="32"/>
      <c r="W320" s="3" t="str">
        <f t="shared" si="123"/>
        <v>A</v>
      </c>
      <c r="X320" s="84">
        <v>166366.79999999999</v>
      </c>
      <c r="Y320" s="84">
        <v>36258</v>
      </c>
      <c r="Z320" s="32"/>
      <c r="AA320" s="3" t="str">
        <f t="shared" si="124"/>
        <v>A</v>
      </c>
      <c r="AB320" s="84">
        <v>179005.03999999998</v>
      </c>
      <c r="AC320" s="84">
        <v>29818</v>
      </c>
      <c r="AD320" s="36"/>
      <c r="AE320" s="82"/>
      <c r="AF320" s="3" t="str">
        <f t="shared" si="125"/>
        <v>A</v>
      </c>
      <c r="AG320" s="84">
        <v>0</v>
      </c>
      <c r="AH320" s="84">
        <v>0</v>
      </c>
      <c r="AI320" s="39"/>
      <c r="AJ320" s="79" t="s">
        <v>1801</v>
      </c>
      <c r="AK320" s="39"/>
      <c r="AL320" s="4">
        <f t="shared" si="130"/>
        <v>786550.8</v>
      </c>
      <c r="AM320" s="4">
        <f t="shared" si="131"/>
        <v>148998</v>
      </c>
      <c r="AN320" s="4">
        <f t="shared" si="126"/>
        <v>935548.8</v>
      </c>
      <c r="AO320" s="39"/>
      <c r="AP320" s="8">
        <f t="shared" si="132"/>
        <v>0</v>
      </c>
      <c r="AQ320" s="8">
        <f t="shared" si="133"/>
        <v>0</v>
      </c>
      <c r="AR320" s="8">
        <f t="shared" si="127"/>
        <v>0</v>
      </c>
      <c r="AS320" s="42"/>
      <c r="AT320" s="84">
        <v>786550.8</v>
      </c>
      <c r="AU320" s="84">
        <v>148998</v>
      </c>
      <c r="AV320" s="4">
        <f t="shared" si="128"/>
        <v>935548.8</v>
      </c>
      <c r="AW320" s="50" t="str">
        <f t="shared" si="129"/>
        <v/>
      </c>
      <c r="AX320" s="1" t="s">
        <v>1639</v>
      </c>
      <c r="AY320" s="2" t="s">
        <v>1640</v>
      </c>
      <c r="AZ320" s="2">
        <v>133448.95999999999</v>
      </c>
      <c r="BA320" s="73">
        <v>116767.84</v>
      </c>
      <c r="BB320" s="73">
        <v>116767.84</v>
      </c>
      <c r="BC320" s="73">
        <v>133448.95999999999</v>
      </c>
      <c r="BD320" s="73"/>
      <c r="BE320" s="66">
        <v>0</v>
      </c>
      <c r="BF320" s="66">
        <v>0.02</v>
      </c>
      <c r="BG320" s="63">
        <v>44768</v>
      </c>
      <c r="BH320" s="2"/>
      <c r="BI320" s="2"/>
      <c r="BJ320" s="2"/>
      <c r="BK320" s="2"/>
      <c r="BL320" s="1" t="s">
        <v>56</v>
      </c>
    </row>
    <row r="321" spans="1:64" x14ac:dyDescent="0.25">
      <c r="A321" s="81" t="s">
        <v>559</v>
      </c>
      <c r="B321" s="82" t="s">
        <v>1286</v>
      </c>
      <c r="C321" s="81" t="s">
        <v>1287</v>
      </c>
      <c r="D321" s="16">
        <v>0</v>
      </c>
      <c r="E321" s="17"/>
      <c r="F321" s="2" t="s">
        <v>187</v>
      </c>
      <c r="G321" s="2" t="s">
        <v>189</v>
      </c>
      <c r="H321" s="10" t="s">
        <v>57</v>
      </c>
      <c r="I321" s="11" t="s">
        <v>188</v>
      </c>
      <c r="J321" s="11" t="s">
        <v>190</v>
      </c>
      <c r="K321" s="61" t="s">
        <v>191</v>
      </c>
      <c r="L321" s="11" t="s">
        <v>67</v>
      </c>
      <c r="M321" s="25"/>
      <c r="N321" s="82"/>
      <c r="O321" s="3" t="str">
        <f>IF($A321="","",IF(P321=AZ321,"E","A"))</f>
        <v>A</v>
      </c>
      <c r="P321" s="84">
        <v>122954</v>
      </c>
      <c r="Q321" s="84">
        <v>13038</v>
      </c>
      <c r="R321" s="32"/>
      <c r="S321" s="3" t="str">
        <f t="shared" si="142"/>
        <v>A</v>
      </c>
      <c r="T321" s="84">
        <v>98307</v>
      </c>
      <c r="U321" s="84">
        <v>13805</v>
      </c>
      <c r="V321" s="32"/>
      <c r="W321" s="3" t="str">
        <f t="shared" si="123"/>
        <v>A</v>
      </c>
      <c r="X321" s="84">
        <v>81755</v>
      </c>
      <c r="Y321" s="84">
        <v>8454</v>
      </c>
      <c r="Z321" s="32"/>
      <c r="AA321" s="3" t="str">
        <f t="shared" si="124"/>
        <v>A</v>
      </c>
      <c r="AB321" s="84">
        <v>93987</v>
      </c>
      <c r="AC321" s="84">
        <v>12453</v>
      </c>
      <c r="AD321" s="36"/>
      <c r="AE321" s="82"/>
      <c r="AF321" s="3" t="str">
        <f t="shared" si="125"/>
        <v>A</v>
      </c>
      <c r="AG321" s="84">
        <v>0</v>
      </c>
      <c r="AH321" s="84">
        <v>0</v>
      </c>
      <c r="AI321" s="39"/>
      <c r="AJ321" s="79" t="s">
        <v>1801</v>
      </c>
      <c r="AK321" s="39"/>
      <c r="AL321" s="4">
        <f t="shared" si="130"/>
        <v>397003</v>
      </c>
      <c r="AM321" s="4">
        <f t="shared" si="131"/>
        <v>47750</v>
      </c>
      <c r="AN321" s="4">
        <f t="shared" si="126"/>
        <v>444753</v>
      </c>
      <c r="AO321" s="39"/>
      <c r="AP321" s="8">
        <f t="shared" si="132"/>
        <v>0</v>
      </c>
      <c r="AQ321" s="8">
        <f t="shared" si="133"/>
        <v>0</v>
      </c>
      <c r="AR321" s="8">
        <f t="shared" si="127"/>
        <v>0</v>
      </c>
      <c r="AS321" s="42"/>
      <c r="AT321" s="84">
        <v>397003</v>
      </c>
      <c r="AU321" s="84">
        <v>47750</v>
      </c>
      <c r="AV321" s="4">
        <f t="shared" si="128"/>
        <v>444753</v>
      </c>
      <c r="AW321" s="50" t="str">
        <f t="shared" si="129"/>
        <v/>
      </c>
      <c r="AX321" s="1" t="s">
        <v>1639</v>
      </c>
      <c r="AY321" s="2" t="s">
        <v>1640</v>
      </c>
      <c r="AZ321" s="2">
        <v>152619.6</v>
      </c>
      <c r="BA321" s="73">
        <v>133542.15</v>
      </c>
      <c r="BB321" s="73">
        <v>133542.15</v>
      </c>
      <c r="BC321" s="73">
        <v>152619.6</v>
      </c>
      <c r="BD321" s="73"/>
      <c r="BE321" s="66">
        <v>0</v>
      </c>
      <c r="BF321" s="66">
        <v>0.02</v>
      </c>
      <c r="BG321" s="63">
        <v>45377</v>
      </c>
      <c r="BH321" s="2"/>
      <c r="BI321" s="2"/>
      <c r="BJ321" s="2">
        <v>553476.85</v>
      </c>
      <c r="BK321" s="2">
        <v>102056.93</v>
      </c>
      <c r="BL321" s="1" t="s">
        <v>56</v>
      </c>
    </row>
    <row r="322" spans="1:64" x14ac:dyDescent="0.25">
      <c r="A322" s="81" t="s">
        <v>561</v>
      </c>
      <c r="B322" s="82" t="s">
        <v>561</v>
      </c>
      <c r="C322" s="81" t="s">
        <v>562</v>
      </c>
      <c r="D322" s="16">
        <v>43001</v>
      </c>
      <c r="E322" s="17"/>
      <c r="F322" s="2" t="s">
        <v>76</v>
      </c>
      <c r="G322" s="2" t="s">
        <v>78</v>
      </c>
      <c r="H322" s="10" t="s">
        <v>57</v>
      </c>
      <c r="I322" s="11" t="s">
        <v>77</v>
      </c>
      <c r="J322" s="11" t="s">
        <v>79</v>
      </c>
      <c r="K322" s="61" t="s">
        <v>80</v>
      </c>
      <c r="L322" s="11" t="s">
        <v>67</v>
      </c>
      <c r="M322" s="25"/>
      <c r="N322" s="82"/>
      <c r="O322" s="3" t="str">
        <f t="shared" ref="O322:O353" si="143">IF($A322="","",IF(P322=0,"A",IF(P322=AZ322,"E","A")))</f>
        <v>A</v>
      </c>
      <c r="P322" s="84">
        <v>63129.799999999996</v>
      </c>
      <c r="Q322" s="84">
        <v>16545</v>
      </c>
      <c r="R322" s="32"/>
      <c r="S322" s="3" t="str">
        <f t="shared" si="142"/>
        <v>A</v>
      </c>
      <c r="T322" s="84">
        <v>55284</v>
      </c>
      <c r="U322" s="84">
        <v>13841</v>
      </c>
      <c r="V322" s="32"/>
      <c r="W322" s="3" t="str">
        <f t="shared" si="123"/>
        <v>A</v>
      </c>
      <c r="X322" s="84">
        <v>48195</v>
      </c>
      <c r="Y322" s="84">
        <v>10921</v>
      </c>
      <c r="Z322" s="32"/>
      <c r="AA322" s="3" t="str">
        <f t="shared" si="124"/>
        <v>A</v>
      </c>
      <c r="AB322" s="84">
        <v>57275.229999999996</v>
      </c>
      <c r="AC322" s="84">
        <v>15321.779999999999</v>
      </c>
      <c r="AD322" s="36"/>
      <c r="AE322" s="82"/>
      <c r="AF322" s="3" t="str">
        <f t="shared" si="125"/>
        <v>A</v>
      </c>
      <c r="AG322" s="84">
        <v>0</v>
      </c>
      <c r="AH322" s="84">
        <v>0</v>
      </c>
      <c r="AI322" s="39"/>
      <c r="AJ322" s="79" t="s">
        <v>1801</v>
      </c>
      <c r="AK322" s="39"/>
      <c r="AL322" s="4">
        <f t="shared" si="130"/>
        <v>223884.02999999997</v>
      </c>
      <c r="AM322" s="4">
        <f t="shared" si="131"/>
        <v>56628.78</v>
      </c>
      <c r="AN322" s="4">
        <f t="shared" si="126"/>
        <v>280512.80999999994</v>
      </c>
      <c r="AO322" s="39"/>
      <c r="AP322" s="8">
        <f t="shared" si="132"/>
        <v>0</v>
      </c>
      <c r="AQ322" s="8">
        <f t="shared" si="133"/>
        <v>0</v>
      </c>
      <c r="AR322" s="8">
        <f t="shared" si="127"/>
        <v>0</v>
      </c>
      <c r="AS322" s="42"/>
      <c r="AT322" s="84">
        <v>223884.03</v>
      </c>
      <c r="AU322" s="84">
        <v>56628.78</v>
      </c>
      <c r="AV322" s="4">
        <f t="shared" si="128"/>
        <v>280512.81</v>
      </c>
      <c r="AW322" s="50" t="str">
        <f t="shared" si="129"/>
        <v/>
      </c>
      <c r="AX322" s="1" t="s">
        <v>1639</v>
      </c>
      <c r="AY322" s="2" t="s">
        <v>1640</v>
      </c>
      <c r="AZ322" s="2">
        <v>90992.88</v>
      </c>
      <c r="BA322" s="73">
        <v>79618.77</v>
      </c>
      <c r="BB322" s="73">
        <v>79618.77</v>
      </c>
      <c r="BC322" s="73">
        <v>90992.88</v>
      </c>
      <c r="BD322" s="73"/>
      <c r="BE322" s="66">
        <v>0</v>
      </c>
      <c r="BF322" s="66">
        <v>0.02</v>
      </c>
      <c r="BG322" s="63">
        <v>44812</v>
      </c>
      <c r="BH322" s="2"/>
      <c r="BI322" s="2"/>
      <c r="BJ322" s="2"/>
      <c r="BK322" s="2"/>
      <c r="BL322" s="1" t="s">
        <v>56</v>
      </c>
    </row>
    <row r="323" spans="1:64" x14ac:dyDescent="0.25">
      <c r="A323" s="81" t="s">
        <v>561</v>
      </c>
      <c r="B323" s="82" t="s">
        <v>807</v>
      </c>
      <c r="C323" s="81" t="s">
        <v>808</v>
      </c>
      <c r="D323" s="16">
        <v>43085</v>
      </c>
      <c r="E323" s="17"/>
      <c r="F323" s="2" t="s">
        <v>76</v>
      </c>
      <c r="G323" s="2" t="s">
        <v>78</v>
      </c>
      <c r="H323" s="10" t="s">
        <v>57</v>
      </c>
      <c r="I323" s="11" t="s">
        <v>77</v>
      </c>
      <c r="J323" s="11" t="s">
        <v>79</v>
      </c>
      <c r="K323" s="61" t="s">
        <v>80</v>
      </c>
      <c r="L323" s="11" t="s">
        <v>67</v>
      </c>
      <c r="M323" s="25"/>
      <c r="N323" s="82"/>
      <c r="O323" s="3" t="str">
        <f t="shared" si="143"/>
        <v>A</v>
      </c>
      <c r="P323" s="84">
        <v>75859</v>
      </c>
      <c r="Q323" s="84">
        <v>26190</v>
      </c>
      <c r="R323" s="32"/>
      <c r="S323" s="3" t="str">
        <f t="shared" si="142"/>
        <v>A</v>
      </c>
      <c r="T323" s="84">
        <v>64333</v>
      </c>
      <c r="U323" s="84">
        <v>19847</v>
      </c>
      <c r="V323" s="32"/>
      <c r="W323" s="3" t="str">
        <f t="shared" si="123"/>
        <v>A</v>
      </c>
      <c r="X323" s="84">
        <v>59067</v>
      </c>
      <c r="Y323" s="84">
        <v>21149</v>
      </c>
      <c r="Z323" s="32"/>
      <c r="AA323" s="3" t="str">
        <f t="shared" si="124"/>
        <v>A</v>
      </c>
      <c r="AB323" s="84">
        <v>63124</v>
      </c>
      <c r="AC323" s="84">
        <v>23772</v>
      </c>
      <c r="AD323" s="36"/>
      <c r="AE323" s="82"/>
      <c r="AF323" s="3" t="str">
        <f t="shared" si="125"/>
        <v>A</v>
      </c>
      <c r="AG323" s="84">
        <v>0</v>
      </c>
      <c r="AH323" s="84">
        <v>0</v>
      </c>
      <c r="AI323" s="39"/>
      <c r="AJ323" s="79" t="s">
        <v>1801</v>
      </c>
      <c r="AK323" s="39"/>
      <c r="AL323" s="4">
        <f t="shared" si="130"/>
        <v>262383</v>
      </c>
      <c r="AM323" s="4">
        <f t="shared" si="131"/>
        <v>90958</v>
      </c>
      <c r="AN323" s="4">
        <f t="shared" si="126"/>
        <v>353341</v>
      </c>
      <c r="AO323" s="39"/>
      <c r="AP323" s="8">
        <f t="shared" si="132"/>
        <v>0</v>
      </c>
      <c r="AQ323" s="8">
        <f t="shared" si="133"/>
        <v>0</v>
      </c>
      <c r="AR323" s="8">
        <f t="shared" si="127"/>
        <v>0</v>
      </c>
      <c r="AS323" s="42"/>
      <c r="AT323" s="84">
        <v>262383</v>
      </c>
      <c r="AU323" s="84">
        <v>90958</v>
      </c>
      <c r="AV323" s="4">
        <f t="shared" si="128"/>
        <v>353341</v>
      </c>
      <c r="AW323" s="50" t="str">
        <f t="shared" si="129"/>
        <v/>
      </c>
      <c r="AX323" s="1" t="s">
        <v>1639</v>
      </c>
      <c r="AY323" s="2" t="s">
        <v>1640</v>
      </c>
      <c r="AZ323" s="2">
        <v>72580.320000000007</v>
      </c>
      <c r="BA323" s="73">
        <v>63507.78</v>
      </c>
      <c r="BB323" s="73">
        <v>63507.78</v>
      </c>
      <c r="BC323" s="73">
        <v>72580.320000000007</v>
      </c>
      <c r="BD323" s="73"/>
      <c r="BE323" s="66">
        <v>0</v>
      </c>
      <c r="BF323" s="66">
        <v>0.02</v>
      </c>
      <c r="BG323" s="63">
        <v>44812</v>
      </c>
      <c r="BH323" s="2"/>
      <c r="BI323" s="2"/>
      <c r="BJ323" s="2"/>
      <c r="BK323" s="2"/>
      <c r="BL323" s="1" t="s">
        <v>56</v>
      </c>
    </row>
    <row r="324" spans="1:64" x14ac:dyDescent="0.25">
      <c r="A324" s="81" t="s">
        <v>563</v>
      </c>
      <c r="B324" s="82" t="s">
        <v>563</v>
      </c>
      <c r="C324" s="81" t="s">
        <v>564</v>
      </c>
      <c r="D324" s="16">
        <v>42985</v>
      </c>
      <c r="E324" s="17"/>
      <c r="F324" s="2" t="s">
        <v>243</v>
      </c>
      <c r="G324" s="2" t="s">
        <v>245</v>
      </c>
      <c r="H324" s="10" t="s">
        <v>57</v>
      </c>
      <c r="I324" s="11" t="s">
        <v>244</v>
      </c>
      <c r="J324" s="11" t="s">
        <v>478</v>
      </c>
      <c r="K324" s="61" t="s">
        <v>479</v>
      </c>
      <c r="L324" s="11" t="s">
        <v>67</v>
      </c>
      <c r="M324" s="25"/>
      <c r="N324" s="82"/>
      <c r="O324" s="3" t="str">
        <f t="shared" si="143"/>
        <v>A</v>
      </c>
      <c r="P324" s="84">
        <v>99515</v>
      </c>
      <c r="Q324" s="84">
        <v>16291</v>
      </c>
      <c r="R324" s="32"/>
      <c r="S324" s="3" t="str">
        <f t="shared" si="142"/>
        <v>A</v>
      </c>
      <c r="T324" s="84">
        <v>97756</v>
      </c>
      <c r="U324" s="84">
        <v>15702</v>
      </c>
      <c r="V324" s="32"/>
      <c r="W324" s="3" t="str">
        <f t="shared" si="123"/>
        <v>A</v>
      </c>
      <c r="X324" s="84">
        <v>81982</v>
      </c>
      <c r="Y324" s="84">
        <v>8074</v>
      </c>
      <c r="Z324" s="32"/>
      <c r="AA324" s="3" t="str">
        <f t="shared" si="124"/>
        <v>A</v>
      </c>
      <c r="AB324" s="84">
        <v>88108</v>
      </c>
      <c r="AC324" s="84">
        <v>11093</v>
      </c>
      <c r="AD324" s="36"/>
      <c r="AE324" s="82"/>
      <c r="AF324" s="3" t="str">
        <f t="shared" si="125"/>
        <v>A</v>
      </c>
      <c r="AG324" s="84">
        <v>0</v>
      </c>
      <c r="AH324" s="84">
        <v>0</v>
      </c>
      <c r="AI324" s="39"/>
      <c r="AJ324" s="79" t="s">
        <v>1801</v>
      </c>
      <c r="AK324" s="39"/>
      <c r="AL324" s="4">
        <f t="shared" si="130"/>
        <v>367361</v>
      </c>
      <c r="AM324" s="4">
        <f t="shared" si="131"/>
        <v>51160</v>
      </c>
      <c r="AN324" s="4">
        <f t="shared" si="126"/>
        <v>418521</v>
      </c>
      <c r="AO324" s="39"/>
      <c r="AP324" s="8">
        <f t="shared" si="132"/>
        <v>0</v>
      </c>
      <c r="AQ324" s="8">
        <f t="shared" si="133"/>
        <v>0</v>
      </c>
      <c r="AR324" s="8">
        <f t="shared" si="127"/>
        <v>0</v>
      </c>
      <c r="AS324" s="42"/>
      <c r="AT324" s="84">
        <v>367361</v>
      </c>
      <c r="AU324" s="84">
        <v>51160</v>
      </c>
      <c r="AV324" s="4">
        <f t="shared" si="128"/>
        <v>418521</v>
      </c>
      <c r="AW324" s="50" t="str">
        <f t="shared" si="129"/>
        <v/>
      </c>
      <c r="AX324" s="1" t="s">
        <v>1639</v>
      </c>
      <c r="AY324" s="2" t="s">
        <v>1640</v>
      </c>
      <c r="AZ324" s="2">
        <v>123668.96</v>
      </c>
      <c r="BA324" s="73">
        <v>108210.34</v>
      </c>
      <c r="BB324" s="73">
        <v>108210.34</v>
      </c>
      <c r="BC324" s="73">
        <v>123668.96</v>
      </c>
      <c r="BD324" s="73"/>
      <c r="BE324" s="66">
        <v>0</v>
      </c>
      <c r="BF324" s="66">
        <v>0.02</v>
      </c>
      <c r="BG324" s="63">
        <v>44647</v>
      </c>
      <c r="BH324" s="74">
        <v>44739</v>
      </c>
      <c r="BI324" s="74">
        <v>45556</v>
      </c>
      <c r="BJ324" s="2"/>
      <c r="BK324" s="2"/>
      <c r="BL324" s="1" t="s">
        <v>396</v>
      </c>
    </row>
    <row r="325" spans="1:64" x14ac:dyDescent="0.25">
      <c r="A325" s="81" t="s">
        <v>563</v>
      </c>
      <c r="B325" s="82" t="s">
        <v>898</v>
      </c>
      <c r="C325" s="81" t="s">
        <v>899</v>
      </c>
      <c r="D325" s="16">
        <v>0</v>
      </c>
      <c r="E325" s="17"/>
      <c r="F325" s="2" t="s">
        <v>243</v>
      </c>
      <c r="G325" s="2" t="s">
        <v>245</v>
      </c>
      <c r="H325" s="10" t="s">
        <v>57</v>
      </c>
      <c r="I325" s="11" t="s">
        <v>244</v>
      </c>
      <c r="J325" s="11" t="s">
        <v>478</v>
      </c>
      <c r="K325" s="61" t="s">
        <v>479</v>
      </c>
      <c r="L325" s="11" t="s">
        <v>67</v>
      </c>
      <c r="M325" s="25"/>
      <c r="N325" s="82"/>
      <c r="O325" s="3" t="str">
        <f t="shared" si="143"/>
        <v>A</v>
      </c>
      <c r="P325" s="84">
        <v>56704</v>
      </c>
      <c r="Q325" s="84">
        <v>17143</v>
      </c>
      <c r="R325" s="32"/>
      <c r="S325" s="3" t="str">
        <f t="shared" si="142"/>
        <v>A</v>
      </c>
      <c r="T325" s="84">
        <v>54062</v>
      </c>
      <c r="U325" s="84">
        <v>16362</v>
      </c>
      <c r="V325" s="32"/>
      <c r="W325" s="3" t="str">
        <f t="shared" si="123"/>
        <v>A</v>
      </c>
      <c r="X325" s="84">
        <v>47352</v>
      </c>
      <c r="Y325" s="84">
        <v>11520</v>
      </c>
      <c r="Z325" s="32"/>
      <c r="AA325" s="3" t="str">
        <f t="shared" si="124"/>
        <v>A</v>
      </c>
      <c r="AB325" s="84">
        <v>54716</v>
      </c>
      <c r="AC325" s="84">
        <v>12230</v>
      </c>
      <c r="AD325" s="36"/>
      <c r="AE325" s="82"/>
      <c r="AF325" s="3" t="str">
        <f t="shared" si="125"/>
        <v>A</v>
      </c>
      <c r="AG325" s="84">
        <v>0</v>
      </c>
      <c r="AH325" s="84">
        <v>0</v>
      </c>
      <c r="AI325" s="39"/>
      <c r="AJ325" s="79" t="s">
        <v>1801</v>
      </c>
      <c r="AK325" s="39"/>
      <c r="AL325" s="4">
        <f t="shared" si="130"/>
        <v>212834</v>
      </c>
      <c r="AM325" s="4">
        <f t="shared" si="131"/>
        <v>57255</v>
      </c>
      <c r="AN325" s="4">
        <f t="shared" si="126"/>
        <v>270089</v>
      </c>
      <c r="AO325" s="39"/>
      <c r="AP325" s="8">
        <f t="shared" si="132"/>
        <v>0</v>
      </c>
      <c r="AQ325" s="8">
        <f t="shared" si="133"/>
        <v>0</v>
      </c>
      <c r="AR325" s="8">
        <f t="shared" si="127"/>
        <v>0</v>
      </c>
      <c r="AS325" s="42"/>
      <c r="AT325" s="84">
        <v>212834</v>
      </c>
      <c r="AU325" s="84">
        <v>57255</v>
      </c>
      <c r="AV325" s="4">
        <f t="shared" si="128"/>
        <v>270089</v>
      </c>
      <c r="AW325" s="50" t="str">
        <f t="shared" si="129"/>
        <v/>
      </c>
      <c r="AX325" s="1" t="s">
        <v>1639</v>
      </c>
      <c r="AY325" s="2" t="s">
        <v>1640</v>
      </c>
      <c r="AZ325" s="2">
        <v>72312.240000000005</v>
      </c>
      <c r="BA325" s="73">
        <v>63273.21</v>
      </c>
      <c r="BB325" s="73">
        <v>63273.21</v>
      </c>
      <c r="BC325" s="73">
        <v>72312.240000000005</v>
      </c>
      <c r="BD325" s="73"/>
      <c r="BE325" s="66">
        <v>0</v>
      </c>
      <c r="BF325" s="66">
        <v>0.02</v>
      </c>
      <c r="BG325" s="63">
        <v>44647</v>
      </c>
      <c r="BH325" s="2"/>
      <c r="BI325" s="2"/>
      <c r="BJ325" s="2"/>
      <c r="BK325" s="2"/>
      <c r="BL325" s="1" t="s">
        <v>396</v>
      </c>
    </row>
    <row r="326" spans="1:64" x14ac:dyDescent="0.25">
      <c r="A326" s="81" t="s">
        <v>565</v>
      </c>
      <c r="B326" s="82" t="s">
        <v>565</v>
      </c>
      <c r="C326" s="81" t="s">
        <v>566</v>
      </c>
      <c r="D326" s="16">
        <v>42915</v>
      </c>
      <c r="E326" s="17"/>
      <c r="F326" s="2" t="s">
        <v>235</v>
      </c>
      <c r="G326" s="2" t="s">
        <v>236</v>
      </c>
      <c r="H326" s="10" t="s">
        <v>98</v>
      </c>
      <c r="I326" s="11" t="s">
        <v>53</v>
      </c>
      <c r="J326" s="11" t="s">
        <v>238</v>
      </c>
      <c r="K326" s="61"/>
      <c r="L326" s="11" t="s">
        <v>67</v>
      </c>
      <c r="M326" s="25"/>
      <c r="N326" s="82"/>
      <c r="O326" s="3" t="str">
        <f t="shared" si="143"/>
        <v>A</v>
      </c>
      <c r="P326" s="84">
        <v>222560</v>
      </c>
      <c r="Q326" s="84">
        <v>11496</v>
      </c>
      <c r="R326" s="32"/>
      <c r="S326" s="3" t="str">
        <f t="shared" si="142"/>
        <v>A</v>
      </c>
      <c r="T326" s="84">
        <v>198075</v>
      </c>
      <c r="U326" s="84">
        <v>13153</v>
      </c>
      <c r="V326" s="32"/>
      <c r="W326" s="3" t="str">
        <f t="shared" si="123"/>
        <v>A</v>
      </c>
      <c r="X326" s="84">
        <v>206283</v>
      </c>
      <c r="Y326" s="84">
        <v>12327</v>
      </c>
      <c r="Z326" s="32"/>
      <c r="AA326" s="3" t="str">
        <f t="shared" si="124"/>
        <v>A</v>
      </c>
      <c r="AB326" s="84">
        <v>249402</v>
      </c>
      <c r="AC326" s="84">
        <v>13864</v>
      </c>
      <c r="AD326" s="36"/>
      <c r="AE326" s="82"/>
      <c r="AF326" s="3" t="str">
        <f t="shared" si="125"/>
        <v>A</v>
      </c>
      <c r="AG326" s="84">
        <v>0</v>
      </c>
      <c r="AH326" s="84">
        <v>0</v>
      </c>
      <c r="AI326" s="39"/>
      <c r="AJ326" s="79" t="s">
        <v>1801</v>
      </c>
      <c r="AK326" s="39"/>
      <c r="AL326" s="4">
        <f t="shared" si="130"/>
        <v>876320</v>
      </c>
      <c r="AM326" s="4">
        <f t="shared" si="131"/>
        <v>50840</v>
      </c>
      <c r="AN326" s="4">
        <f t="shared" si="126"/>
        <v>927160</v>
      </c>
      <c r="AO326" s="39"/>
      <c r="AP326" s="8">
        <f t="shared" si="132"/>
        <v>0</v>
      </c>
      <c r="AQ326" s="8">
        <f t="shared" si="133"/>
        <v>0</v>
      </c>
      <c r="AR326" s="8">
        <f t="shared" si="127"/>
        <v>0</v>
      </c>
      <c r="AS326" s="42"/>
      <c r="AT326" s="84">
        <v>876320</v>
      </c>
      <c r="AU326" s="84">
        <v>50840</v>
      </c>
      <c r="AV326" s="4">
        <f t="shared" si="128"/>
        <v>927160</v>
      </c>
      <c r="AW326" s="50" t="str">
        <f t="shared" si="129"/>
        <v/>
      </c>
      <c r="AX326" s="1" t="s">
        <v>1662</v>
      </c>
      <c r="AY326" s="2" t="s">
        <v>1663</v>
      </c>
      <c r="AZ326" s="2">
        <v>154866.23999999999</v>
      </c>
      <c r="BA326" s="73">
        <v>135507.96</v>
      </c>
      <c r="BB326" s="73">
        <v>135507.96</v>
      </c>
      <c r="BC326" s="73">
        <v>154866.23999999999</v>
      </c>
      <c r="BD326" s="73"/>
      <c r="BE326" s="66">
        <v>0.04</v>
      </c>
      <c r="BF326" s="66">
        <v>0.05</v>
      </c>
      <c r="BG326" s="63">
        <v>44734</v>
      </c>
      <c r="BH326" s="74">
        <v>43906</v>
      </c>
      <c r="BI326" s="74">
        <v>43928</v>
      </c>
      <c r="BJ326" s="2"/>
      <c r="BK326" s="2"/>
      <c r="BL326" s="1" t="s">
        <v>237</v>
      </c>
    </row>
    <row r="327" spans="1:64" x14ac:dyDescent="0.25">
      <c r="A327" s="81" t="s">
        <v>567</v>
      </c>
      <c r="B327" s="82" t="s">
        <v>567</v>
      </c>
      <c r="C327" s="81" t="s">
        <v>568</v>
      </c>
      <c r="D327" s="16">
        <v>41754</v>
      </c>
      <c r="E327" s="17"/>
      <c r="F327" s="2" t="s">
        <v>187</v>
      </c>
      <c r="G327" s="2" t="s">
        <v>189</v>
      </c>
      <c r="H327" s="10" t="s">
        <v>57</v>
      </c>
      <c r="I327" s="11" t="s">
        <v>188</v>
      </c>
      <c r="J327" s="11" t="s">
        <v>190</v>
      </c>
      <c r="K327" s="61" t="s">
        <v>191</v>
      </c>
      <c r="L327" s="11" t="s">
        <v>67</v>
      </c>
      <c r="M327" s="25"/>
      <c r="N327" s="82"/>
      <c r="O327" s="3" t="str">
        <f t="shared" si="143"/>
        <v>A</v>
      </c>
      <c r="P327" s="84">
        <v>100614.57</v>
      </c>
      <c r="Q327" s="84">
        <v>24352.02</v>
      </c>
      <c r="R327" s="32"/>
      <c r="S327" s="3" t="str">
        <f t="shared" si="142"/>
        <v>A</v>
      </c>
      <c r="T327" s="84">
        <v>87516.81</v>
      </c>
      <c r="U327" s="84">
        <v>19334.18</v>
      </c>
      <c r="V327" s="32"/>
      <c r="W327" s="3" t="str">
        <f t="shared" si="123"/>
        <v>A</v>
      </c>
      <c r="X327" s="84">
        <v>80103.61</v>
      </c>
      <c r="Y327" s="84">
        <v>19966</v>
      </c>
      <c r="Z327" s="32"/>
      <c r="AA327" s="3" t="str">
        <f t="shared" si="124"/>
        <v>A</v>
      </c>
      <c r="AB327" s="84">
        <v>94753.25</v>
      </c>
      <c r="AC327" s="84">
        <v>21417.95</v>
      </c>
      <c r="AD327" s="36"/>
      <c r="AE327" s="82"/>
      <c r="AF327" s="3" t="str">
        <f t="shared" si="125"/>
        <v>A</v>
      </c>
      <c r="AG327" s="84">
        <v>0</v>
      </c>
      <c r="AH327" s="84">
        <v>0</v>
      </c>
      <c r="AI327" s="39"/>
      <c r="AJ327" s="79" t="s">
        <v>1801</v>
      </c>
      <c r="AK327" s="39"/>
      <c r="AL327" s="4">
        <f t="shared" si="130"/>
        <v>362988.24</v>
      </c>
      <c r="AM327" s="4">
        <f t="shared" si="131"/>
        <v>85070.15</v>
      </c>
      <c r="AN327" s="4">
        <f t="shared" si="126"/>
        <v>448058.39</v>
      </c>
      <c r="AO327" s="39"/>
      <c r="AP327" s="8">
        <f t="shared" si="132"/>
        <v>0</v>
      </c>
      <c r="AQ327" s="8">
        <f t="shared" si="133"/>
        <v>0</v>
      </c>
      <c r="AR327" s="8">
        <f t="shared" si="127"/>
        <v>0</v>
      </c>
      <c r="AS327" s="42"/>
      <c r="AT327" s="84">
        <v>362988.24000000005</v>
      </c>
      <c r="AU327" s="84">
        <v>85070.150000000009</v>
      </c>
      <c r="AV327" s="4">
        <f t="shared" si="128"/>
        <v>448058.39000000007</v>
      </c>
      <c r="AW327" s="50" t="str">
        <f t="shared" si="129"/>
        <v/>
      </c>
      <c r="AX327" s="1" t="s">
        <v>1639</v>
      </c>
      <c r="AY327" s="2" t="s">
        <v>1640</v>
      </c>
      <c r="AZ327" s="2">
        <v>83455.199999999997</v>
      </c>
      <c r="BA327" s="73">
        <v>73023.3</v>
      </c>
      <c r="BB327" s="73">
        <v>73023.3</v>
      </c>
      <c r="BC327" s="73">
        <v>83455.199999999997</v>
      </c>
      <c r="BD327" s="73"/>
      <c r="BE327" s="66">
        <v>3.5000000000000003E-2</v>
      </c>
      <c r="BF327" s="66">
        <v>0.02</v>
      </c>
      <c r="BG327" s="63">
        <v>45003</v>
      </c>
      <c r="BH327" s="2"/>
      <c r="BI327" s="2"/>
      <c r="BJ327" s="2"/>
      <c r="BK327" s="2"/>
      <c r="BL327" s="1" t="s">
        <v>56</v>
      </c>
    </row>
    <row r="328" spans="1:64" x14ac:dyDescent="0.25">
      <c r="A328" s="81" t="s">
        <v>567</v>
      </c>
      <c r="B328" s="82" t="s">
        <v>843</v>
      </c>
      <c r="C328" s="81" t="s">
        <v>844</v>
      </c>
      <c r="D328" s="16">
        <v>43637</v>
      </c>
      <c r="E328" s="17"/>
      <c r="F328" s="2" t="s">
        <v>187</v>
      </c>
      <c r="G328" s="2" t="s">
        <v>189</v>
      </c>
      <c r="H328" s="10" t="s">
        <v>57</v>
      </c>
      <c r="I328" s="11" t="s">
        <v>188</v>
      </c>
      <c r="J328" s="11" t="s">
        <v>190</v>
      </c>
      <c r="K328" s="61" t="s">
        <v>191</v>
      </c>
      <c r="L328" s="11" t="s">
        <v>67</v>
      </c>
      <c r="M328" s="25"/>
      <c r="N328" s="82"/>
      <c r="O328" s="3" t="str">
        <f t="shared" si="143"/>
        <v>A</v>
      </c>
      <c r="P328" s="84">
        <v>16057</v>
      </c>
      <c r="Q328" s="84">
        <v>12637</v>
      </c>
      <c r="R328" s="32"/>
      <c r="S328" s="3" t="str">
        <f t="shared" si="142"/>
        <v>A</v>
      </c>
      <c r="T328" s="84">
        <v>16178</v>
      </c>
      <c r="U328" s="84">
        <v>11591</v>
      </c>
      <c r="V328" s="32"/>
      <c r="W328" s="3" t="str">
        <f t="shared" ref="W328:W391" si="144">IF($A328="","",IF(X328=0,"A",IF(X328=BB328,"E","A")))</f>
        <v>A</v>
      </c>
      <c r="X328" s="84">
        <v>14009</v>
      </c>
      <c r="Y328" s="84">
        <v>11388</v>
      </c>
      <c r="Z328" s="32"/>
      <c r="AA328" s="3" t="str">
        <f t="shared" ref="AA328:AA391" si="145">IF($A328="","",IF(AB328=0,"A",IF(AB328=BC328,"E","A")))</f>
        <v>A</v>
      </c>
      <c r="AB328" s="84">
        <v>17606</v>
      </c>
      <c r="AC328" s="84">
        <v>10281</v>
      </c>
      <c r="AD328" s="36"/>
      <c r="AE328" s="82"/>
      <c r="AF328" s="3" t="str">
        <f t="shared" ref="AF328:AF391" si="146">IF($A328="","",IF(AG328=0,"A",IF(AG328=BD328,"E","A")))</f>
        <v>A</v>
      </c>
      <c r="AG328" s="84">
        <v>0</v>
      </c>
      <c r="AH328" s="84">
        <v>0</v>
      </c>
      <c r="AI328" s="39"/>
      <c r="AJ328" s="79" t="s">
        <v>1801</v>
      </c>
      <c r="AK328" s="39"/>
      <c r="AL328" s="4">
        <f t="shared" si="130"/>
        <v>63850</v>
      </c>
      <c r="AM328" s="4">
        <f t="shared" si="131"/>
        <v>45897</v>
      </c>
      <c r="AN328" s="4">
        <f t="shared" ref="AN328:AN391" si="147">SUM(AL328:AM328)</f>
        <v>109747</v>
      </c>
      <c r="AO328" s="39"/>
      <c r="AP328" s="8">
        <f t="shared" si="132"/>
        <v>0</v>
      </c>
      <c r="AQ328" s="8">
        <f t="shared" si="133"/>
        <v>0</v>
      </c>
      <c r="AR328" s="8">
        <f t="shared" ref="AR328:AR391" si="148">SUM(AP328:AQ328)</f>
        <v>0</v>
      </c>
      <c r="AS328" s="42"/>
      <c r="AT328" s="84">
        <v>63850</v>
      </c>
      <c r="AU328" s="84">
        <v>45897</v>
      </c>
      <c r="AV328" s="4">
        <f t="shared" ref="AV328:AV391" si="149">SUM(AT328:AU328)</f>
        <v>109747</v>
      </c>
      <c r="AW328" s="50" t="str">
        <f t="shared" ref="AW328:AW391" si="150">IF(AV328=0,"",IF(AN328=AV328,"","W"))</f>
        <v/>
      </c>
      <c r="AX328" s="1" t="s">
        <v>1639</v>
      </c>
      <c r="AY328" s="2" t="s">
        <v>1640</v>
      </c>
      <c r="AZ328" s="2">
        <v>7250.4</v>
      </c>
      <c r="BA328" s="73">
        <v>6344.1</v>
      </c>
      <c r="BB328" s="73">
        <v>6344.1</v>
      </c>
      <c r="BC328" s="73">
        <v>7250.4</v>
      </c>
      <c r="BD328" s="73"/>
      <c r="BE328" s="66">
        <v>0</v>
      </c>
      <c r="BF328" s="66">
        <v>0.02</v>
      </c>
      <c r="BG328" s="63">
        <v>45003</v>
      </c>
      <c r="BH328" s="74">
        <v>43893</v>
      </c>
      <c r="BI328" s="74">
        <v>43983</v>
      </c>
      <c r="BJ328" s="2"/>
      <c r="BK328" s="2"/>
      <c r="BL328" s="1" t="s">
        <v>56</v>
      </c>
    </row>
    <row r="329" spans="1:64" x14ac:dyDescent="0.25">
      <c r="A329" s="81" t="s">
        <v>569</v>
      </c>
      <c r="B329" s="82" t="s">
        <v>569</v>
      </c>
      <c r="C329" s="81" t="s">
        <v>570</v>
      </c>
      <c r="D329" s="16">
        <v>43108</v>
      </c>
      <c r="E329" s="17"/>
      <c r="F329" s="2" t="s">
        <v>522</v>
      </c>
      <c r="G329" s="2" t="s">
        <v>523</v>
      </c>
      <c r="H329" s="10" t="s">
        <v>105</v>
      </c>
      <c r="I329" s="11" t="s">
        <v>53</v>
      </c>
      <c r="J329" s="11" t="s">
        <v>312</v>
      </c>
      <c r="K329" s="61"/>
      <c r="L329" s="11" t="s">
        <v>67</v>
      </c>
      <c r="M329" s="25"/>
      <c r="N329" s="82"/>
      <c r="O329" s="3" t="str">
        <f t="shared" si="143"/>
        <v>A</v>
      </c>
      <c r="P329" s="84">
        <v>195991.97</v>
      </c>
      <c r="Q329" s="84">
        <v>18191</v>
      </c>
      <c r="R329" s="32"/>
      <c r="S329" s="3" t="str">
        <f t="shared" si="142"/>
        <v>A</v>
      </c>
      <c r="T329" s="84">
        <v>173446</v>
      </c>
      <c r="U329" s="84">
        <v>22613</v>
      </c>
      <c r="V329" s="32"/>
      <c r="W329" s="3" t="str">
        <f t="shared" si="144"/>
        <v>A</v>
      </c>
      <c r="X329" s="84">
        <v>149826</v>
      </c>
      <c r="Y329" s="84">
        <v>14474</v>
      </c>
      <c r="Z329" s="32"/>
      <c r="AA329" s="3" t="str">
        <f t="shared" si="145"/>
        <v>A</v>
      </c>
      <c r="AB329" s="84">
        <v>192420</v>
      </c>
      <c r="AC329" s="84">
        <v>17914</v>
      </c>
      <c r="AD329" s="36"/>
      <c r="AE329" s="82"/>
      <c r="AF329" s="3" t="str">
        <f t="shared" si="146"/>
        <v>A</v>
      </c>
      <c r="AG329" s="84">
        <v>0</v>
      </c>
      <c r="AH329" s="84">
        <v>0</v>
      </c>
      <c r="AI329" s="39"/>
      <c r="AJ329" s="79" t="s">
        <v>1801</v>
      </c>
      <c r="AK329" s="39"/>
      <c r="AL329" s="4">
        <f t="shared" ref="AL329:AL392" si="151">IF($O329="A",P329,0)+IF($S329="A",T329,0)+IF($W329="A",X329,0)+IF($AA329="A",AB329,0)+IF($AF329="A",AG329,0)</f>
        <v>711683.97</v>
      </c>
      <c r="AM329" s="4">
        <f t="shared" ref="AM329:AM392" si="152">IF($O329="A",Q329,0)+IF($S329="A",U329,0)+IF($W329="A",Y329,0)+IF($AA329="A",AC329,0)+IF($AF329="A",AH329,0)</f>
        <v>73192</v>
      </c>
      <c r="AN329" s="4">
        <f t="shared" si="147"/>
        <v>784875.97</v>
      </c>
      <c r="AO329" s="39"/>
      <c r="AP329" s="8">
        <f t="shared" ref="AP329:AP392" si="153">IF($O329="E",P329,0)+IF($S329="E",T329,0)+IF($W329="E",X329,0)+IF($AA329="E",AB329,0)+IF($AF329="E",AG329,0)</f>
        <v>0</v>
      </c>
      <c r="AQ329" s="8">
        <f t="shared" ref="AQ329:AQ392" si="154">IF($O329="E",Q329,0)+IF($S329="E",U329,0)+IF($W329="E",Y329,0)+IF($AA329="E",AC329,0)+IF($AF329="E",AH329,0)</f>
        <v>0</v>
      </c>
      <c r="AR329" s="8">
        <f t="shared" si="148"/>
        <v>0</v>
      </c>
      <c r="AS329" s="42"/>
      <c r="AT329" s="84">
        <v>711683.97</v>
      </c>
      <c r="AU329" s="84">
        <v>73192</v>
      </c>
      <c r="AV329" s="4">
        <f t="shared" si="149"/>
        <v>784875.97</v>
      </c>
      <c r="AW329" s="50" t="str">
        <f t="shared" si="150"/>
        <v/>
      </c>
      <c r="AX329" s="1" t="s">
        <v>1719</v>
      </c>
      <c r="AY329" s="2" t="s">
        <v>1720</v>
      </c>
      <c r="AZ329" s="2">
        <v>135201.28</v>
      </c>
      <c r="BA329" s="73">
        <v>118301.12</v>
      </c>
      <c r="BB329" s="73">
        <v>118301.12</v>
      </c>
      <c r="BC329" s="73">
        <v>135201.28</v>
      </c>
      <c r="BD329" s="73"/>
      <c r="BE329" s="66">
        <v>0.04</v>
      </c>
      <c r="BF329" s="66">
        <v>0.05</v>
      </c>
      <c r="BG329" s="63">
        <v>44913</v>
      </c>
      <c r="BH329" s="2"/>
      <c r="BI329" s="2"/>
      <c r="BJ329" s="2"/>
      <c r="BK329" s="2"/>
      <c r="BL329" s="1" t="s">
        <v>311</v>
      </c>
    </row>
    <row r="330" spans="1:64" x14ac:dyDescent="0.25">
      <c r="A330" s="81" t="s">
        <v>569</v>
      </c>
      <c r="B330" s="82" t="s">
        <v>1094</v>
      </c>
      <c r="C330" s="81" t="s">
        <v>1095</v>
      </c>
      <c r="D330" s="16">
        <v>44841</v>
      </c>
      <c r="E330" s="17"/>
      <c r="F330" s="2" t="s">
        <v>522</v>
      </c>
      <c r="G330" s="2" t="s">
        <v>523</v>
      </c>
      <c r="H330" s="10" t="s">
        <v>105</v>
      </c>
      <c r="I330" s="11" t="s">
        <v>53</v>
      </c>
      <c r="J330" s="11" t="s">
        <v>312</v>
      </c>
      <c r="K330" s="61"/>
      <c r="L330" s="11" t="s">
        <v>67</v>
      </c>
      <c r="M330" s="25"/>
      <c r="N330" s="82"/>
      <c r="O330" s="3" t="str">
        <f t="shared" si="143"/>
        <v>A</v>
      </c>
      <c r="P330" s="84">
        <v>150233</v>
      </c>
      <c r="Q330" s="84">
        <v>14532</v>
      </c>
      <c r="R330" s="32"/>
      <c r="S330" s="3" t="str">
        <f t="shared" si="142"/>
        <v>A</v>
      </c>
      <c r="T330" s="84">
        <v>142393</v>
      </c>
      <c r="U330" s="84">
        <v>19674</v>
      </c>
      <c r="V330" s="32"/>
      <c r="W330" s="3" t="str">
        <f t="shared" si="144"/>
        <v>A</v>
      </c>
      <c r="X330" s="84">
        <v>120972</v>
      </c>
      <c r="Y330" s="84">
        <v>12906</v>
      </c>
      <c r="Z330" s="32"/>
      <c r="AA330" s="3" t="str">
        <f t="shared" si="145"/>
        <v>A</v>
      </c>
      <c r="AB330" s="84">
        <v>147792</v>
      </c>
      <c r="AC330" s="84">
        <v>16139</v>
      </c>
      <c r="AD330" s="36"/>
      <c r="AE330" s="82"/>
      <c r="AF330" s="3" t="str">
        <f t="shared" si="146"/>
        <v>A</v>
      </c>
      <c r="AG330" s="84">
        <v>0</v>
      </c>
      <c r="AH330" s="84">
        <v>0</v>
      </c>
      <c r="AI330" s="39"/>
      <c r="AJ330" s="79" t="s">
        <v>1801</v>
      </c>
      <c r="AK330" s="39"/>
      <c r="AL330" s="4">
        <f t="shared" si="151"/>
        <v>561390</v>
      </c>
      <c r="AM330" s="4">
        <f t="shared" si="152"/>
        <v>63251</v>
      </c>
      <c r="AN330" s="4">
        <f t="shared" si="147"/>
        <v>624641</v>
      </c>
      <c r="AO330" s="39"/>
      <c r="AP330" s="8">
        <f t="shared" si="153"/>
        <v>0</v>
      </c>
      <c r="AQ330" s="8">
        <f t="shared" si="154"/>
        <v>0</v>
      </c>
      <c r="AR330" s="8">
        <f t="shared" si="148"/>
        <v>0</v>
      </c>
      <c r="AS330" s="42"/>
      <c r="AT330" s="84">
        <v>561390</v>
      </c>
      <c r="AU330" s="84">
        <v>63251</v>
      </c>
      <c r="AV330" s="4">
        <f t="shared" si="149"/>
        <v>624641</v>
      </c>
      <c r="AW330" s="50" t="str">
        <f t="shared" si="150"/>
        <v/>
      </c>
      <c r="AX330" s="1" t="s">
        <v>1719</v>
      </c>
      <c r="AY330" s="2" t="s">
        <v>1720</v>
      </c>
      <c r="AZ330" s="2">
        <v>109832.56</v>
      </c>
      <c r="BA330" s="73">
        <v>96103.49</v>
      </c>
      <c r="BB330" s="73">
        <v>96103.49</v>
      </c>
      <c r="BC330" s="73">
        <v>109832.56</v>
      </c>
      <c r="BD330" s="73"/>
      <c r="BE330" s="66">
        <v>0</v>
      </c>
      <c r="BF330" s="66">
        <v>0.05</v>
      </c>
      <c r="BG330" s="63">
        <v>44913</v>
      </c>
      <c r="BH330" s="2"/>
      <c r="BI330" s="2"/>
      <c r="BJ330" s="2">
        <v>399492</v>
      </c>
      <c r="BK330" s="2">
        <v>44388</v>
      </c>
      <c r="BL330" s="1" t="s">
        <v>311</v>
      </c>
    </row>
    <row r="331" spans="1:64" x14ac:dyDescent="0.25">
      <c r="A331" s="81" t="s">
        <v>571</v>
      </c>
      <c r="B331" s="82" t="s">
        <v>571</v>
      </c>
      <c r="C331" s="81" t="s">
        <v>572</v>
      </c>
      <c r="D331" s="16">
        <v>42986</v>
      </c>
      <c r="E331" s="17"/>
      <c r="F331" s="2" t="s">
        <v>243</v>
      </c>
      <c r="G331" s="2" t="s">
        <v>245</v>
      </c>
      <c r="H331" s="10" t="s">
        <v>105</v>
      </c>
      <c r="I331" s="11" t="s">
        <v>244</v>
      </c>
      <c r="J331" s="11" t="s">
        <v>573</v>
      </c>
      <c r="K331" s="61" t="s">
        <v>335</v>
      </c>
      <c r="L331" s="11" t="s">
        <v>67</v>
      </c>
      <c r="M331" s="25"/>
      <c r="N331" s="82"/>
      <c r="O331" s="3" t="str">
        <f t="shared" si="143"/>
        <v>A</v>
      </c>
      <c r="P331" s="84">
        <v>53453</v>
      </c>
      <c r="Q331" s="84">
        <v>10136</v>
      </c>
      <c r="R331" s="32"/>
      <c r="S331" s="3" t="str">
        <f t="shared" si="142"/>
        <v>A</v>
      </c>
      <c r="T331" s="84">
        <v>39078</v>
      </c>
      <c r="U331" s="84">
        <v>7073</v>
      </c>
      <c r="V331" s="32"/>
      <c r="W331" s="3" t="str">
        <f t="shared" si="144"/>
        <v>A</v>
      </c>
      <c r="X331" s="84">
        <v>41629</v>
      </c>
      <c r="Y331" s="84">
        <v>6140</v>
      </c>
      <c r="Z331" s="32"/>
      <c r="AA331" s="3" t="str">
        <f t="shared" si="145"/>
        <v>A</v>
      </c>
      <c r="AB331" s="84">
        <v>41688</v>
      </c>
      <c r="AC331" s="84">
        <v>3147</v>
      </c>
      <c r="AD331" s="36"/>
      <c r="AE331" s="82"/>
      <c r="AF331" s="3" t="str">
        <f t="shared" si="146"/>
        <v>A</v>
      </c>
      <c r="AG331" s="84">
        <v>0</v>
      </c>
      <c r="AH331" s="84">
        <v>0</v>
      </c>
      <c r="AI331" s="39"/>
      <c r="AJ331" s="79" t="s">
        <v>1801</v>
      </c>
      <c r="AK331" s="39"/>
      <c r="AL331" s="4">
        <f t="shared" si="151"/>
        <v>175848</v>
      </c>
      <c r="AM331" s="4">
        <f t="shared" si="152"/>
        <v>26496</v>
      </c>
      <c r="AN331" s="4">
        <f t="shared" si="147"/>
        <v>202344</v>
      </c>
      <c r="AO331" s="39"/>
      <c r="AP331" s="8">
        <f t="shared" si="153"/>
        <v>0</v>
      </c>
      <c r="AQ331" s="8">
        <f t="shared" si="154"/>
        <v>0</v>
      </c>
      <c r="AR331" s="8">
        <f t="shared" si="148"/>
        <v>0</v>
      </c>
      <c r="AS331" s="42"/>
      <c r="AT331" s="84">
        <v>175848</v>
      </c>
      <c r="AU331" s="84">
        <v>26496</v>
      </c>
      <c r="AV331" s="4">
        <f t="shared" si="149"/>
        <v>202344</v>
      </c>
      <c r="AW331" s="50" t="str">
        <f t="shared" si="150"/>
        <v/>
      </c>
      <c r="AX331" s="1" t="s">
        <v>1639</v>
      </c>
      <c r="AY331" s="2" t="s">
        <v>1640</v>
      </c>
      <c r="AZ331" s="2">
        <v>75188.88</v>
      </c>
      <c r="BA331" s="73">
        <v>65790.27</v>
      </c>
      <c r="BB331" s="73">
        <v>65790.27</v>
      </c>
      <c r="BC331" s="73">
        <v>75188.88</v>
      </c>
      <c r="BD331" s="73"/>
      <c r="BE331" s="66">
        <v>0</v>
      </c>
      <c r="BF331" s="66">
        <v>0.02</v>
      </c>
      <c r="BG331" s="63">
        <v>44804</v>
      </c>
      <c r="BH331" s="2"/>
      <c r="BI331" s="2"/>
      <c r="BJ331" s="2"/>
      <c r="BK331" s="2"/>
      <c r="BL331" s="1" t="s">
        <v>219</v>
      </c>
    </row>
    <row r="332" spans="1:64" x14ac:dyDescent="0.25">
      <c r="A332" s="81" t="s">
        <v>571</v>
      </c>
      <c r="B332" s="82" t="s">
        <v>837</v>
      </c>
      <c r="C332" s="81" t="s">
        <v>838</v>
      </c>
      <c r="D332" s="16">
        <v>0</v>
      </c>
      <c r="E332" s="17"/>
      <c r="F332" s="2" t="s">
        <v>243</v>
      </c>
      <c r="G332" s="2" t="s">
        <v>245</v>
      </c>
      <c r="H332" s="10" t="s">
        <v>105</v>
      </c>
      <c r="I332" s="11" t="s">
        <v>244</v>
      </c>
      <c r="J332" s="11" t="s">
        <v>573</v>
      </c>
      <c r="K332" s="61" t="s">
        <v>335</v>
      </c>
      <c r="L332" s="11" t="s">
        <v>67</v>
      </c>
      <c r="M332" s="25"/>
      <c r="N332" s="82"/>
      <c r="O332" s="3" t="str">
        <f t="shared" si="143"/>
        <v>A</v>
      </c>
      <c r="P332" s="84">
        <v>29521</v>
      </c>
      <c r="Q332" s="84">
        <v>9900</v>
      </c>
      <c r="R332" s="32"/>
      <c r="S332" s="3" t="str">
        <f t="shared" si="142"/>
        <v>A</v>
      </c>
      <c r="T332" s="84">
        <v>25725</v>
      </c>
      <c r="U332" s="84">
        <v>9475</v>
      </c>
      <c r="V332" s="32"/>
      <c r="W332" s="3" t="str">
        <f t="shared" si="144"/>
        <v>A</v>
      </c>
      <c r="X332" s="84">
        <v>29735</v>
      </c>
      <c r="Y332" s="84">
        <v>7581</v>
      </c>
      <c r="Z332" s="32"/>
      <c r="AA332" s="3" t="str">
        <f t="shared" si="145"/>
        <v>A</v>
      </c>
      <c r="AB332" s="84">
        <v>28401</v>
      </c>
      <c r="AC332" s="84">
        <v>10237</v>
      </c>
      <c r="AD332" s="36"/>
      <c r="AE332" s="82"/>
      <c r="AF332" s="3" t="str">
        <f t="shared" si="146"/>
        <v>A</v>
      </c>
      <c r="AG332" s="84">
        <v>0</v>
      </c>
      <c r="AH332" s="84">
        <v>0</v>
      </c>
      <c r="AI332" s="39"/>
      <c r="AJ332" s="79" t="s">
        <v>1801</v>
      </c>
      <c r="AK332" s="39"/>
      <c r="AL332" s="4">
        <f t="shared" si="151"/>
        <v>113382</v>
      </c>
      <c r="AM332" s="4">
        <f t="shared" si="152"/>
        <v>37193</v>
      </c>
      <c r="AN332" s="4">
        <f t="shared" si="147"/>
        <v>150575</v>
      </c>
      <c r="AO332" s="39"/>
      <c r="AP332" s="8">
        <f t="shared" si="153"/>
        <v>0</v>
      </c>
      <c r="AQ332" s="8">
        <f t="shared" si="154"/>
        <v>0</v>
      </c>
      <c r="AR332" s="8">
        <f t="shared" si="148"/>
        <v>0</v>
      </c>
      <c r="AS332" s="42"/>
      <c r="AT332" s="84">
        <v>113382</v>
      </c>
      <c r="AU332" s="84">
        <v>37193</v>
      </c>
      <c r="AV332" s="4">
        <f t="shared" si="149"/>
        <v>150575</v>
      </c>
      <c r="AW332" s="50" t="str">
        <f t="shared" si="150"/>
        <v/>
      </c>
      <c r="AX332" s="1" t="s">
        <v>1639</v>
      </c>
      <c r="AY332" s="2" t="s">
        <v>1640</v>
      </c>
      <c r="AZ332" s="2">
        <v>117347.12</v>
      </c>
      <c r="BA332" s="73">
        <v>102678.73</v>
      </c>
      <c r="BB332" s="73">
        <v>102678.73</v>
      </c>
      <c r="BC332" s="73">
        <v>117347.12</v>
      </c>
      <c r="BD332" s="73"/>
      <c r="BE332" s="66">
        <v>0</v>
      </c>
      <c r="BF332" s="66">
        <v>0.02</v>
      </c>
      <c r="BG332" s="63">
        <v>45565</v>
      </c>
      <c r="BH332" s="2"/>
      <c r="BI332" s="2"/>
      <c r="BJ332" s="2"/>
      <c r="BK332" s="2"/>
      <c r="BL332" s="1" t="s">
        <v>219</v>
      </c>
    </row>
    <row r="333" spans="1:64" x14ac:dyDescent="0.25">
      <c r="A333" s="81" t="s">
        <v>574</v>
      </c>
      <c r="B333" s="82" t="s">
        <v>574</v>
      </c>
      <c r="C333" s="81" t="s">
        <v>575</v>
      </c>
      <c r="D333" s="16">
        <v>43059</v>
      </c>
      <c r="E333" s="17"/>
      <c r="F333" s="2" t="s">
        <v>76</v>
      </c>
      <c r="G333" s="2" t="s">
        <v>78</v>
      </c>
      <c r="H333" s="10" t="s">
        <v>57</v>
      </c>
      <c r="I333" s="11" t="s">
        <v>77</v>
      </c>
      <c r="J333" s="11" t="s">
        <v>79</v>
      </c>
      <c r="K333" s="61" t="s">
        <v>80</v>
      </c>
      <c r="L333" s="11" t="s">
        <v>67</v>
      </c>
      <c r="M333" s="25"/>
      <c r="N333" s="82"/>
      <c r="O333" s="3" t="str">
        <f t="shared" si="143"/>
        <v>A</v>
      </c>
      <c r="P333" s="84">
        <v>131093</v>
      </c>
      <c r="Q333" s="84">
        <v>38590</v>
      </c>
      <c r="R333" s="32"/>
      <c r="S333" s="3" t="str">
        <f t="shared" si="142"/>
        <v>A</v>
      </c>
      <c r="T333" s="84">
        <v>116666</v>
      </c>
      <c r="U333" s="84">
        <v>34852</v>
      </c>
      <c r="V333" s="32"/>
      <c r="W333" s="3" t="str">
        <f t="shared" si="144"/>
        <v>A</v>
      </c>
      <c r="X333" s="84">
        <v>89609</v>
      </c>
      <c r="Y333" s="84">
        <v>26021</v>
      </c>
      <c r="Z333" s="32"/>
      <c r="AA333" s="3" t="str">
        <f t="shared" si="145"/>
        <v>A</v>
      </c>
      <c r="AB333" s="84">
        <v>104475</v>
      </c>
      <c r="AC333" s="84">
        <v>33015</v>
      </c>
      <c r="AD333" s="36"/>
      <c r="AE333" s="82"/>
      <c r="AF333" s="3" t="str">
        <f t="shared" si="146"/>
        <v>A</v>
      </c>
      <c r="AG333" s="84">
        <v>0</v>
      </c>
      <c r="AH333" s="84">
        <v>0</v>
      </c>
      <c r="AI333" s="39"/>
      <c r="AJ333" s="79" t="s">
        <v>1801</v>
      </c>
      <c r="AK333" s="39"/>
      <c r="AL333" s="4">
        <f t="shared" si="151"/>
        <v>441843</v>
      </c>
      <c r="AM333" s="4">
        <f t="shared" si="152"/>
        <v>132478</v>
      </c>
      <c r="AN333" s="4">
        <f t="shared" si="147"/>
        <v>574321</v>
      </c>
      <c r="AO333" s="39"/>
      <c r="AP333" s="8">
        <f t="shared" si="153"/>
        <v>0</v>
      </c>
      <c r="AQ333" s="8">
        <f t="shared" si="154"/>
        <v>0</v>
      </c>
      <c r="AR333" s="8">
        <f t="shared" si="148"/>
        <v>0</v>
      </c>
      <c r="AS333" s="42"/>
      <c r="AT333" s="84">
        <v>441843</v>
      </c>
      <c r="AU333" s="84">
        <v>132478</v>
      </c>
      <c r="AV333" s="4">
        <f t="shared" si="149"/>
        <v>574321</v>
      </c>
      <c r="AW333" s="50" t="str">
        <f t="shared" si="150"/>
        <v/>
      </c>
      <c r="AX333" s="1" t="s">
        <v>1639</v>
      </c>
      <c r="AY333" s="2" t="s">
        <v>1640</v>
      </c>
      <c r="AZ333" s="2">
        <v>116997.6</v>
      </c>
      <c r="BA333" s="73">
        <v>102372.9</v>
      </c>
      <c r="BB333" s="73">
        <v>102372.9</v>
      </c>
      <c r="BC333" s="73">
        <v>116997.6</v>
      </c>
      <c r="BD333" s="73"/>
      <c r="BE333" s="66">
        <v>0</v>
      </c>
      <c r="BF333" s="66">
        <v>0.02</v>
      </c>
      <c r="BG333" s="63">
        <v>44766</v>
      </c>
      <c r="BH333" s="2"/>
      <c r="BI333" s="2"/>
      <c r="BJ333" s="2"/>
      <c r="BK333" s="2"/>
      <c r="BL333" s="1" t="s">
        <v>56</v>
      </c>
    </row>
    <row r="334" spans="1:64" x14ac:dyDescent="0.25">
      <c r="A334" s="81" t="s">
        <v>574</v>
      </c>
      <c r="B334" s="82" t="s">
        <v>917</v>
      </c>
      <c r="C334" s="81" t="s">
        <v>918</v>
      </c>
      <c r="D334" s="16">
        <v>0</v>
      </c>
      <c r="E334" s="17"/>
      <c r="F334" s="2" t="s">
        <v>76</v>
      </c>
      <c r="G334" s="2" t="s">
        <v>78</v>
      </c>
      <c r="H334" s="10" t="s">
        <v>57</v>
      </c>
      <c r="I334" s="11" t="s">
        <v>77</v>
      </c>
      <c r="J334" s="11" t="s">
        <v>79</v>
      </c>
      <c r="K334" s="61" t="s">
        <v>80</v>
      </c>
      <c r="L334" s="11" t="s">
        <v>67</v>
      </c>
      <c r="M334" s="25"/>
      <c r="N334" s="82"/>
      <c r="O334" s="3" t="str">
        <f t="shared" si="143"/>
        <v>A</v>
      </c>
      <c r="P334" s="84">
        <v>7831</v>
      </c>
      <c r="Q334" s="84">
        <v>3336</v>
      </c>
      <c r="R334" s="32"/>
      <c r="S334" s="3" t="str">
        <f t="shared" si="142"/>
        <v>A</v>
      </c>
      <c r="T334" s="84">
        <v>6744</v>
      </c>
      <c r="U334" s="84">
        <v>3701</v>
      </c>
      <c r="V334" s="32"/>
      <c r="W334" s="3" t="str">
        <f t="shared" si="144"/>
        <v>A</v>
      </c>
      <c r="X334" s="84">
        <v>5540</v>
      </c>
      <c r="Y334" s="84">
        <v>2715</v>
      </c>
      <c r="Z334" s="32"/>
      <c r="AA334" s="3" t="str">
        <f t="shared" si="145"/>
        <v>A</v>
      </c>
      <c r="AB334" s="84">
        <v>6193</v>
      </c>
      <c r="AC334" s="84">
        <v>3218</v>
      </c>
      <c r="AD334" s="36"/>
      <c r="AE334" s="82"/>
      <c r="AF334" s="3" t="str">
        <f t="shared" si="146"/>
        <v>A</v>
      </c>
      <c r="AG334" s="84">
        <v>0</v>
      </c>
      <c r="AH334" s="84">
        <v>0</v>
      </c>
      <c r="AI334" s="39"/>
      <c r="AJ334" s="79" t="s">
        <v>1801</v>
      </c>
      <c r="AK334" s="39"/>
      <c r="AL334" s="4">
        <f t="shared" si="151"/>
        <v>26308</v>
      </c>
      <c r="AM334" s="4">
        <f t="shared" si="152"/>
        <v>12970</v>
      </c>
      <c r="AN334" s="4">
        <f t="shared" si="147"/>
        <v>39278</v>
      </c>
      <c r="AO334" s="39"/>
      <c r="AP334" s="8">
        <f t="shared" si="153"/>
        <v>0</v>
      </c>
      <c r="AQ334" s="8">
        <f t="shared" si="154"/>
        <v>0</v>
      </c>
      <c r="AR334" s="8">
        <f t="shared" si="148"/>
        <v>0</v>
      </c>
      <c r="AS334" s="42"/>
      <c r="AT334" s="84">
        <v>26308</v>
      </c>
      <c r="AU334" s="84">
        <v>12970</v>
      </c>
      <c r="AV334" s="4">
        <f t="shared" si="149"/>
        <v>39278</v>
      </c>
      <c r="AW334" s="50" t="str">
        <f t="shared" si="150"/>
        <v/>
      </c>
      <c r="AX334" s="1" t="s">
        <v>1639</v>
      </c>
      <c r="AY334" s="2" t="s">
        <v>1640</v>
      </c>
      <c r="AZ334" s="2">
        <v>0</v>
      </c>
      <c r="BA334" s="73">
        <v>0</v>
      </c>
      <c r="BB334" s="73">
        <v>0</v>
      </c>
      <c r="BC334" s="73">
        <v>0</v>
      </c>
      <c r="BD334" s="73"/>
      <c r="BE334" s="66">
        <v>0</v>
      </c>
      <c r="BF334" s="66">
        <v>0.02</v>
      </c>
      <c r="BG334" s="63">
        <v>44766</v>
      </c>
      <c r="BH334" s="2"/>
      <c r="BI334" s="2"/>
      <c r="BJ334" s="2"/>
      <c r="BK334" s="2"/>
      <c r="BL334" s="1" t="s">
        <v>56</v>
      </c>
    </row>
    <row r="335" spans="1:64" x14ac:dyDescent="0.25">
      <c r="A335" s="81" t="s">
        <v>576</v>
      </c>
      <c r="B335" s="82" t="s">
        <v>576</v>
      </c>
      <c r="C335" s="81" t="s">
        <v>577</v>
      </c>
      <c r="D335" s="16">
        <v>43125</v>
      </c>
      <c r="E335" s="17"/>
      <c r="F335" s="2" t="s">
        <v>109</v>
      </c>
      <c r="G335" s="2" t="s">
        <v>111</v>
      </c>
      <c r="H335" s="10" t="s">
        <v>98</v>
      </c>
      <c r="I335" s="11" t="s">
        <v>110</v>
      </c>
      <c r="J335" s="11" t="s">
        <v>286</v>
      </c>
      <c r="K335" s="61" t="s">
        <v>287</v>
      </c>
      <c r="L335" s="11" t="s">
        <v>67</v>
      </c>
      <c r="M335" s="25"/>
      <c r="N335" s="82"/>
      <c r="O335" s="3" t="str">
        <f t="shared" si="143"/>
        <v>A</v>
      </c>
      <c r="P335" s="84">
        <v>174080.5</v>
      </c>
      <c r="Q335" s="84">
        <v>18844</v>
      </c>
      <c r="R335" s="32"/>
      <c r="S335" s="3" t="str">
        <f t="shared" si="142"/>
        <v>A</v>
      </c>
      <c r="T335" s="84">
        <v>134810.09</v>
      </c>
      <c r="U335" s="84">
        <v>14062.92</v>
      </c>
      <c r="V335" s="32"/>
      <c r="W335" s="3" t="str">
        <f t="shared" si="144"/>
        <v>A</v>
      </c>
      <c r="X335" s="84">
        <v>125826.51</v>
      </c>
      <c r="Y335" s="84">
        <v>12731</v>
      </c>
      <c r="Z335" s="32"/>
      <c r="AA335" s="3" t="str">
        <f t="shared" si="145"/>
        <v>A</v>
      </c>
      <c r="AB335" s="84">
        <v>140853</v>
      </c>
      <c r="AC335" s="84">
        <v>13704</v>
      </c>
      <c r="AD335" s="36"/>
      <c r="AE335" s="82"/>
      <c r="AF335" s="3" t="str">
        <f t="shared" si="146"/>
        <v>A</v>
      </c>
      <c r="AG335" s="84">
        <v>0</v>
      </c>
      <c r="AH335" s="84">
        <v>0</v>
      </c>
      <c r="AI335" s="39"/>
      <c r="AJ335" s="79" t="s">
        <v>1801</v>
      </c>
      <c r="AK335" s="39"/>
      <c r="AL335" s="4">
        <f t="shared" si="151"/>
        <v>575570.1</v>
      </c>
      <c r="AM335" s="4">
        <f t="shared" si="152"/>
        <v>59341.919999999998</v>
      </c>
      <c r="AN335" s="4">
        <f t="shared" si="147"/>
        <v>634912.02</v>
      </c>
      <c r="AO335" s="39"/>
      <c r="AP335" s="8">
        <f t="shared" si="153"/>
        <v>0</v>
      </c>
      <c r="AQ335" s="8">
        <f t="shared" si="154"/>
        <v>0</v>
      </c>
      <c r="AR335" s="8">
        <f t="shared" si="148"/>
        <v>0</v>
      </c>
      <c r="AS335" s="42"/>
      <c r="AT335" s="84">
        <v>575570.1</v>
      </c>
      <c r="AU335" s="84">
        <v>59341.919999999998</v>
      </c>
      <c r="AV335" s="4">
        <f t="shared" si="149"/>
        <v>634912.02</v>
      </c>
      <c r="AW335" s="50" t="str">
        <f t="shared" si="150"/>
        <v/>
      </c>
      <c r="AX335" s="1" t="s">
        <v>1647</v>
      </c>
      <c r="AY335" s="2" t="s">
        <v>1640</v>
      </c>
      <c r="AZ335" s="2">
        <v>179607.36</v>
      </c>
      <c r="BA335" s="73">
        <v>157156.44</v>
      </c>
      <c r="BB335" s="73">
        <v>157156.44</v>
      </c>
      <c r="BC335" s="73">
        <v>179607.36</v>
      </c>
      <c r="BD335" s="73"/>
      <c r="BE335" s="66">
        <v>0</v>
      </c>
      <c r="BF335" s="66">
        <v>0.02</v>
      </c>
      <c r="BG335" s="63">
        <v>44831</v>
      </c>
      <c r="BH335" s="2"/>
      <c r="BI335" s="2"/>
      <c r="BJ335" s="2"/>
      <c r="BK335" s="2"/>
      <c r="BL335" s="1" t="s">
        <v>237</v>
      </c>
    </row>
    <row r="336" spans="1:64" x14ac:dyDescent="0.25">
      <c r="A336" s="81" t="s">
        <v>578</v>
      </c>
      <c r="B336" s="82" t="s">
        <v>578</v>
      </c>
      <c r="C336" s="81" t="s">
        <v>579</v>
      </c>
      <c r="D336" s="16">
        <v>43057</v>
      </c>
      <c r="E336" s="17"/>
      <c r="F336" s="2" t="s">
        <v>526</v>
      </c>
      <c r="G336" s="2" t="s">
        <v>527</v>
      </c>
      <c r="H336" s="10" t="s">
        <v>57</v>
      </c>
      <c r="I336" s="11" t="s">
        <v>53</v>
      </c>
      <c r="J336" s="11" t="s">
        <v>387</v>
      </c>
      <c r="K336" s="61"/>
      <c r="L336" s="11" t="s">
        <v>67</v>
      </c>
      <c r="M336" s="25"/>
      <c r="N336" s="82"/>
      <c r="O336" s="3" t="str">
        <f t="shared" si="143"/>
        <v>A</v>
      </c>
      <c r="P336" s="84">
        <v>122508</v>
      </c>
      <c r="Q336" s="84">
        <v>12385</v>
      </c>
      <c r="R336" s="32"/>
      <c r="S336" s="3" t="str">
        <f t="shared" si="142"/>
        <v>A</v>
      </c>
      <c r="T336" s="84">
        <v>103633</v>
      </c>
      <c r="U336" s="84">
        <v>9626</v>
      </c>
      <c r="V336" s="32"/>
      <c r="W336" s="3" t="str">
        <f t="shared" si="144"/>
        <v>A</v>
      </c>
      <c r="X336" s="84">
        <v>95262</v>
      </c>
      <c r="Y336" s="84">
        <v>10362</v>
      </c>
      <c r="Z336" s="32"/>
      <c r="AA336" s="3" t="str">
        <f t="shared" si="145"/>
        <v>A</v>
      </c>
      <c r="AB336" s="84">
        <v>103480</v>
      </c>
      <c r="AC336" s="84">
        <v>11197</v>
      </c>
      <c r="AD336" s="36"/>
      <c r="AE336" s="82"/>
      <c r="AF336" s="3" t="str">
        <f t="shared" si="146"/>
        <v>A</v>
      </c>
      <c r="AG336" s="84">
        <v>0</v>
      </c>
      <c r="AH336" s="84">
        <v>0</v>
      </c>
      <c r="AI336" s="39"/>
      <c r="AJ336" s="79" t="s">
        <v>1801</v>
      </c>
      <c r="AK336" s="39"/>
      <c r="AL336" s="4">
        <f t="shared" si="151"/>
        <v>424883</v>
      </c>
      <c r="AM336" s="4">
        <f t="shared" si="152"/>
        <v>43570</v>
      </c>
      <c r="AN336" s="4">
        <f t="shared" si="147"/>
        <v>468453</v>
      </c>
      <c r="AO336" s="39"/>
      <c r="AP336" s="8">
        <f t="shared" si="153"/>
        <v>0</v>
      </c>
      <c r="AQ336" s="8">
        <f t="shared" si="154"/>
        <v>0</v>
      </c>
      <c r="AR336" s="8">
        <f t="shared" si="148"/>
        <v>0</v>
      </c>
      <c r="AS336" s="42"/>
      <c r="AT336" s="84">
        <v>424883</v>
      </c>
      <c r="AU336" s="84">
        <v>43570</v>
      </c>
      <c r="AV336" s="4">
        <f t="shared" si="149"/>
        <v>468453</v>
      </c>
      <c r="AW336" s="50" t="str">
        <f t="shared" si="150"/>
        <v/>
      </c>
      <c r="AX336" s="1" t="s">
        <v>1721</v>
      </c>
      <c r="AY336" s="2" t="s">
        <v>1722</v>
      </c>
      <c r="AZ336" s="2">
        <v>110006</v>
      </c>
      <c r="BA336" s="73">
        <v>96255.25</v>
      </c>
      <c r="BB336" s="73">
        <v>96255.25</v>
      </c>
      <c r="BC336" s="73">
        <v>110006</v>
      </c>
      <c r="BD336" s="73"/>
      <c r="BE336" s="66">
        <v>0.04</v>
      </c>
      <c r="BF336" s="66">
        <v>0.05</v>
      </c>
      <c r="BG336" s="63">
        <v>44876</v>
      </c>
      <c r="BH336" s="74">
        <v>43918</v>
      </c>
      <c r="BI336" s="74">
        <v>43984</v>
      </c>
      <c r="BJ336" s="2"/>
      <c r="BK336" s="2"/>
      <c r="BL336" s="1" t="s">
        <v>56</v>
      </c>
    </row>
    <row r="337" spans="1:64" x14ac:dyDescent="0.25">
      <c r="A337" s="81" t="s">
        <v>580</v>
      </c>
      <c r="B337" s="82" t="s">
        <v>580</v>
      </c>
      <c r="C337" s="81" t="s">
        <v>581</v>
      </c>
      <c r="D337" s="16">
        <v>43084</v>
      </c>
      <c r="E337" s="17"/>
      <c r="F337" s="2" t="s">
        <v>582</v>
      </c>
      <c r="G337" s="2" t="s">
        <v>583</v>
      </c>
      <c r="H337" s="10" t="s">
        <v>98</v>
      </c>
      <c r="I337" s="11" t="s">
        <v>53</v>
      </c>
      <c r="J337" s="11" t="s">
        <v>224</v>
      </c>
      <c r="K337" s="61"/>
      <c r="L337" s="11" t="s">
        <v>67</v>
      </c>
      <c r="M337" s="25"/>
      <c r="N337" s="82"/>
      <c r="O337" s="3" t="str">
        <f t="shared" si="143"/>
        <v>A</v>
      </c>
      <c r="P337" s="84">
        <v>15538</v>
      </c>
      <c r="Q337" s="84">
        <v>1693</v>
      </c>
      <c r="R337" s="32"/>
      <c r="S337" s="3" t="str">
        <f t="shared" si="142"/>
        <v>E</v>
      </c>
      <c r="T337" s="84">
        <v>68671.960000000006</v>
      </c>
      <c r="U337" s="84">
        <v>5522.16</v>
      </c>
      <c r="V337" s="32"/>
      <c r="W337" s="3" t="str">
        <f t="shared" si="144"/>
        <v>E</v>
      </c>
      <c r="X337" s="84">
        <v>68671.960000000006</v>
      </c>
      <c r="Y337" s="84">
        <v>5522.16</v>
      </c>
      <c r="Z337" s="32"/>
      <c r="AA337" s="3" t="str">
        <f t="shared" si="145"/>
        <v>E</v>
      </c>
      <c r="AB337" s="84">
        <v>78482.240000000005</v>
      </c>
      <c r="AC337" s="84">
        <v>6311.04</v>
      </c>
      <c r="AD337" s="36"/>
      <c r="AE337" s="82"/>
      <c r="AF337" s="3" t="str">
        <f t="shared" si="146"/>
        <v>A</v>
      </c>
      <c r="AG337" s="84">
        <v>0</v>
      </c>
      <c r="AH337" s="84">
        <v>0</v>
      </c>
      <c r="AI337" s="39"/>
      <c r="AJ337" s="79" t="s">
        <v>38</v>
      </c>
      <c r="AK337" s="39"/>
      <c r="AL337" s="4">
        <f t="shared" si="151"/>
        <v>15538</v>
      </c>
      <c r="AM337" s="4">
        <f t="shared" si="152"/>
        <v>1693</v>
      </c>
      <c r="AN337" s="4">
        <f t="shared" si="147"/>
        <v>17231</v>
      </c>
      <c r="AO337" s="39"/>
      <c r="AP337" s="8">
        <f t="shared" si="153"/>
        <v>215826.16000000003</v>
      </c>
      <c r="AQ337" s="8">
        <f t="shared" si="154"/>
        <v>17355.36</v>
      </c>
      <c r="AR337" s="8">
        <f t="shared" si="148"/>
        <v>233181.52000000002</v>
      </c>
      <c r="AS337" s="42"/>
      <c r="AT337" s="84">
        <v>15538</v>
      </c>
      <c r="AU337" s="84">
        <v>1693</v>
      </c>
      <c r="AV337" s="4">
        <f t="shared" si="149"/>
        <v>17231</v>
      </c>
      <c r="AW337" s="50" t="str">
        <f t="shared" si="150"/>
        <v/>
      </c>
      <c r="AX337" s="1" t="s">
        <v>1726</v>
      </c>
      <c r="AY337" s="2" t="s">
        <v>1727</v>
      </c>
      <c r="AZ337" s="2">
        <v>78482.240000000005</v>
      </c>
      <c r="BA337" s="73">
        <v>68671.960000000006</v>
      </c>
      <c r="BB337" s="73">
        <v>68671.960000000006</v>
      </c>
      <c r="BC337" s="73">
        <v>78482.240000000005</v>
      </c>
      <c r="BD337" s="73"/>
      <c r="BE337" s="66">
        <v>0</v>
      </c>
      <c r="BF337" s="66">
        <v>0.05</v>
      </c>
      <c r="BG337" s="63">
        <v>44802</v>
      </c>
      <c r="BH337" s="2"/>
      <c r="BI337" s="2"/>
      <c r="BJ337" s="2"/>
      <c r="BK337" s="2"/>
      <c r="BL337" s="1" t="s">
        <v>97</v>
      </c>
    </row>
    <row r="338" spans="1:64" x14ac:dyDescent="0.25">
      <c r="A338" s="81" t="s">
        <v>584</v>
      </c>
      <c r="B338" s="82" t="s">
        <v>584</v>
      </c>
      <c r="C338" s="81" t="s">
        <v>585</v>
      </c>
      <c r="D338" s="16">
        <v>43203</v>
      </c>
      <c r="E338" s="17">
        <v>45824</v>
      </c>
      <c r="F338" s="2" t="s">
        <v>52</v>
      </c>
      <c r="G338" s="2" t="s">
        <v>55</v>
      </c>
      <c r="H338" s="10" t="s">
        <v>57</v>
      </c>
      <c r="I338" s="11" t="s">
        <v>54</v>
      </c>
      <c r="J338" s="11" t="s">
        <v>72</v>
      </c>
      <c r="K338" s="61" t="s">
        <v>73</v>
      </c>
      <c r="L338" s="11" t="s">
        <v>67</v>
      </c>
      <c r="M338" s="25"/>
      <c r="N338" s="82"/>
      <c r="O338" s="3" t="str">
        <f t="shared" si="143"/>
        <v>A</v>
      </c>
      <c r="P338" s="84">
        <v>36794</v>
      </c>
      <c r="Q338" s="84">
        <v>12207</v>
      </c>
      <c r="R338" s="32"/>
      <c r="S338" s="3" t="str">
        <f t="shared" si="142"/>
        <v>A</v>
      </c>
      <c r="T338" s="84">
        <v>24037</v>
      </c>
      <c r="U338" s="84">
        <v>5186</v>
      </c>
      <c r="V338" s="32"/>
      <c r="W338" s="3" t="str">
        <f t="shared" si="144"/>
        <v>A</v>
      </c>
      <c r="X338" s="84">
        <v>0</v>
      </c>
      <c r="Y338" s="84">
        <v>0</v>
      </c>
      <c r="Z338" s="32"/>
      <c r="AA338" s="3" t="str">
        <f t="shared" si="145"/>
        <v>A</v>
      </c>
      <c r="AB338" s="84">
        <v>0</v>
      </c>
      <c r="AC338" s="84">
        <v>0</v>
      </c>
      <c r="AD338" s="36"/>
      <c r="AE338" s="82"/>
      <c r="AF338" s="3" t="str">
        <f t="shared" si="146"/>
        <v>A</v>
      </c>
      <c r="AG338" s="84">
        <v>0</v>
      </c>
      <c r="AH338" s="84">
        <v>0</v>
      </c>
      <c r="AI338" s="39"/>
      <c r="AJ338" s="79" t="s">
        <v>1801</v>
      </c>
      <c r="AK338" s="39"/>
      <c r="AL338" s="4">
        <f t="shared" si="151"/>
        <v>60831</v>
      </c>
      <c r="AM338" s="4">
        <f t="shared" si="152"/>
        <v>17393</v>
      </c>
      <c r="AN338" s="4">
        <f t="shared" si="147"/>
        <v>78224</v>
      </c>
      <c r="AO338" s="39"/>
      <c r="AP338" s="8">
        <f t="shared" si="153"/>
        <v>0</v>
      </c>
      <c r="AQ338" s="8">
        <f t="shared" si="154"/>
        <v>0</v>
      </c>
      <c r="AR338" s="8">
        <f t="shared" si="148"/>
        <v>0</v>
      </c>
      <c r="AS338" s="42"/>
      <c r="AT338" s="84">
        <v>60831</v>
      </c>
      <c r="AU338" s="84">
        <v>17393</v>
      </c>
      <c r="AV338" s="4">
        <f t="shared" si="149"/>
        <v>78224</v>
      </c>
      <c r="AW338" s="50" t="str">
        <f t="shared" si="150"/>
        <v/>
      </c>
      <c r="AX338" s="1" t="s">
        <v>1639</v>
      </c>
      <c r="AY338" s="2" t="s">
        <v>1640</v>
      </c>
      <c r="AZ338" s="2">
        <v>100213.2</v>
      </c>
      <c r="BA338" s="73">
        <v>87686.55</v>
      </c>
      <c r="BB338" s="73"/>
      <c r="BC338" s="73"/>
      <c r="BD338" s="73"/>
      <c r="BE338" s="66">
        <v>0</v>
      </c>
      <c r="BF338" s="66">
        <v>0.02</v>
      </c>
      <c r="BG338" s="63">
        <v>44936</v>
      </c>
      <c r="BH338" s="2"/>
      <c r="BI338" s="2"/>
      <c r="BJ338" s="2"/>
      <c r="BK338" s="2"/>
      <c r="BL338" s="1" t="s">
        <v>56</v>
      </c>
    </row>
    <row r="339" spans="1:64" x14ac:dyDescent="0.25">
      <c r="A339" s="81" t="s">
        <v>589</v>
      </c>
      <c r="B339" s="82" t="s">
        <v>589</v>
      </c>
      <c r="C339" s="81" t="s">
        <v>590</v>
      </c>
      <c r="D339" s="16">
        <v>43200</v>
      </c>
      <c r="E339" s="17"/>
      <c r="F339" s="2" t="s">
        <v>171</v>
      </c>
      <c r="G339" s="2" t="s">
        <v>172</v>
      </c>
      <c r="H339" s="10" t="s">
        <v>105</v>
      </c>
      <c r="I339" s="11" t="s">
        <v>53</v>
      </c>
      <c r="J339" s="11" t="s">
        <v>145</v>
      </c>
      <c r="K339" s="61"/>
      <c r="L339" s="11" t="s">
        <v>67</v>
      </c>
      <c r="M339" s="25"/>
      <c r="N339" s="82"/>
      <c r="O339" s="3" t="str">
        <f t="shared" si="143"/>
        <v>A</v>
      </c>
      <c r="P339" s="84">
        <v>249010</v>
      </c>
      <c r="Q339" s="84">
        <v>61950</v>
      </c>
      <c r="R339" s="32"/>
      <c r="S339" s="3" t="str">
        <f t="shared" si="142"/>
        <v>A</v>
      </c>
      <c r="T339" s="84">
        <v>210130</v>
      </c>
      <c r="U339" s="84">
        <v>51454</v>
      </c>
      <c r="V339" s="32"/>
      <c r="W339" s="3" t="str">
        <f t="shared" si="144"/>
        <v>A</v>
      </c>
      <c r="X339" s="84">
        <v>211707</v>
      </c>
      <c r="Y339" s="84">
        <v>47491</v>
      </c>
      <c r="Z339" s="32"/>
      <c r="AA339" s="3" t="str">
        <f t="shared" si="145"/>
        <v>A</v>
      </c>
      <c r="AB339" s="84">
        <v>223123</v>
      </c>
      <c r="AC339" s="84">
        <v>50450</v>
      </c>
      <c r="AD339" s="36"/>
      <c r="AE339" s="82"/>
      <c r="AF339" s="3" t="str">
        <f t="shared" si="146"/>
        <v>A</v>
      </c>
      <c r="AG339" s="84">
        <v>0</v>
      </c>
      <c r="AH339" s="84">
        <v>0</v>
      </c>
      <c r="AI339" s="39"/>
      <c r="AJ339" s="79" t="s">
        <v>1801</v>
      </c>
      <c r="AK339" s="39"/>
      <c r="AL339" s="4">
        <f t="shared" si="151"/>
        <v>893970</v>
      </c>
      <c r="AM339" s="4">
        <f t="shared" si="152"/>
        <v>211345</v>
      </c>
      <c r="AN339" s="4">
        <f t="shared" si="147"/>
        <v>1105315</v>
      </c>
      <c r="AO339" s="39"/>
      <c r="AP339" s="8">
        <f t="shared" si="153"/>
        <v>0</v>
      </c>
      <c r="AQ339" s="8">
        <f t="shared" si="154"/>
        <v>0</v>
      </c>
      <c r="AR339" s="8">
        <f t="shared" si="148"/>
        <v>0</v>
      </c>
      <c r="AS339" s="42"/>
      <c r="AT339" s="84">
        <v>893970</v>
      </c>
      <c r="AU339" s="84">
        <v>211345</v>
      </c>
      <c r="AV339" s="4">
        <f t="shared" si="149"/>
        <v>1105315</v>
      </c>
      <c r="AW339" s="50" t="str">
        <f t="shared" si="150"/>
        <v/>
      </c>
      <c r="AX339" s="1" t="s">
        <v>1654</v>
      </c>
      <c r="AY339" s="2" t="s">
        <v>1655</v>
      </c>
      <c r="AZ339" s="2">
        <v>154818.07999999999</v>
      </c>
      <c r="BA339" s="73">
        <v>135465.82</v>
      </c>
      <c r="BB339" s="73">
        <v>135465.82</v>
      </c>
      <c r="BC339" s="73">
        <v>154818.07999999999</v>
      </c>
      <c r="BD339" s="73"/>
      <c r="BE339" s="66">
        <v>0.04</v>
      </c>
      <c r="BF339" s="66">
        <v>0.05</v>
      </c>
      <c r="BG339" s="63">
        <v>44991</v>
      </c>
      <c r="BH339" s="74">
        <v>43924</v>
      </c>
      <c r="BI339" s="74">
        <v>43928</v>
      </c>
      <c r="BJ339" s="2"/>
      <c r="BK339" s="2"/>
      <c r="BL339" s="1" t="s">
        <v>104</v>
      </c>
    </row>
    <row r="340" spans="1:64" x14ac:dyDescent="0.25">
      <c r="A340" s="81" t="s">
        <v>591</v>
      </c>
      <c r="B340" s="82" t="s">
        <v>591</v>
      </c>
      <c r="C340" s="81" t="s">
        <v>592</v>
      </c>
      <c r="D340" s="16">
        <v>43259</v>
      </c>
      <c r="E340" s="17"/>
      <c r="F340" s="2" t="s">
        <v>109</v>
      </c>
      <c r="G340" s="2" t="s">
        <v>111</v>
      </c>
      <c r="H340" s="10" t="s">
        <v>57</v>
      </c>
      <c r="I340" s="11" t="s">
        <v>110</v>
      </c>
      <c r="J340" s="11" t="s">
        <v>460</v>
      </c>
      <c r="K340" s="61" t="s">
        <v>461</v>
      </c>
      <c r="L340" s="11" t="s">
        <v>67</v>
      </c>
      <c r="M340" s="25"/>
      <c r="N340" s="82"/>
      <c r="O340" s="3" t="str">
        <f t="shared" si="143"/>
        <v>A</v>
      </c>
      <c r="P340" s="84">
        <v>108989.82999999999</v>
      </c>
      <c r="Q340" s="84">
        <v>21604.32</v>
      </c>
      <c r="R340" s="32"/>
      <c r="S340" s="3" t="str">
        <f t="shared" si="142"/>
        <v>A</v>
      </c>
      <c r="T340" s="84">
        <v>81188</v>
      </c>
      <c r="U340" s="84">
        <v>15968</v>
      </c>
      <c r="V340" s="32"/>
      <c r="W340" s="3" t="str">
        <f t="shared" si="144"/>
        <v>A</v>
      </c>
      <c r="X340" s="84">
        <v>88329.8</v>
      </c>
      <c r="Y340" s="84">
        <v>13738</v>
      </c>
      <c r="Z340" s="32"/>
      <c r="AA340" s="3" t="str">
        <f t="shared" si="145"/>
        <v>A</v>
      </c>
      <c r="AB340" s="84">
        <v>81642.789999999994</v>
      </c>
      <c r="AC340" s="84">
        <v>15637</v>
      </c>
      <c r="AD340" s="36"/>
      <c r="AE340" s="82"/>
      <c r="AF340" s="3" t="str">
        <f t="shared" si="146"/>
        <v>A</v>
      </c>
      <c r="AG340" s="84">
        <v>0</v>
      </c>
      <c r="AH340" s="84">
        <v>0</v>
      </c>
      <c r="AI340" s="39"/>
      <c r="AJ340" s="79" t="s">
        <v>1801</v>
      </c>
      <c r="AK340" s="39"/>
      <c r="AL340" s="4">
        <f t="shared" si="151"/>
        <v>360150.42</v>
      </c>
      <c r="AM340" s="4">
        <f t="shared" si="152"/>
        <v>66947.320000000007</v>
      </c>
      <c r="AN340" s="4">
        <f t="shared" si="147"/>
        <v>427097.74</v>
      </c>
      <c r="AO340" s="39"/>
      <c r="AP340" s="8">
        <f t="shared" si="153"/>
        <v>0</v>
      </c>
      <c r="AQ340" s="8">
        <f t="shared" si="154"/>
        <v>0</v>
      </c>
      <c r="AR340" s="8">
        <f t="shared" si="148"/>
        <v>0</v>
      </c>
      <c r="AS340" s="42"/>
      <c r="AT340" s="84">
        <v>360150.41999999993</v>
      </c>
      <c r="AU340" s="84">
        <v>66947.320000000007</v>
      </c>
      <c r="AV340" s="4">
        <f t="shared" si="149"/>
        <v>427097.73999999993</v>
      </c>
      <c r="AW340" s="50" t="str">
        <f t="shared" si="150"/>
        <v/>
      </c>
      <c r="AX340" s="1" t="s">
        <v>1647</v>
      </c>
      <c r="AY340" s="2" t="s">
        <v>1640</v>
      </c>
      <c r="AZ340" s="2">
        <v>95372.88</v>
      </c>
      <c r="BA340" s="73">
        <v>83451.27</v>
      </c>
      <c r="BB340" s="73">
        <v>83451.27</v>
      </c>
      <c r="BC340" s="73">
        <v>95372.88</v>
      </c>
      <c r="BD340" s="73"/>
      <c r="BE340" s="66">
        <v>0</v>
      </c>
      <c r="BF340" s="66">
        <v>0.02</v>
      </c>
      <c r="BG340" s="63">
        <v>44985</v>
      </c>
      <c r="BH340" s="2"/>
      <c r="BI340" s="2"/>
      <c r="BJ340" s="2"/>
      <c r="BK340" s="2"/>
      <c r="BL340" s="1" t="s">
        <v>56</v>
      </c>
    </row>
    <row r="341" spans="1:64" x14ac:dyDescent="0.25">
      <c r="A341" s="81" t="s">
        <v>593</v>
      </c>
      <c r="B341" s="82" t="s">
        <v>593</v>
      </c>
      <c r="C341" s="81" t="s">
        <v>594</v>
      </c>
      <c r="D341" s="16">
        <v>43279</v>
      </c>
      <c r="E341" s="17"/>
      <c r="F341" s="2" t="s">
        <v>243</v>
      </c>
      <c r="G341" s="2" t="s">
        <v>245</v>
      </c>
      <c r="H341" s="10" t="s">
        <v>105</v>
      </c>
      <c r="I341" s="11" t="s">
        <v>244</v>
      </c>
      <c r="J341" s="11" t="s">
        <v>573</v>
      </c>
      <c r="K341" s="61" t="s">
        <v>335</v>
      </c>
      <c r="L341" s="11" t="s">
        <v>67</v>
      </c>
      <c r="M341" s="25"/>
      <c r="N341" s="82"/>
      <c r="O341" s="3" t="str">
        <f t="shared" si="143"/>
        <v>A</v>
      </c>
      <c r="P341" s="84">
        <v>194552</v>
      </c>
      <c r="Q341" s="84">
        <v>27877</v>
      </c>
      <c r="R341" s="32"/>
      <c r="S341" s="3" t="str">
        <f t="shared" si="142"/>
        <v>A</v>
      </c>
      <c r="T341" s="84">
        <v>169596</v>
      </c>
      <c r="U341" s="84">
        <v>25694</v>
      </c>
      <c r="V341" s="32"/>
      <c r="W341" s="3" t="str">
        <f t="shared" si="144"/>
        <v>A</v>
      </c>
      <c r="X341" s="84">
        <v>145541</v>
      </c>
      <c r="Y341" s="84">
        <v>18938</v>
      </c>
      <c r="Z341" s="32"/>
      <c r="AA341" s="3" t="str">
        <f t="shared" si="145"/>
        <v>A</v>
      </c>
      <c r="AB341" s="84">
        <v>171553</v>
      </c>
      <c r="AC341" s="84">
        <v>23676</v>
      </c>
      <c r="AD341" s="36"/>
      <c r="AE341" s="82"/>
      <c r="AF341" s="3" t="str">
        <f t="shared" si="146"/>
        <v>A</v>
      </c>
      <c r="AG341" s="84">
        <v>0</v>
      </c>
      <c r="AH341" s="84">
        <v>0</v>
      </c>
      <c r="AI341" s="39"/>
      <c r="AJ341" s="79" t="s">
        <v>1801</v>
      </c>
      <c r="AK341" s="39"/>
      <c r="AL341" s="4">
        <f t="shared" si="151"/>
        <v>681242</v>
      </c>
      <c r="AM341" s="4">
        <f t="shared" si="152"/>
        <v>96185</v>
      </c>
      <c r="AN341" s="4">
        <f t="shared" si="147"/>
        <v>777427</v>
      </c>
      <c r="AO341" s="39"/>
      <c r="AP341" s="8">
        <f t="shared" si="153"/>
        <v>0</v>
      </c>
      <c r="AQ341" s="8">
        <f t="shared" si="154"/>
        <v>0</v>
      </c>
      <c r="AR341" s="8">
        <f t="shared" si="148"/>
        <v>0</v>
      </c>
      <c r="AS341" s="42"/>
      <c r="AT341" s="84">
        <v>681242</v>
      </c>
      <c r="AU341" s="84">
        <v>96185</v>
      </c>
      <c r="AV341" s="4">
        <f t="shared" si="149"/>
        <v>777427</v>
      </c>
      <c r="AW341" s="50" t="str">
        <f t="shared" si="150"/>
        <v/>
      </c>
      <c r="AX341" s="1" t="s">
        <v>1639</v>
      </c>
      <c r="AY341" s="2" t="s">
        <v>1640</v>
      </c>
      <c r="AZ341" s="2">
        <v>210580.16</v>
      </c>
      <c r="BA341" s="73">
        <v>184257.64</v>
      </c>
      <c r="BB341" s="73">
        <v>184257.64</v>
      </c>
      <c r="BC341" s="73">
        <v>210580.16</v>
      </c>
      <c r="BD341" s="73"/>
      <c r="BE341" s="66">
        <v>0</v>
      </c>
      <c r="BF341" s="66">
        <v>0.02</v>
      </c>
      <c r="BG341" s="63">
        <v>44951</v>
      </c>
      <c r="BH341" s="2"/>
      <c r="BI341" s="2"/>
      <c r="BJ341" s="2"/>
      <c r="BK341" s="2"/>
      <c r="BL341" s="1" t="s">
        <v>219</v>
      </c>
    </row>
    <row r="342" spans="1:64" x14ac:dyDescent="0.25">
      <c r="A342" s="81" t="s">
        <v>593</v>
      </c>
      <c r="B342" s="82" t="s">
        <v>880</v>
      </c>
      <c r="C342" s="81" t="s">
        <v>881</v>
      </c>
      <c r="D342" s="16">
        <v>0</v>
      </c>
      <c r="E342" s="17"/>
      <c r="F342" s="2" t="s">
        <v>243</v>
      </c>
      <c r="G342" s="2" t="s">
        <v>245</v>
      </c>
      <c r="H342" s="10" t="s">
        <v>105</v>
      </c>
      <c r="I342" s="11" t="s">
        <v>244</v>
      </c>
      <c r="J342" s="11" t="s">
        <v>573</v>
      </c>
      <c r="K342" s="61" t="s">
        <v>335</v>
      </c>
      <c r="L342" s="11" t="s">
        <v>67</v>
      </c>
      <c r="M342" s="25"/>
      <c r="N342" s="82"/>
      <c r="O342" s="3" t="str">
        <f t="shared" si="143"/>
        <v>A</v>
      </c>
      <c r="P342" s="84">
        <v>70687</v>
      </c>
      <c r="Q342" s="84">
        <v>16899</v>
      </c>
      <c r="R342" s="32"/>
      <c r="S342" s="3" t="str">
        <f t="shared" si="142"/>
        <v>A</v>
      </c>
      <c r="T342" s="84">
        <v>60078</v>
      </c>
      <c r="U342" s="84">
        <v>11873</v>
      </c>
      <c r="V342" s="32"/>
      <c r="W342" s="3" t="str">
        <f t="shared" si="144"/>
        <v>A</v>
      </c>
      <c r="X342" s="84">
        <v>55882</v>
      </c>
      <c r="Y342" s="84">
        <v>12214</v>
      </c>
      <c r="Z342" s="32"/>
      <c r="AA342" s="3" t="str">
        <f t="shared" si="145"/>
        <v>A</v>
      </c>
      <c r="AB342" s="84">
        <v>64135</v>
      </c>
      <c r="AC342" s="84">
        <v>11703</v>
      </c>
      <c r="AD342" s="36"/>
      <c r="AE342" s="82"/>
      <c r="AF342" s="3" t="str">
        <f t="shared" si="146"/>
        <v>A</v>
      </c>
      <c r="AG342" s="84">
        <v>0</v>
      </c>
      <c r="AH342" s="84">
        <v>0</v>
      </c>
      <c r="AI342" s="39"/>
      <c r="AJ342" s="79" t="s">
        <v>1801</v>
      </c>
      <c r="AK342" s="39"/>
      <c r="AL342" s="4">
        <f t="shared" si="151"/>
        <v>250782</v>
      </c>
      <c r="AM342" s="4">
        <f t="shared" si="152"/>
        <v>52689</v>
      </c>
      <c r="AN342" s="4">
        <f t="shared" si="147"/>
        <v>303471</v>
      </c>
      <c r="AO342" s="39"/>
      <c r="AP342" s="8">
        <f t="shared" si="153"/>
        <v>0</v>
      </c>
      <c r="AQ342" s="8">
        <f t="shared" si="154"/>
        <v>0</v>
      </c>
      <c r="AR342" s="8">
        <f t="shared" si="148"/>
        <v>0</v>
      </c>
      <c r="AS342" s="42"/>
      <c r="AT342" s="84">
        <v>250782</v>
      </c>
      <c r="AU342" s="84">
        <v>52689</v>
      </c>
      <c r="AV342" s="4">
        <f t="shared" si="149"/>
        <v>303471</v>
      </c>
      <c r="AW342" s="50" t="str">
        <f t="shared" si="150"/>
        <v/>
      </c>
      <c r="AX342" s="1" t="s">
        <v>1639</v>
      </c>
      <c r="AY342" s="2" t="s">
        <v>1640</v>
      </c>
      <c r="AZ342" s="2">
        <v>172508.48</v>
      </c>
      <c r="BA342" s="73">
        <v>150944.92000000001</v>
      </c>
      <c r="BB342" s="73">
        <v>150944.92000000001</v>
      </c>
      <c r="BC342" s="73">
        <v>172508.48</v>
      </c>
      <c r="BD342" s="73"/>
      <c r="BE342" s="66">
        <v>0</v>
      </c>
      <c r="BF342" s="66">
        <v>0.02</v>
      </c>
      <c r="BG342" s="63">
        <v>44951</v>
      </c>
      <c r="BH342" s="2"/>
      <c r="BI342" s="2"/>
      <c r="BJ342" s="2"/>
      <c r="BK342" s="2"/>
      <c r="BL342" s="1" t="s">
        <v>219</v>
      </c>
    </row>
    <row r="343" spans="1:64" x14ac:dyDescent="0.25">
      <c r="A343" s="81" t="s">
        <v>595</v>
      </c>
      <c r="B343" s="82" t="s">
        <v>595</v>
      </c>
      <c r="C343" s="81" t="s">
        <v>596</v>
      </c>
      <c r="D343" s="16">
        <v>0</v>
      </c>
      <c r="E343" s="17"/>
      <c r="F343" s="2" t="s">
        <v>109</v>
      </c>
      <c r="G343" s="2" t="s">
        <v>111</v>
      </c>
      <c r="H343" s="10" t="s">
        <v>57</v>
      </c>
      <c r="I343" s="11" t="s">
        <v>110</v>
      </c>
      <c r="J343" s="11" t="s">
        <v>460</v>
      </c>
      <c r="K343" s="61" t="s">
        <v>461</v>
      </c>
      <c r="L343" s="11" t="s">
        <v>67</v>
      </c>
      <c r="M343" s="25"/>
      <c r="N343" s="82"/>
      <c r="O343" s="3" t="str">
        <f t="shared" si="143"/>
        <v>A</v>
      </c>
      <c r="P343" s="84">
        <v>45278</v>
      </c>
      <c r="Q343" s="84">
        <v>7716</v>
      </c>
      <c r="R343" s="32"/>
      <c r="S343" s="3" t="str">
        <f t="shared" ref="S343:S374" si="155">IF($A343="","",IF(T343=0,"A",IF(T343=BA343,"E","A")))</f>
        <v>A</v>
      </c>
      <c r="T343" s="84">
        <v>46246</v>
      </c>
      <c r="U343" s="84">
        <v>8003</v>
      </c>
      <c r="V343" s="32"/>
      <c r="W343" s="3" t="str">
        <f t="shared" si="144"/>
        <v>A</v>
      </c>
      <c r="X343" s="84">
        <v>34801</v>
      </c>
      <c r="Y343" s="84">
        <v>7376</v>
      </c>
      <c r="Z343" s="32"/>
      <c r="AA343" s="3" t="str">
        <f t="shared" si="145"/>
        <v>A</v>
      </c>
      <c r="AB343" s="84">
        <v>40614</v>
      </c>
      <c r="AC343" s="84">
        <v>8518</v>
      </c>
      <c r="AD343" s="36"/>
      <c r="AE343" s="82"/>
      <c r="AF343" s="3" t="str">
        <f t="shared" si="146"/>
        <v>A</v>
      </c>
      <c r="AG343" s="84">
        <v>0</v>
      </c>
      <c r="AH343" s="84">
        <v>0</v>
      </c>
      <c r="AI343" s="39"/>
      <c r="AJ343" s="79" t="s">
        <v>1801</v>
      </c>
      <c r="AK343" s="39"/>
      <c r="AL343" s="4">
        <f t="shared" si="151"/>
        <v>166939</v>
      </c>
      <c r="AM343" s="4">
        <f t="shared" si="152"/>
        <v>31613</v>
      </c>
      <c r="AN343" s="4">
        <f t="shared" si="147"/>
        <v>198552</v>
      </c>
      <c r="AO343" s="39"/>
      <c r="AP343" s="8">
        <f t="shared" si="153"/>
        <v>0</v>
      </c>
      <c r="AQ343" s="8">
        <f t="shared" si="154"/>
        <v>0</v>
      </c>
      <c r="AR343" s="8">
        <f t="shared" si="148"/>
        <v>0</v>
      </c>
      <c r="AS343" s="42"/>
      <c r="AT343" s="84">
        <v>166939</v>
      </c>
      <c r="AU343" s="84">
        <v>31613</v>
      </c>
      <c r="AV343" s="4">
        <f t="shared" si="149"/>
        <v>198552</v>
      </c>
      <c r="AW343" s="50" t="str">
        <f t="shared" si="150"/>
        <v/>
      </c>
      <c r="AX343" s="1" t="s">
        <v>1647</v>
      </c>
      <c r="AY343" s="2" t="s">
        <v>1640</v>
      </c>
      <c r="AZ343" s="2">
        <v>50683.44</v>
      </c>
      <c r="BA343" s="73">
        <v>44348.01</v>
      </c>
      <c r="BB343" s="73">
        <v>44348.01</v>
      </c>
      <c r="BC343" s="73">
        <v>50683.44</v>
      </c>
      <c r="BD343" s="73"/>
      <c r="BE343" s="66">
        <v>0</v>
      </c>
      <c r="BF343" s="66">
        <v>0.02</v>
      </c>
      <c r="BG343" s="63">
        <v>45209</v>
      </c>
      <c r="BH343" s="74">
        <v>44145</v>
      </c>
      <c r="BI343" s="74">
        <v>44291</v>
      </c>
      <c r="BJ343" s="2"/>
      <c r="BK343" s="2"/>
      <c r="BL343" s="1" t="s">
        <v>56</v>
      </c>
    </row>
    <row r="344" spans="1:64" x14ac:dyDescent="0.25">
      <c r="A344" s="81" t="s">
        <v>597</v>
      </c>
      <c r="B344" s="82" t="s">
        <v>597</v>
      </c>
      <c r="C344" s="81" t="s">
        <v>598</v>
      </c>
      <c r="D344" s="16">
        <v>0</v>
      </c>
      <c r="E344" s="17"/>
      <c r="F344" s="2" t="s">
        <v>109</v>
      </c>
      <c r="G344" s="2" t="s">
        <v>111</v>
      </c>
      <c r="H344" s="10" t="s">
        <v>57</v>
      </c>
      <c r="I344" s="11" t="s">
        <v>110</v>
      </c>
      <c r="J344" s="11" t="s">
        <v>460</v>
      </c>
      <c r="K344" s="61" t="s">
        <v>461</v>
      </c>
      <c r="L344" s="11" t="s">
        <v>67</v>
      </c>
      <c r="M344" s="25"/>
      <c r="N344" s="82"/>
      <c r="O344" s="3" t="str">
        <f t="shared" si="143"/>
        <v>A</v>
      </c>
      <c r="P344" s="84">
        <v>40591.9</v>
      </c>
      <c r="Q344" s="84">
        <v>12633</v>
      </c>
      <c r="R344" s="32"/>
      <c r="S344" s="3" t="str">
        <f t="shared" si="155"/>
        <v>A</v>
      </c>
      <c r="T344" s="84">
        <v>37263</v>
      </c>
      <c r="U344" s="84">
        <v>17650</v>
      </c>
      <c r="V344" s="32"/>
      <c r="W344" s="3" t="str">
        <f t="shared" si="144"/>
        <v>A</v>
      </c>
      <c r="X344" s="84">
        <v>39156.1</v>
      </c>
      <c r="Y344" s="84">
        <v>13791</v>
      </c>
      <c r="Z344" s="32"/>
      <c r="AA344" s="3" t="str">
        <f t="shared" si="145"/>
        <v>A</v>
      </c>
      <c r="AB344" s="84">
        <v>49367.200000000004</v>
      </c>
      <c r="AC344" s="84">
        <v>16709</v>
      </c>
      <c r="AD344" s="36"/>
      <c r="AE344" s="82"/>
      <c r="AF344" s="3" t="str">
        <f t="shared" si="146"/>
        <v>A</v>
      </c>
      <c r="AG344" s="84">
        <v>0</v>
      </c>
      <c r="AH344" s="84">
        <v>0</v>
      </c>
      <c r="AI344" s="39"/>
      <c r="AJ344" s="79" t="s">
        <v>1801</v>
      </c>
      <c r="AK344" s="39"/>
      <c r="AL344" s="4">
        <f t="shared" si="151"/>
        <v>166378.20000000001</v>
      </c>
      <c r="AM344" s="4">
        <f t="shared" si="152"/>
        <v>60783</v>
      </c>
      <c r="AN344" s="4">
        <f t="shared" si="147"/>
        <v>227161.2</v>
      </c>
      <c r="AO344" s="39"/>
      <c r="AP344" s="8">
        <f t="shared" si="153"/>
        <v>0</v>
      </c>
      <c r="AQ344" s="8">
        <f t="shared" si="154"/>
        <v>0</v>
      </c>
      <c r="AR344" s="8">
        <f t="shared" si="148"/>
        <v>0</v>
      </c>
      <c r="AS344" s="42"/>
      <c r="AT344" s="84">
        <v>166378.19999999998</v>
      </c>
      <c r="AU344" s="84">
        <v>60783</v>
      </c>
      <c r="AV344" s="4">
        <f t="shared" si="149"/>
        <v>227161.19999999998</v>
      </c>
      <c r="AW344" s="50" t="str">
        <f t="shared" si="150"/>
        <v/>
      </c>
      <c r="AX344" s="1" t="s">
        <v>1647</v>
      </c>
      <c r="AY344" s="2" t="s">
        <v>1640</v>
      </c>
      <c r="AZ344" s="2">
        <v>84303.84</v>
      </c>
      <c r="BA344" s="73">
        <v>73765.86</v>
      </c>
      <c r="BB344" s="73">
        <v>73765.86</v>
      </c>
      <c r="BC344" s="73">
        <v>84303.84</v>
      </c>
      <c r="BD344" s="73"/>
      <c r="BE344" s="66">
        <v>0</v>
      </c>
      <c r="BF344" s="66">
        <v>0.02</v>
      </c>
      <c r="BG344" s="63">
        <v>45198</v>
      </c>
      <c r="BH344" s="74">
        <v>44452</v>
      </c>
      <c r="BI344" s="74">
        <v>44455</v>
      </c>
      <c r="BJ344" s="2"/>
      <c r="BK344" s="2"/>
      <c r="BL344" s="1" t="s">
        <v>56</v>
      </c>
    </row>
    <row r="345" spans="1:64" x14ac:dyDescent="0.25">
      <c r="A345" s="81" t="s">
        <v>599</v>
      </c>
      <c r="B345" s="82" t="s">
        <v>599</v>
      </c>
      <c r="C345" s="81" t="s">
        <v>600</v>
      </c>
      <c r="D345" s="16">
        <v>43346</v>
      </c>
      <c r="E345" s="17"/>
      <c r="F345" s="2" t="s">
        <v>243</v>
      </c>
      <c r="G345" s="2" t="s">
        <v>245</v>
      </c>
      <c r="H345" s="10" t="s">
        <v>105</v>
      </c>
      <c r="I345" s="11" t="s">
        <v>244</v>
      </c>
      <c r="J345" s="11" t="s">
        <v>451</v>
      </c>
      <c r="K345" s="61" t="s">
        <v>335</v>
      </c>
      <c r="L345" s="11" t="s">
        <v>67</v>
      </c>
      <c r="M345" s="25"/>
      <c r="N345" s="82"/>
      <c r="O345" s="3" t="str">
        <f t="shared" si="143"/>
        <v>A</v>
      </c>
      <c r="P345" s="84">
        <v>139399</v>
      </c>
      <c r="Q345" s="84">
        <v>17513</v>
      </c>
      <c r="R345" s="32"/>
      <c r="S345" s="3" t="str">
        <f t="shared" si="155"/>
        <v>A</v>
      </c>
      <c r="T345" s="84">
        <v>123031</v>
      </c>
      <c r="U345" s="84">
        <v>16485</v>
      </c>
      <c r="V345" s="32"/>
      <c r="W345" s="3" t="str">
        <f t="shared" si="144"/>
        <v>A</v>
      </c>
      <c r="X345" s="84">
        <v>116015</v>
      </c>
      <c r="Y345" s="84">
        <v>10866</v>
      </c>
      <c r="Z345" s="32"/>
      <c r="AA345" s="3" t="str">
        <f t="shared" si="145"/>
        <v>A</v>
      </c>
      <c r="AB345" s="84">
        <v>115495</v>
      </c>
      <c r="AC345" s="84">
        <v>12279</v>
      </c>
      <c r="AD345" s="36"/>
      <c r="AE345" s="82"/>
      <c r="AF345" s="3" t="str">
        <f t="shared" si="146"/>
        <v>A</v>
      </c>
      <c r="AG345" s="84">
        <v>0</v>
      </c>
      <c r="AH345" s="84">
        <v>0</v>
      </c>
      <c r="AI345" s="39"/>
      <c r="AJ345" s="79" t="s">
        <v>1801</v>
      </c>
      <c r="AK345" s="39"/>
      <c r="AL345" s="4">
        <f t="shared" si="151"/>
        <v>493940</v>
      </c>
      <c r="AM345" s="4">
        <f t="shared" si="152"/>
        <v>57143</v>
      </c>
      <c r="AN345" s="4">
        <f t="shared" si="147"/>
        <v>551083</v>
      </c>
      <c r="AO345" s="39"/>
      <c r="AP345" s="8">
        <f t="shared" si="153"/>
        <v>0</v>
      </c>
      <c r="AQ345" s="8">
        <f t="shared" si="154"/>
        <v>0</v>
      </c>
      <c r="AR345" s="8">
        <f t="shared" si="148"/>
        <v>0</v>
      </c>
      <c r="AS345" s="42"/>
      <c r="AT345" s="84">
        <v>493940</v>
      </c>
      <c r="AU345" s="84">
        <v>57143</v>
      </c>
      <c r="AV345" s="4">
        <f t="shared" si="149"/>
        <v>551083</v>
      </c>
      <c r="AW345" s="50" t="str">
        <f t="shared" si="150"/>
        <v/>
      </c>
      <c r="AX345" s="1" t="s">
        <v>1639</v>
      </c>
      <c r="AY345" s="2" t="s">
        <v>1640</v>
      </c>
      <c r="AZ345" s="2">
        <v>129949.6</v>
      </c>
      <c r="BA345" s="73">
        <v>113705.9</v>
      </c>
      <c r="BB345" s="73">
        <v>113705.9</v>
      </c>
      <c r="BC345" s="73">
        <v>129949.6</v>
      </c>
      <c r="BD345" s="73"/>
      <c r="BE345" s="66">
        <v>0</v>
      </c>
      <c r="BF345" s="66">
        <v>0.02</v>
      </c>
      <c r="BG345" s="63">
        <v>45075</v>
      </c>
      <c r="BH345" s="74">
        <v>44840</v>
      </c>
      <c r="BI345" s="74">
        <v>44868</v>
      </c>
      <c r="BJ345" s="2"/>
      <c r="BK345" s="2"/>
      <c r="BL345" s="1" t="s">
        <v>219</v>
      </c>
    </row>
    <row r="346" spans="1:64" x14ac:dyDescent="0.25">
      <c r="A346" s="81" t="s">
        <v>601</v>
      </c>
      <c r="B346" s="82" t="s">
        <v>601</v>
      </c>
      <c r="C346" s="81" t="s">
        <v>602</v>
      </c>
      <c r="D346" s="16">
        <v>43228</v>
      </c>
      <c r="E346" s="17"/>
      <c r="F346" s="2" t="s">
        <v>187</v>
      </c>
      <c r="G346" s="2" t="s">
        <v>189</v>
      </c>
      <c r="H346" s="10" t="s">
        <v>57</v>
      </c>
      <c r="I346" s="11" t="s">
        <v>188</v>
      </c>
      <c r="J346" s="11" t="s">
        <v>338</v>
      </c>
      <c r="K346" s="61" t="s">
        <v>339</v>
      </c>
      <c r="L346" s="11" t="s">
        <v>67</v>
      </c>
      <c r="M346" s="25"/>
      <c r="N346" s="82"/>
      <c r="O346" s="3" t="str">
        <f t="shared" si="143"/>
        <v>A</v>
      </c>
      <c r="P346" s="84">
        <v>108308.98999999999</v>
      </c>
      <c r="Q346" s="84">
        <v>40498</v>
      </c>
      <c r="R346" s="32"/>
      <c r="S346" s="3" t="str">
        <f t="shared" si="155"/>
        <v>A</v>
      </c>
      <c r="T346" s="84">
        <v>90246.23</v>
      </c>
      <c r="U346" s="84">
        <v>32071.02</v>
      </c>
      <c r="V346" s="32"/>
      <c r="W346" s="3" t="str">
        <f t="shared" si="144"/>
        <v>A</v>
      </c>
      <c r="X346" s="84">
        <v>74333.25</v>
      </c>
      <c r="Y346" s="84">
        <v>26995</v>
      </c>
      <c r="Z346" s="32"/>
      <c r="AA346" s="3" t="str">
        <f t="shared" si="145"/>
        <v>A</v>
      </c>
      <c r="AB346" s="84">
        <v>85847</v>
      </c>
      <c r="AC346" s="84">
        <v>26528</v>
      </c>
      <c r="AD346" s="36"/>
      <c r="AE346" s="82"/>
      <c r="AF346" s="3" t="str">
        <f t="shared" si="146"/>
        <v>A</v>
      </c>
      <c r="AG346" s="84">
        <v>0</v>
      </c>
      <c r="AH346" s="84">
        <v>0</v>
      </c>
      <c r="AI346" s="39"/>
      <c r="AJ346" s="79" t="s">
        <v>1801</v>
      </c>
      <c r="AK346" s="39"/>
      <c r="AL346" s="4">
        <f t="shared" si="151"/>
        <v>358735.47</v>
      </c>
      <c r="AM346" s="4">
        <f t="shared" si="152"/>
        <v>126092.02</v>
      </c>
      <c r="AN346" s="4">
        <f t="shared" si="147"/>
        <v>484827.49</v>
      </c>
      <c r="AO346" s="39"/>
      <c r="AP346" s="8">
        <f t="shared" si="153"/>
        <v>0</v>
      </c>
      <c r="AQ346" s="8">
        <f t="shared" si="154"/>
        <v>0</v>
      </c>
      <c r="AR346" s="8">
        <f t="shared" si="148"/>
        <v>0</v>
      </c>
      <c r="AS346" s="42"/>
      <c r="AT346" s="84">
        <v>358735.47</v>
      </c>
      <c r="AU346" s="84">
        <v>126092.02</v>
      </c>
      <c r="AV346" s="4">
        <f t="shared" si="149"/>
        <v>484827.49</v>
      </c>
      <c r="AW346" s="50" t="str">
        <f t="shared" si="150"/>
        <v/>
      </c>
      <c r="AX346" s="1" t="s">
        <v>1639</v>
      </c>
      <c r="AY346" s="2" t="s">
        <v>1640</v>
      </c>
      <c r="AZ346" s="2">
        <v>68412.320000000007</v>
      </c>
      <c r="BA346" s="73">
        <v>59860.78</v>
      </c>
      <c r="BB346" s="73">
        <v>59860.78</v>
      </c>
      <c r="BC346" s="73">
        <v>68412.320000000007</v>
      </c>
      <c r="BD346" s="73"/>
      <c r="BE346" s="66">
        <v>0</v>
      </c>
      <c r="BF346" s="66">
        <v>0.02</v>
      </c>
      <c r="BG346" s="63">
        <v>45051</v>
      </c>
      <c r="BH346" s="2"/>
      <c r="BI346" s="2"/>
      <c r="BJ346" s="2"/>
      <c r="BK346" s="2"/>
      <c r="BL346" s="1" t="s">
        <v>56</v>
      </c>
    </row>
    <row r="347" spans="1:64" x14ac:dyDescent="0.25">
      <c r="A347" s="81" t="s">
        <v>601</v>
      </c>
      <c r="B347" s="82" t="s">
        <v>813</v>
      </c>
      <c r="C347" s="81" t="s">
        <v>814</v>
      </c>
      <c r="D347" s="16">
        <v>40872</v>
      </c>
      <c r="E347" s="17"/>
      <c r="F347" s="2" t="s">
        <v>187</v>
      </c>
      <c r="G347" s="2" t="s">
        <v>189</v>
      </c>
      <c r="H347" s="10" t="s">
        <v>57</v>
      </c>
      <c r="I347" s="11" t="s">
        <v>188</v>
      </c>
      <c r="J347" s="11" t="s">
        <v>338</v>
      </c>
      <c r="K347" s="61" t="s">
        <v>339</v>
      </c>
      <c r="L347" s="11" t="s">
        <v>67</v>
      </c>
      <c r="M347" s="25"/>
      <c r="N347" s="82"/>
      <c r="O347" s="3" t="str">
        <f t="shared" si="143"/>
        <v>A</v>
      </c>
      <c r="P347" s="84">
        <v>72997</v>
      </c>
      <c r="Q347" s="84">
        <v>32503</v>
      </c>
      <c r="R347" s="32"/>
      <c r="S347" s="3" t="str">
        <f t="shared" si="155"/>
        <v>A</v>
      </c>
      <c r="T347" s="84">
        <v>55626</v>
      </c>
      <c r="U347" s="84">
        <v>29617</v>
      </c>
      <c r="V347" s="32"/>
      <c r="W347" s="3" t="str">
        <f t="shared" si="144"/>
        <v>A</v>
      </c>
      <c r="X347" s="84">
        <v>46059</v>
      </c>
      <c r="Y347" s="84">
        <v>29149</v>
      </c>
      <c r="Z347" s="32"/>
      <c r="AA347" s="3" t="str">
        <f t="shared" si="145"/>
        <v>A</v>
      </c>
      <c r="AB347" s="84">
        <v>57619</v>
      </c>
      <c r="AC347" s="84">
        <v>30071</v>
      </c>
      <c r="AD347" s="36"/>
      <c r="AE347" s="82"/>
      <c r="AF347" s="3" t="str">
        <f t="shared" si="146"/>
        <v>A</v>
      </c>
      <c r="AG347" s="84">
        <v>0</v>
      </c>
      <c r="AH347" s="84">
        <v>0</v>
      </c>
      <c r="AI347" s="39"/>
      <c r="AJ347" s="79" t="s">
        <v>1801</v>
      </c>
      <c r="AK347" s="39"/>
      <c r="AL347" s="4">
        <f t="shared" si="151"/>
        <v>232301</v>
      </c>
      <c r="AM347" s="4">
        <f t="shared" si="152"/>
        <v>121340</v>
      </c>
      <c r="AN347" s="4">
        <f t="shared" si="147"/>
        <v>353641</v>
      </c>
      <c r="AO347" s="39"/>
      <c r="AP347" s="8">
        <f t="shared" si="153"/>
        <v>0</v>
      </c>
      <c r="AQ347" s="8">
        <f t="shared" si="154"/>
        <v>0</v>
      </c>
      <c r="AR347" s="8">
        <f t="shared" si="148"/>
        <v>0</v>
      </c>
      <c r="AS347" s="42"/>
      <c r="AT347" s="84">
        <v>232301</v>
      </c>
      <c r="AU347" s="84">
        <v>121340</v>
      </c>
      <c r="AV347" s="4">
        <f t="shared" si="149"/>
        <v>353641</v>
      </c>
      <c r="AW347" s="50" t="str">
        <f t="shared" si="150"/>
        <v/>
      </c>
      <c r="AX347" s="1" t="s">
        <v>1639</v>
      </c>
      <c r="AY347" s="2" t="s">
        <v>1640</v>
      </c>
      <c r="AZ347" s="2">
        <v>96403.28</v>
      </c>
      <c r="BA347" s="73">
        <v>84352.87</v>
      </c>
      <c r="BB347" s="73">
        <v>84352.87</v>
      </c>
      <c r="BC347" s="73">
        <v>96403.28</v>
      </c>
      <c r="BD347" s="73"/>
      <c r="BE347" s="66">
        <v>0</v>
      </c>
      <c r="BF347" s="66">
        <v>0.02</v>
      </c>
      <c r="BG347" s="63">
        <v>45051</v>
      </c>
      <c r="BH347" s="2"/>
      <c r="BI347" s="2"/>
      <c r="BJ347" s="2"/>
      <c r="BK347" s="2"/>
      <c r="BL347" s="1" t="s">
        <v>56</v>
      </c>
    </row>
    <row r="348" spans="1:64" x14ac:dyDescent="0.25">
      <c r="A348" s="81" t="s">
        <v>603</v>
      </c>
      <c r="B348" s="82" t="s">
        <v>603</v>
      </c>
      <c r="C348" s="81" t="s">
        <v>604</v>
      </c>
      <c r="D348" s="16">
        <v>43619</v>
      </c>
      <c r="E348" s="17"/>
      <c r="F348" s="2" t="s">
        <v>109</v>
      </c>
      <c r="G348" s="2" t="s">
        <v>111</v>
      </c>
      <c r="H348" s="10" t="s">
        <v>105</v>
      </c>
      <c r="I348" s="11" t="s">
        <v>110</v>
      </c>
      <c r="J348" s="11" t="s">
        <v>544</v>
      </c>
      <c r="K348" s="61" t="s">
        <v>230</v>
      </c>
      <c r="L348" s="11" t="s">
        <v>67</v>
      </c>
      <c r="M348" s="25"/>
      <c r="N348" s="82"/>
      <c r="O348" s="3" t="str">
        <f t="shared" si="143"/>
        <v>A</v>
      </c>
      <c r="P348" s="84">
        <v>123385.34999999999</v>
      </c>
      <c r="Q348" s="84">
        <v>14759</v>
      </c>
      <c r="R348" s="32"/>
      <c r="S348" s="3" t="str">
        <f t="shared" si="155"/>
        <v>A</v>
      </c>
      <c r="T348" s="84">
        <v>104756.99</v>
      </c>
      <c r="U348" s="84">
        <v>15733</v>
      </c>
      <c r="V348" s="32"/>
      <c r="W348" s="3" t="str">
        <f t="shared" si="144"/>
        <v>A</v>
      </c>
      <c r="X348" s="84">
        <v>97613.37999999999</v>
      </c>
      <c r="Y348" s="84">
        <v>13513.21</v>
      </c>
      <c r="Z348" s="32"/>
      <c r="AA348" s="3" t="str">
        <f t="shared" si="145"/>
        <v>A</v>
      </c>
      <c r="AB348" s="84">
        <v>107536.67000000001</v>
      </c>
      <c r="AC348" s="84">
        <v>15289.33</v>
      </c>
      <c r="AD348" s="36"/>
      <c r="AE348" s="82"/>
      <c r="AF348" s="3" t="str">
        <f t="shared" si="146"/>
        <v>A</v>
      </c>
      <c r="AG348" s="84">
        <v>0</v>
      </c>
      <c r="AH348" s="84">
        <v>0</v>
      </c>
      <c r="AI348" s="39"/>
      <c r="AJ348" s="79" t="s">
        <v>1801</v>
      </c>
      <c r="AK348" s="39"/>
      <c r="AL348" s="4">
        <f t="shared" si="151"/>
        <v>433292.39</v>
      </c>
      <c r="AM348" s="4">
        <f t="shared" si="152"/>
        <v>59294.54</v>
      </c>
      <c r="AN348" s="4">
        <f t="shared" si="147"/>
        <v>492586.93</v>
      </c>
      <c r="AO348" s="39"/>
      <c r="AP348" s="8">
        <f t="shared" si="153"/>
        <v>0</v>
      </c>
      <c r="AQ348" s="8">
        <f t="shared" si="154"/>
        <v>0</v>
      </c>
      <c r="AR348" s="8">
        <f t="shared" si="148"/>
        <v>0</v>
      </c>
      <c r="AS348" s="42"/>
      <c r="AT348" s="84">
        <v>433292.39</v>
      </c>
      <c r="AU348" s="84">
        <v>59294.539999999994</v>
      </c>
      <c r="AV348" s="4">
        <f t="shared" si="149"/>
        <v>492586.93</v>
      </c>
      <c r="AW348" s="50" t="str">
        <f t="shared" si="150"/>
        <v/>
      </c>
      <c r="AX348" s="1" t="s">
        <v>1647</v>
      </c>
      <c r="AY348" s="2" t="s">
        <v>1640</v>
      </c>
      <c r="AZ348" s="2">
        <v>147708.56</v>
      </c>
      <c r="BA348" s="73">
        <v>129244.99</v>
      </c>
      <c r="BB348" s="73">
        <v>129244.99</v>
      </c>
      <c r="BC348" s="73">
        <v>147708.56</v>
      </c>
      <c r="BD348" s="73"/>
      <c r="BE348" s="66">
        <v>0</v>
      </c>
      <c r="BF348" s="66">
        <v>0.02</v>
      </c>
      <c r="BG348" s="63">
        <v>45429</v>
      </c>
      <c r="BH348" s="74">
        <v>43768</v>
      </c>
      <c r="BI348" s="74">
        <v>43808</v>
      </c>
      <c r="BJ348" s="2"/>
      <c r="BK348" s="2"/>
      <c r="BL348" s="1" t="s">
        <v>219</v>
      </c>
    </row>
    <row r="349" spans="1:64" x14ac:dyDescent="0.25">
      <c r="A349" s="81" t="s">
        <v>605</v>
      </c>
      <c r="B349" s="82" t="s">
        <v>605</v>
      </c>
      <c r="C349" s="81" t="s">
        <v>606</v>
      </c>
      <c r="D349" s="16">
        <v>42215</v>
      </c>
      <c r="E349" s="17"/>
      <c r="F349" s="2" t="s">
        <v>607</v>
      </c>
      <c r="G349" s="2" t="s">
        <v>608</v>
      </c>
      <c r="H349" s="10" t="s">
        <v>98</v>
      </c>
      <c r="I349" s="11" t="s">
        <v>53</v>
      </c>
      <c r="J349" s="11" t="s">
        <v>609</v>
      </c>
      <c r="K349" s="61"/>
      <c r="L349" s="11" t="s">
        <v>67</v>
      </c>
      <c r="M349" s="25"/>
      <c r="N349" s="82"/>
      <c r="O349" s="3" t="str">
        <f t="shared" si="143"/>
        <v>A</v>
      </c>
      <c r="P349" s="84">
        <v>118963</v>
      </c>
      <c r="Q349" s="84">
        <v>27709</v>
      </c>
      <c r="R349" s="32"/>
      <c r="S349" s="3" t="str">
        <f t="shared" si="155"/>
        <v>A</v>
      </c>
      <c r="T349" s="84">
        <v>108579</v>
      </c>
      <c r="U349" s="84">
        <v>27802</v>
      </c>
      <c r="V349" s="32"/>
      <c r="W349" s="3" t="str">
        <f t="shared" si="144"/>
        <v>A</v>
      </c>
      <c r="X349" s="84">
        <v>106663</v>
      </c>
      <c r="Y349" s="84">
        <v>23124</v>
      </c>
      <c r="Z349" s="32"/>
      <c r="AA349" s="3" t="str">
        <f t="shared" si="145"/>
        <v>A</v>
      </c>
      <c r="AB349" s="84">
        <v>124384</v>
      </c>
      <c r="AC349" s="84">
        <v>26353</v>
      </c>
      <c r="AD349" s="36"/>
      <c r="AE349" s="82"/>
      <c r="AF349" s="3" t="str">
        <f t="shared" si="146"/>
        <v>A</v>
      </c>
      <c r="AG349" s="84">
        <v>0</v>
      </c>
      <c r="AH349" s="84">
        <v>0</v>
      </c>
      <c r="AI349" s="39"/>
      <c r="AJ349" s="79" t="s">
        <v>1801</v>
      </c>
      <c r="AK349" s="39"/>
      <c r="AL349" s="4">
        <f t="shared" si="151"/>
        <v>458589</v>
      </c>
      <c r="AM349" s="4">
        <f t="shared" si="152"/>
        <v>104988</v>
      </c>
      <c r="AN349" s="4">
        <f t="shared" si="147"/>
        <v>563577</v>
      </c>
      <c r="AO349" s="39"/>
      <c r="AP349" s="8">
        <f t="shared" si="153"/>
        <v>0</v>
      </c>
      <c r="AQ349" s="8">
        <f t="shared" si="154"/>
        <v>0</v>
      </c>
      <c r="AR349" s="8">
        <f t="shared" si="148"/>
        <v>0</v>
      </c>
      <c r="AS349" s="42"/>
      <c r="AT349" s="84">
        <v>458589</v>
      </c>
      <c r="AU349" s="84">
        <v>104988</v>
      </c>
      <c r="AV349" s="4">
        <f t="shared" si="149"/>
        <v>563577</v>
      </c>
      <c r="AW349" s="50" t="str">
        <f t="shared" si="150"/>
        <v/>
      </c>
      <c r="AX349" s="1" t="s">
        <v>1728</v>
      </c>
      <c r="AY349" s="2" t="s">
        <v>1729</v>
      </c>
      <c r="AZ349" s="2">
        <v>85514.48</v>
      </c>
      <c r="BA349" s="73">
        <v>74825.17</v>
      </c>
      <c r="BB349" s="73">
        <v>74825.17</v>
      </c>
      <c r="BC349" s="73">
        <v>85514.48</v>
      </c>
      <c r="BD349" s="73"/>
      <c r="BE349" s="66">
        <v>3.5000000000000003E-2</v>
      </c>
      <c r="BF349" s="66">
        <v>0.05</v>
      </c>
      <c r="BG349" s="63">
        <v>44035</v>
      </c>
      <c r="BH349" s="74">
        <v>43911</v>
      </c>
      <c r="BI349" s="74">
        <v>43927</v>
      </c>
      <c r="BJ349" s="2"/>
      <c r="BK349" s="2"/>
      <c r="BL349" s="1" t="s">
        <v>237</v>
      </c>
    </row>
    <row r="350" spans="1:64" x14ac:dyDescent="0.25">
      <c r="A350" s="81" t="s">
        <v>610</v>
      </c>
      <c r="B350" s="82" t="s">
        <v>610</v>
      </c>
      <c r="C350" s="81" t="s">
        <v>611</v>
      </c>
      <c r="D350" s="16">
        <v>42034</v>
      </c>
      <c r="E350" s="17"/>
      <c r="F350" s="2" t="s">
        <v>52</v>
      </c>
      <c r="G350" s="2" t="s">
        <v>55</v>
      </c>
      <c r="H350" s="10" t="s">
        <v>57</v>
      </c>
      <c r="I350" s="11" t="s">
        <v>54</v>
      </c>
      <c r="J350" s="11" t="s">
        <v>135</v>
      </c>
      <c r="K350" s="61" t="s">
        <v>136</v>
      </c>
      <c r="L350" s="11" t="s">
        <v>67</v>
      </c>
      <c r="M350" s="25"/>
      <c r="N350" s="82"/>
      <c r="O350" s="3" t="str">
        <f t="shared" si="143"/>
        <v>A</v>
      </c>
      <c r="P350" s="84">
        <v>104273</v>
      </c>
      <c r="Q350" s="84">
        <v>24973</v>
      </c>
      <c r="R350" s="32"/>
      <c r="S350" s="3" t="str">
        <f t="shared" si="155"/>
        <v>A</v>
      </c>
      <c r="T350" s="84">
        <v>90563</v>
      </c>
      <c r="U350" s="84">
        <v>22725</v>
      </c>
      <c r="V350" s="32"/>
      <c r="W350" s="3" t="str">
        <f t="shared" si="144"/>
        <v>A</v>
      </c>
      <c r="X350" s="84">
        <v>91462</v>
      </c>
      <c r="Y350" s="84">
        <v>24175</v>
      </c>
      <c r="Z350" s="32"/>
      <c r="AA350" s="3" t="str">
        <f t="shared" si="145"/>
        <v>A</v>
      </c>
      <c r="AB350" s="84">
        <v>102743.92</v>
      </c>
      <c r="AC350" s="84">
        <v>28954.489999999998</v>
      </c>
      <c r="AD350" s="36"/>
      <c r="AE350" s="82"/>
      <c r="AF350" s="3" t="str">
        <f t="shared" si="146"/>
        <v>A</v>
      </c>
      <c r="AG350" s="84">
        <v>0</v>
      </c>
      <c r="AH350" s="84">
        <v>0</v>
      </c>
      <c r="AI350" s="39"/>
      <c r="AJ350" s="79" t="s">
        <v>1801</v>
      </c>
      <c r="AK350" s="39"/>
      <c r="AL350" s="4">
        <f t="shared" si="151"/>
        <v>389041.91999999998</v>
      </c>
      <c r="AM350" s="4">
        <f t="shared" si="152"/>
        <v>100827.48999999999</v>
      </c>
      <c r="AN350" s="4">
        <f t="shared" si="147"/>
        <v>489869.41</v>
      </c>
      <c r="AO350" s="39"/>
      <c r="AP350" s="8">
        <f t="shared" si="153"/>
        <v>0</v>
      </c>
      <c r="AQ350" s="8">
        <f t="shared" si="154"/>
        <v>0</v>
      </c>
      <c r="AR350" s="8">
        <f t="shared" si="148"/>
        <v>0</v>
      </c>
      <c r="AS350" s="42"/>
      <c r="AT350" s="84">
        <v>389041.92000000004</v>
      </c>
      <c r="AU350" s="84">
        <v>100827.49</v>
      </c>
      <c r="AV350" s="4">
        <f t="shared" si="149"/>
        <v>489869.41000000003</v>
      </c>
      <c r="AW350" s="50" t="str">
        <f t="shared" si="150"/>
        <v/>
      </c>
      <c r="AX350" s="1" t="s">
        <v>1639</v>
      </c>
      <c r="AY350" s="2" t="s">
        <v>1640</v>
      </c>
      <c r="AZ350" s="2">
        <v>109670.56</v>
      </c>
      <c r="BA350" s="73">
        <v>95961.74</v>
      </c>
      <c r="BB350" s="73">
        <v>95961.74</v>
      </c>
      <c r="BC350" s="73">
        <v>109670.56</v>
      </c>
      <c r="BD350" s="73"/>
      <c r="BE350" s="66">
        <v>0</v>
      </c>
      <c r="BF350" s="66">
        <v>0.02</v>
      </c>
      <c r="BG350" s="63">
        <v>45641</v>
      </c>
      <c r="BH350" s="2"/>
      <c r="BI350" s="2"/>
      <c r="BJ350" s="2"/>
      <c r="BK350" s="2"/>
      <c r="BL350" s="1" t="s">
        <v>56</v>
      </c>
    </row>
    <row r="351" spans="1:64" x14ac:dyDescent="0.25">
      <c r="A351" s="81" t="s">
        <v>610</v>
      </c>
      <c r="B351" s="82" t="s">
        <v>815</v>
      </c>
      <c r="C351" s="81" t="s">
        <v>816</v>
      </c>
      <c r="D351" s="16">
        <v>43168</v>
      </c>
      <c r="E351" s="17"/>
      <c r="F351" s="2" t="s">
        <v>52</v>
      </c>
      <c r="G351" s="2" t="s">
        <v>55</v>
      </c>
      <c r="H351" s="10" t="s">
        <v>57</v>
      </c>
      <c r="I351" s="11" t="s">
        <v>54</v>
      </c>
      <c r="J351" s="11" t="s">
        <v>135</v>
      </c>
      <c r="K351" s="61" t="s">
        <v>136</v>
      </c>
      <c r="L351" s="11" t="s">
        <v>67</v>
      </c>
      <c r="M351" s="25"/>
      <c r="N351" s="82"/>
      <c r="O351" s="3" t="str">
        <f t="shared" si="143"/>
        <v>A</v>
      </c>
      <c r="P351" s="84">
        <v>94607.75</v>
      </c>
      <c r="Q351" s="84">
        <v>14301</v>
      </c>
      <c r="R351" s="32"/>
      <c r="S351" s="3" t="str">
        <f t="shared" si="155"/>
        <v>A</v>
      </c>
      <c r="T351" s="84">
        <v>84051.75</v>
      </c>
      <c r="U351" s="84">
        <v>11474</v>
      </c>
      <c r="V351" s="32"/>
      <c r="W351" s="3" t="str">
        <f t="shared" si="144"/>
        <v>A</v>
      </c>
      <c r="X351" s="84">
        <v>76796</v>
      </c>
      <c r="Y351" s="84">
        <v>11601</v>
      </c>
      <c r="Z351" s="32"/>
      <c r="AA351" s="3" t="str">
        <f t="shared" si="145"/>
        <v>A</v>
      </c>
      <c r="AB351" s="84">
        <v>84210</v>
      </c>
      <c r="AC351" s="84">
        <v>10118</v>
      </c>
      <c r="AD351" s="36"/>
      <c r="AE351" s="82"/>
      <c r="AF351" s="3" t="str">
        <f t="shared" si="146"/>
        <v>A</v>
      </c>
      <c r="AG351" s="84">
        <v>0</v>
      </c>
      <c r="AH351" s="84">
        <v>0</v>
      </c>
      <c r="AI351" s="39"/>
      <c r="AJ351" s="79" t="s">
        <v>1801</v>
      </c>
      <c r="AK351" s="39"/>
      <c r="AL351" s="4">
        <f t="shared" si="151"/>
        <v>339665.5</v>
      </c>
      <c r="AM351" s="4">
        <f t="shared" si="152"/>
        <v>47494</v>
      </c>
      <c r="AN351" s="4">
        <f t="shared" si="147"/>
        <v>387159.5</v>
      </c>
      <c r="AO351" s="39"/>
      <c r="AP351" s="8">
        <f t="shared" si="153"/>
        <v>0</v>
      </c>
      <c r="AQ351" s="8">
        <f t="shared" si="154"/>
        <v>0</v>
      </c>
      <c r="AR351" s="8">
        <f t="shared" si="148"/>
        <v>0</v>
      </c>
      <c r="AS351" s="42"/>
      <c r="AT351" s="84">
        <v>339665.5</v>
      </c>
      <c r="AU351" s="84">
        <v>47494</v>
      </c>
      <c r="AV351" s="4">
        <f t="shared" si="149"/>
        <v>387159.5</v>
      </c>
      <c r="AW351" s="50" t="str">
        <f t="shared" si="150"/>
        <v/>
      </c>
      <c r="AX351" s="1" t="s">
        <v>1639</v>
      </c>
      <c r="AY351" s="2" t="s">
        <v>1640</v>
      </c>
      <c r="AZ351" s="2">
        <v>88617.76</v>
      </c>
      <c r="BA351" s="73">
        <v>77540.539999999994</v>
      </c>
      <c r="BB351" s="73">
        <v>77540.539999999994</v>
      </c>
      <c r="BC351" s="73">
        <v>88617.76</v>
      </c>
      <c r="BD351" s="73"/>
      <c r="BE351" s="66">
        <v>0</v>
      </c>
      <c r="BF351" s="66">
        <v>0.02</v>
      </c>
      <c r="BG351" s="63">
        <v>45641</v>
      </c>
      <c r="BH351" s="2"/>
      <c r="BI351" s="2"/>
      <c r="BJ351" s="2"/>
      <c r="BK351" s="2"/>
      <c r="BL351" s="1" t="s">
        <v>56</v>
      </c>
    </row>
    <row r="352" spans="1:64" x14ac:dyDescent="0.25">
      <c r="A352" s="81" t="s">
        <v>610</v>
      </c>
      <c r="B352" s="82" t="s">
        <v>817</v>
      </c>
      <c r="C352" s="81" t="s">
        <v>818</v>
      </c>
      <c r="D352" s="16">
        <v>42846</v>
      </c>
      <c r="E352" s="17"/>
      <c r="F352" s="2" t="s">
        <v>52</v>
      </c>
      <c r="G352" s="2" t="s">
        <v>55</v>
      </c>
      <c r="H352" s="10" t="s">
        <v>57</v>
      </c>
      <c r="I352" s="11" t="s">
        <v>54</v>
      </c>
      <c r="J352" s="11" t="s">
        <v>135</v>
      </c>
      <c r="K352" s="61" t="s">
        <v>136</v>
      </c>
      <c r="L352" s="11" t="s">
        <v>67</v>
      </c>
      <c r="M352" s="25"/>
      <c r="N352" s="82"/>
      <c r="O352" s="3" t="str">
        <f t="shared" si="143"/>
        <v>A</v>
      </c>
      <c r="P352" s="84">
        <v>28835</v>
      </c>
      <c r="Q352" s="84">
        <v>5083</v>
      </c>
      <c r="R352" s="32"/>
      <c r="S352" s="3" t="str">
        <f t="shared" si="155"/>
        <v>A</v>
      </c>
      <c r="T352" s="84">
        <v>22945</v>
      </c>
      <c r="U352" s="84">
        <v>3369</v>
      </c>
      <c r="V352" s="32"/>
      <c r="W352" s="3" t="str">
        <f t="shared" si="144"/>
        <v>A</v>
      </c>
      <c r="X352" s="84">
        <v>21151</v>
      </c>
      <c r="Y352" s="84">
        <v>3267</v>
      </c>
      <c r="Z352" s="32"/>
      <c r="AA352" s="3" t="str">
        <f t="shared" si="145"/>
        <v>A</v>
      </c>
      <c r="AB352" s="84">
        <v>23181</v>
      </c>
      <c r="AC352" s="84">
        <v>4879</v>
      </c>
      <c r="AD352" s="36"/>
      <c r="AE352" s="82"/>
      <c r="AF352" s="3" t="str">
        <f t="shared" si="146"/>
        <v>A</v>
      </c>
      <c r="AG352" s="84">
        <v>0</v>
      </c>
      <c r="AH352" s="84">
        <v>0</v>
      </c>
      <c r="AI352" s="39"/>
      <c r="AJ352" s="79" t="s">
        <v>1801</v>
      </c>
      <c r="AK352" s="39"/>
      <c r="AL352" s="4">
        <f t="shared" si="151"/>
        <v>96112</v>
      </c>
      <c r="AM352" s="4">
        <f t="shared" si="152"/>
        <v>16598</v>
      </c>
      <c r="AN352" s="4">
        <f t="shared" si="147"/>
        <v>112710</v>
      </c>
      <c r="AO352" s="39"/>
      <c r="AP352" s="8">
        <f t="shared" si="153"/>
        <v>0</v>
      </c>
      <c r="AQ352" s="8">
        <f t="shared" si="154"/>
        <v>0</v>
      </c>
      <c r="AR352" s="8">
        <f t="shared" si="148"/>
        <v>0</v>
      </c>
      <c r="AS352" s="42"/>
      <c r="AT352" s="84">
        <v>96112</v>
      </c>
      <c r="AU352" s="84">
        <v>16598</v>
      </c>
      <c r="AV352" s="4">
        <f t="shared" si="149"/>
        <v>112710</v>
      </c>
      <c r="AW352" s="50" t="str">
        <f t="shared" si="150"/>
        <v/>
      </c>
      <c r="AX352" s="1" t="s">
        <v>1639</v>
      </c>
      <c r="AY352" s="2" t="s">
        <v>1640</v>
      </c>
      <c r="AZ352" s="2">
        <v>27334.880000000001</v>
      </c>
      <c r="BA352" s="73">
        <v>23918.02</v>
      </c>
      <c r="BB352" s="73">
        <v>23918.02</v>
      </c>
      <c r="BC352" s="73">
        <v>27334.880000000001</v>
      </c>
      <c r="BD352" s="73"/>
      <c r="BE352" s="66">
        <v>0</v>
      </c>
      <c r="BF352" s="66">
        <v>0.02</v>
      </c>
      <c r="BG352" s="63">
        <v>45641</v>
      </c>
      <c r="BH352" s="74">
        <v>43922</v>
      </c>
      <c r="BI352" s="74">
        <v>43923</v>
      </c>
      <c r="BJ352" s="2"/>
      <c r="BK352" s="2"/>
      <c r="BL352" s="1" t="s">
        <v>56</v>
      </c>
    </row>
    <row r="353" spans="1:64" x14ac:dyDescent="0.25">
      <c r="A353" s="81" t="s">
        <v>612</v>
      </c>
      <c r="B353" s="82" t="s">
        <v>612</v>
      </c>
      <c r="C353" s="81" t="s">
        <v>613</v>
      </c>
      <c r="D353" s="16">
        <v>39404</v>
      </c>
      <c r="E353" s="17"/>
      <c r="F353" s="2" t="s">
        <v>52</v>
      </c>
      <c r="G353" s="2" t="s">
        <v>55</v>
      </c>
      <c r="H353" s="10" t="s">
        <v>57</v>
      </c>
      <c r="I353" s="11" t="s">
        <v>54</v>
      </c>
      <c r="J353" s="11" t="s">
        <v>131</v>
      </c>
      <c r="K353" s="61" t="s">
        <v>132</v>
      </c>
      <c r="L353" s="11" t="s">
        <v>67</v>
      </c>
      <c r="M353" s="25"/>
      <c r="N353" s="82"/>
      <c r="O353" s="3" t="str">
        <f t="shared" si="143"/>
        <v>A</v>
      </c>
      <c r="P353" s="84">
        <v>112952.20000000001</v>
      </c>
      <c r="Q353" s="84">
        <v>28349</v>
      </c>
      <c r="R353" s="32"/>
      <c r="S353" s="3" t="str">
        <f t="shared" si="155"/>
        <v>A</v>
      </c>
      <c r="T353" s="84">
        <v>90269.2</v>
      </c>
      <c r="U353" s="84">
        <v>29366</v>
      </c>
      <c r="V353" s="32"/>
      <c r="W353" s="3" t="str">
        <f t="shared" si="144"/>
        <v>A</v>
      </c>
      <c r="X353" s="84">
        <v>95831.3</v>
      </c>
      <c r="Y353" s="84">
        <v>25409.599999999999</v>
      </c>
      <c r="Z353" s="32"/>
      <c r="AA353" s="3" t="str">
        <f t="shared" si="145"/>
        <v>A</v>
      </c>
      <c r="AB353" s="84">
        <v>98561.45</v>
      </c>
      <c r="AC353" s="84">
        <v>29757</v>
      </c>
      <c r="AD353" s="36"/>
      <c r="AE353" s="82"/>
      <c r="AF353" s="3" t="str">
        <f t="shared" si="146"/>
        <v>A</v>
      </c>
      <c r="AG353" s="84">
        <v>0</v>
      </c>
      <c r="AH353" s="84">
        <v>0</v>
      </c>
      <c r="AI353" s="39"/>
      <c r="AJ353" s="79" t="s">
        <v>1801</v>
      </c>
      <c r="AK353" s="39"/>
      <c r="AL353" s="4">
        <f t="shared" si="151"/>
        <v>397614.15</v>
      </c>
      <c r="AM353" s="4">
        <f t="shared" si="152"/>
        <v>112881.60000000001</v>
      </c>
      <c r="AN353" s="4">
        <f t="shared" si="147"/>
        <v>510495.75</v>
      </c>
      <c r="AO353" s="39"/>
      <c r="AP353" s="8">
        <f t="shared" si="153"/>
        <v>0</v>
      </c>
      <c r="AQ353" s="8">
        <f t="shared" si="154"/>
        <v>0</v>
      </c>
      <c r="AR353" s="8">
        <f t="shared" si="148"/>
        <v>0</v>
      </c>
      <c r="AS353" s="42"/>
      <c r="AT353" s="84">
        <v>397614.15</v>
      </c>
      <c r="AU353" s="84">
        <v>112881.60000000001</v>
      </c>
      <c r="AV353" s="4">
        <f t="shared" si="149"/>
        <v>510495.75</v>
      </c>
      <c r="AW353" s="50" t="str">
        <f t="shared" si="150"/>
        <v/>
      </c>
      <c r="AX353" s="1" t="s">
        <v>1639</v>
      </c>
      <c r="AY353" s="2" t="s">
        <v>1640</v>
      </c>
      <c r="AZ353" s="2">
        <v>120277.68</v>
      </c>
      <c r="BA353" s="73">
        <v>105242.97</v>
      </c>
      <c r="BB353" s="73">
        <v>105242.97</v>
      </c>
      <c r="BC353" s="73">
        <v>120277.68</v>
      </c>
      <c r="BD353" s="73"/>
      <c r="BE353" s="66">
        <v>0</v>
      </c>
      <c r="BF353" s="66">
        <v>0.02</v>
      </c>
      <c r="BG353" s="63">
        <v>44878</v>
      </c>
      <c r="BH353" s="2"/>
      <c r="BI353" s="2"/>
      <c r="BJ353" s="2"/>
      <c r="BK353" s="2"/>
      <c r="BL353" s="1" t="s">
        <v>56</v>
      </c>
    </row>
    <row r="354" spans="1:64" x14ac:dyDescent="0.25">
      <c r="A354" s="81" t="s">
        <v>614</v>
      </c>
      <c r="B354" s="82" t="s">
        <v>614</v>
      </c>
      <c r="C354" s="81" t="s">
        <v>615</v>
      </c>
      <c r="D354" s="16">
        <v>42478</v>
      </c>
      <c r="E354" s="17">
        <v>45725</v>
      </c>
      <c r="F354" s="2" t="s">
        <v>171</v>
      </c>
      <c r="G354" s="2" t="s">
        <v>172</v>
      </c>
      <c r="H354" s="10" t="s">
        <v>105</v>
      </c>
      <c r="I354" s="11" t="s">
        <v>53</v>
      </c>
      <c r="J354" s="11" t="s">
        <v>145</v>
      </c>
      <c r="K354" s="61"/>
      <c r="L354" s="11" t="s">
        <v>67</v>
      </c>
      <c r="M354" s="25"/>
      <c r="N354" s="82"/>
      <c r="O354" s="3" t="str">
        <f t="shared" ref="O354:O385" si="156">IF($A354="","",IF(P354=0,"A",IF(P354=AZ354,"E","A")))</f>
        <v>A</v>
      </c>
      <c r="P354" s="84"/>
      <c r="Q354" s="84"/>
      <c r="R354" s="32"/>
      <c r="S354" s="3" t="str">
        <f t="shared" si="155"/>
        <v>A</v>
      </c>
      <c r="T354" s="84"/>
      <c r="U354" s="84"/>
      <c r="V354" s="32"/>
      <c r="W354" s="3" t="str">
        <f t="shared" si="144"/>
        <v>A</v>
      </c>
      <c r="X354" s="84"/>
      <c r="Y354" s="84"/>
      <c r="Z354" s="32"/>
      <c r="AA354" s="3" t="str">
        <f t="shared" si="145"/>
        <v>A</v>
      </c>
      <c r="AB354" s="84"/>
      <c r="AC354" s="84"/>
      <c r="AD354" s="36"/>
      <c r="AE354" s="82"/>
      <c r="AF354" s="3" t="str">
        <f t="shared" si="146"/>
        <v>A</v>
      </c>
      <c r="AG354" s="84"/>
      <c r="AH354" s="84"/>
      <c r="AI354" s="39"/>
      <c r="AJ354" s="79" t="s">
        <v>1801</v>
      </c>
      <c r="AK354" s="39"/>
      <c r="AL354" s="4">
        <f t="shared" si="151"/>
        <v>0</v>
      </c>
      <c r="AM354" s="4">
        <f t="shared" si="152"/>
        <v>0</v>
      </c>
      <c r="AN354" s="4">
        <f t="shared" si="147"/>
        <v>0</v>
      </c>
      <c r="AO354" s="39"/>
      <c r="AP354" s="8">
        <f t="shared" si="153"/>
        <v>0</v>
      </c>
      <c r="AQ354" s="8">
        <f t="shared" si="154"/>
        <v>0</v>
      </c>
      <c r="AR354" s="8">
        <f t="shared" si="148"/>
        <v>0</v>
      </c>
      <c r="AS354" s="42"/>
      <c r="AT354" s="84"/>
      <c r="AU354" s="84"/>
      <c r="AV354" s="4">
        <f t="shared" si="149"/>
        <v>0</v>
      </c>
      <c r="AW354" s="50" t="str">
        <f t="shared" si="150"/>
        <v/>
      </c>
      <c r="AX354" s="1" t="s">
        <v>1654</v>
      </c>
      <c r="AY354" s="2" t="s">
        <v>1655</v>
      </c>
      <c r="AZ354" s="2"/>
      <c r="BA354" s="73"/>
      <c r="BB354" s="73"/>
      <c r="BC354" s="73"/>
      <c r="BD354" s="73"/>
      <c r="BE354" s="66">
        <v>3.5000000000000003E-2</v>
      </c>
      <c r="BF354" s="66">
        <v>0.05</v>
      </c>
      <c r="BG354" s="63">
        <v>44270</v>
      </c>
      <c r="BH354" s="74">
        <v>45725</v>
      </c>
      <c r="BI354" s="2"/>
      <c r="BJ354" s="2"/>
      <c r="BK354" s="2"/>
      <c r="BL354" s="1" t="s">
        <v>104</v>
      </c>
    </row>
    <row r="355" spans="1:64" x14ac:dyDescent="0.25">
      <c r="A355" s="81" t="s">
        <v>618</v>
      </c>
      <c r="B355" s="82" t="s">
        <v>618</v>
      </c>
      <c r="C355" s="81" t="s">
        <v>619</v>
      </c>
      <c r="D355" s="16">
        <v>0</v>
      </c>
      <c r="E355" s="17"/>
      <c r="F355" s="2" t="s">
        <v>52</v>
      </c>
      <c r="G355" s="2" t="s">
        <v>55</v>
      </c>
      <c r="H355" s="10" t="s">
        <v>57</v>
      </c>
      <c r="I355" s="11" t="s">
        <v>54</v>
      </c>
      <c r="J355" s="11" t="s">
        <v>620</v>
      </c>
      <c r="K355" s="61" t="s">
        <v>621</v>
      </c>
      <c r="L355" s="11" t="s">
        <v>67</v>
      </c>
      <c r="M355" s="25"/>
      <c r="N355" s="82"/>
      <c r="O355" s="3" t="str">
        <f t="shared" si="156"/>
        <v>A</v>
      </c>
      <c r="P355" s="84">
        <v>61825</v>
      </c>
      <c r="Q355" s="84">
        <v>9913</v>
      </c>
      <c r="R355" s="32"/>
      <c r="S355" s="3" t="str">
        <f t="shared" si="155"/>
        <v>A</v>
      </c>
      <c r="T355" s="84">
        <v>58078</v>
      </c>
      <c r="U355" s="84">
        <v>9386</v>
      </c>
      <c r="V355" s="32"/>
      <c r="W355" s="3" t="str">
        <f t="shared" si="144"/>
        <v>A</v>
      </c>
      <c r="X355" s="84">
        <v>50360</v>
      </c>
      <c r="Y355" s="84">
        <v>7843</v>
      </c>
      <c r="Z355" s="32"/>
      <c r="AA355" s="3" t="str">
        <f t="shared" si="145"/>
        <v>A</v>
      </c>
      <c r="AB355" s="84">
        <v>62379</v>
      </c>
      <c r="AC355" s="84">
        <v>11145</v>
      </c>
      <c r="AD355" s="36"/>
      <c r="AE355" s="82"/>
      <c r="AF355" s="3" t="str">
        <f t="shared" si="146"/>
        <v>A</v>
      </c>
      <c r="AG355" s="84">
        <v>0</v>
      </c>
      <c r="AH355" s="84">
        <v>0</v>
      </c>
      <c r="AI355" s="39"/>
      <c r="AJ355" s="79" t="s">
        <v>1801</v>
      </c>
      <c r="AK355" s="39"/>
      <c r="AL355" s="4">
        <f t="shared" si="151"/>
        <v>232642</v>
      </c>
      <c r="AM355" s="4">
        <f t="shared" si="152"/>
        <v>38287</v>
      </c>
      <c r="AN355" s="4">
        <f t="shared" si="147"/>
        <v>270929</v>
      </c>
      <c r="AO355" s="39"/>
      <c r="AP355" s="8">
        <f t="shared" si="153"/>
        <v>0</v>
      </c>
      <c r="AQ355" s="8">
        <f t="shared" si="154"/>
        <v>0</v>
      </c>
      <c r="AR355" s="8">
        <f t="shared" si="148"/>
        <v>0</v>
      </c>
      <c r="AS355" s="42"/>
      <c r="AT355" s="84">
        <v>232642</v>
      </c>
      <c r="AU355" s="84">
        <v>38287</v>
      </c>
      <c r="AV355" s="4">
        <f t="shared" si="149"/>
        <v>270929</v>
      </c>
      <c r="AW355" s="50" t="str">
        <f t="shared" si="150"/>
        <v/>
      </c>
      <c r="AX355" s="1" t="s">
        <v>1639</v>
      </c>
      <c r="AY355" s="2" t="s">
        <v>1640</v>
      </c>
      <c r="AZ355" s="2">
        <v>113105.36</v>
      </c>
      <c r="BA355" s="73">
        <v>98967.19</v>
      </c>
      <c r="BB355" s="73">
        <v>98967.19</v>
      </c>
      <c r="BC355" s="73">
        <v>113105.36</v>
      </c>
      <c r="BD355" s="73"/>
      <c r="BE355" s="66">
        <v>0</v>
      </c>
      <c r="BF355" s="66">
        <v>0.02</v>
      </c>
      <c r="BG355" s="63">
        <v>45835</v>
      </c>
      <c r="BH355" s="2"/>
      <c r="BI355" s="2"/>
      <c r="BJ355" s="2"/>
      <c r="BK355" s="2"/>
      <c r="BL355" s="1" t="s">
        <v>56</v>
      </c>
    </row>
    <row r="356" spans="1:64" x14ac:dyDescent="0.25">
      <c r="A356" s="81" t="s">
        <v>624</v>
      </c>
      <c r="B356" s="82" t="s">
        <v>624</v>
      </c>
      <c r="C356" s="81" t="s">
        <v>625</v>
      </c>
      <c r="D356" s="16">
        <v>40141</v>
      </c>
      <c r="E356" s="17"/>
      <c r="F356" s="2" t="s">
        <v>76</v>
      </c>
      <c r="G356" s="2" t="s">
        <v>78</v>
      </c>
      <c r="H356" s="10" t="s">
        <v>57</v>
      </c>
      <c r="I356" s="11" t="s">
        <v>77</v>
      </c>
      <c r="J356" s="11" t="s">
        <v>87</v>
      </c>
      <c r="K356" s="61" t="s">
        <v>88</v>
      </c>
      <c r="L356" s="11" t="s">
        <v>67</v>
      </c>
      <c r="M356" s="25"/>
      <c r="N356" s="82"/>
      <c r="O356" s="3" t="str">
        <f t="shared" si="156"/>
        <v>A</v>
      </c>
      <c r="P356" s="84">
        <v>131983.6</v>
      </c>
      <c r="Q356" s="84">
        <v>59554</v>
      </c>
      <c r="R356" s="32"/>
      <c r="S356" s="3" t="str">
        <f t="shared" si="155"/>
        <v>A</v>
      </c>
      <c r="T356" s="84">
        <v>118658.20000000001</v>
      </c>
      <c r="U356" s="84">
        <v>50943</v>
      </c>
      <c r="V356" s="32"/>
      <c r="W356" s="3" t="str">
        <f t="shared" si="144"/>
        <v>A</v>
      </c>
      <c r="X356" s="84">
        <v>103933.20000000001</v>
      </c>
      <c r="Y356" s="84">
        <v>45100</v>
      </c>
      <c r="Z356" s="32"/>
      <c r="AA356" s="3" t="str">
        <f t="shared" si="145"/>
        <v>A</v>
      </c>
      <c r="AB356" s="84">
        <v>111245.44</v>
      </c>
      <c r="AC356" s="84">
        <v>55660</v>
      </c>
      <c r="AD356" s="36"/>
      <c r="AE356" s="82"/>
      <c r="AF356" s="3" t="str">
        <f t="shared" si="146"/>
        <v>A</v>
      </c>
      <c r="AG356" s="84">
        <v>0</v>
      </c>
      <c r="AH356" s="84">
        <v>0</v>
      </c>
      <c r="AI356" s="39"/>
      <c r="AJ356" s="79" t="s">
        <v>1801</v>
      </c>
      <c r="AK356" s="39"/>
      <c r="AL356" s="4">
        <f t="shared" si="151"/>
        <v>465820.44</v>
      </c>
      <c r="AM356" s="4">
        <f t="shared" si="152"/>
        <v>211257</v>
      </c>
      <c r="AN356" s="4">
        <f t="shared" si="147"/>
        <v>677077.44</v>
      </c>
      <c r="AO356" s="39"/>
      <c r="AP356" s="8">
        <f t="shared" si="153"/>
        <v>0</v>
      </c>
      <c r="AQ356" s="8">
        <f t="shared" si="154"/>
        <v>0</v>
      </c>
      <c r="AR356" s="8">
        <f t="shared" si="148"/>
        <v>0</v>
      </c>
      <c r="AS356" s="42"/>
      <c r="AT356" s="84">
        <v>465820.44</v>
      </c>
      <c r="AU356" s="84">
        <v>211257</v>
      </c>
      <c r="AV356" s="4">
        <f t="shared" si="149"/>
        <v>677077.44</v>
      </c>
      <c r="AW356" s="50" t="str">
        <f t="shared" si="150"/>
        <v/>
      </c>
      <c r="AX356" s="1" t="s">
        <v>1639</v>
      </c>
      <c r="AY356" s="2" t="s">
        <v>1640</v>
      </c>
      <c r="AZ356" s="2">
        <v>95153.600000000006</v>
      </c>
      <c r="BA356" s="73">
        <v>83259.399999999994</v>
      </c>
      <c r="BB356" s="73">
        <v>83259.399999999994</v>
      </c>
      <c r="BC356" s="73">
        <v>95153.600000000006</v>
      </c>
      <c r="BD356" s="73"/>
      <c r="BE356" s="66">
        <v>2.5000000000000001E-2</v>
      </c>
      <c r="BF356" s="66">
        <v>0.02</v>
      </c>
      <c r="BG356" s="63">
        <v>45677</v>
      </c>
      <c r="BH356" s="2"/>
      <c r="BI356" s="2"/>
      <c r="BJ356" s="2"/>
      <c r="BK356" s="2"/>
      <c r="BL356" s="1" t="s">
        <v>56</v>
      </c>
    </row>
    <row r="357" spans="1:64" x14ac:dyDescent="0.25">
      <c r="A357" s="81" t="s">
        <v>634</v>
      </c>
      <c r="B357" s="82" t="s">
        <v>634</v>
      </c>
      <c r="C357" s="81" t="s">
        <v>635</v>
      </c>
      <c r="D357" s="16">
        <v>36545</v>
      </c>
      <c r="E357" s="17"/>
      <c r="F357" s="2" t="s">
        <v>52</v>
      </c>
      <c r="G357" s="2" t="s">
        <v>55</v>
      </c>
      <c r="H357" s="10" t="s">
        <v>57</v>
      </c>
      <c r="I357" s="11" t="s">
        <v>54</v>
      </c>
      <c r="J357" s="11" t="s">
        <v>636</v>
      </c>
      <c r="K357" s="61" t="s">
        <v>637</v>
      </c>
      <c r="L357" s="11" t="s">
        <v>67</v>
      </c>
      <c r="M357" s="25"/>
      <c r="N357" s="82"/>
      <c r="O357" s="3" t="str">
        <f t="shared" si="156"/>
        <v>A</v>
      </c>
      <c r="P357" s="84">
        <v>54432</v>
      </c>
      <c r="Q357" s="84">
        <v>22657</v>
      </c>
      <c r="R357" s="32"/>
      <c r="S357" s="3" t="str">
        <f t="shared" si="155"/>
        <v>A</v>
      </c>
      <c r="T357" s="84">
        <v>49189.8</v>
      </c>
      <c r="U357" s="84">
        <v>19835</v>
      </c>
      <c r="V357" s="32"/>
      <c r="W357" s="3" t="str">
        <f t="shared" si="144"/>
        <v>A</v>
      </c>
      <c r="X357" s="84">
        <v>40798.6</v>
      </c>
      <c r="Y357" s="84">
        <v>15835</v>
      </c>
      <c r="Z357" s="32"/>
      <c r="AA357" s="3" t="str">
        <f t="shared" si="145"/>
        <v>A</v>
      </c>
      <c r="AB357" s="84">
        <v>48651.75</v>
      </c>
      <c r="AC357" s="84">
        <v>17717</v>
      </c>
      <c r="AD357" s="36"/>
      <c r="AE357" s="82"/>
      <c r="AF357" s="3" t="str">
        <f t="shared" si="146"/>
        <v>A</v>
      </c>
      <c r="AG357" s="84">
        <v>0</v>
      </c>
      <c r="AH357" s="84">
        <v>0</v>
      </c>
      <c r="AI357" s="39"/>
      <c r="AJ357" s="79" t="s">
        <v>1801</v>
      </c>
      <c r="AK357" s="39"/>
      <c r="AL357" s="4">
        <f t="shared" si="151"/>
        <v>193072.15</v>
      </c>
      <c r="AM357" s="4">
        <f t="shared" si="152"/>
        <v>76044</v>
      </c>
      <c r="AN357" s="4">
        <f t="shared" si="147"/>
        <v>269116.15000000002</v>
      </c>
      <c r="AO357" s="39"/>
      <c r="AP357" s="8">
        <f t="shared" si="153"/>
        <v>0</v>
      </c>
      <c r="AQ357" s="8">
        <f t="shared" si="154"/>
        <v>0</v>
      </c>
      <c r="AR357" s="8">
        <f t="shared" si="148"/>
        <v>0</v>
      </c>
      <c r="AS357" s="42"/>
      <c r="AT357" s="84">
        <v>193072.15</v>
      </c>
      <c r="AU357" s="84">
        <v>76044</v>
      </c>
      <c r="AV357" s="4">
        <f t="shared" si="149"/>
        <v>269116.15000000002</v>
      </c>
      <c r="AW357" s="50" t="str">
        <f t="shared" si="150"/>
        <v/>
      </c>
      <c r="AX357" s="1" t="s">
        <v>1639</v>
      </c>
      <c r="AY357" s="2" t="s">
        <v>1640</v>
      </c>
      <c r="AZ357" s="2">
        <v>109710.48</v>
      </c>
      <c r="BA357" s="73">
        <v>95996.67</v>
      </c>
      <c r="BB357" s="73">
        <v>95996.67</v>
      </c>
      <c r="BC357" s="73">
        <v>109710.48</v>
      </c>
      <c r="BD357" s="73"/>
      <c r="BE357" s="66">
        <v>2.5000000000000001E-2</v>
      </c>
      <c r="BF357" s="66">
        <v>0.02</v>
      </c>
      <c r="BG357" s="63">
        <v>45716</v>
      </c>
      <c r="BH357" s="2"/>
      <c r="BI357" s="2"/>
      <c r="BJ357" s="2"/>
      <c r="BK357" s="2"/>
      <c r="BL357" s="1" t="s">
        <v>56</v>
      </c>
    </row>
    <row r="358" spans="1:64" x14ac:dyDescent="0.25">
      <c r="A358" s="81" t="s">
        <v>638</v>
      </c>
      <c r="B358" s="82" t="s">
        <v>638</v>
      </c>
      <c r="C358" s="81" t="s">
        <v>639</v>
      </c>
      <c r="D358" s="16">
        <v>43045</v>
      </c>
      <c r="E358" s="17"/>
      <c r="F358" s="2" t="s">
        <v>52</v>
      </c>
      <c r="G358" s="2" t="s">
        <v>55</v>
      </c>
      <c r="H358" s="10" t="s">
        <v>57</v>
      </c>
      <c r="I358" s="11" t="s">
        <v>54</v>
      </c>
      <c r="J358" s="11" t="s">
        <v>636</v>
      </c>
      <c r="K358" s="61" t="s">
        <v>637</v>
      </c>
      <c r="L358" s="11" t="s">
        <v>67</v>
      </c>
      <c r="M358" s="25"/>
      <c r="N358" s="82"/>
      <c r="O358" s="3" t="str">
        <f t="shared" si="156"/>
        <v>A</v>
      </c>
      <c r="P358" s="84">
        <v>42237</v>
      </c>
      <c r="Q358" s="84">
        <v>9645</v>
      </c>
      <c r="R358" s="32"/>
      <c r="S358" s="3" t="str">
        <f t="shared" si="155"/>
        <v>A</v>
      </c>
      <c r="T358" s="84">
        <v>31526</v>
      </c>
      <c r="U358" s="84">
        <v>7969</v>
      </c>
      <c r="V358" s="32"/>
      <c r="W358" s="3" t="str">
        <f t="shared" si="144"/>
        <v>A</v>
      </c>
      <c r="X358" s="84">
        <v>29538</v>
      </c>
      <c r="Y358" s="84">
        <v>7212</v>
      </c>
      <c r="Z358" s="32"/>
      <c r="AA358" s="3" t="str">
        <f t="shared" si="145"/>
        <v>A</v>
      </c>
      <c r="AB358" s="84">
        <v>37750</v>
      </c>
      <c r="AC358" s="84">
        <v>8494</v>
      </c>
      <c r="AD358" s="36"/>
      <c r="AE358" s="82"/>
      <c r="AF358" s="3" t="str">
        <f t="shared" si="146"/>
        <v>A</v>
      </c>
      <c r="AG358" s="84">
        <v>0</v>
      </c>
      <c r="AH358" s="84">
        <v>0</v>
      </c>
      <c r="AI358" s="39"/>
      <c r="AJ358" s="79" t="s">
        <v>1801</v>
      </c>
      <c r="AK358" s="39"/>
      <c r="AL358" s="4">
        <f t="shared" si="151"/>
        <v>141051</v>
      </c>
      <c r="AM358" s="4">
        <f t="shared" si="152"/>
        <v>33320</v>
      </c>
      <c r="AN358" s="4">
        <f t="shared" si="147"/>
        <v>174371</v>
      </c>
      <c r="AO358" s="39"/>
      <c r="AP358" s="8">
        <f t="shared" si="153"/>
        <v>0</v>
      </c>
      <c r="AQ358" s="8">
        <f t="shared" si="154"/>
        <v>0</v>
      </c>
      <c r="AR358" s="8">
        <f t="shared" si="148"/>
        <v>0</v>
      </c>
      <c r="AS358" s="42"/>
      <c r="AT358" s="84">
        <v>141051</v>
      </c>
      <c r="AU358" s="84">
        <v>33320</v>
      </c>
      <c r="AV358" s="4">
        <f t="shared" si="149"/>
        <v>174371</v>
      </c>
      <c r="AW358" s="50" t="str">
        <f t="shared" si="150"/>
        <v/>
      </c>
      <c r="AX358" s="1" t="s">
        <v>1639</v>
      </c>
      <c r="AY358" s="2" t="s">
        <v>1640</v>
      </c>
      <c r="AZ358" s="2">
        <v>56703.040000000001</v>
      </c>
      <c r="BA358" s="73">
        <v>49615.16</v>
      </c>
      <c r="BB358" s="73">
        <v>49615.16</v>
      </c>
      <c r="BC358" s="73">
        <v>56703.040000000001</v>
      </c>
      <c r="BD358" s="73"/>
      <c r="BE358" s="66">
        <v>0</v>
      </c>
      <c r="BF358" s="66">
        <v>0.02</v>
      </c>
      <c r="BG358" s="63">
        <v>45716</v>
      </c>
      <c r="BH358" s="2"/>
      <c r="BI358" s="2"/>
      <c r="BJ358" s="2"/>
      <c r="BK358" s="2"/>
      <c r="BL358" s="1" t="s">
        <v>56</v>
      </c>
    </row>
    <row r="359" spans="1:64" x14ac:dyDescent="0.25">
      <c r="A359" s="81" t="s">
        <v>646</v>
      </c>
      <c r="B359" s="82" t="s">
        <v>646</v>
      </c>
      <c r="C359" s="81" t="s">
        <v>647</v>
      </c>
      <c r="D359" s="16">
        <v>41202</v>
      </c>
      <c r="E359" s="17"/>
      <c r="F359" s="2" t="s">
        <v>52</v>
      </c>
      <c r="G359" s="2" t="s">
        <v>55</v>
      </c>
      <c r="H359" s="10" t="s">
        <v>57</v>
      </c>
      <c r="I359" s="11" t="s">
        <v>54</v>
      </c>
      <c r="J359" s="11" t="s">
        <v>620</v>
      </c>
      <c r="K359" s="61" t="s">
        <v>621</v>
      </c>
      <c r="L359" s="11" t="s">
        <v>67</v>
      </c>
      <c r="M359" s="25"/>
      <c r="N359" s="82"/>
      <c r="O359" s="3" t="str">
        <f t="shared" si="156"/>
        <v>A</v>
      </c>
      <c r="P359" s="84">
        <v>61621</v>
      </c>
      <c r="Q359" s="84">
        <v>18629</v>
      </c>
      <c r="R359" s="32"/>
      <c r="S359" s="3" t="str">
        <f t="shared" si="155"/>
        <v>A</v>
      </c>
      <c r="T359" s="84">
        <v>53008</v>
      </c>
      <c r="U359" s="84">
        <v>19605</v>
      </c>
      <c r="V359" s="32"/>
      <c r="W359" s="3" t="str">
        <f t="shared" si="144"/>
        <v>A</v>
      </c>
      <c r="X359" s="84">
        <v>51584</v>
      </c>
      <c r="Y359" s="84">
        <v>15879</v>
      </c>
      <c r="Z359" s="32"/>
      <c r="AA359" s="3" t="str">
        <f t="shared" si="145"/>
        <v>A</v>
      </c>
      <c r="AB359" s="84">
        <v>56860</v>
      </c>
      <c r="AC359" s="84">
        <v>18602</v>
      </c>
      <c r="AD359" s="36"/>
      <c r="AE359" s="82"/>
      <c r="AF359" s="3" t="str">
        <f t="shared" si="146"/>
        <v>A</v>
      </c>
      <c r="AG359" s="84">
        <v>0</v>
      </c>
      <c r="AH359" s="84">
        <v>0</v>
      </c>
      <c r="AI359" s="39"/>
      <c r="AJ359" s="79" t="s">
        <v>1801</v>
      </c>
      <c r="AK359" s="39"/>
      <c r="AL359" s="4">
        <f t="shared" si="151"/>
        <v>223073</v>
      </c>
      <c r="AM359" s="4">
        <f t="shared" si="152"/>
        <v>72715</v>
      </c>
      <c r="AN359" s="4">
        <f t="shared" si="147"/>
        <v>295788</v>
      </c>
      <c r="AO359" s="39"/>
      <c r="AP359" s="8">
        <f t="shared" si="153"/>
        <v>0</v>
      </c>
      <c r="AQ359" s="8">
        <f t="shared" si="154"/>
        <v>0</v>
      </c>
      <c r="AR359" s="8">
        <f t="shared" si="148"/>
        <v>0</v>
      </c>
      <c r="AS359" s="42"/>
      <c r="AT359" s="84">
        <v>223073</v>
      </c>
      <c r="AU359" s="84">
        <v>72715</v>
      </c>
      <c r="AV359" s="4">
        <f t="shared" si="149"/>
        <v>295788</v>
      </c>
      <c r="AW359" s="50" t="str">
        <f t="shared" si="150"/>
        <v/>
      </c>
      <c r="AX359" s="1" t="s">
        <v>1639</v>
      </c>
      <c r="AY359" s="2" t="s">
        <v>1640</v>
      </c>
      <c r="AZ359" s="2">
        <v>90351.52</v>
      </c>
      <c r="BA359" s="73">
        <v>79057.58</v>
      </c>
      <c r="BB359" s="73">
        <v>79057.58</v>
      </c>
      <c r="BC359" s="73">
        <v>90351.52</v>
      </c>
      <c r="BD359" s="73"/>
      <c r="BE359" s="66">
        <v>2.5000000000000001E-2</v>
      </c>
      <c r="BF359" s="66">
        <v>0.02</v>
      </c>
      <c r="BG359" s="63">
        <v>44051</v>
      </c>
      <c r="BH359" s="2"/>
      <c r="BI359" s="2"/>
      <c r="BJ359" s="2"/>
      <c r="BK359" s="2"/>
      <c r="BL359" s="1" t="s">
        <v>56</v>
      </c>
    </row>
    <row r="360" spans="1:64" x14ac:dyDescent="0.25">
      <c r="A360" s="81" t="s">
        <v>658</v>
      </c>
      <c r="B360" s="82" t="s">
        <v>658</v>
      </c>
      <c r="C360" s="81" t="s">
        <v>659</v>
      </c>
      <c r="D360" s="16">
        <v>42236</v>
      </c>
      <c r="E360" s="17"/>
      <c r="F360" s="2" t="s">
        <v>52</v>
      </c>
      <c r="G360" s="2" t="s">
        <v>55</v>
      </c>
      <c r="H360" s="10" t="s">
        <v>57</v>
      </c>
      <c r="I360" s="11" t="s">
        <v>54</v>
      </c>
      <c r="J360" s="11" t="s">
        <v>620</v>
      </c>
      <c r="K360" s="61" t="s">
        <v>621</v>
      </c>
      <c r="L360" s="11" t="s">
        <v>67</v>
      </c>
      <c r="M360" s="25"/>
      <c r="N360" s="82"/>
      <c r="O360" s="3" t="str">
        <f t="shared" si="156"/>
        <v>A</v>
      </c>
      <c r="P360" s="84">
        <v>59843</v>
      </c>
      <c r="Q360" s="84">
        <v>8710</v>
      </c>
      <c r="R360" s="32"/>
      <c r="S360" s="3" t="str">
        <f t="shared" si="155"/>
        <v>A</v>
      </c>
      <c r="T360" s="84">
        <v>55068</v>
      </c>
      <c r="U360" s="84">
        <v>7728</v>
      </c>
      <c r="V360" s="32"/>
      <c r="W360" s="3" t="str">
        <f t="shared" si="144"/>
        <v>A</v>
      </c>
      <c r="X360" s="84">
        <v>55527</v>
      </c>
      <c r="Y360" s="84">
        <v>8250</v>
      </c>
      <c r="Z360" s="32"/>
      <c r="AA360" s="3" t="str">
        <f t="shared" si="145"/>
        <v>A</v>
      </c>
      <c r="AB360" s="84">
        <v>61253</v>
      </c>
      <c r="AC360" s="84">
        <v>8323</v>
      </c>
      <c r="AD360" s="36"/>
      <c r="AE360" s="82"/>
      <c r="AF360" s="3" t="str">
        <f t="shared" si="146"/>
        <v>A</v>
      </c>
      <c r="AG360" s="84">
        <v>0</v>
      </c>
      <c r="AH360" s="84">
        <v>0</v>
      </c>
      <c r="AI360" s="39"/>
      <c r="AJ360" s="79" t="s">
        <v>1801</v>
      </c>
      <c r="AK360" s="39"/>
      <c r="AL360" s="4">
        <f t="shared" si="151"/>
        <v>231691</v>
      </c>
      <c r="AM360" s="4">
        <f t="shared" si="152"/>
        <v>33011</v>
      </c>
      <c r="AN360" s="4">
        <f t="shared" si="147"/>
        <v>264702</v>
      </c>
      <c r="AO360" s="39"/>
      <c r="AP360" s="8">
        <f t="shared" si="153"/>
        <v>0</v>
      </c>
      <c r="AQ360" s="8">
        <f t="shared" si="154"/>
        <v>0</v>
      </c>
      <c r="AR360" s="8">
        <f t="shared" si="148"/>
        <v>0</v>
      </c>
      <c r="AS360" s="42"/>
      <c r="AT360" s="84">
        <v>231691</v>
      </c>
      <c r="AU360" s="84">
        <v>33011</v>
      </c>
      <c r="AV360" s="4">
        <f t="shared" si="149"/>
        <v>264702</v>
      </c>
      <c r="AW360" s="50" t="str">
        <f t="shared" si="150"/>
        <v/>
      </c>
      <c r="AX360" s="1" t="s">
        <v>1639</v>
      </c>
      <c r="AY360" s="2" t="s">
        <v>1640</v>
      </c>
      <c r="AZ360" s="2">
        <v>53941.279999999999</v>
      </c>
      <c r="BA360" s="73">
        <v>47198.62</v>
      </c>
      <c r="BB360" s="73">
        <v>47198.62</v>
      </c>
      <c r="BC360" s="73">
        <v>53941.279999999999</v>
      </c>
      <c r="BD360" s="73"/>
      <c r="BE360" s="66">
        <v>2.5000000000000001E-2</v>
      </c>
      <c r="BF360" s="66">
        <v>0.02</v>
      </c>
      <c r="BG360" s="63">
        <v>44054</v>
      </c>
      <c r="BH360" s="2"/>
      <c r="BI360" s="2"/>
      <c r="BJ360" s="2"/>
      <c r="BK360" s="2"/>
      <c r="BL360" s="1" t="s">
        <v>56</v>
      </c>
    </row>
    <row r="361" spans="1:64" x14ac:dyDescent="0.25">
      <c r="A361" s="81" t="s">
        <v>660</v>
      </c>
      <c r="B361" s="82" t="s">
        <v>660</v>
      </c>
      <c r="C361" s="81" t="s">
        <v>661</v>
      </c>
      <c r="D361" s="16">
        <v>39787</v>
      </c>
      <c r="E361" s="17"/>
      <c r="F361" s="2" t="s">
        <v>76</v>
      </c>
      <c r="G361" s="2" t="s">
        <v>78</v>
      </c>
      <c r="H361" s="10" t="s">
        <v>57</v>
      </c>
      <c r="I361" s="11" t="s">
        <v>77</v>
      </c>
      <c r="J361" s="11" t="s">
        <v>87</v>
      </c>
      <c r="K361" s="61" t="s">
        <v>88</v>
      </c>
      <c r="L361" s="11" t="s">
        <v>67</v>
      </c>
      <c r="M361" s="25"/>
      <c r="N361" s="82"/>
      <c r="O361" s="3" t="str">
        <f t="shared" si="156"/>
        <v>A</v>
      </c>
      <c r="P361" s="84">
        <v>251188</v>
      </c>
      <c r="Q361" s="84">
        <v>37334</v>
      </c>
      <c r="R361" s="32"/>
      <c r="S361" s="3" t="str">
        <f t="shared" si="155"/>
        <v>A</v>
      </c>
      <c r="T361" s="84">
        <v>223967</v>
      </c>
      <c r="U361" s="84">
        <v>36963</v>
      </c>
      <c r="V361" s="32"/>
      <c r="W361" s="3" t="str">
        <f t="shared" si="144"/>
        <v>A</v>
      </c>
      <c r="X361" s="84">
        <v>197803</v>
      </c>
      <c r="Y361" s="84">
        <v>28114</v>
      </c>
      <c r="Z361" s="32"/>
      <c r="AA361" s="3" t="str">
        <f t="shared" si="145"/>
        <v>A</v>
      </c>
      <c r="AB361" s="84">
        <v>214788</v>
      </c>
      <c r="AC361" s="84">
        <v>30222</v>
      </c>
      <c r="AD361" s="36"/>
      <c r="AE361" s="82"/>
      <c r="AF361" s="3" t="str">
        <f t="shared" si="146"/>
        <v>A</v>
      </c>
      <c r="AG361" s="84">
        <v>0</v>
      </c>
      <c r="AH361" s="84">
        <v>0</v>
      </c>
      <c r="AI361" s="39"/>
      <c r="AJ361" s="79" t="s">
        <v>1801</v>
      </c>
      <c r="AK361" s="39"/>
      <c r="AL361" s="4">
        <f t="shared" si="151"/>
        <v>887746</v>
      </c>
      <c r="AM361" s="4">
        <f t="shared" si="152"/>
        <v>132633</v>
      </c>
      <c r="AN361" s="4">
        <f t="shared" si="147"/>
        <v>1020379</v>
      </c>
      <c r="AO361" s="39"/>
      <c r="AP361" s="8">
        <f t="shared" si="153"/>
        <v>0</v>
      </c>
      <c r="AQ361" s="8">
        <f t="shared" si="154"/>
        <v>0</v>
      </c>
      <c r="AR361" s="8">
        <f t="shared" si="148"/>
        <v>0</v>
      </c>
      <c r="AS361" s="42"/>
      <c r="AT361" s="84">
        <v>887746</v>
      </c>
      <c r="AU361" s="84">
        <v>132633</v>
      </c>
      <c r="AV361" s="4">
        <f t="shared" si="149"/>
        <v>1020379</v>
      </c>
      <c r="AW361" s="50" t="str">
        <f t="shared" si="150"/>
        <v/>
      </c>
      <c r="AX361" s="1" t="s">
        <v>1639</v>
      </c>
      <c r="AY361" s="2" t="s">
        <v>1640</v>
      </c>
      <c r="AZ361" s="2">
        <v>140041.76</v>
      </c>
      <c r="BA361" s="73">
        <v>122536.54</v>
      </c>
      <c r="BB361" s="73">
        <v>122536.54</v>
      </c>
      <c r="BC361" s="73">
        <v>140041.76</v>
      </c>
      <c r="BD361" s="73"/>
      <c r="BE361" s="66">
        <v>2.5000000000000001E-2</v>
      </c>
      <c r="BF361" s="66">
        <v>0.02</v>
      </c>
      <c r="BG361" s="63">
        <v>45657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668</v>
      </c>
      <c r="B362" s="82" t="s">
        <v>668</v>
      </c>
      <c r="C362" s="81" t="s">
        <v>669</v>
      </c>
      <c r="D362" s="16">
        <v>42887</v>
      </c>
      <c r="E362" s="17"/>
      <c r="F362" s="2" t="s">
        <v>52</v>
      </c>
      <c r="G362" s="2" t="s">
        <v>55</v>
      </c>
      <c r="H362" s="10" t="s">
        <v>57</v>
      </c>
      <c r="I362" s="11" t="s">
        <v>54</v>
      </c>
      <c r="J362" s="11" t="s">
        <v>620</v>
      </c>
      <c r="K362" s="61" t="s">
        <v>621</v>
      </c>
      <c r="L362" s="11" t="s">
        <v>67</v>
      </c>
      <c r="M362" s="25"/>
      <c r="N362" s="82"/>
      <c r="O362" s="3" t="str">
        <f t="shared" si="156"/>
        <v>A</v>
      </c>
      <c r="P362" s="84">
        <v>41762</v>
      </c>
      <c r="Q362" s="84">
        <v>8170</v>
      </c>
      <c r="R362" s="32"/>
      <c r="S362" s="3" t="str">
        <f t="shared" si="155"/>
        <v>A</v>
      </c>
      <c r="T362" s="84">
        <v>34398</v>
      </c>
      <c r="U362" s="84">
        <v>8390</v>
      </c>
      <c r="V362" s="32"/>
      <c r="W362" s="3" t="str">
        <f t="shared" si="144"/>
        <v>A</v>
      </c>
      <c r="X362" s="84">
        <v>34317</v>
      </c>
      <c r="Y362" s="84">
        <v>7285</v>
      </c>
      <c r="Z362" s="32"/>
      <c r="AA362" s="3" t="str">
        <f t="shared" si="145"/>
        <v>A</v>
      </c>
      <c r="AB362" s="84">
        <v>34564</v>
      </c>
      <c r="AC362" s="84">
        <v>6220</v>
      </c>
      <c r="AD362" s="36"/>
      <c r="AE362" s="82"/>
      <c r="AF362" s="3" t="str">
        <f t="shared" si="146"/>
        <v>A</v>
      </c>
      <c r="AG362" s="84">
        <v>0</v>
      </c>
      <c r="AH362" s="84">
        <v>0</v>
      </c>
      <c r="AI362" s="39"/>
      <c r="AJ362" s="79" t="s">
        <v>1801</v>
      </c>
      <c r="AK362" s="39"/>
      <c r="AL362" s="4">
        <f t="shared" si="151"/>
        <v>145041</v>
      </c>
      <c r="AM362" s="4">
        <f t="shared" si="152"/>
        <v>30065</v>
      </c>
      <c r="AN362" s="4">
        <f t="shared" si="147"/>
        <v>175106</v>
      </c>
      <c r="AO362" s="39"/>
      <c r="AP362" s="8">
        <f t="shared" si="153"/>
        <v>0</v>
      </c>
      <c r="AQ362" s="8">
        <f t="shared" si="154"/>
        <v>0</v>
      </c>
      <c r="AR362" s="8">
        <f t="shared" si="148"/>
        <v>0</v>
      </c>
      <c r="AS362" s="42"/>
      <c r="AT362" s="84">
        <v>145041</v>
      </c>
      <c r="AU362" s="84">
        <v>30065</v>
      </c>
      <c r="AV362" s="4">
        <f t="shared" si="149"/>
        <v>175106</v>
      </c>
      <c r="AW362" s="50" t="str">
        <f t="shared" si="150"/>
        <v/>
      </c>
      <c r="AX362" s="1" t="s">
        <v>1639</v>
      </c>
      <c r="AY362" s="2" t="s">
        <v>1640</v>
      </c>
      <c r="AZ362" s="2">
        <v>104494.16</v>
      </c>
      <c r="BA362" s="73">
        <v>91432.39</v>
      </c>
      <c r="BB362" s="73">
        <v>91432.39</v>
      </c>
      <c r="BC362" s="73">
        <v>104494.16</v>
      </c>
      <c r="BD362" s="73"/>
      <c r="BE362" s="66">
        <v>3.5000000000000003E-2</v>
      </c>
      <c r="BF362" s="66">
        <v>0.02</v>
      </c>
      <c r="BG362" s="63">
        <v>45835</v>
      </c>
      <c r="BH362" s="2"/>
      <c r="BI362" s="2"/>
      <c r="BJ362" s="2"/>
      <c r="BK362" s="2"/>
      <c r="BL362" s="1" t="s">
        <v>56</v>
      </c>
    </row>
    <row r="363" spans="1:64" x14ac:dyDescent="0.25">
      <c r="A363" s="81" t="s">
        <v>670</v>
      </c>
      <c r="B363" s="82" t="s">
        <v>670</v>
      </c>
      <c r="C363" s="81" t="s">
        <v>671</v>
      </c>
      <c r="D363" s="16">
        <v>35977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636</v>
      </c>
      <c r="K363" s="61" t="s">
        <v>637</v>
      </c>
      <c r="L363" s="11" t="s">
        <v>67</v>
      </c>
      <c r="M363" s="25"/>
      <c r="N363" s="82"/>
      <c r="O363" s="3" t="str">
        <f t="shared" si="156"/>
        <v>A</v>
      </c>
      <c r="P363" s="84">
        <v>34697</v>
      </c>
      <c r="Q363" s="84">
        <v>11712</v>
      </c>
      <c r="R363" s="32"/>
      <c r="S363" s="3" t="str">
        <f t="shared" si="155"/>
        <v>A</v>
      </c>
      <c r="T363" s="84">
        <v>32442.25</v>
      </c>
      <c r="U363" s="84">
        <v>12606</v>
      </c>
      <c r="V363" s="32"/>
      <c r="W363" s="3" t="str">
        <f t="shared" si="144"/>
        <v>A</v>
      </c>
      <c r="X363" s="84">
        <v>29782</v>
      </c>
      <c r="Y363" s="84">
        <v>10247</v>
      </c>
      <c r="Z363" s="32"/>
      <c r="AA363" s="3" t="str">
        <f t="shared" si="145"/>
        <v>A</v>
      </c>
      <c r="AB363" s="84">
        <v>35938</v>
      </c>
      <c r="AC363" s="84">
        <v>8886</v>
      </c>
      <c r="AD363" s="36"/>
      <c r="AE363" s="82"/>
      <c r="AF363" s="3" t="str">
        <f t="shared" si="146"/>
        <v>A</v>
      </c>
      <c r="AG363" s="84">
        <v>0</v>
      </c>
      <c r="AH363" s="84">
        <v>0</v>
      </c>
      <c r="AI363" s="39"/>
      <c r="AJ363" s="79" t="s">
        <v>1801</v>
      </c>
      <c r="AK363" s="39"/>
      <c r="AL363" s="4">
        <f t="shared" si="151"/>
        <v>132859.25</v>
      </c>
      <c r="AM363" s="4">
        <f t="shared" si="152"/>
        <v>43451</v>
      </c>
      <c r="AN363" s="4">
        <f t="shared" si="147"/>
        <v>176310.25</v>
      </c>
      <c r="AO363" s="39"/>
      <c r="AP363" s="8">
        <f t="shared" si="153"/>
        <v>0</v>
      </c>
      <c r="AQ363" s="8">
        <f t="shared" si="154"/>
        <v>0</v>
      </c>
      <c r="AR363" s="8">
        <f t="shared" si="148"/>
        <v>0</v>
      </c>
      <c r="AS363" s="42"/>
      <c r="AT363" s="84">
        <v>132859.25</v>
      </c>
      <c r="AU363" s="84">
        <v>43451</v>
      </c>
      <c r="AV363" s="4">
        <f t="shared" si="149"/>
        <v>176310.25</v>
      </c>
      <c r="AW363" s="50" t="str">
        <f t="shared" si="150"/>
        <v/>
      </c>
      <c r="AX363" s="1" t="s">
        <v>1639</v>
      </c>
      <c r="AY363" s="2" t="s">
        <v>1640</v>
      </c>
      <c r="AZ363" s="2">
        <v>84499.199999999997</v>
      </c>
      <c r="BA363" s="73">
        <v>73936.800000000003</v>
      </c>
      <c r="BB363" s="73">
        <v>73936.800000000003</v>
      </c>
      <c r="BC363" s="73">
        <v>84499.199999999997</v>
      </c>
      <c r="BD363" s="73"/>
      <c r="BE363" s="66">
        <v>2.5000000000000001E-2</v>
      </c>
      <c r="BF363" s="66">
        <v>0.02</v>
      </c>
      <c r="BG363" s="63">
        <v>44204</v>
      </c>
      <c r="BH363" s="74">
        <v>44004</v>
      </c>
      <c r="BI363" s="74">
        <v>44020</v>
      </c>
      <c r="BJ363" s="2"/>
      <c r="BK363" s="2"/>
      <c r="BL363" s="1" t="s">
        <v>56</v>
      </c>
    </row>
    <row r="364" spans="1:64" x14ac:dyDescent="0.25">
      <c r="A364" s="81" t="s">
        <v>686</v>
      </c>
      <c r="B364" s="82" t="s">
        <v>686</v>
      </c>
      <c r="C364" s="81" t="s">
        <v>687</v>
      </c>
      <c r="D364" s="16">
        <v>40607</v>
      </c>
      <c r="E364" s="17"/>
      <c r="F364" s="2" t="s">
        <v>76</v>
      </c>
      <c r="G364" s="2" t="s">
        <v>78</v>
      </c>
      <c r="H364" s="10" t="s">
        <v>57</v>
      </c>
      <c r="I364" s="11" t="s">
        <v>77</v>
      </c>
      <c r="J364" s="11" t="s">
        <v>79</v>
      </c>
      <c r="K364" s="61" t="s">
        <v>80</v>
      </c>
      <c r="L364" s="11" t="s">
        <v>67</v>
      </c>
      <c r="M364" s="25"/>
      <c r="N364" s="82"/>
      <c r="O364" s="3" t="str">
        <f t="shared" si="156"/>
        <v>A</v>
      </c>
      <c r="P364" s="84">
        <v>154068</v>
      </c>
      <c r="Q364" s="84">
        <v>46032</v>
      </c>
      <c r="R364" s="32"/>
      <c r="S364" s="3" t="str">
        <f t="shared" si="155"/>
        <v>A</v>
      </c>
      <c r="T364" s="84">
        <v>135452</v>
      </c>
      <c r="U364" s="84">
        <v>43048</v>
      </c>
      <c r="V364" s="32"/>
      <c r="W364" s="3" t="str">
        <f t="shared" si="144"/>
        <v>A</v>
      </c>
      <c r="X364" s="84">
        <v>119135</v>
      </c>
      <c r="Y364" s="84">
        <v>37118</v>
      </c>
      <c r="Z364" s="32"/>
      <c r="AA364" s="3" t="str">
        <f t="shared" si="145"/>
        <v>A</v>
      </c>
      <c r="AB364" s="84">
        <v>128285</v>
      </c>
      <c r="AC364" s="84">
        <v>43457</v>
      </c>
      <c r="AD364" s="36"/>
      <c r="AE364" s="82"/>
      <c r="AF364" s="3" t="str">
        <f t="shared" si="146"/>
        <v>A</v>
      </c>
      <c r="AG364" s="84">
        <v>0</v>
      </c>
      <c r="AH364" s="84">
        <v>0</v>
      </c>
      <c r="AI364" s="39"/>
      <c r="AJ364" s="79" t="s">
        <v>1801</v>
      </c>
      <c r="AK364" s="39"/>
      <c r="AL364" s="4">
        <f t="shared" si="151"/>
        <v>536940</v>
      </c>
      <c r="AM364" s="4">
        <f t="shared" si="152"/>
        <v>169655</v>
      </c>
      <c r="AN364" s="4">
        <f t="shared" si="147"/>
        <v>706595</v>
      </c>
      <c r="AO364" s="39"/>
      <c r="AP364" s="8">
        <f t="shared" si="153"/>
        <v>0</v>
      </c>
      <c r="AQ364" s="8">
        <f t="shared" si="154"/>
        <v>0</v>
      </c>
      <c r="AR364" s="8">
        <f t="shared" si="148"/>
        <v>0</v>
      </c>
      <c r="AS364" s="42"/>
      <c r="AT364" s="84">
        <v>536940</v>
      </c>
      <c r="AU364" s="84">
        <v>169655</v>
      </c>
      <c r="AV364" s="4">
        <f t="shared" si="149"/>
        <v>706595</v>
      </c>
      <c r="AW364" s="50" t="str">
        <f t="shared" si="150"/>
        <v/>
      </c>
      <c r="AX364" s="1" t="s">
        <v>1639</v>
      </c>
      <c r="AY364" s="2" t="s">
        <v>1640</v>
      </c>
      <c r="AZ364" s="2">
        <v>81654</v>
      </c>
      <c r="BA364" s="73">
        <v>71447.25</v>
      </c>
      <c r="BB364" s="73">
        <v>71447.25</v>
      </c>
      <c r="BC364" s="73">
        <v>81654</v>
      </c>
      <c r="BD364" s="73"/>
      <c r="BE364" s="66">
        <v>2.5000000000000001E-2</v>
      </c>
      <c r="BF364" s="66">
        <v>0.02</v>
      </c>
      <c r="BG364" s="63">
        <v>44026</v>
      </c>
      <c r="BH364" s="2"/>
      <c r="BI364" s="2"/>
      <c r="BJ364" s="2"/>
      <c r="BK364" s="2"/>
      <c r="BL364" s="1" t="s">
        <v>56</v>
      </c>
    </row>
    <row r="365" spans="1:64" x14ac:dyDescent="0.25">
      <c r="A365" s="81" t="s">
        <v>698</v>
      </c>
      <c r="B365" s="82" t="s">
        <v>698</v>
      </c>
      <c r="C365" s="81" t="s">
        <v>699</v>
      </c>
      <c r="D365" s="16">
        <v>41941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636</v>
      </c>
      <c r="K365" s="61" t="s">
        <v>637</v>
      </c>
      <c r="L365" s="11" t="s">
        <v>67</v>
      </c>
      <c r="M365" s="25"/>
      <c r="N365" s="82"/>
      <c r="O365" s="3" t="str">
        <f t="shared" si="156"/>
        <v>A</v>
      </c>
      <c r="P365" s="84">
        <v>49040</v>
      </c>
      <c r="Q365" s="84">
        <v>11880</v>
      </c>
      <c r="R365" s="32"/>
      <c r="S365" s="3" t="str">
        <f t="shared" si="155"/>
        <v>A</v>
      </c>
      <c r="T365" s="84">
        <v>41836</v>
      </c>
      <c r="U365" s="84">
        <v>10113</v>
      </c>
      <c r="V365" s="32"/>
      <c r="W365" s="3" t="str">
        <f t="shared" si="144"/>
        <v>A</v>
      </c>
      <c r="X365" s="84">
        <v>34109</v>
      </c>
      <c r="Y365" s="84">
        <v>8087</v>
      </c>
      <c r="Z365" s="32"/>
      <c r="AA365" s="3" t="str">
        <f t="shared" si="145"/>
        <v>A</v>
      </c>
      <c r="AB365" s="84">
        <v>34653</v>
      </c>
      <c r="AC365" s="84">
        <v>8912</v>
      </c>
      <c r="AD365" s="36"/>
      <c r="AE365" s="82"/>
      <c r="AF365" s="3" t="str">
        <f t="shared" si="146"/>
        <v>A</v>
      </c>
      <c r="AG365" s="84">
        <v>0</v>
      </c>
      <c r="AH365" s="84">
        <v>0</v>
      </c>
      <c r="AI365" s="39"/>
      <c r="AJ365" s="79" t="s">
        <v>1801</v>
      </c>
      <c r="AK365" s="39"/>
      <c r="AL365" s="4">
        <f t="shared" si="151"/>
        <v>159638</v>
      </c>
      <c r="AM365" s="4">
        <f t="shared" si="152"/>
        <v>38992</v>
      </c>
      <c r="AN365" s="4">
        <f t="shared" si="147"/>
        <v>198630</v>
      </c>
      <c r="AO365" s="39"/>
      <c r="AP365" s="8">
        <f t="shared" si="153"/>
        <v>0</v>
      </c>
      <c r="AQ365" s="8">
        <f t="shared" si="154"/>
        <v>0</v>
      </c>
      <c r="AR365" s="8">
        <f t="shared" si="148"/>
        <v>0</v>
      </c>
      <c r="AS365" s="42"/>
      <c r="AT365" s="84">
        <v>159638</v>
      </c>
      <c r="AU365" s="84">
        <v>38992</v>
      </c>
      <c r="AV365" s="4">
        <f t="shared" si="149"/>
        <v>198630</v>
      </c>
      <c r="AW365" s="50" t="str">
        <f t="shared" si="150"/>
        <v/>
      </c>
      <c r="AX365" s="1" t="s">
        <v>1639</v>
      </c>
      <c r="AY365" s="2" t="s">
        <v>1640</v>
      </c>
      <c r="AZ365" s="2">
        <v>77692.960000000006</v>
      </c>
      <c r="BA365" s="73">
        <v>67981.34</v>
      </c>
      <c r="BB365" s="73">
        <v>67981.34</v>
      </c>
      <c r="BC365" s="73">
        <v>77692.960000000006</v>
      </c>
      <c r="BD365" s="73"/>
      <c r="BE365" s="66">
        <v>3.5000000000000003E-2</v>
      </c>
      <c r="BF365" s="66">
        <v>0.02</v>
      </c>
      <c r="BG365" s="63">
        <v>44661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709</v>
      </c>
      <c r="B366" s="82" t="s">
        <v>709</v>
      </c>
      <c r="C366" s="81" t="s">
        <v>710</v>
      </c>
      <c r="D366" s="16">
        <v>41450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139</v>
      </c>
      <c r="K366" s="61" t="s">
        <v>140</v>
      </c>
      <c r="L366" s="11" t="s">
        <v>67</v>
      </c>
      <c r="M366" s="25"/>
      <c r="N366" s="82"/>
      <c r="O366" s="3" t="str">
        <f t="shared" si="156"/>
        <v>A</v>
      </c>
      <c r="P366" s="84">
        <v>32365</v>
      </c>
      <c r="Q366" s="84">
        <v>11168</v>
      </c>
      <c r="R366" s="32"/>
      <c r="S366" s="3" t="str">
        <f t="shared" si="155"/>
        <v>A</v>
      </c>
      <c r="T366" s="84">
        <v>29091</v>
      </c>
      <c r="U366" s="84">
        <v>7832</v>
      </c>
      <c r="V366" s="32"/>
      <c r="W366" s="3" t="str">
        <f t="shared" si="144"/>
        <v>A</v>
      </c>
      <c r="X366" s="84">
        <v>30729</v>
      </c>
      <c r="Y366" s="84">
        <v>9304</v>
      </c>
      <c r="Z366" s="32"/>
      <c r="AA366" s="3" t="str">
        <f t="shared" si="145"/>
        <v>A</v>
      </c>
      <c r="AB366" s="84">
        <v>34229</v>
      </c>
      <c r="AC366" s="84">
        <v>11764</v>
      </c>
      <c r="AD366" s="36"/>
      <c r="AE366" s="82"/>
      <c r="AF366" s="3" t="str">
        <f t="shared" si="146"/>
        <v>A</v>
      </c>
      <c r="AG366" s="84">
        <v>0</v>
      </c>
      <c r="AH366" s="84">
        <v>0</v>
      </c>
      <c r="AI366" s="39"/>
      <c r="AJ366" s="79" t="s">
        <v>1801</v>
      </c>
      <c r="AK366" s="39"/>
      <c r="AL366" s="4">
        <f t="shared" si="151"/>
        <v>126414</v>
      </c>
      <c r="AM366" s="4">
        <f t="shared" si="152"/>
        <v>40068</v>
      </c>
      <c r="AN366" s="4">
        <f t="shared" si="147"/>
        <v>166482</v>
      </c>
      <c r="AO366" s="39"/>
      <c r="AP366" s="8">
        <f t="shared" si="153"/>
        <v>0</v>
      </c>
      <c r="AQ366" s="8">
        <f t="shared" si="154"/>
        <v>0</v>
      </c>
      <c r="AR366" s="8">
        <f t="shared" si="148"/>
        <v>0</v>
      </c>
      <c r="AS366" s="42"/>
      <c r="AT366" s="84">
        <v>126414</v>
      </c>
      <c r="AU366" s="84">
        <v>40068</v>
      </c>
      <c r="AV366" s="4">
        <f t="shared" si="149"/>
        <v>166482</v>
      </c>
      <c r="AW366" s="50" t="str">
        <f t="shared" si="150"/>
        <v/>
      </c>
      <c r="AX366" s="1" t="s">
        <v>1639</v>
      </c>
      <c r="AY366" s="2" t="s">
        <v>1640</v>
      </c>
      <c r="AZ366" s="2">
        <v>33634.720000000001</v>
      </c>
      <c r="BA366" s="73">
        <v>29430.38</v>
      </c>
      <c r="BB366" s="73">
        <v>29430.38</v>
      </c>
      <c r="BC366" s="73">
        <v>33634.720000000001</v>
      </c>
      <c r="BD366" s="73"/>
      <c r="BE366" s="66">
        <v>3.5000000000000003E-2</v>
      </c>
      <c r="BF366" s="66">
        <v>0.02</v>
      </c>
      <c r="BG366" s="63">
        <v>44755</v>
      </c>
      <c r="BH366" s="74">
        <v>43941</v>
      </c>
      <c r="BI366" s="74">
        <v>43983</v>
      </c>
      <c r="BJ366" s="2"/>
      <c r="BK366" s="2"/>
      <c r="BL366" s="1" t="s">
        <v>56</v>
      </c>
    </row>
    <row r="367" spans="1:64" x14ac:dyDescent="0.25">
      <c r="A367" s="81" t="s">
        <v>739</v>
      </c>
      <c r="B367" s="82" t="s">
        <v>739</v>
      </c>
      <c r="C367" s="81" t="s">
        <v>740</v>
      </c>
      <c r="D367" s="16">
        <v>40169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68</v>
      </c>
      <c r="K367" s="61" t="s">
        <v>69</v>
      </c>
      <c r="L367" s="11" t="s">
        <v>67</v>
      </c>
      <c r="M367" s="25"/>
      <c r="N367" s="82"/>
      <c r="O367" s="3" t="str">
        <f t="shared" si="156"/>
        <v>A</v>
      </c>
      <c r="P367" s="84">
        <v>178287.16</v>
      </c>
      <c r="Q367" s="84">
        <v>25365</v>
      </c>
      <c r="R367" s="32"/>
      <c r="S367" s="3" t="str">
        <f t="shared" si="155"/>
        <v>A</v>
      </c>
      <c r="T367" s="84">
        <v>154076.32999999999</v>
      </c>
      <c r="U367" s="84">
        <v>19226</v>
      </c>
      <c r="V367" s="32"/>
      <c r="W367" s="3" t="str">
        <f t="shared" si="144"/>
        <v>A</v>
      </c>
      <c r="X367" s="84">
        <v>148935.57</v>
      </c>
      <c r="Y367" s="84">
        <v>21855</v>
      </c>
      <c r="Z367" s="32"/>
      <c r="AA367" s="3" t="str">
        <f t="shared" si="145"/>
        <v>A</v>
      </c>
      <c r="AB367" s="84">
        <v>164191</v>
      </c>
      <c r="AC367" s="84">
        <v>24540.39</v>
      </c>
      <c r="AD367" s="36"/>
      <c r="AE367" s="82"/>
      <c r="AF367" s="3" t="str">
        <f t="shared" si="146"/>
        <v>A</v>
      </c>
      <c r="AG367" s="84">
        <v>0</v>
      </c>
      <c r="AH367" s="84">
        <v>0</v>
      </c>
      <c r="AI367" s="39"/>
      <c r="AJ367" s="79" t="s">
        <v>1801</v>
      </c>
      <c r="AK367" s="39"/>
      <c r="AL367" s="4">
        <f t="shared" si="151"/>
        <v>645490.06000000006</v>
      </c>
      <c r="AM367" s="4">
        <f t="shared" si="152"/>
        <v>90986.39</v>
      </c>
      <c r="AN367" s="4">
        <f t="shared" si="147"/>
        <v>736476.45000000007</v>
      </c>
      <c r="AO367" s="39"/>
      <c r="AP367" s="8">
        <f t="shared" si="153"/>
        <v>0</v>
      </c>
      <c r="AQ367" s="8">
        <f t="shared" si="154"/>
        <v>0</v>
      </c>
      <c r="AR367" s="8">
        <f t="shared" si="148"/>
        <v>0</v>
      </c>
      <c r="AS367" s="42"/>
      <c r="AT367" s="84">
        <v>645490.05999999994</v>
      </c>
      <c r="AU367" s="84">
        <v>90986.39</v>
      </c>
      <c r="AV367" s="4">
        <f t="shared" si="149"/>
        <v>736476.45</v>
      </c>
      <c r="AW367" s="50" t="str">
        <f t="shared" si="150"/>
        <v/>
      </c>
      <c r="AX367" s="1" t="s">
        <v>1639</v>
      </c>
      <c r="AY367" s="2" t="s">
        <v>1640</v>
      </c>
      <c r="AZ367" s="2">
        <v>170782.24</v>
      </c>
      <c r="BA367" s="73">
        <v>149434.46</v>
      </c>
      <c r="BB367" s="73">
        <v>149434.46</v>
      </c>
      <c r="BC367" s="73">
        <v>170782.24</v>
      </c>
      <c r="BD367" s="73"/>
      <c r="BE367" s="66">
        <v>3.5000000000000003E-2</v>
      </c>
      <c r="BF367" s="66">
        <v>0.02</v>
      </c>
      <c r="BG367" s="63">
        <v>45003</v>
      </c>
      <c r="BH367" s="2"/>
      <c r="BI367" s="2"/>
      <c r="BJ367" s="2"/>
      <c r="BK367" s="2"/>
      <c r="BL367" s="1" t="s">
        <v>56</v>
      </c>
    </row>
    <row r="368" spans="1:64" x14ac:dyDescent="0.25">
      <c r="A368" s="81" t="s">
        <v>755</v>
      </c>
      <c r="B368" s="82" t="s">
        <v>755</v>
      </c>
      <c r="C368" s="81" t="s">
        <v>756</v>
      </c>
      <c r="D368" s="16">
        <v>40786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58</v>
      </c>
      <c r="K368" s="61" t="s">
        <v>59</v>
      </c>
      <c r="L368" s="11" t="s">
        <v>67</v>
      </c>
      <c r="M368" s="25"/>
      <c r="N368" s="82"/>
      <c r="O368" s="3" t="str">
        <f t="shared" si="156"/>
        <v>A</v>
      </c>
      <c r="P368" s="84">
        <v>41285</v>
      </c>
      <c r="Q368" s="84">
        <v>25563</v>
      </c>
      <c r="R368" s="32"/>
      <c r="S368" s="3" t="str">
        <f t="shared" si="155"/>
        <v>A</v>
      </c>
      <c r="T368" s="84">
        <v>57194</v>
      </c>
      <c r="U368" s="84">
        <v>27231</v>
      </c>
      <c r="V368" s="32"/>
      <c r="W368" s="3" t="str">
        <f t="shared" si="144"/>
        <v>A</v>
      </c>
      <c r="X368" s="84">
        <v>61324</v>
      </c>
      <c r="Y368" s="84">
        <v>31245</v>
      </c>
      <c r="Z368" s="32"/>
      <c r="AA368" s="3" t="str">
        <f t="shared" si="145"/>
        <v>A</v>
      </c>
      <c r="AB368" s="84">
        <v>58403</v>
      </c>
      <c r="AC368" s="84">
        <v>23126</v>
      </c>
      <c r="AD368" s="36"/>
      <c r="AE368" s="82"/>
      <c r="AF368" s="3" t="str">
        <f t="shared" si="146"/>
        <v>A</v>
      </c>
      <c r="AG368" s="84">
        <v>0</v>
      </c>
      <c r="AH368" s="84">
        <v>0</v>
      </c>
      <c r="AI368" s="39"/>
      <c r="AJ368" s="79" t="s">
        <v>1801</v>
      </c>
      <c r="AK368" s="39"/>
      <c r="AL368" s="4">
        <f t="shared" si="151"/>
        <v>218206</v>
      </c>
      <c r="AM368" s="4">
        <f t="shared" si="152"/>
        <v>107165</v>
      </c>
      <c r="AN368" s="4">
        <f t="shared" si="147"/>
        <v>325371</v>
      </c>
      <c r="AO368" s="39"/>
      <c r="AP368" s="8">
        <f t="shared" si="153"/>
        <v>0</v>
      </c>
      <c r="AQ368" s="8">
        <f t="shared" si="154"/>
        <v>0</v>
      </c>
      <c r="AR368" s="8">
        <f t="shared" si="148"/>
        <v>0</v>
      </c>
      <c r="AS368" s="42"/>
      <c r="AT368" s="84">
        <v>218206</v>
      </c>
      <c r="AU368" s="84">
        <v>107165</v>
      </c>
      <c r="AV368" s="4">
        <f t="shared" si="149"/>
        <v>325371</v>
      </c>
      <c r="AW368" s="50" t="str">
        <f t="shared" si="150"/>
        <v/>
      </c>
      <c r="AX368" s="1" t="s">
        <v>1639</v>
      </c>
      <c r="AY368" s="2" t="s">
        <v>1640</v>
      </c>
      <c r="AZ368" s="2">
        <v>51505.2</v>
      </c>
      <c r="BA368" s="73">
        <v>45067.05</v>
      </c>
      <c r="BB368" s="73">
        <v>45067.05</v>
      </c>
      <c r="BC368" s="73">
        <v>51505.2</v>
      </c>
      <c r="BD368" s="73"/>
      <c r="BE368" s="66">
        <v>2.5000000000000001E-2</v>
      </c>
      <c r="BF368" s="66">
        <v>0.02</v>
      </c>
      <c r="BG368" s="63">
        <v>44424</v>
      </c>
      <c r="BH368" s="2"/>
      <c r="BI368" s="2"/>
      <c r="BJ368" s="2"/>
      <c r="BK368" s="2"/>
      <c r="BL368" s="1" t="s">
        <v>56</v>
      </c>
    </row>
    <row r="369" spans="1:64" x14ac:dyDescent="0.25">
      <c r="A369" s="81" t="s">
        <v>755</v>
      </c>
      <c r="B369" s="82" t="s">
        <v>757</v>
      </c>
      <c r="C369" s="81" t="s">
        <v>758</v>
      </c>
      <c r="D369" s="16">
        <v>43246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58</v>
      </c>
      <c r="K369" s="61" t="s">
        <v>59</v>
      </c>
      <c r="L369" s="11" t="s">
        <v>67</v>
      </c>
      <c r="M369" s="25"/>
      <c r="N369" s="82"/>
      <c r="O369" s="3" t="str">
        <f t="shared" si="156"/>
        <v>A</v>
      </c>
      <c r="P369" s="84">
        <v>66390</v>
      </c>
      <c r="Q369" s="84">
        <v>23982</v>
      </c>
      <c r="R369" s="32"/>
      <c r="S369" s="3" t="str">
        <f t="shared" si="155"/>
        <v>A</v>
      </c>
      <c r="T369" s="84">
        <v>56484</v>
      </c>
      <c r="U369" s="84">
        <v>20403</v>
      </c>
      <c r="V369" s="32"/>
      <c r="W369" s="3" t="str">
        <f t="shared" si="144"/>
        <v>A</v>
      </c>
      <c r="X369" s="84">
        <v>49598</v>
      </c>
      <c r="Y369" s="84">
        <v>15672</v>
      </c>
      <c r="Z369" s="32"/>
      <c r="AA369" s="3" t="str">
        <f t="shared" si="145"/>
        <v>A</v>
      </c>
      <c r="AB369" s="84">
        <v>57065</v>
      </c>
      <c r="AC369" s="84">
        <v>18216</v>
      </c>
      <c r="AD369" s="36"/>
      <c r="AE369" s="82"/>
      <c r="AF369" s="3" t="str">
        <f t="shared" si="146"/>
        <v>A</v>
      </c>
      <c r="AG369" s="84">
        <v>0</v>
      </c>
      <c r="AH369" s="84">
        <v>0</v>
      </c>
      <c r="AI369" s="39"/>
      <c r="AJ369" s="79" t="s">
        <v>1801</v>
      </c>
      <c r="AK369" s="39"/>
      <c r="AL369" s="4">
        <f t="shared" si="151"/>
        <v>229537</v>
      </c>
      <c r="AM369" s="4">
        <f t="shared" si="152"/>
        <v>78273</v>
      </c>
      <c r="AN369" s="4">
        <f t="shared" si="147"/>
        <v>307810</v>
      </c>
      <c r="AO369" s="39"/>
      <c r="AP369" s="8">
        <f t="shared" si="153"/>
        <v>0</v>
      </c>
      <c r="AQ369" s="8">
        <f t="shared" si="154"/>
        <v>0</v>
      </c>
      <c r="AR369" s="8">
        <f t="shared" si="148"/>
        <v>0</v>
      </c>
      <c r="AS369" s="42"/>
      <c r="AT369" s="84">
        <v>229537</v>
      </c>
      <c r="AU369" s="84">
        <v>78273</v>
      </c>
      <c r="AV369" s="4">
        <f t="shared" si="149"/>
        <v>307810</v>
      </c>
      <c r="AW369" s="50" t="str">
        <f t="shared" si="150"/>
        <v/>
      </c>
      <c r="AX369" s="1" t="s">
        <v>1639</v>
      </c>
      <c r="AY369" s="2" t="s">
        <v>1640</v>
      </c>
      <c r="AZ369" s="2">
        <v>38127.199999999997</v>
      </c>
      <c r="BA369" s="73">
        <v>33361.300000000003</v>
      </c>
      <c r="BB369" s="73">
        <v>33361.300000000003</v>
      </c>
      <c r="BC369" s="73">
        <v>38127.199999999997</v>
      </c>
      <c r="BD369" s="73"/>
      <c r="BE369" s="66">
        <v>0</v>
      </c>
      <c r="BF369" s="66">
        <v>0.02</v>
      </c>
      <c r="BG369" s="63">
        <v>44424</v>
      </c>
      <c r="BH369" s="2"/>
      <c r="BI369" s="2"/>
      <c r="BJ369" s="2"/>
      <c r="BK369" s="2"/>
      <c r="BL369" s="1" t="s">
        <v>56</v>
      </c>
    </row>
    <row r="370" spans="1:64" x14ac:dyDescent="0.25">
      <c r="A370" s="81" t="s">
        <v>755</v>
      </c>
      <c r="B370" s="82" t="s">
        <v>759</v>
      </c>
      <c r="C370" s="81" t="s">
        <v>760</v>
      </c>
      <c r="D370" s="16">
        <v>43700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58</v>
      </c>
      <c r="K370" s="61" t="s">
        <v>59</v>
      </c>
      <c r="L370" s="11" t="s">
        <v>67</v>
      </c>
      <c r="M370" s="25"/>
      <c r="N370" s="82"/>
      <c r="O370" s="3" t="str">
        <f t="shared" si="156"/>
        <v>A</v>
      </c>
      <c r="P370" s="84">
        <v>59493</v>
      </c>
      <c r="Q370" s="84">
        <v>24782</v>
      </c>
      <c r="R370" s="32"/>
      <c r="S370" s="3" t="str">
        <f t="shared" si="155"/>
        <v>A</v>
      </c>
      <c r="T370" s="84">
        <v>51405</v>
      </c>
      <c r="U370" s="84">
        <v>22508</v>
      </c>
      <c r="V370" s="32"/>
      <c r="W370" s="3" t="str">
        <f t="shared" si="144"/>
        <v>A</v>
      </c>
      <c r="X370" s="84">
        <v>43318</v>
      </c>
      <c r="Y370" s="84">
        <v>22222</v>
      </c>
      <c r="Z370" s="32"/>
      <c r="AA370" s="3" t="str">
        <f t="shared" si="145"/>
        <v>A</v>
      </c>
      <c r="AB370" s="84">
        <v>48629</v>
      </c>
      <c r="AC370" s="84">
        <v>21357</v>
      </c>
      <c r="AD370" s="36"/>
      <c r="AE370" s="82"/>
      <c r="AF370" s="3" t="str">
        <f t="shared" si="146"/>
        <v>A</v>
      </c>
      <c r="AG370" s="84">
        <v>0</v>
      </c>
      <c r="AH370" s="84">
        <v>0</v>
      </c>
      <c r="AI370" s="39"/>
      <c r="AJ370" s="79" t="s">
        <v>1801</v>
      </c>
      <c r="AK370" s="39"/>
      <c r="AL370" s="4">
        <f t="shared" si="151"/>
        <v>202845</v>
      </c>
      <c r="AM370" s="4">
        <f t="shared" si="152"/>
        <v>90869</v>
      </c>
      <c r="AN370" s="4">
        <f t="shared" si="147"/>
        <v>293714</v>
      </c>
      <c r="AO370" s="39"/>
      <c r="AP370" s="8">
        <f t="shared" si="153"/>
        <v>0</v>
      </c>
      <c r="AQ370" s="8">
        <f t="shared" si="154"/>
        <v>0</v>
      </c>
      <c r="AR370" s="8">
        <f t="shared" si="148"/>
        <v>0</v>
      </c>
      <c r="AS370" s="42"/>
      <c r="AT370" s="84">
        <v>202845</v>
      </c>
      <c r="AU370" s="84">
        <v>90869</v>
      </c>
      <c r="AV370" s="4">
        <f t="shared" si="149"/>
        <v>293714</v>
      </c>
      <c r="AW370" s="50" t="str">
        <f t="shared" si="150"/>
        <v/>
      </c>
      <c r="AX370" s="1" t="s">
        <v>1639</v>
      </c>
      <c r="AY370" s="2" t="s">
        <v>1640</v>
      </c>
      <c r="AZ370" s="2">
        <v>55184.72</v>
      </c>
      <c r="BA370" s="73">
        <v>48286.63</v>
      </c>
      <c r="BB370" s="73">
        <v>48286.63</v>
      </c>
      <c r="BC370" s="73">
        <v>55184.72</v>
      </c>
      <c r="BD370" s="73"/>
      <c r="BE370" s="66">
        <v>0</v>
      </c>
      <c r="BF370" s="66">
        <v>0.02</v>
      </c>
      <c r="BG370" s="63">
        <v>44424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763</v>
      </c>
      <c r="B371" s="82" t="s">
        <v>763</v>
      </c>
      <c r="C371" s="81" t="s">
        <v>764</v>
      </c>
      <c r="D371" s="16">
        <v>41276</v>
      </c>
      <c r="E371" s="17"/>
      <c r="F371" s="2" t="s">
        <v>52</v>
      </c>
      <c r="G371" s="2" t="s">
        <v>55</v>
      </c>
      <c r="H371" s="10" t="s">
        <v>57</v>
      </c>
      <c r="I371" s="11" t="s">
        <v>54</v>
      </c>
      <c r="J371" s="11" t="s">
        <v>620</v>
      </c>
      <c r="K371" s="61" t="s">
        <v>621</v>
      </c>
      <c r="L371" s="11" t="s">
        <v>67</v>
      </c>
      <c r="M371" s="25"/>
      <c r="N371" s="82"/>
      <c r="O371" s="3" t="str">
        <f t="shared" si="156"/>
        <v>A</v>
      </c>
      <c r="P371" s="84">
        <v>69190</v>
      </c>
      <c r="Q371" s="84">
        <v>23460</v>
      </c>
      <c r="R371" s="32"/>
      <c r="S371" s="3" t="str">
        <f t="shared" si="155"/>
        <v>A</v>
      </c>
      <c r="T371" s="84">
        <v>67581</v>
      </c>
      <c r="U371" s="84">
        <v>23922</v>
      </c>
      <c r="V371" s="32"/>
      <c r="W371" s="3" t="str">
        <f t="shared" si="144"/>
        <v>A</v>
      </c>
      <c r="X371" s="84">
        <v>63196</v>
      </c>
      <c r="Y371" s="84">
        <v>23876</v>
      </c>
      <c r="Z371" s="32"/>
      <c r="AA371" s="3" t="str">
        <f t="shared" si="145"/>
        <v>A</v>
      </c>
      <c r="AB371" s="84">
        <v>64925</v>
      </c>
      <c r="AC371" s="84">
        <v>22315</v>
      </c>
      <c r="AD371" s="36"/>
      <c r="AE371" s="82"/>
      <c r="AF371" s="3" t="str">
        <f t="shared" si="146"/>
        <v>A</v>
      </c>
      <c r="AG371" s="84">
        <v>0</v>
      </c>
      <c r="AH371" s="84">
        <v>0</v>
      </c>
      <c r="AI371" s="39"/>
      <c r="AJ371" s="79" t="s">
        <v>1801</v>
      </c>
      <c r="AK371" s="39"/>
      <c r="AL371" s="4">
        <f t="shared" si="151"/>
        <v>264892</v>
      </c>
      <c r="AM371" s="4">
        <f t="shared" si="152"/>
        <v>93573</v>
      </c>
      <c r="AN371" s="4">
        <f t="shared" si="147"/>
        <v>358465</v>
      </c>
      <c r="AO371" s="39"/>
      <c r="AP371" s="8">
        <f t="shared" si="153"/>
        <v>0</v>
      </c>
      <c r="AQ371" s="8">
        <f t="shared" si="154"/>
        <v>0</v>
      </c>
      <c r="AR371" s="8">
        <f t="shared" si="148"/>
        <v>0</v>
      </c>
      <c r="AS371" s="42"/>
      <c r="AT371" s="84">
        <v>264892</v>
      </c>
      <c r="AU371" s="84">
        <v>93573</v>
      </c>
      <c r="AV371" s="4">
        <f t="shared" si="149"/>
        <v>358465</v>
      </c>
      <c r="AW371" s="50" t="str">
        <f t="shared" si="150"/>
        <v/>
      </c>
      <c r="AX371" s="1" t="s">
        <v>1639</v>
      </c>
      <c r="AY371" s="2" t="s">
        <v>1640</v>
      </c>
      <c r="AZ371" s="2">
        <v>60744.72</v>
      </c>
      <c r="BA371" s="73">
        <v>53151.63</v>
      </c>
      <c r="BB371" s="73">
        <v>53151.63</v>
      </c>
      <c r="BC371" s="73">
        <v>60744.72</v>
      </c>
      <c r="BD371" s="73"/>
      <c r="BE371" s="66">
        <v>2.5000000000000001E-2</v>
      </c>
      <c r="BF371" s="66">
        <v>0.02</v>
      </c>
      <c r="BG371" s="63">
        <v>44228</v>
      </c>
      <c r="BH371" s="2"/>
      <c r="BI371" s="2"/>
      <c r="BJ371" s="2"/>
      <c r="BK371" s="2"/>
      <c r="BL371" s="1" t="s">
        <v>56</v>
      </c>
    </row>
    <row r="372" spans="1:64" x14ac:dyDescent="0.25">
      <c r="A372" s="81" t="s">
        <v>790</v>
      </c>
      <c r="B372" s="82" t="s">
        <v>790</v>
      </c>
      <c r="C372" s="81" t="s">
        <v>791</v>
      </c>
      <c r="D372" s="16">
        <v>40936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620</v>
      </c>
      <c r="K372" s="61" t="s">
        <v>621</v>
      </c>
      <c r="L372" s="11" t="s">
        <v>67</v>
      </c>
      <c r="M372" s="25"/>
      <c r="N372" s="82"/>
      <c r="O372" s="3" t="str">
        <f t="shared" si="156"/>
        <v>A</v>
      </c>
      <c r="P372" s="84">
        <v>68354</v>
      </c>
      <c r="Q372" s="84">
        <v>13825</v>
      </c>
      <c r="R372" s="32"/>
      <c r="S372" s="3" t="str">
        <f t="shared" si="155"/>
        <v>A</v>
      </c>
      <c r="T372" s="84">
        <v>59233</v>
      </c>
      <c r="U372" s="84">
        <v>10001</v>
      </c>
      <c r="V372" s="32"/>
      <c r="W372" s="3" t="str">
        <f t="shared" si="144"/>
        <v>A</v>
      </c>
      <c r="X372" s="84">
        <v>61757</v>
      </c>
      <c r="Y372" s="84">
        <v>11341</v>
      </c>
      <c r="Z372" s="32"/>
      <c r="AA372" s="3" t="str">
        <f t="shared" si="145"/>
        <v>A</v>
      </c>
      <c r="AB372" s="84">
        <v>63887</v>
      </c>
      <c r="AC372" s="84">
        <v>11214</v>
      </c>
      <c r="AD372" s="36"/>
      <c r="AE372" s="82"/>
      <c r="AF372" s="3" t="str">
        <f t="shared" si="146"/>
        <v>A</v>
      </c>
      <c r="AG372" s="84">
        <v>0</v>
      </c>
      <c r="AH372" s="84">
        <v>0</v>
      </c>
      <c r="AI372" s="39"/>
      <c r="AJ372" s="79" t="s">
        <v>1801</v>
      </c>
      <c r="AK372" s="39"/>
      <c r="AL372" s="4">
        <f t="shared" si="151"/>
        <v>253231</v>
      </c>
      <c r="AM372" s="4">
        <f t="shared" si="152"/>
        <v>46381</v>
      </c>
      <c r="AN372" s="4">
        <f t="shared" si="147"/>
        <v>299612</v>
      </c>
      <c r="AO372" s="39"/>
      <c r="AP372" s="8">
        <f t="shared" si="153"/>
        <v>0</v>
      </c>
      <c r="AQ372" s="8">
        <f t="shared" si="154"/>
        <v>0</v>
      </c>
      <c r="AR372" s="8">
        <f t="shared" si="148"/>
        <v>0</v>
      </c>
      <c r="AS372" s="42"/>
      <c r="AT372" s="84">
        <v>253231</v>
      </c>
      <c r="AU372" s="84">
        <v>46381</v>
      </c>
      <c r="AV372" s="4">
        <f t="shared" si="149"/>
        <v>299612</v>
      </c>
      <c r="AW372" s="50" t="str">
        <f t="shared" si="150"/>
        <v/>
      </c>
      <c r="AX372" s="1" t="s">
        <v>1639</v>
      </c>
      <c r="AY372" s="2" t="s">
        <v>1640</v>
      </c>
      <c r="AZ372" s="2">
        <v>81875.92</v>
      </c>
      <c r="BA372" s="73">
        <v>71641.429999999993</v>
      </c>
      <c r="BB372" s="73">
        <v>71641.429999999993</v>
      </c>
      <c r="BC372" s="73">
        <v>81875.92</v>
      </c>
      <c r="BD372" s="73"/>
      <c r="BE372" s="66">
        <v>3.5000000000000003E-2</v>
      </c>
      <c r="BF372" s="66">
        <v>0.02</v>
      </c>
      <c r="BG372" s="63">
        <v>45777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798</v>
      </c>
      <c r="B373" s="82" t="s">
        <v>798</v>
      </c>
      <c r="C373" s="81" t="s">
        <v>799</v>
      </c>
      <c r="D373" s="16">
        <v>42122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636</v>
      </c>
      <c r="K373" s="61" t="s">
        <v>637</v>
      </c>
      <c r="L373" s="11" t="s">
        <v>67</v>
      </c>
      <c r="M373" s="25"/>
      <c r="N373" s="82"/>
      <c r="O373" s="3" t="str">
        <f t="shared" si="156"/>
        <v>A</v>
      </c>
      <c r="P373" s="84">
        <v>38160</v>
      </c>
      <c r="Q373" s="84">
        <v>11403</v>
      </c>
      <c r="R373" s="32"/>
      <c r="S373" s="3" t="str">
        <f t="shared" si="155"/>
        <v>A</v>
      </c>
      <c r="T373" s="84">
        <v>35430</v>
      </c>
      <c r="U373" s="84">
        <v>9348</v>
      </c>
      <c r="V373" s="32"/>
      <c r="W373" s="3" t="str">
        <f t="shared" si="144"/>
        <v>A</v>
      </c>
      <c r="X373" s="84">
        <v>32664</v>
      </c>
      <c r="Y373" s="84">
        <v>8761</v>
      </c>
      <c r="Z373" s="32"/>
      <c r="AA373" s="3" t="str">
        <f t="shared" si="145"/>
        <v>A</v>
      </c>
      <c r="AB373" s="84">
        <v>36119</v>
      </c>
      <c r="AC373" s="84">
        <v>10139</v>
      </c>
      <c r="AD373" s="36"/>
      <c r="AE373" s="82"/>
      <c r="AF373" s="3" t="str">
        <f t="shared" si="146"/>
        <v>A</v>
      </c>
      <c r="AG373" s="84">
        <v>0</v>
      </c>
      <c r="AH373" s="84">
        <v>0</v>
      </c>
      <c r="AI373" s="39"/>
      <c r="AJ373" s="79" t="s">
        <v>1801</v>
      </c>
      <c r="AK373" s="39"/>
      <c r="AL373" s="4">
        <f t="shared" si="151"/>
        <v>142373</v>
      </c>
      <c r="AM373" s="4">
        <f t="shared" si="152"/>
        <v>39651</v>
      </c>
      <c r="AN373" s="4">
        <f t="shared" si="147"/>
        <v>182024</v>
      </c>
      <c r="AO373" s="39"/>
      <c r="AP373" s="8">
        <f t="shared" si="153"/>
        <v>0</v>
      </c>
      <c r="AQ373" s="8">
        <f t="shared" si="154"/>
        <v>0</v>
      </c>
      <c r="AR373" s="8">
        <f t="shared" si="148"/>
        <v>0</v>
      </c>
      <c r="AS373" s="42"/>
      <c r="AT373" s="84">
        <v>142373</v>
      </c>
      <c r="AU373" s="84">
        <v>39651</v>
      </c>
      <c r="AV373" s="4">
        <f t="shared" si="149"/>
        <v>182024</v>
      </c>
      <c r="AW373" s="50" t="str">
        <f t="shared" si="150"/>
        <v/>
      </c>
      <c r="AX373" s="1" t="s">
        <v>1639</v>
      </c>
      <c r="AY373" s="2" t="s">
        <v>1640</v>
      </c>
      <c r="AZ373" s="2">
        <v>62659.44</v>
      </c>
      <c r="BA373" s="73">
        <v>54827.01</v>
      </c>
      <c r="BB373" s="73">
        <v>54827.01</v>
      </c>
      <c r="BC373" s="73">
        <v>62659.44</v>
      </c>
      <c r="BD373" s="73"/>
      <c r="BE373" s="66">
        <v>0</v>
      </c>
      <c r="BF373" s="66">
        <v>0.02</v>
      </c>
      <c r="BG373" s="63">
        <v>45835</v>
      </c>
      <c r="BH373" s="2"/>
      <c r="BI373" s="2"/>
      <c r="BJ373" s="2"/>
      <c r="BK373" s="2"/>
      <c r="BL373" s="1" t="s">
        <v>56</v>
      </c>
    </row>
    <row r="374" spans="1:64" x14ac:dyDescent="0.25">
      <c r="A374" s="81" t="s">
        <v>809</v>
      </c>
      <c r="B374" s="82" t="s">
        <v>809</v>
      </c>
      <c r="C374" s="81" t="s">
        <v>810</v>
      </c>
      <c r="D374" s="16">
        <v>0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636</v>
      </c>
      <c r="K374" s="61" t="s">
        <v>637</v>
      </c>
      <c r="L374" s="11" t="s">
        <v>67</v>
      </c>
      <c r="M374" s="25"/>
      <c r="N374" s="82"/>
      <c r="O374" s="3" t="str">
        <f t="shared" si="156"/>
        <v>A</v>
      </c>
      <c r="P374" s="84">
        <v>49108</v>
      </c>
      <c r="Q374" s="84">
        <v>17650</v>
      </c>
      <c r="R374" s="32"/>
      <c r="S374" s="3" t="str">
        <f t="shared" si="155"/>
        <v>A</v>
      </c>
      <c r="T374" s="84">
        <v>44993</v>
      </c>
      <c r="U374" s="84">
        <v>18087</v>
      </c>
      <c r="V374" s="32"/>
      <c r="W374" s="3" t="str">
        <f t="shared" si="144"/>
        <v>A</v>
      </c>
      <c r="X374" s="84">
        <v>39745</v>
      </c>
      <c r="Y374" s="84">
        <v>15409</v>
      </c>
      <c r="Z374" s="32"/>
      <c r="AA374" s="3" t="str">
        <f t="shared" si="145"/>
        <v>A</v>
      </c>
      <c r="AB374" s="84">
        <v>41739</v>
      </c>
      <c r="AC374" s="84">
        <v>12708</v>
      </c>
      <c r="AD374" s="36"/>
      <c r="AE374" s="82"/>
      <c r="AF374" s="3" t="str">
        <f t="shared" si="146"/>
        <v>A</v>
      </c>
      <c r="AG374" s="84">
        <v>0</v>
      </c>
      <c r="AH374" s="84">
        <v>0</v>
      </c>
      <c r="AI374" s="39"/>
      <c r="AJ374" s="79" t="s">
        <v>1801</v>
      </c>
      <c r="AK374" s="39"/>
      <c r="AL374" s="4">
        <f t="shared" si="151"/>
        <v>175585</v>
      </c>
      <c r="AM374" s="4">
        <f t="shared" si="152"/>
        <v>63854</v>
      </c>
      <c r="AN374" s="4">
        <f t="shared" si="147"/>
        <v>239439</v>
      </c>
      <c r="AO374" s="39"/>
      <c r="AP374" s="8">
        <f t="shared" si="153"/>
        <v>0</v>
      </c>
      <c r="AQ374" s="8">
        <f t="shared" si="154"/>
        <v>0</v>
      </c>
      <c r="AR374" s="8">
        <f t="shared" si="148"/>
        <v>0</v>
      </c>
      <c r="AS374" s="42"/>
      <c r="AT374" s="84">
        <v>175585</v>
      </c>
      <c r="AU374" s="84">
        <v>63854</v>
      </c>
      <c r="AV374" s="4">
        <f t="shared" si="149"/>
        <v>239439</v>
      </c>
      <c r="AW374" s="50" t="str">
        <f t="shared" si="150"/>
        <v/>
      </c>
      <c r="AX374" s="1" t="s">
        <v>1639</v>
      </c>
      <c r="AY374" s="2" t="s">
        <v>1640</v>
      </c>
      <c r="AZ374" s="2">
        <v>39198.800000000003</v>
      </c>
      <c r="BA374" s="73">
        <v>34298.949999999997</v>
      </c>
      <c r="BB374" s="73">
        <v>34298.949999999997</v>
      </c>
      <c r="BC374" s="73">
        <v>39198.800000000003</v>
      </c>
      <c r="BD374" s="73"/>
      <c r="BE374" s="66">
        <v>0</v>
      </c>
      <c r="BF374" s="66">
        <v>0.02</v>
      </c>
      <c r="BG374" s="63">
        <v>44903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811</v>
      </c>
      <c r="B375" s="82" t="s">
        <v>811</v>
      </c>
      <c r="C375" s="81" t="s">
        <v>812</v>
      </c>
      <c r="D375" s="16">
        <v>43636</v>
      </c>
      <c r="E375" s="17"/>
      <c r="F375" s="2" t="s">
        <v>243</v>
      </c>
      <c r="G375" s="2" t="s">
        <v>245</v>
      </c>
      <c r="H375" s="10" t="s">
        <v>105</v>
      </c>
      <c r="I375" s="11" t="s">
        <v>244</v>
      </c>
      <c r="J375" s="11" t="s">
        <v>573</v>
      </c>
      <c r="K375" s="61" t="s">
        <v>335</v>
      </c>
      <c r="L375" s="11" t="s">
        <v>67</v>
      </c>
      <c r="M375" s="25"/>
      <c r="N375" s="82"/>
      <c r="O375" s="3" t="str">
        <f t="shared" si="156"/>
        <v>A</v>
      </c>
      <c r="P375" s="84">
        <v>173507</v>
      </c>
      <c r="Q375" s="84">
        <v>32528</v>
      </c>
      <c r="R375" s="32"/>
      <c r="S375" s="3" t="str">
        <f t="shared" ref="S375:S395" si="157">IF($A375="","",IF(T375=0,"A",IF(T375=BA375,"E","A")))</f>
        <v>A</v>
      </c>
      <c r="T375" s="84">
        <v>139014</v>
      </c>
      <c r="U375" s="84">
        <v>23156</v>
      </c>
      <c r="V375" s="32"/>
      <c r="W375" s="3" t="str">
        <f t="shared" si="144"/>
        <v>A</v>
      </c>
      <c r="X375" s="84">
        <v>130268</v>
      </c>
      <c r="Y375" s="84">
        <v>21238</v>
      </c>
      <c r="Z375" s="32"/>
      <c r="AA375" s="3" t="str">
        <f t="shared" si="145"/>
        <v>A</v>
      </c>
      <c r="AB375" s="84">
        <v>158423</v>
      </c>
      <c r="AC375" s="84">
        <v>24263</v>
      </c>
      <c r="AD375" s="36"/>
      <c r="AE375" s="82"/>
      <c r="AF375" s="3" t="str">
        <f t="shared" si="146"/>
        <v>A</v>
      </c>
      <c r="AG375" s="84">
        <v>0</v>
      </c>
      <c r="AH375" s="84">
        <v>0</v>
      </c>
      <c r="AI375" s="39"/>
      <c r="AJ375" s="79" t="s">
        <v>1801</v>
      </c>
      <c r="AK375" s="39"/>
      <c r="AL375" s="4">
        <f t="shared" si="151"/>
        <v>601212</v>
      </c>
      <c r="AM375" s="4">
        <f t="shared" si="152"/>
        <v>101185</v>
      </c>
      <c r="AN375" s="4">
        <f t="shared" si="147"/>
        <v>702397</v>
      </c>
      <c r="AO375" s="39"/>
      <c r="AP375" s="8">
        <f t="shared" si="153"/>
        <v>0</v>
      </c>
      <c r="AQ375" s="8">
        <f t="shared" si="154"/>
        <v>0</v>
      </c>
      <c r="AR375" s="8">
        <f t="shared" si="148"/>
        <v>0</v>
      </c>
      <c r="AS375" s="42"/>
      <c r="AT375" s="84">
        <v>601212</v>
      </c>
      <c r="AU375" s="84">
        <v>101185</v>
      </c>
      <c r="AV375" s="4">
        <f t="shared" si="149"/>
        <v>702397</v>
      </c>
      <c r="AW375" s="50" t="str">
        <f t="shared" si="150"/>
        <v/>
      </c>
      <c r="AX375" s="1" t="s">
        <v>1639</v>
      </c>
      <c r="AY375" s="2" t="s">
        <v>1640</v>
      </c>
      <c r="AZ375" s="2">
        <v>132345.60000000001</v>
      </c>
      <c r="BA375" s="73">
        <v>115802.4</v>
      </c>
      <c r="BB375" s="73">
        <v>115802.4</v>
      </c>
      <c r="BC375" s="73">
        <v>132345.60000000001</v>
      </c>
      <c r="BD375" s="73"/>
      <c r="BE375" s="66">
        <v>0</v>
      </c>
      <c r="BF375" s="66">
        <v>0.02</v>
      </c>
      <c r="BG375" s="63">
        <v>45278</v>
      </c>
      <c r="BH375" s="2"/>
      <c r="BI375" s="2"/>
      <c r="BJ375" s="2"/>
      <c r="BK375" s="2"/>
      <c r="BL375" s="1" t="s">
        <v>219</v>
      </c>
    </row>
    <row r="376" spans="1:64" x14ac:dyDescent="0.25">
      <c r="A376" s="81" t="s">
        <v>821</v>
      </c>
      <c r="B376" s="82" t="s">
        <v>821</v>
      </c>
      <c r="C376" s="81" t="s">
        <v>822</v>
      </c>
      <c r="D376" s="16">
        <v>0</v>
      </c>
      <c r="E376" s="17"/>
      <c r="F376" s="2" t="s">
        <v>414</v>
      </c>
      <c r="G376" s="2" t="s">
        <v>415</v>
      </c>
      <c r="H376" s="10" t="s">
        <v>105</v>
      </c>
      <c r="I376" s="11" t="s">
        <v>53</v>
      </c>
      <c r="J376" s="11" t="s">
        <v>312</v>
      </c>
      <c r="K376" s="61"/>
      <c r="L376" s="11" t="s">
        <v>67</v>
      </c>
      <c r="M376" s="25"/>
      <c r="N376" s="82"/>
      <c r="O376" s="3" t="str">
        <f t="shared" si="156"/>
        <v>E</v>
      </c>
      <c r="P376" s="84">
        <v>224197.2</v>
      </c>
      <c r="Q376" s="84">
        <v>46047.040000000001</v>
      </c>
      <c r="R376" s="32"/>
      <c r="S376" s="3" t="str">
        <f t="shared" si="157"/>
        <v>E</v>
      </c>
      <c r="T376" s="84">
        <v>196172.55</v>
      </c>
      <c r="U376" s="84">
        <v>40291.160000000003</v>
      </c>
      <c r="V376" s="32"/>
      <c r="W376" s="3" t="str">
        <f t="shared" si="144"/>
        <v>E</v>
      </c>
      <c r="X376" s="84">
        <v>196172.55</v>
      </c>
      <c r="Y376" s="84">
        <v>40291.160000000003</v>
      </c>
      <c r="Z376" s="32"/>
      <c r="AA376" s="3" t="str">
        <f t="shared" si="145"/>
        <v>E</v>
      </c>
      <c r="AB376" s="84">
        <v>224197.2</v>
      </c>
      <c r="AC376" s="84">
        <v>46047.040000000001</v>
      </c>
      <c r="AD376" s="36"/>
      <c r="AE376" s="82"/>
      <c r="AF376" s="3" t="str">
        <f t="shared" si="146"/>
        <v>A</v>
      </c>
      <c r="AG376" s="84"/>
      <c r="AH376" s="84"/>
      <c r="AI376" s="39"/>
      <c r="AJ376" s="79" t="s">
        <v>38</v>
      </c>
      <c r="AK376" s="39"/>
      <c r="AL376" s="4">
        <f t="shared" si="151"/>
        <v>0</v>
      </c>
      <c r="AM376" s="4">
        <f t="shared" si="152"/>
        <v>0</v>
      </c>
      <c r="AN376" s="4">
        <f t="shared" si="147"/>
        <v>0</v>
      </c>
      <c r="AO376" s="39"/>
      <c r="AP376" s="8">
        <f t="shared" si="153"/>
        <v>840739.5</v>
      </c>
      <c r="AQ376" s="8">
        <f t="shared" si="154"/>
        <v>172676.40000000002</v>
      </c>
      <c r="AR376" s="8">
        <f t="shared" si="148"/>
        <v>1013415.9</v>
      </c>
      <c r="AS376" s="42"/>
      <c r="AT376" s="84"/>
      <c r="AU376" s="84"/>
      <c r="AV376" s="4">
        <f t="shared" si="149"/>
        <v>0</v>
      </c>
      <c r="AW376" s="50" t="str">
        <f t="shared" si="150"/>
        <v/>
      </c>
      <c r="AX376" s="1" t="s">
        <v>1703</v>
      </c>
      <c r="AY376" s="2" t="s">
        <v>1704</v>
      </c>
      <c r="AZ376" s="2">
        <v>224197.2</v>
      </c>
      <c r="BA376" s="73">
        <v>196172.55</v>
      </c>
      <c r="BB376" s="73">
        <v>196172.55</v>
      </c>
      <c r="BC376" s="73">
        <v>224197.2</v>
      </c>
      <c r="BD376" s="73"/>
      <c r="BE376" s="66">
        <v>4.4999999999999998E-2</v>
      </c>
      <c r="BF376" s="66">
        <v>0.05</v>
      </c>
      <c r="BG376" s="63">
        <v>45278</v>
      </c>
      <c r="BH376" s="74">
        <v>45434</v>
      </c>
      <c r="BI376" s="74">
        <v>45522</v>
      </c>
      <c r="BJ376" s="2"/>
      <c r="BK376" s="2"/>
      <c r="BL376" s="1" t="s">
        <v>311</v>
      </c>
    </row>
    <row r="377" spans="1:64" x14ac:dyDescent="0.25">
      <c r="A377" s="81" t="s">
        <v>831</v>
      </c>
      <c r="B377" s="82" t="s">
        <v>831</v>
      </c>
      <c r="C377" s="81" t="s">
        <v>832</v>
      </c>
      <c r="D377" s="16">
        <v>43695</v>
      </c>
      <c r="E377" s="17"/>
      <c r="F377" s="2" t="s">
        <v>171</v>
      </c>
      <c r="G377" s="2" t="s">
        <v>172</v>
      </c>
      <c r="H377" s="10" t="s">
        <v>105</v>
      </c>
      <c r="I377" s="11" t="s">
        <v>53</v>
      </c>
      <c r="J377" s="11" t="s">
        <v>145</v>
      </c>
      <c r="K377" s="61"/>
      <c r="L377" s="11" t="s">
        <v>67</v>
      </c>
      <c r="M377" s="25"/>
      <c r="N377" s="82"/>
      <c r="O377" s="3" t="str">
        <f t="shared" si="156"/>
        <v>A</v>
      </c>
      <c r="P377" s="84">
        <v>116943</v>
      </c>
      <c r="Q377" s="84">
        <v>19020</v>
      </c>
      <c r="R377" s="32"/>
      <c r="S377" s="3" t="str">
        <f t="shared" si="157"/>
        <v>A</v>
      </c>
      <c r="T377" s="84">
        <v>93919</v>
      </c>
      <c r="U377" s="84">
        <v>17946</v>
      </c>
      <c r="V377" s="32"/>
      <c r="W377" s="3" t="str">
        <f t="shared" si="144"/>
        <v>A</v>
      </c>
      <c r="X377" s="84">
        <v>86771</v>
      </c>
      <c r="Y377" s="84">
        <v>16182</v>
      </c>
      <c r="Z377" s="32"/>
      <c r="AA377" s="3" t="str">
        <f t="shared" si="145"/>
        <v>A</v>
      </c>
      <c r="AB377" s="84">
        <v>98452</v>
      </c>
      <c r="AC377" s="84">
        <v>14740</v>
      </c>
      <c r="AD377" s="36"/>
      <c r="AE377" s="82"/>
      <c r="AF377" s="3" t="str">
        <f t="shared" si="146"/>
        <v>A</v>
      </c>
      <c r="AG377" s="84">
        <v>0</v>
      </c>
      <c r="AH377" s="84">
        <v>0</v>
      </c>
      <c r="AI377" s="39"/>
      <c r="AJ377" s="79" t="s">
        <v>1801</v>
      </c>
      <c r="AK377" s="39"/>
      <c r="AL377" s="4">
        <f t="shared" si="151"/>
        <v>396085</v>
      </c>
      <c r="AM377" s="4">
        <f t="shared" si="152"/>
        <v>67888</v>
      </c>
      <c r="AN377" s="4">
        <f t="shared" si="147"/>
        <v>463973</v>
      </c>
      <c r="AO377" s="39"/>
      <c r="AP377" s="8">
        <f t="shared" si="153"/>
        <v>0</v>
      </c>
      <c r="AQ377" s="8">
        <f t="shared" si="154"/>
        <v>0</v>
      </c>
      <c r="AR377" s="8">
        <f t="shared" si="148"/>
        <v>0</v>
      </c>
      <c r="AS377" s="42"/>
      <c r="AT377" s="84">
        <v>396085</v>
      </c>
      <c r="AU377" s="84">
        <v>67888</v>
      </c>
      <c r="AV377" s="4">
        <f t="shared" si="149"/>
        <v>463973</v>
      </c>
      <c r="AW377" s="50" t="str">
        <f t="shared" si="150"/>
        <v/>
      </c>
      <c r="AX377" s="1" t="s">
        <v>1654</v>
      </c>
      <c r="AY377" s="2" t="s">
        <v>1655</v>
      </c>
      <c r="AZ377" s="2">
        <v>107908.8</v>
      </c>
      <c r="BA377" s="73">
        <v>94420.2</v>
      </c>
      <c r="BB377" s="73">
        <v>94420.2</v>
      </c>
      <c r="BC377" s="73">
        <v>107908.8</v>
      </c>
      <c r="BD377" s="73"/>
      <c r="BE377" s="66">
        <v>0</v>
      </c>
      <c r="BF377" s="66">
        <v>0.05</v>
      </c>
      <c r="BG377" s="63">
        <v>45514</v>
      </c>
      <c r="BH377" s="2"/>
      <c r="BI377" s="2"/>
      <c r="BJ377" s="2"/>
      <c r="BK377" s="2"/>
      <c r="BL377" s="1" t="s">
        <v>104</v>
      </c>
    </row>
    <row r="378" spans="1:64" x14ac:dyDescent="0.25">
      <c r="A378" s="81" t="s">
        <v>833</v>
      </c>
      <c r="B378" s="82" t="s">
        <v>833</v>
      </c>
      <c r="C378" s="81" t="s">
        <v>834</v>
      </c>
      <c r="D378" s="16">
        <v>43675</v>
      </c>
      <c r="E378" s="17"/>
      <c r="F378" s="2" t="s">
        <v>835</v>
      </c>
      <c r="G378" s="2" t="s">
        <v>836</v>
      </c>
      <c r="H378" s="10" t="s">
        <v>57</v>
      </c>
      <c r="I378" s="11" t="s">
        <v>53</v>
      </c>
      <c r="J378" s="11" t="s">
        <v>384</v>
      </c>
      <c r="K378" s="61"/>
      <c r="L378" s="11" t="s">
        <v>67</v>
      </c>
      <c r="M378" s="25"/>
      <c r="N378" s="82"/>
      <c r="O378" s="3" t="str">
        <f t="shared" si="156"/>
        <v>A</v>
      </c>
      <c r="P378" s="84">
        <v>59477</v>
      </c>
      <c r="Q378" s="84">
        <v>10947</v>
      </c>
      <c r="R378" s="32"/>
      <c r="S378" s="3" t="str">
        <f t="shared" si="157"/>
        <v>A</v>
      </c>
      <c r="T378" s="84">
        <v>53390</v>
      </c>
      <c r="U378" s="84">
        <v>12330</v>
      </c>
      <c r="V378" s="32"/>
      <c r="W378" s="3" t="str">
        <f t="shared" si="144"/>
        <v>A</v>
      </c>
      <c r="X378" s="84">
        <v>48135</v>
      </c>
      <c r="Y378" s="84">
        <v>9145</v>
      </c>
      <c r="Z378" s="32"/>
      <c r="AA378" s="3" t="str">
        <f t="shared" si="145"/>
        <v>A</v>
      </c>
      <c r="AB378" s="84">
        <v>47019</v>
      </c>
      <c r="AC378" s="84">
        <v>11286</v>
      </c>
      <c r="AD378" s="36"/>
      <c r="AE378" s="82"/>
      <c r="AF378" s="3" t="str">
        <f t="shared" si="146"/>
        <v>A</v>
      </c>
      <c r="AG378" s="84">
        <v>0</v>
      </c>
      <c r="AH378" s="84">
        <v>0</v>
      </c>
      <c r="AI378" s="39"/>
      <c r="AJ378" s="79" t="s">
        <v>1801</v>
      </c>
      <c r="AK378" s="39"/>
      <c r="AL378" s="4">
        <f t="shared" si="151"/>
        <v>208021</v>
      </c>
      <c r="AM378" s="4">
        <f t="shared" si="152"/>
        <v>43708</v>
      </c>
      <c r="AN378" s="4">
        <f t="shared" si="147"/>
        <v>251729</v>
      </c>
      <c r="AO378" s="39"/>
      <c r="AP378" s="8">
        <f t="shared" si="153"/>
        <v>0</v>
      </c>
      <c r="AQ378" s="8">
        <f t="shared" si="154"/>
        <v>0</v>
      </c>
      <c r="AR378" s="8">
        <f t="shared" si="148"/>
        <v>0</v>
      </c>
      <c r="AS378" s="42"/>
      <c r="AT378" s="84">
        <v>208021</v>
      </c>
      <c r="AU378" s="84">
        <v>43708</v>
      </c>
      <c r="AV378" s="4">
        <f t="shared" si="149"/>
        <v>251729</v>
      </c>
      <c r="AW378" s="50" t="str">
        <f t="shared" si="150"/>
        <v/>
      </c>
      <c r="AX378" s="1" t="s">
        <v>1734</v>
      </c>
      <c r="AY378" s="2" t="s">
        <v>1735</v>
      </c>
      <c r="AZ378" s="2">
        <v>77845.919999999998</v>
      </c>
      <c r="BA378" s="73">
        <v>68115.179999999993</v>
      </c>
      <c r="BB378" s="73">
        <v>68115.179999999993</v>
      </c>
      <c r="BC378" s="73">
        <v>77845.919999999998</v>
      </c>
      <c r="BD378" s="73"/>
      <c r="BE378" s="66">
        <v>0</v>
      </c>
      <c r="BF378" s="66">
        <v>0.05</v>
      </c>
      <c r="BG378" s="63">
        <v>45485</v>
      </c>
      <c r="BH378" s="2"/>
      <c r="BI378" s="2"/>
      <c r="BJ378" s="2"/>
      <c r="BK378" s="2"/>
      <c r="BL378" s="1" t="s">
        <v>56</v>
      </c>
    </row>
    <row r="379" spans="1:64" x14ac:dyDescent="0.25">
      <c r="A379" s="81" t="s">
        <v>833</v>
      </c>
      <c r="B379" s="82" t="s">
        <v>900</v>
      </c>
      <c r="C379" s="81" t="s">
        <v>901</v>
      </c>
      <c r="D379" s="16">
        <v>43900</v>
      </c>
      <c r="E379" s="17"/>
      <c r="F379" s="2" t="s">
        <v>835</v>
      </c>
      <c r="G379" s="2" t="s">
        <v>836</v>
      </c>
      <c r="H379" s="10" t="s">
        <v>57</v>
      </c>
      <c r="I379" s="11" t="s">
        <v>53</v>
      </c>
      <c r="J379" s="11" t="s">
        <v>384</v>
      </c>
      <c r="K379" s="61"/>
      <c r="L379" s="11" t="s">
        <v>67</v>
      </c>
      <c r="M379" s="25"/>
      <c r="N379" s="82"/>
      <c r="O379" s="3" t="str">
        <f t="shared" si="156"/>
        <v>A</v>
      </c>
      <c r="P379" s="84">
        <v>79499</v>
      </c>
      <c r="Q379" s="84">
        <v>12361</v>
      </c>
      <c r="R379" s="32"/>
      <c r="S379" s="3" t="str">
        <f t="shared" si="157"/>
        <v>A</v>
      </c>
      <c r="T379" s="84">
        <v>65013</v>
      </c>
      <c r="U379" s="84">
        <v>10297</v>
      </c>
      <c r="V379" s="32"/>
      <c r="W379" s="3" t="str">
        <f t="shared" si="144"/>
        <v>A</v>
      </c>
      <c r="X379" s="84">
        <v>60417</v>
      </c>
      <c r="Y379" s="84">
        <v>9753</v>
      </c>
      <c r="Z379" s="32"/>
      <c r="AA379" s="3" t="str">
        <f t="shared" si="145"/>
        <v>A</v>
      </c>
      <c r="AB379" s="84">
        <v>36884</v>
      </c>
      <c r="AC379" s="84">
        <v>36276</v>
      </c>
      <c r="AD379" s="36"/>
      <c r="AE379" s="82"/>
      <c r="AF379" s="3" t="str">
        <f t="shared" si="146"/>
        <v>A</v>
      </c>
      <c r="AG379" s="84">
        <v>0</v>
      </c>
      <c r="AH379" s="84">
        <v>0</v>
      </c>
      <c r="AI379" s="39"/>
      <c r="AJ379" s="79" t="s">
        <v>1801</v>
      </c>
      <c r="AK379" s="39"/>
      <c r="AL379" s="4">
        <f t="shared" si="151"/>
        <v>241813</v>
      </c>
      <c r="AM379" s="4">
        <f t="shared" si="152"/>
        <v>68687</v>
      </c>
      <c r="AN379" s="4">
        <f t="shared" si="147"/>
        <v>310500</v>
      </c>
      <c r="AO379" s="39"/>
      <c r="AP379" s="8">
        <f t="shared" si="153"/>
        <v>0</v>
      </c>
      <c r="AQ379" s="8">
        <f t="shared" si="154"/>
        <v>0</v>
      </c>
      <c r="AR379" s="8">
        <f t="shared" si="148"/>
        <v>0</v>
      </c>
      <c r="AS379" s="42"/>
      <c r="AT379" s="84">
        <v>241813</v>
      </c>
      <c r="AU379" s="84">
        <v>68687</v>
      </c>
      <c r="AV379" s="4">
        <f t="shared" si="149"/>
        <v>310500</v>
      </c>
      <c r="AW379" s="50" t="str">
        <f t="shared" si="150"/>
        <v/>
      </c>
      <c r="AX379" s="1" t="s">
        <v>1734</v>
      </c>
      <c r="AY379" s="2" t="s">
        <v>1735</v>
      </c>
      <c r="AZ379" s="2">
        <v>164271.12</v>
      </c>
      <c r="BA379" s="73">
        <v>143737.23000000001</v>
      </c>
      <c r="BB379" s="73">
        <v>143737.23000000001</v>
      </c>
      <c r="BC379" s="73">
        <v>164271.12</v>
      </c>
      <c r="BD379" s="73"/>
      <c r="BE379" s="66">
        <v>0</v>
      </c>
      <c r="BF379" s="66">
        <v>0.05</v>
      </c>
      <c r="BG379" s="63">
        <v>45485</v>
      </c>
      <c r="BH379" s="2"/>
      <c r="BI379" s="2"/>
      <c r="BJ379" s="2"/>
      <c r="BK379" s="2"/>
      <c r="BL379" s="1" t="s">
        <v>56</v>
      </c>
    </row>
    <row r="380" spans="1:64" x14ac:dyDescent="0.25">
      <c r="A380" s="81" t="s">
        <v>833</v>
      </c>
      <c r="B380" s="82" t="s">
        <v>949</v>
      </c>
      <c r="C380" s="81" t="s">
        <v>950</v>
      </c>
      <c r="D380" s="16">
        <v>0</v>
      </c>
      <c r="E380" s="17"/>
      <c r="F380" s="2" t="s">
        <v>835</v>
      </c>
      <c r="G380" s="2" t="s">
        <v>836</v>
      </c>
      <c r="H380" s="10" t="s">
        <v>57</v>
      </c>
      <c r="I380" s="11" t="s">
        <v>53</v>
      </c>
      <c r="J380" s="11" t="s">
        <v>384</v>
      </c>
      <c r="K380" s="61"/>
      <c r="L380" s="11" t="s">
        <v>67</v>
      </c>
      <c r="M380" s="25"/>
      <c r="N380" s="82"/>
      <c r="O380" s="3" t="str">
        <f t="shared" si="156"/>
        <v>A</v>
      </c>
      <c r="P380" s="84">
        <v>58435</v>
      </c>
      <c r="Q380" s="84">
        <v>12585</v>
      </c>
      <c r="R380" s="32"/>
      <c r="S380" s="3" t="str">
        <f t="shared" si="157"/>
        <v>A</v>
      </c>
      <c r="T380" s="84">
        <v>51315</v>
      </c>
      <c r="U380" s="84">
        <v>9185</v>
      </c>
      <c r="V380" s="32"/>
      <c r="W380" s="3" t="str">
        <f t="shared" si="144"/>
        <v>A</v>
      </c>
      <c r="X380" s="84">
        <v>47195</v>
      </c>
      <c r="Y380" s="84">
        <v>6925</v>
      </c>
      <c r="Z380" s="32"/>
      <c r="AA380" s="3" t="str">
        <f t="shared" si="145"/>
        <v>A</v>
      </c>
      <c r="AB380" s="84">
        <v>48395</v>
      </c>
      <c r="AC380" s="84">
        <v>8665</v>
      </c>
      <c r="AD380" s="36"/>
      <c r="AE380" s="82"/>
      <c r="AF380" s="3" t="str">
        <f t="shared" si="146"/>
        <v>A</v>
      </c>
      <c r="AG380" s="84">
        <v>0</v>
      </c>
      <c r="AH380" s="84">
        <v>0</v>
      </c>
      <c r="AI380" s="39"/>
      <c r="AJ380" s="79" t="s">
        <v>1801</v>
      </c>
      <c r="AK380" s="39"/>
      <c r="AL380" s="4">
        <f t="shared" si="151"/>
        <v>205340</v>
      </c>
      <c r="AM380" s="4">
        <f t="shared" si="152"/>
        <v>37360</v>
      </c>
      <c r="AN380" s="4">
        <f t="shared" si="147"/>
        <v>242700</v>
      </c>
      <c r="AO380" s="39"/>
      <c r="AP380" s="8">
        <f t="shared" si="153"/>
        <v>0</v>
      </c>
      <c r="AQ380" s="8">
        <f t="shared" si="154"/>
        <v>0</v>
      </c>
      <c r="AR380" s="8">
        <f t="shared" si="148"/>
        <v>0</v>
      </c>
      <c r="AS380" s="42"/>
      <c r="AT380" s="84">
        <v>205340</v>
      </c>
      <c r="AU380" s="84">
        <v>37360</v>
      </c>
      <c r="AV380" s="4">
        <f t="shared" si="149"/>
        <v>242700</v>
      </c>
      <c r="AW380" s="50" t="str">
        <f t="shared" si="150"/>
        <v/>
      </c>
      <c r="AX380" s="1" t="s">
        <v>1734</v>
      </c>
      <c r="AY380" s="2" t="s">
        <v>1735</v>
      </c>
      <c r="AZ380" s="2">
        <v>92618.48</v>
      </c>
      <c r="BA380" s="73">
        <v>81041.17</v>
      </c>
      <c r="BB380" s="73">
        <v>81041.17</v>
      </c>
      <c r="BC380" s="73">
        <v>92618.48</v>
      </c>
      <c r="BD380" s="73"/>
      <c r="BE380" s="66">
        <v>0</v>
      </c>
      <c r="BF380" s="66">
        <v>0.05</v>
      </c>
      <c r="BG380" s="63">
        <v>45485</v>
      </c>
      <c r="BH380" s="2"/>
      <c r="BI380" s="2"/>
      <c r="BJ380" s="2">
        <v>323813</v>
      </c>
      <c r="BK380" s="2">
        <v>35979</v>
      </c>
      <c r="BL380" s="1" t="s">
        <v>56</v>
      </c>
    </row>
    <row r="381" spans="1:64" x14ac:dyDescent="0.25">
      <c r="A381" s="81" t="s">
        <v>839</v>
      </c>
      <c r="B381" s="82" t="s">
        <v>839</v>
      </c>
      <c r="C381" s="81" t="s">
        <v>840</v>
      </c>
      <c r="D381" s="16">
        <v>43691</v>
      </c>
      <c r="E381" s="17"/>
      <c r="F381" s="2" t="s">
        <v>243</v>
      </c>
      <c r="G381" s="2" t="s">
        <v>245</v>
      </c>
      <c r="H381" s="10" t="s">
        <v>57</v>
      </c>
      <c r="I381" s="11" t="s">
        <v>244</v>
      </c>
      <c r="J381" s="11" t="s">
        <v>478</v>
      </c>
      <c r="K381" s="61" t="s">
        <v>479</v>
      </c>
      <c r="L381" s="11" t="s">
        <v>67</v>
      </c>
      <c r="M381" s="25"/>
      <c r="N381" s="82"/>
      <c r="O381" s="3" t="str">
        <f t="shared" si="156"/>
        <v>A</v>
      </c>
      <c r="P381" s="84">
        <v>38830</v>
      </c>
      <c r="Q381" s="84">
        <v>6938</v>
      </c>
      <c r="R381" s="32"/>
      <c r="S381" s="3" t="str">
        <f t="shared" si="157"/>
        <v>A</v>
      </c>
      <c r="T381" s="84">
        <v>39111</v>
      </c>
      <c r="U381" s="84">
        <v>7715</v>
      </c>
      <c r="V381" s="32"/>
      <c r="W381" s="3" t="str">
        <f t="shared" si="144"/>
        <v>A</v>
      </c>
      <c r="X381" s="84">
        <v>30646</v>
      </c>
      <c r="Y381" s="84">
        <v>5924</v>
      </c>
      <c r="Z381" s="32"/>
      <c r="AA381" s="3" t="str">
        <f t="shared" si="145"/>
        <v>A</v>
      </c>
      <c r="AB381" s="84">
        <v>37088</v>
      </c>
      <c r="AC381" s="84">
        <v>6986</v>
      </c>
      <c r="AD381" s="36"/>
      <c r="AE381" s="82"/>
      <c r="AF381" s="3" t="str">
        <f t="shared" si="146"/>
        <v>A</v>
      </c>
      <c r="AG381" s="84">
        <v>0</v>
      </c>
      <c r="AH381" s="84">
        <v>0</v>
      </c>
      <c r="AI381" s="39"/>
      <c r="AJ381" s="79" t="s">
        <v>1801</v>
      </c>
      <c r="AK381" s="39"/>
      <c r="AL381" s="4">
        <f t="shared" si="151"/>
        <v>145675</v>
      </c>
      <c r="AM381" s="4">
        <f t="shared" si="152"/>
        <v>27563</v>
      </c>
      <c r="AN381" s="4">
        <f t="shared" si="147"/>
        <v>173238</v>
      </c>
      <c r="AO381" s="39"/>
      <c r="AP381" s="8">
        <f t="shared" si="153"/>
        <v>0</v>
      </c>
      <c r="AQ381" s="8">
        <f t="shared" si="154"/>
        <v>0</v>
      </c>
      <c r="AR381" s="8">
        <f t="shared" si="148"/>
        <v>0</v>
      </c>
      <c r="AS381" s="42"/>
      <c r="AT381" s="84">
        <v>145675</v>
      </c>
      <c r="AU381" s="84">
        <v>27563</v>
      </c>
      <c r="AV381" s="4">
        <f t="shared" si="149"/>
        <v>173238</v>
      </c>
      <c r="AW381" s="50" t="str">
        <f t="shared" si="150"/>
        <v/>
      </c>
      <c r="AX381" s="1" t="s">
        <v>1639</v>
      </c>
      <c r="AY381" s="2" t="s">
        <v>1640</v>
      </c>
      <c r="AZ381" s="2">
        <v>85240.56</v>
      </c>
      <c r="BA381" s="73">
        <v>74585.490000000005</v>
      </c>
      <c r="BB381" s="73">
        <v>74585.490000000005</v>
      </c>
      <c r="BC381" s="73">
        <v>85240.56</v>
      </c>
      <c r="BD381" s="73"/>
      <c r="BE381" s="66">
        <v>0</v>
      </c>
      <c r="BF381" s="66">
        <v>0.02</v>
      </c>
      <c r="BG381" s="63">
        <v>45518</v>
      </c>
      <c r="BH381" s="2"/>
      <c r="BI381" s="2"/>
      <c r="BJ381" s="2"/>
      <c r="BK381" s="2"/>
      <c r="BL381" s="1" t="s">
        <v>396</v>
      </c>
    </row>
    <row r="382" spans="1:64" x14ac:dyDescent="0.25">
      <c r="A382" s="81" t="s">
        <v>839</v>
      </c>
      <c r="B382" s="82" t="s">
        <v>1100</v>
      </c>
      <c r="C382" s="81" t="s">
        <v>1101</v>
      </c>
      <c r="D382" s="16">
        <v>44886</v>
      </c>
      <c r="E382" s="17"/>
      <c r="F382" s="2" t="s">
        <v>243</v>
      </c>
      <c r="G382" s="2" t="s">
        <v>245</v>
      </c>
      <c r="H382" s="10" t="s">
        <v>57</v>
      </c>
      <c r="I382" s="11" t="s">
        <v>244</v>
      </c>
      <c r="J382" s="11" t="s">
        <v>478</v>
      </c>
      <c r="K382" s="61" t="s">
        <v>479</v>
      </c>
      <c r="L382" s="11" t="s">
        <v>67</v>
      </c>
      <c r="M382" s="25"/>
      <c r="N382" s="82"/>
      <c r="O382" s="3" t="str">
        <f t="shared" si="156"/>
        <v>A</v>
      </c>
      <c r="P382" s="84">
        <v>104731</v>
      </c>
      <c r="Q382" s="84">
        <v>62425</v>
      </c>
      <c r="R382" s="32"/>
      <c r="S382" s="3" t="str">
        <f t="shared" si="157"/>
        <v>A</v>
      </c>
      <c r="T382" s="84">
        <v>106525</v>
      </c>
      <c r="U382" s="84">
        <v>63395</v>
      </c>
      <c r="V382" s="32"/>
      <c r="W382" s="3" t="str">
        <f t="shared" si="144"/>
        <v>A</v>
      </c>
      <c r="X382" s="84">
        <v>75643</v>
      </c>
      <c r="Y382" s="84">
        <v>62230</v>
      </c>
      <c r="Z382" s="32"/>
      <c r="AA382" s="3" t="str">
        <f t="shared" si="145"/>
        <v>A</v>
      </c>
      <c r="AB382" s="84">
        <v>110316</v>
      </c>
      <c r="AC382" s="84">
        <v>64000</v>
      </c>
      <c r="AD382" s="36"/>
      <c r="AE382" s="82"/>
      <c r="AF382" s="3" t="str">
        <f t="shared" si="146"/>
        <v>A</v>
      </c>
      <c r="AG382" s="84">
        <v>0</v>
      </c>
      <c r="AH382" s="84">
        <v>0</v>
      </c>
      <c r="AI382" s="39"/>
      <c r="AJ382" s="79" t="s">
        <v>1801</v>
      </c>
      <c r="AK382" s="39"/>
      <c r="AL382" s="4">
        <f t="shared" si="151"/>
        <v>397215</v>
      </c>
      <c r="AM382" s="4">
        <f t="shared" si="152"/>
        <v>252050</v>
      </c>
      <c r="AN382" s="4">
        <f t="shared" si="147"/>
        <v>649265</v>
      </c>
      <c r="AO382" s="39"/>
      <c r="AP382" s="8">
        <f t="shared" si="153"/>
        <v>0</v>
      </c>
      <c r="AQ382" s="8">
        <f t="shared" si="154"/>
        <v>0</v>
      </c>
      <c r="AR382" s="8">
        <f t="shared" si="148"/>
        <v>0</v>
      </c>
      <c r="AS382" s="42"/>
      <c r="AT382" s="84">
        <v>397215</v>
      </c>
      <c r="AU382" s="84">
        <v>252050</v>
      </c>
      <c r="AV382" s="4">
        <f t="shared" si="149"/>
        <v>649265</v>
      </c>
      <c r="AW382" s="50" t="str">
        <f t="shared" si="150"/>
        <v/>
      </c>
      <c r="AX382" s="1" t="s">
        <v>1639</v>
      </c>
      <c r="AY382" s="2" t="s">
        <v>1640</v>
      </c>
      <c r="AZ382" s="2">
        <v>58896</v>
      </c>
      <c r="BA382" s="73">
        <v>51534</v>
      </c>
      <c r="BB382" s="73">
        <v>51534</v>
      </c>
      <c r="BC382" s="73">
        <v>58896</v>
      </c>
      <c r="BD382" s="73"/>
      <c r="BE382" s="66">
        <v>0</v>
      </c>
      <c r="BF382" s="66">
        <v>0.02</v>
      </c>
      <c r="BG382" s="63">
        <v>44886</v>
      </c>
      <c r="BH382" s="2"/>
      <c r="BI382" s="2"/>
      <c r="BJ382" s="2">
        <v>217844.8</v>
      </c>
      <c r="BK382" s="2">
        <v>48276.62</v>
      </c>
      <c r="BL382" s="1" t="s">
        <v>396</v>
      </c>
    </row>
    <row r="383" spans="1:64" x14ac:dyDescent="0.25">
      <c r="A383" s="81" t="s">
        <v>839</v>
      </c>
      <c r="B383" s="82" t="s">
        <v>1154</v>
      </c>
      <c r="C383" s="81" t="s">
        <v>1155</v>
      </c>
      <c r="D383" s="16">
        <v>0</v>
      </c>
      <c r="E383" s="17"/>
      <c r="F383" s="2" t="s">
        <v>243</v>
      </c>
      <c r="G383" s="2" t="s">
        <v>245</v>
      </c>
      <c r="H383" s="10" t="s">
        <v>57</v>
      </c>
      <c r="I383" s="11" t="s">
        <v>244</v>
      </c>
      <c r="J383" s="11" t="s">
        <v>478</v>
      </c>
      <c r="K383" s="61" t="s">
        <v>479</v>
      </c>
      <c r="L383" s="11" t="s">
        <v>67</v>
      </c>
      <c r="M383" s="25"/>
      <c r="N383" s="82"/>
      <c r="O383" s="3" t="str">
        <f t="shared" si="156"/>
        <v>A</v>
      </c>
      <c r="P383" s="84">
        <v>24036</v>
      </c>
      <c r="Q383" s="84">
        <v>0</v>
      </c>
      <c r="R383" s="32"/>
      <c r="S383" s="3" t="str">
        <f t="shared" si="157"/>
        <v>A</v>
      </c>
      <c r="T383" s="84">
        <v>18618</v>
      </c>
      <c r="U383" s="84"/>
      <c r="V383" s="32"/>
      <c r="W383" s="3" t="str">
        <f t="shared" si="144"/>
        <v>A</v>
      </c>
      <c r="X383" s="84">
        <v>16611</v>
      </c>
      <c r="Y383" s="84"/>
      <c r="Z383" s="32"/>
      <c r="AA383" s="3" t="str">
        <f t="shared" si="145"/>
        <v>A</v>
      </c>
      <c r="AB383" s="84">
        <v>26466</v>
      </c>
      <c r="AC383" s="84"/>
      <c r="AD383" s="36"/>
      <c r="AE383" s="82"/>
      <c r="AF383" s="3" t="str">
        <f t="shared" si="146"/>
        <v>A</v>
      </c>
      <c r="AG383" s="84">
        <v>0</v>
      </c>
      <c r="AH383" s="84">
        <v>0</v>
      </c>
      <c r="AI383" s="39"/>
      <c r="AJ383" s="79" t="s">
        <v>1801</v>
      </c>
      <c r="AK383" s="39"/>
      <c r="AL383" s="4">
        <f t="shared" si="151"/>
        <v>85731</v>
      </c>
      <c r="AM383" s="4">
        <f t="shared" si="152"/>
        <v>0</v>
      </c>
      <c r="AN383" s="4">
        <f t="shared" si="147"/>
        <v>85731</v>
      </c>
      <c r="AO383" s="39"/>
      <c r="AP383" s="8">
        <f t="shared" si="153"/>
        <v>0</v>
      </c>
      <c r="AQ383" s="8">
        <f t="shared" si="154"/>
        <v>0</v>
      </c>
      <c r="AR383" s="8">
        <f t="shared" si="148"/>
        <v>0</v>
      </c>
      <c r="AS383" s="42"/>
      <c r="AT383" s="84">
        <v>85731</v>
      </c>
      <c r="AU383" s="84"/>
      <c r="AV383" s="4">
        <f t="shared" si="149"/>
        <v>85731</v>
      </c>
      <c r="AW383" s="50" t="str">
        <f t="shared" si="150"/>
        <v/>
      </c>
      <c r="AX383" s="1" t="s">
        <v>1639</v>
      </c>
      <c r="AY383" s="2" t="s">
        <v>1640</v>
      </c>
      <c r="AZ383" s="2">
        <v>157489.35999999999</v>
      </c>
      <c r="BA383" s="73">
        <v>137803.19</v>
      </c>
      <c r="BB383" s="73">
        <v>137803.19</v>
      </c>
      <c r="BC383" s="73">
        <v>157489.35999999999</v>
      </c>
      <c r="BD383" s="73"/>
      <c r="BE383" s="66">
        <v>0</v>
      </c>
      <c r="BF383" s="66">
        <v>0.02</v>
      </c>
      <c r="BG383" s="63">
        <v>45122</v>
      </c>
      <c r="BH383" s="2"/>
      <c r="BI383" s="2"/>
      <c r="BJ383" s="2">
        <v>568024.82999999996</v>
      </c>
      <c r="BK383" s="2"/>
      <c r="BL383" s="1" t="s">
        <v>396</v>
      </c>
    </row>
    <row r="384" spans="1:64" x14ac:dyDescent="0.25">
      <c r="A384" s="81" t="s">
        <v>841</v>
      </c>
      <c r="B384" s="82" t="s">
        <v>841</v>
      </c>
      <c r="C384" s="81" t="s">
        <v>842</v>
      </c>
      <c r="D384" s="16">
        <v>43644</v>
      </c>
      <c r="E384" s="17"/>
      <c r="F384" s="2" t="s">
        <v>52</v>
      </c>
      <c r="G384" s="2" t="s">
        <v>55</v>
      </c>
      <c r="H384" s="10" t="s">
        <v>57</v>
      </c>
      <c r="I384" s="11" t="s">
        <v>54</v>
      </c>
      <c r="J384" s="11" t="s">
        <v>636</v>
      </c>
      <c r="K384" s="61" t="s">
        <v>637</v>
      </c>
      <c r="L384" s="11" t="s">
        <v>67</v>
      </c>
      <c r="M384" s="25"/>
      <c r="N384" s="82"/>
      <c r="O384" s="3" t="str">
        <f t="shared" si="156"/>
        <v>A</v>
      </c>
      <c r="P384" s="84">
        <v>23479</v>
      </c>
      <c r="Q384" s="84">
        <v>6518</v>
      </c>
      <c r="R384" s="32"/>
      <c r="S384" s="3" t="str">
        <f t="shared" si="157"/>
        <v>A</v>
      </c>
      <c r="T384" s="84">
        <v>18563</v>
      </c>
      <c r="U384" s="84">
        <v>3952</v>
      </c>
      <c r="V384" s="32"/>
      <c r="W384" s="3" t="str">
        <f t="shared" si="144"/>
        <v>A</v>
      </c>
      <c r="X384" s="84">
        <v>17191</v>
      </c>
      <c r="Y384" s="84">
        <v>5330</v>
      </c>
      <c r="Z384" s="32"/>
      <c r="AA384" s="3" t="str">
        <f t="shared" si="145"/>
        <v>A</v>
      </c>
      <c r="AB384" s="84">
        <v>17986</v>
      </c>
      <c r="AC384" s="84">
        <v>6044</v>
      </c>
      <c r="AD384" s="36"/>
      <c r="AE384" s="82"/>
      <c r="AF384" s="3" t="str">
        <f t="shared" si="146"/>
        <v>A</v>
      </c>
      <c r="AG384" s="84">
        <v>0</v>
      </c>
      <c r="AH384" s="84">
        <v>0</v>
      </c>
      <c r="AI384" s="39"/>
      <c r="AJ384" s="79" t="s">
        <v>1801</v>
      </c>
      <c r="AK384" s="39"/>
      <c r="AL384" s="4">
        <f t="shared" si="151"/>
        <v>77219</v>
      </c>
      <c r="AM384" s="4">
        <f t="shared" si="152"/>
        <v>21844</v>
      </c>
      <c r="AN384" s="4">
        <f t="shared" si="147"/>
        <v>99063</v>
      </c>
      <c r="AO384" s="39"/>
      <c r="AP384" s="8">
        <f t="shared" si="153"/>
        <v>0</v>
      </c>
      <c r="AQ384" s="8">
        <f t="shared" si="154"/>
        <v>0</v>
      </c>
      <c r="AR384" s="8">
        <f t="shared" si="148"/>
        <v>0</v>
      </c>
      <c r="AS384" s="42"/>
      <c r="AT384" s="84">
        <v>77219</v>
      </c>
      <c r="AU384" s="84">
        <v>21844</v>
      </c>
      <c r="AV384" s="4">
        <f t="shared" si="149"/>
        <v>99063</v>
      </c>
      <c r="AW384" s="50" t="str">
        <f t="shared" si="150"/>
        <v/>
      </c>
      <c r="AX384" s="1" t="s">
        <v>1639</v>
      </c>
      <c r="AY384" s="2" t="s">
        <v>1640</v>
      </c>
      <c r="AZ384" s="2">
        <v>26158.560000000001</v>
      </c>
      <c r="BA384" s="73">
        <v>22888.74</v>
      </c>
      <c r="BB384" s="73">
        <v>22888.74</v>
      </c>
      <c r="BC384" s="73">
        <v>26158.560000000001</v>
      </c>
      <c r="BD384" s="73"/>
      <c r="BE384" s="66">
        <v>0</v>
      </c>
      <c r="BF384" s="66">
        <v>0.02</v>
      </c>
      <c r="BG384" s="63">
        <v>44903</v>
      </c>
      <c r="BH384" s="2"/>
      <c r="BI384" s="2"/>
      <c r="BJ384" s="2"/>
      <c r="BK384" s="2"/>
      <c r="BL384" s="1" t="s">
        <v>56</v>
      </c>
    </row>
    <row r="385" spans="1:64" x14ac:dyDescent="0.25">
      <c r="A385" s="81" t="s">
        <v>851</v>
      </c>
      <c r="B385" s="82" t="s">
        <v>851</v>
      </c>
      <c r="C385" s="81" t="s">
        <v>852</v>
      </c>
      <c r="D385" s="16">
        <v>43819</v>
      </c>
      <c r="E385" s="17"/>
      <c r="F385" s="2" t="s">
        <v>52</v>
      </c>
      <c r="G385" s="2" t="s">
        <v>55</v>
      </c>
      <c r="H385" s="10" t="s">
        <v>57</v>
      </c>
      <c r="I385" s="11" t="s">
        <v>54</v>
      </c>
      <c r="J385" s="11" t="s">
        <v>131</v>
      </c>
      <c r="K385" s="61" t="s">
        <v>132</v>
      </c>
      <c r="L385" s="11" t="s">
        <v>67</v>
      </c>
      <c r="M385" s="25"/>
      <c r="N385" s="82"/>
      <c r="O385" s="3" t="str">
        <f t="shared" si="156"/>
        <v>A</v>
      </c>
      <c r="P385" s="84">
        <v>111250</v>
      </c>
      <c r="Q385" s="84">
        <v>34939</v>
      </c>
      <c r="R385" s="32"/>
      <c r="S385" s="3" t="str">
        <f t="shared" si="157"/>
        <v>A</v>
      </c>
      <c r="T385" s="84">
        <v>104151</v>
      </c>
      <c r="U385" s="84">
        <v>28298</v>
      </c>
      <c r="V385" s="32"/>
      <c r="W385" s="3" t="str">
        <f t="shared" si="144"/>
        <v>A</v>
      </c>
      <c r="X385" s="84">
        <v>105596.41</v>
      </c>
      <c r="Y385" s="84">
        <v>30066.6</v>
      </c>
      <c r="Z385" s="32"/>
      <c r="AA385" s="3" t="str">
        <f t="shared" si="145"/>
        <v>A</v>
      </c>
      <c r="AB385" s="84">
        <v>109082</v>
      </c>
      <c r="AC385" s="84">
        <v>29039</v>
      </c>
      <c r="AD385" s="36"/>
      <c r="AE385" s="82"/>
      <c r="AF385" s="3" t="str">
        <f t="shared" si="146"/>
        <v>A</v>
      </c>
      <c r="AG385" s="84">
        <v>0</v>
      </c>
      <c r="AH385" s="84">
        <v>0</v>
      </c>
      <c r="AI385" s="39"/>
      <c r="AJ385" s="79" t="s">
        <v>1801</v>
      </c>
      <c r="AK385" s="39"/>
      <c r="AL385" s="4">
        <f t="shared" si="151"/>
        <v>430079.41000000003</v>
      </c>
      <c r="AM385" s="4">
        <f t="shared" si="152"/>
        <v>122342.6</v>
      </c>
      <c r="AN385" s="4">
        <f t="shared" si="147"/>
        <v>552422.01</v>
      </c>
      <c r="AO385" s="39"/>
      <c r="AP385" s="8">
        <f t="shared" si="153"/>
        <v>0</v>
      </c>
      <c r="AQ385" s="8">
        <f t="shared" si="154"/>
        <v>0</v>
      </c>
      <c r="AR385" s="8">
        <f t="shared" si="148"/>
        <v>0</v>
      </c>
      <c r="AS385" s="42"/>
      <c r="AT385" s="84">
        <v>430079.41000000003</v>
      </c>
      <c r="AU385" s="84">
        <v>122342.6</v>
      </c>
      <c r="AV385" s="4">
        <f t="shared" si="149"/>
        <v>552422.01</v>
      </c>
      <c r="AW385" s="50" t="str">
        <f t="shared" si="150"/>
        <v/>
      </c>
      <c r="AX385" s="1" t="s">
        <v>1639</v>
      </c>
      <c r="AY385" s="2" t="s">
        <v>1640</v>
      </c>
      <c r="AZ385" s="2">
        <v>118075.12</v>
      </c>
      <c r="BA385" s="73">
        <v>103315.73</v>
      </c>
      <c r="BB385" s="73">
        <v>103315.73</v>
      </c>
      <c r="BC385" s="73">
        <v>118075.12</v>
      </c>
      <c r="BD385" s="73"/>
      <c r="BE385" s="66">
        <v>0</v>
      </c>
      <c r="BF385" s="66">
        <v>0.02</v>
      </c>
      <c r="BG385" s="63">
        <v>45638</v>
      </c>
      <c r="BH385" s="2"/>
      <c r="BI385" s="2"/>
      <c r="BJ385" s="2"/>
      <c r="BK385" s="2"/>
      <c r="BL385" s="1" t="s">
        <v>56</v>
      </c>
    </row>
    <row r="386" spans="1:64" x14ac:dyDescent="0.25">
      <c r="A386" s="81" t="s">
        <v>853</v>
      </c>
      <c r="B386" s="82" t="s">
        <v>853</v>
      </c>
      <c r="C386" s="81" t="s">
        <v>854</v>
      </c>
      <c r="D386" s="16">
        <v>43776</v>
      </c>
      <c r="E386" s="17">
        <v>45603</v>
      </c>
      <c r="F386" s="2" t="s">
        <v>243</v>
      </c>
      <c r="G386" s="2" t="s">
        <v>245</v>
      </c>
      <c r="H386" s="10" t="s">
        <v>57</v>
      </c>
      <c r="I386" s="11" t="s">
        <v>244</v>
      </c>
      <c r="J386" s="11" t="s">
        <v>478</v>
      </c>
      <c r="K386" s="61" t="s">
        <v>479</v>
      </c>
      <c r="L386" s="11" t="s">
        <v>67</v>
      </c>
      <c r="M386" s="25"/>
      <c r="N386" s="82"/>
      <c r="O386" s="3" t="str">
        <f t="shared" ref="O386:O394" si="158">IF($A386="","",IF(P386=0,"A",IF(P386=AZ386,"E","A")))</f>
        <v>A</v>
      </c>
      <c r="P386" s="84"/>
      <c r="Q386" s="84"/>
      <c r="R386" s="32"/>
      <c r="S386" s="3" t="str">
        <f t="shared" si="157"/>
        <v>A</v>
      </c>
      <c r="T386" s="84"/>
      <c r="U386" s="84"/>
      <c r="V386" s="32"/>
      <c r="W386" s="3" t="str">
        <f t="shared" si="144"/>
        <v>A</v>
      </c>
      <c r="X386" s="84"/>
      <c r="Y386" s="84"/>
      <c r="Z386" s="32"/>
      <c r="AA386" s="3" t="str">
        <f t="shared" si="145"/>
        <v>A</v>
      </c>
      <c r="AB386" s="84"/>
      <c r="AC386" s="84"/>
      <c r="AD386" s="36"/>
      <c r="AE386" s="82"/>
      <c r="AF386" s="3" t="str">
        <f t="shared" si="146"/>
        <v>A</v>
      </c>
      <c r="AG386" s="84"/>
      <c r="AH386" s="84"/>
      <c r="AI386" s="39"/>
      <c r="AJ386" s="79" t="s">
        <v>1801</v>
      </c>
      <c r="AK386" s="39"/>
      <c r="AL386" s="4">
        <f t="shared" si="151"/>
        <v>0</v>
      </c>
      <c r="AM386" s="4">
        <f t="shared" si="152"/>
        <v>0</v>
      </c>
      <c r="AN386" s="4">
        <f t="shared" si="147"/>
        <v>0</v>
      </c>
      <c r="AO386" s="39"/>
      <c r="AP386" s="8">
        <f t="shared" si="153"/>
        <v>0</v>
      </c>
      <c r="AQ386" s="8">
        <f t="shared" si="154"/>
        <v>0</v>
      </c>
      <c r="AR386" s="8">
        <f t="shared" si="148"/>
        <v>0</v>
      </c>
      <c r="AS386" s="42"/>
      <c r="AT386" s="84"/>
      <c r="AU386" s="84"/>
      <c r="AV386" s="4">
        <f t="shared" si="149"/>
        <v>0</v>
      </c>
      <c r="AW386" s="50" t="str">
        <f t="shared" si="150"/>
        <v/>
      </c>
      <c r="AX386" s="1" t="s">
        <v>1639</v>
      </c>
      <c r="AY386" s="2" t="s">
        <v>1640</v>
      </c>
      <c r="AZ386" s="2"/>
      <c r="BA386" s="73"/>
      <c r="BB386" s="73"/>
      <c r="BC386" s="73"/>
      <c r="BD386" s="73"/>
      <c r="BE386" s="66">
        <v>0</v>
      </c>
      <c r="BF386" s="66">
        <v>0.02</v>
      </c>
      <c r="BG386" s="63">
        <v>45595</v>
      </c>
      <c r="BH386" s="74">
        <v>45603</v>
      </c>
      <c r="BI386" s="2"/>
      <c r="BJ386" s="2"/>
      <c r="BK386" s="2"/>
      <c r="BL386" s="1" t="s">
        <v>396</v>
      </c>
    </row>
    <row r="387" spans="1:64" x14ac:dyDescent="0.25">
      <c r="A387" s="81" t="s">
        <v>855</v>
      </c>
      <c r="B387" s="82" t="s">
        <v>855</v>
      </c>
      <c r="C387" s="81" t="s">
        <v>856</v>
      </c>
      <c r="D387" s="16">
        <v>43754</v>
      </c>
      <c r="E387" s="17"/>
      <c r="F387" s="2" t="s">
        <v>52</v>
      </c>
      <c r="G387" s="2" t="s">
        <v>55</v>
      </c>
      <c r="H387" s="10" t="s">
        <v>57</v>
      </c>
      <c r="I387" s="11" t="s">
        <v>54</v>
      </c>
      <c r="J387" s="11" t="s">
        <v>620</v>
      </c>
      <c r="K387" s="61" t="s">
        <v>621</v>
      </c>
      <c r="L387" s="11" t="s">
        <v>67</v>
      </c>
      <c r="M387" s="25"/>
      <c r="N387" s="82"/>
      <c r="O387" s="3" t="str">
        <f t="shared" si="158"/>
        <v>A</v>
      </c>
      <c r="P387" s="84">
        <v>39356</v>
      </c>
      <c r="Q387" s="84">
        <v>14839</v>
      </c>
      <c r="R387" s="32"/>
      <c r="S387" s="3" t="str">
        <f t="shared" si="157"/>
        <v>A</v>
      </c>
      <c r="T387" s="84">
        <v>33292</v>
      </c>
      <c r="U387" s="84">
        <v>12095</v>
      </c>
      <c r="V387" s="32"/>
      <c r="W387" s="3" t="str">
        <f t="shared" si="144"/>
        <v>A</v>
      </c>
      <c r="X387" s="84">
        <v>33808</v>
      </c>
      <c r="Y387" s="84">
        <v>10710</v>
      </c>
      <c r="Z387" s="32"/>
      <c r="AA387" s="3" t="str">
        <f t="shared" si="145"/>
        <v>A</v>
      </c>
      <c r="AB387" s="84">
        <v>35286</v>
      </c>
      <c r="AC387" s="84">
        <v>11764</v>
      </c>
      <c r="AD387" s="36"/>
      <c r="AE387" s="82"/>
      <c r="AF387" s="3" t="str">
        <f t="shared" si="146"/>
        <v>A</v>
      </c>
      <c r="AG387" s="84">
        <v>0</v>
      </c>
      <c r="AH387" s="84">
        <v>0</v>
      </c>
      <c r="AI387" s="39"/>
      <c r="AJ387" s="79" t="s">
        <v>1801</v>
      </c>
      <c r="AK387" s="39"/>
      <c r="AL387" s="4">
        <f t="shared" si="151"/>
        <v>141742</v>
      </c>
      <c r="AM387" s="4">
        <f t="shared" si="152"/>
        <v>49408</v>
      </c>
      <c r="AN387" s="4">
        <f t="shared" si="147"/>
        <v>191150</v>
      </c>
      <c r="AO387" s="39"/>
      <c r="AP387" s="8">
        <f t="shared" si="153"/>
        <v>0</v>
      </c>
      <c r="AQ387" s="8">
        <f t="shared" si="154"/>
        <v>0</v>
      </c>
      <c r="AR387" s="8">
        <f t="shared" si="148"/>
        <v>0</v>
      </c>
      <c r="AS387" s="42"/>
      <c r="AT387" s="84">
        <v>141742</v>
      </c>
      <c r="AU387" s="84">
        <v>49408</v>
      </c>
      <c r="AV387" s="4">
        <f t="shared" si="149"/>
        <v>191150</v>
      </c>
      <c r="AW387" s="50" t="str">
        <f t="shared" si="150"/>
        <v/>
      </c>
      <c r="AX387" s="1" t="s">
        <v>1639</v>
      </c>
      <c r="AY387" s="2" t="s">
        <v>1640</v>
      </c>
      <c r="AZ387" s="2">
        <v>81024.88</v>
      </c>
      <c r="BA387" s="73">
        <v>70896.77</v>
      </c>
      <c r="BB387" s="73">
        <v>70896.77</v>
      </c>
      <c r="BC387" s="73">
        <v>81024.88</v>
      </c>
      <c r="BD387" s="73"/>
      <c r="BE387" s="66">
        <v>0</v>
      </c>
      <c r="BF387" s="66">
        <v>0.02</v>
      </c>
      <c r="BG387" s="63">
        <v>45561</v>
      </c>
      <c r="BH387" s="2"/>
      <c r="BI387" s="2"/>
      <c r="BJ387" s="2"/>
      <c r="BK387" s="2"/>
      <c r="BL387" s="1" t="s">
        <v>56</v>
      </c>
    </row>
    <row r="388" spans="1:64" x14ac:dyDescent="0.25">
      <c r="A388" s="81" t="s">
        <v>857</v>
      </c>
      <c r="B388" s="82" t="s">
        <v>857</v>
      </c>
      <c r="C388" s="81" t="s">
        <v>858</v>
      </c>
      <c r="D388" s="16">
        <v>41426</v>
      </c>
      <c r="E388" s="17"/>
      <c r="F388" s="2" t="s">
        <v>859</v>
      </c>
      <c r="G388" s="2" t="s">
        <v>860</v>
      </c>
      <c r="H388" s="10" t="s">
        <v>98</v>
      </c>
      <c r="I388" s="11" t="s">
        <v>53</v>
      </c>
      <c r="J388" s="11" t="s">
        <v>224</v>
      </c>
      <c r="K388" s="61"/>
      <c r="L388" s="11" t="s">
        <v>67</v>
      </c>
      <c r="M388" s="25"/>
      <c r="N388" s="82"/>
      <c r="O388" s="3" t="str">
        <f t="shared" si="158"/>
        <v>A</v>
      </c>
      <c r="P388" s="84">
        <v>93056</v>
      </c>
      <c r="Q388" s="84">
        <v>6925</v>
      </c>
      <c r="R388" s="32"/>
      <c r="S388" s="3" t="str">
        <f t="shared" si="157"/>
        <v>A</v>
      </c>
      <c r="T388" s="84">
        <v>86651</v>
      </c>
      <c r="U388" s="84">
        <v>6340</v>
      </c>
      <c r="V388" s="32"/>
      <c r="W388" s="3" t="str">
        <f t="shared" si="144"/>
        <v>A</v>
      </c>
      <c r="X388" s="84">
        <v>77111</v>
      </c>
      <c r="Y388" s="84">
        <v>4310</v>
      </c>
      <c r="Z388" s="32"/>
      <c r="AA388" s="3" t="str">
        <f t="shared" si="145"/>
        <v>A</v>
      </c>
      <c r="AB388" s="84">
        <v>92614</v>
      </c>
      <c r="AC388" s="84">
        <v>5380</v>
      </c>
      <c r="AD388" s="36"/>
      <c r="AE388" s="82"/>
      <c r="AF388" s="3" t="str">
        <f t="shared" si="146"/>
        <v>A</v>
      </c>
      <c r="AG388" s="84">
        <v>0</v>
      </c>
      <c r="AH388" s="84">
        <v>0</v>
      </c>
      <c r="AI388" s="39"/>
      <c r="AJ388" s="79" t="s">
        <v>1801</v>
      </c>
      <c r="AK388" s="39"/>
      <c r="AL388" s="4">
        <f t="shared" si="151"/>
        <v>349432</v>
      </c>
      <c r="AM388" s="4">
        <f t="shared" si="152"/>
        <v>22955</v>
      </c>
      <c r="AN388" s="4">
        <f t="shared" si="147"/>
        <v>372387</v>
      </c>
      <c r="AO388" s="39"/>
      <c r="AP388" s="8">
        <f t="shared" si="153"/>
        <v>0</v>
      </c>
      <c r="AQ388" s="8">
        <f t="shared" si="154"/>
        <v>0</v>
      </c>
      <c r="AR388" s="8">
        <f t="shared" si="148"/>
        <v>0</v>
      </c>
      <c r="AS388" s="42"/>
      <c r="AT388" s="84">
        <v>349432</v>
      </c>
      <c r="AU388" s="84">
        <v>22955</v>
      </c>
      <c r="AV388" s="4">
        <f t="shared" si="149"/>
        <v>372387</v>
      </c>
      <c r="AW388" s="50" t="str">
        <f t="shared" si="150"/>
        <v/>
      </c>
      <c r="AX388" s="1" t="s">
        <v>1736</v>
      </c>
      <c r="AY388" s="2" t="s">
        <v>1737</v>
      </c>
      <c r="AZ388" s="2">
        <v>69575.199999999997</v>
      </c>
      <c r="BA388" s="73">
        <v>60878.3</v>
      </c>
      <c r="BB388" s="73">
        <v>60878.3</v>
      </c>
      <c r="BC388" s="73">
        <v>69575.199999999997</v>
      </c>
      <c r="BD388" s="73"/>
      <c r="BE388" s="66">
        <v>4.4999999999999998E-2</v>
      </c>
      <c r="BF388" s="66">
        <v>0.05</v>
      </c>
      <c r="BG388" s="63">
        <v>45067</v>
      </c>
      <c r="BH388" s="2"/>
      <c r="BI388" s="2"/>
      <c r="BJ388" s="2"/>
      <c r="BK388" s="2"/>
      <c r="BL388" s="1" t="s">
        <v>97</v>
      </c>
    </row>
    <row r="389" spans="1:64" x14ac:dyDescent="0.25">
      <c r="A389" s="81" t="s">
        <v>857</v>
      </c>
      <c r="B389" s="82" t="s">
        <v>927</v>
      </c>
      <c r="C389" s="81" t="s">
        <v>928</v>
      </c>
      <c r="D389" s="16">
        <v>0</v>
      </c>
      <c r="E389" s="17"/>
      <c r="F389" s="2" t="s">
        <v>859</v>
      </c>
      <c r="G389" s="2" t="s">
        <v>860</v>
      </c>
      <c r="H389" s="10" t="s">
        <v>98</v>
      </c>
      <c r="I389" s="11" t="s">
        <v>53</v>
      </c>
      <c r="J389" s="11" t="s">
        <v>224</v>
      </c>
      <c r="K389" s="61"/>
      <c r="L389" s="11" t="s">
        <v>67</v>
      </c>
      <c r="M389" s="25"/>
      <c r="N389" s="82"/>
      <c r="O389" s="3" t="str">
        <f t="shared" si="158"/>
        <v>A</v>
      </c>
      <c r="P389" s="84">
        <v>115742</v>
      </c>
      <c r="Q389" s="84">
        <v>0</v>
      </c>
      <c r="R389" s="32"/>
      <c r="S389" s="3" t="str">
        <f t="shared" si="157"/>
        <v>A</v>
      </c>
      <c r="T389" s="84">
        <v>126656</v>
      </c>
      <c r="U389" s="84"/>
      <c r="V389" s="32"/>
      <c r="W389" s="3" t="str">
        <f t="shared" si="144"/>
        <v>A</v>
      </c>
      <c r="X389" s="84">
        <v>106476</v>
      </c>
      <c r="Y389" s="84"/>
      <c r="Z389" s="32"/>
      <c r="AA389" s="3" t="str">
        <f t="shared" si="145"/>
        <v>A</v>
      </c>
      <c r="AB389" s="84">
        <v>112409</v>
      </c>
      <c r="AC389" s="84"/>
      <c r="AD389" s="36"/>
      <c r="AE389" s="82"/>
      <c r="AF389" s="3" t="str">
        <f t="shared" si="146"/>
        <v>A</v>
      </c>
      <c r="AG389" s="84">
        <v>0</v>
      </c>
      <c r="AH389" s="84">
        <v>0</v>
      </c>
      <c r="AI389" s="39"/>
      <c r="AJ389" s="79" t="s">
        <v>1801</v>
      </c>
      <c r="AK389" s="39"/>
      <c r="AL389" s="4">
        <f t="shared" si="151"/>
        <v>461283</v>
      </c>
      <c r="AM389" s="4">
        <f t="shared" si="152"/>
        <v>0</v>
      </c>
      <c r="AN389" s="4">
        <f t="shared" si="147"/>
        <v>461283</v>
      </c>
      <c r="AO389" s="39"/>
      <c r="AP389" s="8">
        <f t="shared" si="153"/>
        <v>0</v>
      </c>
      <c r="AQ389" s="8">
        <f t="shared" si="154"/>
        <v>0</v>
      </c>
      <c r="AR389" s="8">
        <f t="shared" si="148"/>
        <v>0</v>
      </c>
      <c r="AS389" s="42"/>
      <c r="AT389" s="84">
        <v>461283</v>
      </c>
      <c r="AU389" s="84"/>
      <c r="AV389" s="4">
        <f t="shared" si="149"/>
        <v>461283</v>
      </c>
      <c r="AW389" s="50" t="str">
        <f t="shared" si="150"/>
        <v/>
      </c>
      <c r="AX389" s="1" t="s">
        <v>1736</v>
      </c>
      <c r="AY389" s="2" t="s">
        <v>1737</v>
      </c>
      <c r="AZ389" s="2">
        <v>39312.080000000002</v>
      </c>
      <c r="BA389" s="73">
        <v>34398.07</v>
      </c>
      <c r="BB389" s="73">
        <v>34398.07</v>
      </c>
      <c r="BC389" s="73">
        <v>39312.080000000002</v>
      </c>
      <c r="BD389" s="73"/>
      <c r="BE389" s="66">
        <v>0.05</v>
      </c>
      <c r="BF389" s="66">
        <v>0.05</v>
      </c>
      <c r="BG389" s="63">
        <v>45067</v>
      </c>
      <c r="BH389" s="2"/>
      <c r="BI389" s="2"/>
      <c r="BJ389" s="2">
        <v>146410.71</v>
      </c>
      <c r="BK389" s="2">
        <v>18301.34</v>
      </c>
      <c r="BL389" s="1" t="s">
        <v>97</v>
      </c>
    </row>
    <row r="390" spans="1:64" x14ac:dyDescent="0.25">
      <c r="A390" s="81" t="s">
        <v>857</v>
      </c>
      <c r="B390" s="82" t="s">
        <v>972</v>
      </c>
      <c r="C390" s="81" t="s">
        <v>973</v>
      </c>
      <c r="D390" s="16">
        <v>0</v>
      </c>
      <c r="E390" s="17"/>
      <c r="F390" s="2" t="s">
        <v>859</v>
      </c>
      <c r="G390" s="2" t="s">
        <v>860</v>
      </c>
      <c r="H390" s="10" t="s">
        <v>98</v>
      </c>
      <c r="I390" s="11" t="s">
        <v>53</v>
      </c>
      <c r="J390" s="11" t="s">
        <v>224</v>
      </c>
      <c r="K390" s="61"/>
      <c r="L390" s="11" t="s">
        <v>67</v>
      </c>
      <c r="M390" s="25"/>
      <c r="N390" s="82"/>
      <c r="O390" s="3" t="str">
        <f t="shared" si="158"/>
        <v>A</v>
      </c>
      <c r="P390" s="84">
        <v>82762</v>
      </c>
      <c r="Q390" s="84">
        <v>0</v>
      </c>
      <c r="R390" s="32"/>
      <c r="S390" s="3" t="str">
        <f t="shared" si="157"/>
        <v>A</v>
      </c>
      <c r="T390" s="84">
        <v>84409</v>
      </c>
      <c r="U390" s="84"/>
      <c r="V390" s="32"/>
      <c r="W390" s="3" t="str">
        <f t="shared" si="144"/>
        <v>A</v>
      </c>
      <c r="X390" s="84">
        <v>79213</v>
      </c>
      <c r="Y390" s="84"/>
      <c r="Z390" s="32"/>
      <c r="AA390" s="3" t="str">
        <f t="shared" si="145"/>
        <v>A</v>
      </c>
      <c r="AB390" s="84">
        <v>90750</v>
      </c>
      <c r="AC390" s="84"/>
      <c r="AD390" s="36"/>
      <c r="AE390" s="82"/>
      <c r="AF390" s="3" t="str">
        <f t="shared" si="146"/>
        <v>A</v>
      </c>
      <c r="AG390" s="84">
        <v>0</v>
      </c>
      <c r="AH390" s="84">
        <v>0</v>
      </c>
      <c r="AI390" s="39"/>
      <c r="AJ390" s="79" t="s">
        <v>1801</v>
      </c>
      <c r="AK390" s="39"/>
      <c r="AL390" s="4">
        <f t="shared" si="151"/>
        <v>337134</v>
      </c>
      <c r="AM390" s="4">
        <f t="shared" si="152"/>
        <v>0</v>
      </c>
      <c r="AN390" s="4">
        <f t="shared" si="147"/>
        <v>337134</v>
      </c>
      <c r="AO390" s="39"/>
      <c r="AP390" s="8">
        <f t="shared" si="153"/>
        <v>0</v>
      </c>
      <c r="AQ390" s="8">
        <f t="shared" si="154"/>
        <v>0</v>
      </c>
      <c r="AR390" s="8">
        <f t="shared" si="148"/>
        <v>0</v>
      </c>
      <c r="AS390" s="42"/>
      <c r="AT390" s="84">
        <v>337134</v>
      </c>
      <c r="AU390" s="84"/>
      <c r="AV390" s="4">
        <f t="shared" si="149"/>
        <v>337134</v>
      </c>
      <c r="AW390" s="50" t="str">
        <f t="shared" si="150"/>
        <v/>
      </c>
      <c r="AX390" s="1" t="s">
        <v>1736</v>
      </c>
      <c r="AY390" s="2" t="s">
        <v>1737</v>
      </c>
      <c r="AZ390" s="2">
        <v>52856.4</v>
      </c>
      <c r="BA390" s="73">
        <v>46249.35</v>
      </c>
      <c r="BB390" s="73">
        <v>46249.35</v>
      </c>
      <c r="BC390" s="73">
        <v>52856.4</v>
      </c>
      <c r="BD390" s="73"/>
      <c r="BE390" s="66">
        <v>0.05</v>
      </c>
      <c r="BF390" s="66">
        <v>0.05</v>
      </c>
      <c r="BG390" s="63">
        <v>45067</v>
      </c>
      <c r="BH390" s="2"/>
      <c r="BI390" s="2"/>
      <c r="BJ390" s="2">
        <v>189000</v>
      </c>
      <c r="BK390" s="2"/>
      <c r="BL390" s="1" t="s">
        <v>97</v>
      </c>
    </row>
    <row r="391" spans="1:64" x14ac:dyDescent="0.25">
      <c r="A391" s="81" t="s">
        <v>857</v>
      </c>
      <c r="B391" s="82" t="s">
        <v>978</v>
      </c>
      <c r="C391" s="81" t="s">
        <v>979</v>
      </c>
      <c r="D391" s="16">
        <v>0</v>
      </c>
      <c r="E391" s="17"/>
      <c r="F391" s="2" t="s">
        <v>859</v>
      </c>
      <c r="G391" s="2" t="s">
        <v>860</v>
      </c>
      <c r="H391" s="10" t="s">
        <v>98</v>
      </c>
      <c r="I391" s="11" t="s">
        <v>53</v>
      </c>
      <c r="J391" s="11" t="s">
        <v>224</v>
      </c>
      <c r="K391" s="61"/>
      <c r="L391" s="11" t="s">
        <v>67</v>
      </c>
      <c r="M391" s="25"/>
      <c r="N391" s="82"/>
      <c r="O391" s="3" t="str">
        <f t="shared" si="158"/>
        <v>A</v>
      </c>
      <c r="P391" s="84">
        <v>53829</v>
      </c>
      <c r="Q391" s="84">
        <v>1375</v>
      </c>
      <c r="R391" s="32"/>
      <c r="S391" s="3" t="str">
        <f t="shared" si="157"/>
        <v>A</v>
      </c>
      <c r="T391" s="84">
        <v>42762</v>
      </c>
      <c r="U391" s="84">
        <v>550</v>
      </c>
      <c r="V391" s="32"/>
      <c r="W391" s="3" t="str">
        <f t="shared" si="144"/>
        <v>A</v>
      </c>
      <c r="X391" s="84">
        <v>31594</v>
      </c>
      <c r="Y391" s="84">
        <v>1550</v>
      </c>
      <c r="Z391" s="32"/>
      <c r="AA391" s="3" t="str">
        <f t="shared" si="145"/>
        <v>A</v>
      </c>
      <c r="AB391" s="84">
        <v>44068</v>
      </c>
      <c r="AC391" s="84">
        <v>3775</v>
      </c>
      <c r="AD391" s="36"/>
      <c r="AE391" s="82"/>
      <c r="AF391" s="3" t="str">
        <f t="shared" si="146"/>
        <v>A</v>
      </c>
      <c r="AG391" s="84">
        <v>0</v>
      </c>
      <c r="AH391" s="84">
        <v>0</v>
      </c>
      <c r="AI391" s="39"/>
      <c r="AJ391" s="79" t="s">
        <v>1801</v>
      </c>
      <c r="AK391" s="39"/>
      <c r="AL391" s="4">
        <f t="shared" si="151"/>
        <v>172253</v>
      </c>
      <c r="AM391" s="4">
        <f t="shared" si="152"/>
        <v>7250</v>
      </c>
      <c r="AN391" s="4">
        <f t="shared" si="147"/>
        <v>179503</v>
      </c>
      <c r="AO391" s="39"/>
      <c r="AP391" s="8">
        <f t="shared" si="153"/>
        <v>0</v>
      </c>
      <c r="AQ391" s="8">
        <f t="shared" si="154"/>
        <v>0</v>
      </c>
      <c r="AR391" s="8">
        <f t="shared" si="148"/>
        <v>0</v>
      </c>
      <c r="AS391" s="42"/>
      <c r="AT391" s="84">
        <v>172253</v>
      </c>
      <c r="AU391" s="84">
        <v>7250</v>
      </c>
      <c r="AV391" s="4">
        <f t="shared" si="149"/>
        <v>179503</v>
      </c>
      <c r="AW391" s="50" t="str">
        <f t="shared" si="150"/>
        <v/>
      </c>
      <c r="AX391" s="1" t="s">
        <v>1736</v>
      </c>
      <c r="AY391" s="2" t="s">
        <v>1737</v>
      </c>
      <c r="AZ391" s="2">
        <v>35726.959999999999</v>
      </c>
      <c r="BA391" s="73">
        <v>31261.09</v>
      </c>
      <c r="BB391" s="73">
        <v>31261.09</v>
      </c>
      <c r="BC391" s="73">
        <v>35726.959999999999</v>
      </c>
      <c r="BD391" s="73"/>
      <c r="BE391" s="66">
        <v>0.05</v>
      </c>
      <c r="BF391" s="66">
        <v>0.05</v>
      </c>
      <c r="BG391" s="63">
        <v>45067</v>
      </c>
      <c r="BH391" s="2"/>
      <c r="BI391" s="2"/>
      <c r="BJ391" s="2">
        <v>126000</v>
      </c>
      <c r="BK391" s="2">
        <v>31500</v>
      </c>
      <c r="BL391" s="1" t="s">
        <v>97</v>
      </c>
    </row>
    <row r="392" spans="1:64" x14ac:dyDescent="0.25">
      <c r="A392" s="81" t="s">
        <v>857</v>
      </c>
      <c r="B392" s="82" t="s">
        <v>1001</v>
      </c>
      <c r="C392" s="81" t="s">
        <v>1002</v>
      </c>
      <c r="D392" s="16">
        <v>0</v>
      </c>
      <c r="E392" s="17"/>
      <c r="F392" s="2" t="s">
        <v>859</v>
      </c>
      <c r="G392" s="2" t="s">
        <v>860</v>
      </c>
      <c r="H392" s="10" t="s">
        <v>98</v>
      </c>
      <c r="I392" s="11" t="s">
        <v>53</v>
      </c>
      <c r="J392" s="11" t="s">
        <v>224</v>
      </c>
      <c r="K392" s="61"/>
      <c r="L392" s="11" t="s">
        <v>67</v>
      </c>
      <c r="M392" s="25"/>
      <c r="N392" s="82"/>
      <c r="O392" s="3" t="str">
        <f t="shared" si="158"/>
        <v>A</v>
      </c>
      <c r="P392" s="84">
        <v>176849</v>
      </c>
      <c r="Q392" s="84">
        <v>0</v>
      </c>
      <c r="R392" s="32"/>
      <c r="S392" s="3" t="str">
        <f t="shared" si="157"/>
        <v>A</v>
      </c>
      <c r="T392" s="84">
        <v>165201</v>
      </c>
      <c r="U392" s="84"/>
      <c r="V392" s="32"/>
      <c r="W392" s="3" t="str">
        <f t="shared" ref="W392:W455" si="159">IF($A392="","",IF(X392=0,"A",IF(X392=BB392,"E","A")))</f>
        <v>A</v>
      </c>
      <c r="X392" s="84">
        <v>149649</v>
      </c>
      <c r="Y392" s="84"/>
      <c r="Z392" s="32"/>
      <c r="AA392" s="3" t="str">
        <f t="shared" ref="AA392:AA455" si="160">IF($A392="","",IF(AB392=0,"A",IF(AB392=BC392,"E","A")))</f>
        <v>A</v>
      </c>
      <c r="AB392" s="84">
        <v>179075</v>
      </c>
      <c r="AC392" s="84"/>
      <c r="AD392" s="36"/>
      <c r="AE392" s="82"/>
      <c r="AF392" s="3" t="str">
        <f t="shared" ref="AF392:AF455" si="161">IF($A392="","",IF(AG392=0,"A",IF(AG392=BD392,"E","A")))</f>
        <v>A</v>
      </c>
      <c r="AG392" s="84">
        <v>0</v>
      </c>
      <c r="AH392" s="84">
        <v>0</v>
      </c>
      <c r="AI392" s="39"/>
      <c r="AJ392" s="79" t="s">
        <v>1801</v>
      </c>
      <c r="AK392" s="39"/>
      <c r="AL392" s="4">
        <f t="shared" si="151"/>
        <v>670774</v>
      </c>
      <c r="AM392" s="4">
        <f t="shared" si="152"/>
        <v>0</v>
      </c>
      <c r="AN392" s="4">
        <f t="shared" ref="AN392:AN455" si="162">SUM(AL392:AM392)</f>
        <v>670774</v>
      </c>
      <c r="AO392" s="39"/>
      <c r="AP392" s="8">
        <f t="shared" si="153"/>
        <v>0</v>
      </c>
      <c r="AQ392" s="8">
        <f t="shared" si="154"/>
        <v>0</v>
      </c>
      <c r="AR392" s="8">
        <f t="shared" ref="AR392:AR455" si="163">SUM(AP392:AQ392)</f>
        <v>0</v>
      </c>
      <c r="AS392" s="42"/>
      <c r="AT392" s="84">
        <v>670774</v>
      </c>
      <c r="AU392" s="84"/>
      <c r="AV392" s="4">
        <f t="shared" ref="AV392:AV455" si="164">SUM(AT392:AU392)</f>
        <v>670774</v>
      </c>
      <c r="AW392" s="50" t="str">
        <f t="shared" ref="AW392:AW455" si="165">IF(AV392=0,"",IF(AN392=AV392,"","W"))</f>
        <v/>
      </c>
      <c r="AX392" s="1" t="s">
        <v>1736</v>
      </c>
      <c r="AY392" s="2" t="s">
        <v>1737</v>
      </c>
      <c r="AZ392" s="2">
        <v>79195.199999999997</v>
      </c>
      <c r="BA392" s="73">
        <v>69295.8</v>
      </c>
      <c r="BB392" s="73">
        <v>69295.8</v>
      </c>
      <c r="BC392" s="73">
        <v>79195.199999999997</v>
      </c>
      <c r="BD392" s="73"/>
      <c r="BE392" s="66">
        <v>0.05</v>
      </c>
      <c r="BF392" s="66">
        <v>0.05</v>
      </c>
      <c r="BG392" s="63">
        <v>45067</v>
      </c>
      <c r="BH392" s="2"/>
      <c r="BI392" s="2"/>
      <c r="BJ392" s="2">
        <v>286875</v>
      </c>
      <c r="BK392" s="2">
        <v>35859.379999999997</v>
      </c>
      <c r="BL392" s="1" t="s">
        <v>97</v>
      </c>
    </row>
    <row r="393" spans="1:64" x14ac:dyDescent="0.25">
      <c r="A393" s="81" t="s">
        <v>857</v>
      </c>
      <c r="B393" s="82" t="s">
        <v>1013</v>
      </c>
      <c r="C393" s="81" t="s">
        <v>1014</v>
      </c>
      <c r="D393" s="16">
        <v>0</v>
      </c>
      <c r="E393" s="17"/>
      <c r="F393" s="2" t="s">
        <v>859</v>
      </c>
      <c r="G393" s="2" t="s">
        <v>860</v>
      </c>
      <c r="H393" s="10" t="s">
        <v>98</v>
      </c>
      <c r="I393" s="11" t="s">
        <v>53</v>
      </c>
      <c r="J393" s="11" t="s">
        <v>224</v>
      </c>
      <c r="K393" s="61"/>
      <c r="L393" s="11" t="s">
        <v>67</v>
      </c>
      <c r="M393" s="25"/>
      <c r="N393" s="82"/>
      <c r="O393" s="3" t="str">
        <f t="shared" si="158"/>
        <v>A</v>
      </c>
      <c r="P393" s="84">
        <v>46822</v>
      </c>
      <c r="Q393" s="84">
        <v>0</v>
      </c>
      <c r="R393" s="32"/>
      <c r="S393" s="3" t="str">
        <f t="shared" si="157"/>
        <v>A</v>
      </c>
      <c r="T393" s="84">
        <v>45984</v>
      </c>
      <c r="U393" s="84"/>
      <c r="V393" s="32"/>
      <c r="W393" s="3" t="str">
        <f t="shared" si="159"/>
        <v>A</v>
      </c>
      <c r="X393" s="84">
        <v>48388</v>
      </c>
      <c r="Y393" s="84"/>
      <c r="Z393" s="32"/>
      <c r="AA393" s="3" t="str">
        <f t="shared" si="160"/>
        <v>A</v>
      </c>
      <c r="AB393" s="84">
        <v>50820</v>
      </c>
      <c r="AC393" s="84"/>
      <c r="AD393" s="36"/>
      <c r="AE393" s="82"/>
      <c r="AF393" s="3" t="str">
        <f t="shared" si="161"/>
        <v>A</v>
      </c>
      <c r="AG393" s="84">
        <v>0</v>
      </c>
      <c r="AH393" s="84">
        <v>0</v>
      </c>
      <c r="AI393" s="39"/>
      <c r="AJ393" s="79" t="s">
        <v>1801</v>
      </c>
      <c r="AK393" s="39"/>
      <c r="AL393" s="4">
        <f t="shared" ref="AL393:AL456" si="166">IF($O393="A",P393,0)+IF($S393="A",T393,0)+IF($W393="A",X393,0)+IF($AA393="A",AB393,0)+IF($AF393="A",AG393,0)</f>
        <v>192014</v>
      </c>
      <c r="AM393" s="4">
        <f t="shared" ref="AM393:AM456" si="167">IF($O393="A",Q393,0)+IF($S393="A",U393,0)+IF($W393="A",Y393,0)+IF($AA393="A",AC393,0)+IF($AF393="A",AH393,0)</f>
        <v>0</v>
      </c>
      <c r="AN393" s="4">
        <f t="shared" si="162"/>
        <v>192014</v>
      </c>
      <c r="AO393" s="39"/>
      <c r="AP393" s="8">
        <f t="shared" ref="AP393:AP456" si="168">IF($O393="E",P393,0)+IF($S393="E",T393,0)+IF($W393="E",X393,0)+IF($AA393="E",AB393,0)+IF($AF393="E",AG393,0)</f>
        <v>0</v>
      </c>
      <c r="AQ393" s="8">
        <f t="shared" ref="AQ393:AQ456" si="169">IF($O393="E",Q393,0)+IF($S393="E",U393,0)+IF($W393="E",Y393,0)+IF($AA393="E",AC393,0)+IF($AF393="E",AH393,0)</f>
        <v>0</v>
      </c>
      <c r="AR393" s="8">
        <f t="shared" si="163"/>
        <v>0</v>
      </c>
      <c r="AS393" s="42"/>
      <c r="AT393" s="84">
        <v>192014</v>
      </c>
      <c r="AU393" s="84"/>
      <c r="AV393" s="4">
        <f t="shared" si="164"/>
        <v>192014</v>
      </c>
      <c r="AW393" s="50" t="str">
        <f t="shared" si="165"/>
        <v/>
      </c>
      <c r="AX393" s="1" t="s">
        <v>1736</v>
      </c>
      <c r="AY393" s="2" t="s">
        <v>1737</v>
      </c>
      <c r="AZ393" s="2">
        <v>25770.16</v>
      </c>
      <c r="BA393" s="73">
        <v>22548.89</v>
      </c>
      <c r="BB393" s="73">
        <v>22548.89</v>
      </c>
      <c r="BC393" s="73">
        <v>25770.16</v>
      </c>
      <c r="BD393" s="73"/>
      <c r="BE393" s="66">
        <v>0.05</v>
      </c>
      <c r="BF393" s="66">
        <v>0.05</v>
      </c>
      <c r="BG393" s="63">
        <v>45067</v>
      </c>
      <c r="BH393" s="2"/>
      <c r="BI393" s="2"/>
      <c r="BJ393" s="2">
        <v>94500</v>
      </c>
      <c r="BK393" s="2">
        <v>11812</v>
      </c>
      <c r="BL393" s="1" t="s">
        <v>97</v>
      </c>
    </row>
    <row r="394" spans="1:64" x14ac:dyDescent="0.25">
      <c r="A394" s="81" t="s">
        <v>857</v>
      </c>
      <c r="B394" s="82" t="s">
        <v>1045</v>
      </c>
      <c r="C394" s="81" t="s">
        <v>1046</v>
      </c>
      <c r="D394" s="16">
        <v>0</v>
      </c>
      <c r="E394" s="17"/>
      <c r="F394" s="2" t="s">
        <v>859</v>
      </c>
      <c r="G394" s="2" t="s">
        <v>860</v>
      </c>
      <c r="H394" s="10" t="s">
        <v>98</v>
      </c>
      <c r="I394" s="11" t="s">
        <v>53</v>
      </c>
      <c r="J394" s="11" t="s">
        <v>224</v>
      </c>
      <c r="K394" s="61"/>
      <c r="L394" s="11" t="s">
        <v>67</v>
      </c>
      <c r="M394" s="25"/>
      <c r="N394" s="82"/>
      <c r="O394" s="3" t="str">
        <f t="shared" si="158"/>
        <v>A</v>
      </c>
      <c r="P394" s="84">
        <v>90198</v>
      </c>
      <c r="Q394" s="84">
        <v>0</v>
      </c>
      <c r="R394" s="32"/>
      <c r="S394" s="3" t="str">
        <f t="shared" si="157"/>
        <v>A</v>
      </c>
      <c r="T394" s="84">
        <v>83813</v>
      </c>
      <c r="U394" s="84"/>
      <c r="V394" s="32"/>
      <c r="W394" s="3" t="str">
        <f t="shared" si="159"/>
        <v>A</v>
      </c>
      <c r="X394" s="84">
        <v>80214</v>
      </c>
      <c r="Y394" s="84"/>
      <c r="Z394" s="32"/>
      <c r="AA394" s="3" t="str">
        <f t="shared" si="160"/>
        <v>A</v>
      </c>
      <c r="AB394" s="84">
        <v>90467</v>
      </c>
      <c r="AC394" s="84"/>
      <c r="AD394" s="36"/>
      <c r="AE394" s="82"/>
      <c r="AF394" s="3" t="str">
        <f t="shared" si="161"/>
        <v>A</v>
      </c>
      <c r="AG394" s="84">
        <v>0</v>
      </c>
      <c r="AH394" s="84">
        <v>0</v>
      </c>
      <c r="AI394" s="39"/>
      <c r="AJ394" s="79" t="s">
        <v>1801</v>
      </c>
      <c r="AK394" s="39"/>
      <c r="AL394" s="4">
        <f t="shared" si="166"/>
        <v>344692</v>
      </c>
      <c r="AM394" s="4">
        <f t="shared" si="167"/>
        <v>0</v>
      </c>
      <c r="AN394" s="4">
        <f t="shared" si="162"/>
        <v>344692</v>
      </c>
      <c r="AO394" s="39"/>
      <c r="AP394" s="8">
        <f t="shared" si="168"/>
        <v>0</v>
      </c>
      <c r="AQ394" s="8">
        <f t="shared" si="169"/>
        <v>0</v>
      </c>
      <c r="AR394" s="8">
        <f t="shared" si="163"/>
        <v>0</v>
      </c>
      <c r="AS394" s="42"/>
      <c r="AT394" s="84">
        <v>344692</v>
      </c>
      <c r="AU394" s="84"/>
      <c r="AV394" s="4">
        <f t="shared" si="164"/>
        <v>344692</v>
      </c>
      <c r="AW394" s="50" t="str">
        <f t="shared" si="165"/>
        <v/>
      </c>
      <c r="AX394" s="1" t="s">
        <v>1736</v>
      </c>
      <c r="AY394" s="2" t="s">
        <v>1737</v>
      </c>
      <c r="AZ394" s="2">
        <v>35729.519999999997</v>
      </c>
      <c r="BA394" s="73">
        <v>31263.33</v>
      </c>
      <c r="BB394" s="73">
        <v>31263.33</v>
      </c>
      <c r="BC394" s="73">
        <v>35729.519999999997</v>
      </c>
      <c r="BD394" s="73"/>
      <c r="BE394" s="66">
        <v>0.05</v>
      </c>
      <c r="BF394" s="66">
        <v>0.05</v>
      </c>
      <c r="BG394" s="63">
        <v>45067</v>
      </c>
      <c r="BH394" s="2"/>
      <c r="BI394" s="2"/>
      <c r="BJ394" s="2">
        <v>126000</v>
      </c>
      <c r="BK394" s="2"/>
      <c r="BL394" s="1" t="s">
        <v>97</v>
      </c>
    </row>
    <row r="395" spans="1:64" x14ac:dyDescent="0.25">
      <c r="A395" s="81" t="s">
        <v>857</v>
      </c>
      <c r="B395" s="82" t="s">
        <v>1362</v>
      </c>
      <c r="C395" s="81" t="s">
        <v>1363</v>
      </c>
      <c r="D395" s="16">
        <v>0</v>
      </c>
      <c r="E395" s="17"/>
      <c r="F395" s="2" t="s">
        <v>859</v>
      </c>
      <c r="G395" s="2" t="s">
        <v>860</v>
      </c>
      <c r="H395" s="10" t="s">
        <v>98</v>
      </c>
      <c r="I395" s="11" t="s">
        <v>53</v>
      </c>
      <c r="J395" s="11" t="s">
        <v>224</v>
      </c>
      <c r="K395" s="61"/>
      <c r="L395" s="11" t="s">
        <v>67</v>
      </c>
      <c r="M395" s="25"/>
      <c r="N395" s="82"/>
      <c r="O395" s="3" t="str">
        <f>IF($A395="","",IF(P395=AZ395,"E","A"))</f>
        <v>A</v>
      </c>
      <c r="P395" s="84">
        <v>98627</v>
      </c>
      <c r="Q395" s="84">
        <v>0</v>
      </c>
      <c r="R395" s="32"/>
      <c r="S395" s="3" t="str">
        <f t="shared" si="157"/>
        <v>A</v>
      </c>
      <c r="T395" s="84">
        <v>89046</v>
      </c>
      <c r="U395" s="84"/>
      <c r="V395" s="32"/>
      <c r="W395" s="3" t="str">
        <f t="shared" si="159"/>
        <v>A</v>
      </c>
      <c r="X395" s="84">
        <v>87597</v>
      </c>
      <c r="Y395" s="84"/>
      <c r="Z395" s="32"/>
      <c r="AA395" s="3" t="str">
        <f t="shared" si="160"/>
        <v>A</v>
      </c>
      <c r="AB395" s="84">
        <v>103558</v>
      </c>
      <c r="AC395" s="84"/>
      <c r="AD395" s="36"/>
      <c r="AE395" s="82"/>
      <c r="AF395" s="3" t="str">
        <f t="shared" si="161"/>
        <v>A</v>
      </c>
      <c r="AG395" s="84">
        <v>0</v>
      </c>
      <c r="AH395" s="84">
        <v>0</v>
      </c>
      <c r="AI395" s="39"/>
      <c r="AJ395" s="79" t="s">
        <v>1801</v>
      </c>
      <c r="AK395" s="39"/>
      <c r="AL395" s="4">
        <f t="shared" si="166"/>
        <v>378828</v>
      </c>
      <c r="AM395" s="4">
        <f t="shared" si="167"/>
        <v>0</v>
      </c>
      <c r="AN395" s="4">
        <f t="shared" si="162"/>
        <v>378828</v>
      </c>
      <c r="AO395" s="39"/>
      <c r="AP395" s="8">
        <f t="shared" si="168"/>
        <v>0</v>
      </c>
      <c r="AQ395" s="8">
        <f t="shared" si="169"/>
        <v>0</v>
      </c>
      <c r="AR395" s="8">
        <f t="shared" si="163"/>
        <v>0</v>
      </c>
      <c r="AS395" s="42"/>
      <c r="AT395" s="84">
        <v>378828</v>
      </c>
      <c r="AU395" s="84"/>
      <c r="AV395" s="4">
        <f t="shared" si="164"/>
        <v>378828</v>
      </c>
      <c r="AW395" s="50" t="str">
        <f t="shared" si="165"/>
        <v/>
      </c>
      <c r="AX395" s="1" t="s">
        <v>1736</v>
      </c>
      <c r="AY395" s="2" t="s">
        <v>1737</v>
      </c>
      <c r="AZ395" s="2">
        <v>51430.48</v>
      </c>
      <c r="BA395" s="73">
        <v>45001.67</v>
      </c>
      <c r="BB395" s="73">
        <v>45001.67</v>
      </c>
      <c r="BC395" s="73">
        <v>51430.48</v>
      </c>
      <c r="BD395" s="73"/>
      <c r="BE395" s="66">
        <v>0</v>
      </c>
      <c r="BF395" s="66">
        <v>0.05</v>
      </c>
      <c r="BG395" s="63">
        <v>45144</v>
      </c>
      <c r="BH395" s="2"/>
      <c r="BI395" s="2"/>
      <c r="BJ395" s="2">
        <v>315000</v>
      </c>
      <c r="BK395" s="2"/>
      <c r="BL395" s="1" t="s">
        <v>97</v>
      </c>
    </row>
    <row r="396" spans="1:64" x14ac:dyDescent="0.25">
      <c r="A396" s="81" t="s">
        <v>857</v>
      </c>
      <c r="B396" s="82" t="s">
        <v>1438</v>
      </c>
      <c r="C396" s="81" t="s">
        <v>1439</v>
      </c>
      <c r="D396" s="16">
        <v>0</v>
      </c>
      <c r="E396" s="17"/>
      <c r="F396" s="2" t="s">
        <v>859</v>
      </c>
      <c r="G396" s="2" t="s">
        <v>860</v>
      </c>
      <c r="H396" s="10" t="s">
        <v>98</v>
      </c>
      <c r="I396" s="11" t="s">
        <v>53</v>
      </c>
      <c r="J396" s="11" t="s">
        <v>224</v>
      </c>
      <c r="K396" s="61"/>
      <c r="L396" s="11" t="s">
        <v>67</v>
      </c>
      <c r="M396" s="25"/>
      <c r="N396" s="82"/>
      <c r="O396" s="3" t="str">
        <f>IF($A396="","",IF(P396=AZ396,"E","A"))</f>
        <v>A</v>
      </c>
      <c r="P396" s="84">
        <v>72731</v>
      </c>
      <c r="Q396" s="84">
        <v>2850</v>
      </c>
      <c r="R396" s="32"/>
      <c r="S396" s="3" t="str">
        <f>IF($A396="","",IF(T396=BA396,"E","A"))</f>
        <v>A</v>
      </c>
      <c r="T396" s="84">
        <v>62746</v>
      </c>
      <c r="U396" s="84">
        <v>2620</v>
      </c>
      <c r="V396" s="32"/>
      <c r="W396" s="3" t="str">
        <f t="shared" si="159"/>
        <v>A</v>
      </c>
      <c r="X396" s="84">
        <v>60077</v>
      </c>
      <c r="Y396" s="84">
        <v>2095</v>
      </c>
      <c r="Z396" s="32"/>
      <c r="AA396" s="3" t="str">
        <f t="shared" si="160"/>
        <v>A</v>
      </c>
      <c r="AB396" s="84">
        <v>64746</v>
      </c>
      <c r="AC396" s="84">
        <v>2495</v>
      </c>
      <c r="AD396" s="36"/>
      <c r="AE396" s="82"/>
      <c r="AF396" s="3" t="str">
        <f t="shared" si="161"/>
        <v>A</v>
      </c>
      <c r="AG396" s="84">
        <v>0</v>
      </c>
      <c r="AH396" s="84">
        <v>0</v>
      </c>
      <c r="AI396" s="39"/>
      <c r="AJ396" s="79" t="s">
        <v>1801</v>
      </c>
      <c r="AK396" s="39"/>
      <c r="AL396" s="4">
        <f t="shared" si="166"/>
        <v>260300</v>
      </c>
      <c r="AM396" s="4">
        <f t="shared" si="167"/>
        <v>10060</v>
      </c>
      <c r="AN396" s="4">
        <f t="shared" si="162"/>
        <v>270360</v>
      </c>
      <c r="AO396" s="39"/>
      <c r="AP396" s="8">
        <f t="shared" si="168"/>
        <v>0</v>
      </c>
      <c r="AQ396" s="8">
        <f t="shared" si="169"/>
        <v>0</v>
      </c>
      <c r="AR396" s="8">
        <f t="shared" si="163"/>
        <v>0</v>
      </c>
      <c r="AS396" s="42"/>
      <c r="AT396" s="84">
        <v>260300</v>
      </c>
      <c r="AU396" s="84">
        <v>10060</v>
      </c>
      <c r="AV396" s="4">
        <f t="shared" si="164"/>
        <v>270360</v>
      </c>
      <c r="AW396" s="50" t="str">
        <f t="shared" si="165"/>
        <v/>
      </c>
      <c r="AX396" s="1" t="s">
        <v>1736</v>
      </c>
      <c r="AY396" s="2" t="s">
        <v>1737</v>
      </c>
      <c r="AZ396" s="2">
        <v>100337.04</v>
      </c>
      <c r="BA396" s="73">
        <v>87794.91</v>
      </c>
      <c r="BB396" s="73">
        <v>87794.91</v>
      </c>
      <c r="BC396" s="73">
        <v>100337.04</v>
      </c>
      <c r="BD396" s="73"/>
      <c r="BE396" s="66">
        <v>0</v>
      </c>
      <c r="BF396" s="66">
        <v>0.05</v>
      </c>
      <c r="BG396" s="63">
        <v>44915</v>
      </c>
      <c r="BH396" s="2"/>
      <c r="BI396" s="2"/>
      <c r="BJ396" s="2">
        <v>360000</v>
      </c>
      <c r="BK396" s="2"/>
      <c r="BL396" s="1" t="s">
        <v>97</v>
      </c>
    </row>
    <row r="397" spans="1:64" x14ac:dyDescent="0.25">
      <c r="A397" s="81" t="s">
        <v>857</v>
      </c>
      <c r="B397" s="82" t="s">
        <v>1475</v>
      </c>
      <c r="C397" s="81" t="s">
        <v>1476</v>
      </c>
      <c r="D397" s="16">
        <v>0</v>
      </c>
      <c r="E397" s="17"/>
      <c r="F397" s="2" t="s">
        <v>859</v>
      </c>
      <c r="G397" s="2" t="s">
        <v>860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82"/>
      <c r="O397" s="3" t="str">
        <f>IF($A397="","",IF(P397=AZ397,"E","A"))</f>
        <v>A</v>
      </c>
      <c r="P397" s="84">
        <v>23657</v>
      </c>
      <c r="Q397" s="84">
        <v>0</v>
      </c>
      <c r="R397" s="32"/>
      <c r="S397" s="3" t="str">
        <f>IF($A397="","",IF(T397=BA397,"E","A"))</f>
        <v>A</v>
      </c>
      <c r="T397" s="84">
        <v>16813</v>
      </c>
      <c r="U397" s="84"/>
      <c r="V397" s="32"/>
      <c r="W397" s="3" t="str">
        <f t="shared" si="159"/>
        <v>A</v>
      </c>
      <c r="X397" s="84">
        <v>18082</v>
      </c>
      <c r="Y397" s="84"/>
      <c r="Z397" s="32"/>
      <c r="AA397" s="3" t="str">
        <f t="shared" si="160"/>
        <v>A</v>
      </c>
      <c r="AB397" s="84">
        <v>20480</v>
      </c>
      <c r="AC397" s="84"/>
      <c r="AD397" s="36"/>
      <c r="AE397" s="82"/>
      <c r="AF397" s="3" t="str">
        <f t="shared" si="161"/>
        <v>A</v>
      </c>
      <c r="AG397" s="84">
        <v>0</v>
      </c>
      <c r="AH397" s="84">
        <v>0</v>
      </c>
      <c r="AI397" s="39"/>
      <c r="AJ397" s="79" t="s">
        <v>1801</v>
      </c>
      <c r="AK397" s="39"/>
      <c r="AL397" s="4">
        <f t="shared" si="166"/>
        <v>79032</v>
      </c>
      <c r="AM397" s="4">
        <f t="shared" si="167"/>
        <v>0</v>
      </c>
      <c r="AN397" s="4">
        <f t="shared" si="162"/>
        <v>79032</v>
      </c>
      <c r="AO397" s="39"/>
      <c r="AP397" s="8">
        <f t="shared" si="168"/>
        <v>0</v>
      </c>
      <c r="AQ397" s="8">
        <f t="shared" si="169"/>
        <v>0</v>
      </c>
      <c r="AR397" s="8">
        <f t="shared" si="163"/>
        <v>0</v>
      </c>
      <c r="AS397" s="42"/>
      <c r="AT397" s="84">
        <v>79032</v>
      </c>
      <c r="AU397" s="84"/>
      <c r="AV397" s="4">
        <f t="shared" si="164"/>
        <v>79032</v>
      </c>
      <c r="AW397" s="50" t="str">
        <f t="shared" si="165"/>
        <v/>
      </c>
      <c r="AX397" s="1" t="s">
        <v>1736</v>
      </c>
      <c r="AY397" s="2" t="s">
        <v>1737</v>
      </c>
      <c r="AZ397" s="2">
        <v>60201.919999999998</v>
      </c>
      <c r="BA397" s="73">
        <v>52676.68</v>
      </c>
      <c r="BB397" s="73">
        <v>52676.68</v>
      </c>
      <c r="BC397" s="73">
        <v>60201.919999999998</v>
      </c>
      <c r="BD397" s="73"/>
      <c r="BE397" s="66">
        <v>0</v>
      </c>
      <c r="BF397" s="66">
        <v>0.05</v>
      </c>
      <c r="BG397" s="63">
        <v>45365</v>
      </c>
      <c r="BH397" s="2"/>
      <c r="BI397" s="2"/>
      <c r="BJ397" s="2">
        <v>216000</v>
      </c>
      <c r="BK397" s="2"/>
      <c r="BL397" s="1" t="s">
        <v>97</v>
      </c>
    </row>
    <row r="398" spans="1:64" x14ac:dyDescent="0.25">
      <c r="A398" s="81" t="s">
        <v>857</v>
      </c>
      <c r="B398" s="82" t="s">
        <v>1576</v>
      </c>
      <c r="C398" s="81" t="s">
        <v>1577</v>
      </c>
      <c r="D398" s="16">
        <v>0</v>
      </c>
      <c r="E398" s="17"/>
      <c r="F398" s="2" t="s">
        <v>859</v>
      </c>
      <c r="G398" s="2" t="s">
        <v>860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82"/>
      <c r="O398" s="3" t="str">
        <f>IF($A398="","",IF(P398=AZ398,"E","A"))</f>
        <v>E</v>
      </c>
      <c r="P398" s="84">
        <v>60662.48</v>
      </c>
      <c r="Q398" s="84">
        <v>3406.32</v>
      </c>
      <c r="R398" s="32"/>
      <c r="S398" s="3" t="str">
        <f>IF($A398="","",IF(T398=BA398,"E","A"))</f>
        <v>E</v>
      </c>
      <c r="T398" s="84">
        <v>53079.67</v>
      </c>
      <c r="U398" s="84">
        <v>2980.53</v>
      </c>
      <c r="V398" s="32"/>
      <c r="W398" s="3" t="str">
        <f t="shared" si="159"/>
        <v>E</v>
      </c>
      <c r="X398" s="84">
        <v>53079.67</v>
      </c>
      <c r="Y398" s="84">
        <v>2980.53</v>
      </c>
      <c r="Z398" s="32"/>
      <c r="AA398" s="3" t="str">
        <f t="shared" si="160"/>
        <v>E</v>
      </c>
      <c r="AB398" s="84">
        <v>60662.48</v>
      </c>
      <c r="AC398" s="84">
        <v>3406.32</v>
      </c>
      <c r="AD398" s="36"/>
      <c r="AE398" s="82"/>
      <c r="AF398" s="3" t="str">
        <f t="shared" si="161"/>
        <v>A</v>
      </c>
      <c r="AG398" s="84"/>
      <c r="AH398" s="84"/>
      <c r="AI398" s="39"/>
      <c r="AJ398" s="79" t="s">
        <v>38</v>
      </c>
      <c r="AK398" s="39"/>
      <c r="AL398" s="4">
        <f t="shared" si="166"/>
        <v>0</v>
      </c>
      <c r="AM398" s="4">
        <f t="shared" si="167"/>
        <v>0</v>
      </c>
      <c r="AN398" s="4">
        <f t="shared" si="162"/>
        <v>0</v>
      </c>
      <c r="AO398" s="39"/>
      <c r="AP398" s="8">
        <f t="shared" si="168"/>
        <v>227484.30000000002</v>
      </c>
      <c r="AQ398" s="8">
        <f t="shared" si="169"/>
        <v>12773.7</v>
      </c>
      <c r="AR398" s="8">
        <f t="shared" si="163"/>
        <v>240258.00000000003</v>
      </c>
      <c r="AS398" s="42"/>
      <c r="AT398" s="84"/>
      <c r="AU398" s="84"/>
      <c r="AV398" s="4">
        <f t="shared" si="164"/>
        <v>0</v>
      </c>
      <c r="AW398" s="50" t="str">
        <f t="shared" si="165"/>
        <v/>
      </c>
      <c r="AX398" s="1" t="s">
        <v>1736</v>
      </c>
      <c r="AY398" s="2" t="s">
        <v>1737</v>
      </c>
      <c r="AZ398" s="2">
        <v>60662.48</v>
      </c>
      <c r="BA398" s="73">
        <v>53079.67</v>
      </c>
      <c r="BB398" s="73">
        <v>53079.67</v>
      </c>
      <c r="BC398" s="73">
        <v>60662.48</v>
      </c>
      <c r="BD398" s="73"/>
      <c r="BE398" s="66">
        <v>0</v>
      </c>
      <c r="BF398" s="66">
        <v>0.05</v>
      </c>
      <c r="BG398" s="63">
        <v>45748</v>
      </c>
      <c r="BH398" s="2"/>
      <c r="BI398" s="2"/>
      <c r="BJ398" s="2">
        <v>225000</v>
      </c>
      <c r="BK398" s="2">
        <v>11812.5</v>
      </c>
      <c r="BL398" s="1" t="s">
        <v>97</v>
      </c>
    </row>
    <row r="399" spans="1:64" x14ac:dyDescent="0.25">
      <c r="A399" s="81" t="s">
        <v>857</v>
      </c>
      <c r="B399" s="82" t="s">
        <v>1602</v>
      </c>
      <c r="C399" s="81" t="s">
        <v>1603</v>
      </c>
      <c r="D399" s="16">
        <v>0</v>
      </c>
      <c r="E399" s="17"/>
      <c r="F399" s="2" t="s">
        <v>859</v>
      </c>
      <c r="G399" s="2" t="s">
        <v>860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82"/>
      <c r="O399" s="3" t="str">
        <f>IF($A399="","",IF(P399=AZ399,"E","A"))</f>
        <v>A</v>
      </c>
      <c r="P399" s="84">
        <v>16752</v>
      </c>
      <c r="Q399" s="84">
        <v>0</v>
      </c>
      <c r="R399" s="32"/>
      <c r="S399" s="3" t="str">
        <f>IF($A399="","",IF(T399=BA399,"E","A"))</f>
        <v>A</v>
      </c>
      <c r="T399" s="84">
        <v>12270</v>
      </c>
      <c r="U399" s="84"/>
      <c r="V399" s="32"/>
      <c r="W399" s="3" t="str">
        <f t="shared" si="159"/>
        <v>A</v>
      </c>
      <c r="X399" s="84">
        <v>22012</v>
      </c>
      <c r="Y399" s="84"/>
      <c r="Z399" s="32"/>
      <c r="AA399" s="3" t="str">
        <f t="shared" si="160"/>
        <v>A</v>
      </c>
      <c r="AB399" s="84">
        <v>29084</v>
      </c>
      <c r="AC399" s="84"/>
      <c r="AD399" s="36"/>
      <c r="AE399" s="82"/>
      <c r="AF399" s="3" t="str">
        <f t="shared" si="161"/>
        <v>A</v>
      </c>
      <c r="AG399" s="84">
        <v>0</v>
      </c>
      <c r="AH399" s="84">
        <v>0</v>
      </c>
      <c r="AI399" s="39"/>
      <c r="AJ399" s="79" t="s">
        <v>1801</v>
      </c>
      <c r="AK399" s="39"/>
      <c r="AL399" s="4">
        <f t="shared" si="166"/>
        <v>80118</v>
      </c>
      <c r="AM399" s="4">
        <f t="shared" si="167"/>
        <v>0</v>
      </c>
      <c r="AN399" s="4">
        <f t="shared" si="162"/>
        <v>80118</v>
      </c>
      <c r="AO399" s="39"/>
      <c r="AP399" s="8">
        <f t="shared" si="168"/>
        <v>0</v>
      </c>
      <c r="AQ399" s="8">
        <f t="shared" si="169"/>
        <v>0</v>
      </c>
      <c r="AR399" s="8">
        <f t="shared" si="163"/>
        <v>0</v>
      </c>
      <c r="AS399" s="42"/>
      <c r="AT399" s="84">
        <v>80118</v>
      </c>
      <c r="AU399" s="84"/>
      <c r="AV399" s="4">
        <f t="shared" si="164"/>
        <v>80118</v>
      </c>
      <c r="AW399" s="50" t="str">
        <f t="shared" si="165"/>
        <v/>
      </c>
      <c r="AX399" s="1" t="s">
        <v>1736</v>
      </c>
      <c r="AY399" s="2" t="s">
        <v>1737</v>
      </c>
      <c r="AZ399" s="2">
        <v>39010.800000000003</v>
      </c>
      <c r="BA399" s="73">
        <v>34134.449999999997</v>
      </c>
      <c r="BB399" s="73">
        <v>34134.449999999997</v>
      </c>
      <c r="BC399" s="73">
        <v>39010.800000000003</v>
      </c>
      <c r="BD399" s="73"/>
      <c r="BE399" s="66">
        <v>0</v>
      </c>
      <c r="BF399" s="66">
        <v>0.05</v>
      </c>
      <c r="BG399" s="63">
        <v>45778</v>
      </c>
      <c r="BH399" s="2"/>
      <c r="BI399" s="2"/>
      <c r="BJ399" s="2">
        <v>147420</v>
      </c>
      <c r="BK399" s="2">
        <v>5896.8</v>
      </c>
      <c r="BL399" s="1" t="s">
        <v>97</v>
      </c>
    </row>
    <row r="400" spans="1:64" x14ac:dyDescent="0.25">
      <c r="A400" s="81" t="s">
        <v>863</v>
      </c>
      <c r="B400" s="82" t="s">
        <v>863</v>
      </c>
      <c r="C400" s="81" t="s">
        <v>864</v>
      </c>
      <c r="D400" s="16">
        <v>43735</v>
      </c>
      <c r="E400" s="17"/>
      <c r="F400" s="2" t="s">
        <v>52</v>
      </c>
      <c r="G400" s="2" t="s">
        <v>55</v>
      </c>
      <c r="H400" s="10" t="s">
        <v>57</v>
      </c>
      <c r="I400" s="11" t="s">
        <v>54</v>
      </c>
      <c r="J400" s="11" t="s">
        <v>620</v>
      </c>
      <c r="K400" s="61" t="s">
        <v>621</v>
      </c>
      <c r="L400" s="11" t="s">
        <v>67</v>
      </c>
      <c r="M400" s="25"/>
      <c r="N400" s="82"/>
      <c r="O400" s="3" t="str">
        <f>IF($A400="","",IF(P400=0,"A",IF(P400=AZ400,"E","A")))</f>
        <v>A</v>
      </c>
      <c r="P400" s="84">
        <v>39405</v>
      </c>
      <c r="Q400" s="84">
        <v>13732</v>
      </c>
      <c r="R400" s="32"/>
      <c r="S400" s="3" t="str">
        <f>IF($A400="","",IF(T400=0,"A",IF(T400=BA400,"E","A")))</f>
        <v>A</v>
      </c>
      <c r="T400" s="84">
        <v>32993</v>
      </c>
      <c r="U400" s="84">
        <v>9771</v>
      </c>
      <c r="V400" s="32"/>
      <c r="W400" s="3" t="str">
        <f t="shared" si="159"/>
        <v>A</v>
      </c>
      <c r="X400" s="84">
        <v>29481</v>
      </c>
      <c r="Y400" s="84">
        <v>10095</v>
      </c>
      <c r="Z400" s="32"/>
      <c r="AA400" s="3" t="str">
        <f t="shared" si="160"/>
        <v>A</v>
      </c>
      <c r="AB400" s="84">
        <v>34410</v>
      </c>
      <c r="AC400" s="84">
        <v>9037</v>
      </c>
      <c r="AD400" s="36"/>
      <c r="AE400" s="82"/>
      <c r="AF400" s="3" t="str">
        <f t="shared" si="161"/>
        <v>A</v>
      </c>
      <c r="AG400" s="84">
        <v>0</v>
      </c>
      <c r="AH400" s="84">
        <v>0</v>
      </c>
      <c r="AI400" s="39"/>
      <c r="AJ400" s="79" t="s">
        <v>1801</v>
      </c>
      <c r="AK400" s="39"/>
      <c r="AL400" s="4">
        <f t="shared" si="166"/>
        <v>136289</v>
      </c>
      <c r="AM400" s="4">
        <f t="shared" si="167"/>
        <v>42635</v>
      </c>
      <c r="AN400" s="4">
        <f t="shared" si="162"/>
        <v>178924</v>
      </c>
      <c r="AO400" s="39"/>
      <c r="AP400" s="8">
        <f t="shared" si="168"/>
        <v>0</v>
      </c>
      <c r="AQ400" s="8">
        <f t="shared" si="169"/>
        <v>0</v>
      </c>
      <c r="AR400" s="8">
        <f t="shared" si="163"/>
        <v>0</v>
      </c>
      <c r="AS400" s="42"/>
      <c r="AT400" s="84">
        <v>136289</v>
      </c>
      <c r="AU400" s="84">
        <v>42635</v>
      </c>
      <c r="AV400" s="4">
        <f t="shared" si="164"/>
        <v>178924</v>
      </c>
      <c r="AW400" s="50" t="str">
        <f t="shared" si="165"/>
        <v/>
      </c>
      <c r="AX400" s="1" t="s">
        <v>1639</v>
      </c>
      <c r="AY400" s="2" t="s">
        <v>1640</v>
      </c>
      <c r="AZ400" s="2">
        <v>73198.399999999994</v>
      </c>
      <c r="BA400" s="73">
        <v>64048.6</v>
      </c>
      <c r="BB400" s="73">
        <v>64048.6</v>
      </c>
      <c r="BC400" s="73">
        <v>73198.399999999994</v>
      </c>
      <c r="BD400" s="73"/>
      <c r="BE400" s="66">
        <v>0</v>
      </c>
      <c r="BF400" s="66">
        <v>0.02</v>
      </c>
      <c r="BG400" s="63">
        <v>45835</v>
      </c>
      <c r="BH400" s="2"/>
      <c r="BI400" s="2"/>
      <c r="BJ400" s="2"/>
      <c r="BK400" s="2"/>
      <c r="BL400" s="1" t="s">
        <v>56</v>
      </c>
    </row>
    <row r="401" spans="1:64" x14ac:dyDescent="0.25">
      <c r="A401" s="81" t="s">
        <v>865</v>
      </c>
      <c r="B401" s="82" t="s">
        <v>865</v>
      </c>
      <c r="C401" s="81" t="s">
        <v>866</v>
      </c>
      <c r="D401" s="16">
        <v>43816</v>
      </c>
      <c r="E401" s="17"/>
      <c r="F401" s="2" t="s">
        <v>243</v>
      </c>
      <c r="G401" s="2" t="s">
        <v>245</v>
      </c>
      <c r="H401" s="10" t="s">
        <v>57</v>
      </c>
      <c r="I401" s="11" t="s">
        <v>244</v>
      </c>
      <c r="J401" s="11" t="s">
        <v>486</v>
      </c>
      <c r="K401" s="61" t="s">
        <v>487</v>
      </c>
      <c r="L401" s="11" t="s">
        <v>67</v>
      </c>
      <c r="M401" s="25"/>
      <c r="N401" s="82"/>
      <c r="O401" s="3" t="str">
        <f>IF($A401="","",IF(P401=0,"A",IF(P401=AZ401,"E","A")))</f>
        <v>A</v>
      </c>
      <c r="P401" s="84">
        <v>31630.6</v>
      </c>
      <c r="Q401" s="84">
        <v>8965</v>
      </c>
      <c r="R401" s="32"/>
      <c r="S401" s="3" t="str">
        <f>IF($A401="","",IF(T401=0,"A",IF(T401=BA401,"E","A")))</f>
        <v>A</v>
      </c>
      <c r="T401" s="84">
        <v>28476</v>
      </c>
      <c r="U401" s="84">
        <v>8778</v>
      </c>
      <c r="V401" s="32"/>
      <c r="W401" s="3" t="str">
        <f t="shared" si="159"/>
        <v>A</v>
      </c>
      <c r="X401" s="84">
        <v>26207.010000000002</v>
      </c>
      <c r="Y401" s="84">
        <v>8637</v>
      </c>
      <c r="Z401" s="32"/>
      <c r="AA401" s="3" t="str">
        <f t="shared" si="160"/>
        <v>A</v>
      </c>
      <c r="AB401" s="84">
        <v>31048</v>
      </c>
      <c r="AC401" s="84">
        <v>6314</v>
      </c>
      <c r="AD401" s="36"/>
      <c r="AE401" s="82"/>
      <c r="AF401" s="3" t="str">
        <f t="shared" si="161"/>
        <v>A</v>
      </c>
      <c r="AG401" s="84">
        <v>0</v>
      </c>
      <c r="AH401" s="84">
        <v>0</v>
      </c>
      <c r="AI401" s="39"/>
      <c r="AJ401" s="79" t="s">
        <v>1801</v>
      </c>
      <c r="AK401" s="39"/>
      <c r="AL401" s="4">
        <f t="shared" si="166"/>
        <v>117361.61</v>
      </c>
      <c r="AM401" s="4">
        <f t="shared" si="167"/>
        <v>32694</v>
      </c>
      <c r="AN401" s="4">
        <f t="shared" si="162"/>
        <v>150055.60999999999</v>
      </c>
      <c r="AO401" s="39"/>
      <c r="AP401" s="8">
        <f t="shared" si="168"/>
        <v>0</v>
      </c>
      <c r="AQ401" s="8">
        <f t="shared" si="169"/>
        <v>0</v>
      </c>
      <c r="AR401" s="8">
        <f t="shared" si="163"/>
        <v>0</v>
      </c>
      <c r="AS401" s="42"/>
      <c r="AT401" s="84">
        <v>117361.61</v>
      </c>
      <c r="AU401" s="84">
        <v>32694</v>
      </c>
      <c r="AV401" s="4">
        <f t="shared" si="164"/>
        <v>150055.60999999999</v>
      </c>
      <c r="AW401" s="50" t="str">
        <f t="shared" si="165"/>
        <v/>
      </c>
      <c r="AX401" s="1" t="s">
        <v>1639</v>
      </c>
      <c r="AY401" s="2" t="s">
        <v>1640</v>
      </c>
      <c r="AZ401" s="2">
        <v>30912.48</v>
      </c>
      <c r="BA401" s="73">
        <v>27048.42</v>
      </c>
      <c r="BB401" s="73">
        <v>27048.42</v>
      </c>
      <c r="BC401" s="73">
        <v>30912.48</v>
      </c>
      <c r="BD401" s="73"/>
      <c r="BE401" s="66">
        <v>0</v>
      </c>
      <c r="BF401" s="66">
        <v>0.02</v>
      </c>
      <c r="BG401" s="63">
        <v>45630</v>
      </c>
      <c r="BH401" s="74">
        <v>44145</v>
      </c>
      <c r="BI401" s="74">
        <v>44270</v>
      </c>
      <c r="BJ401" s="2"/>
      <c r="BK401" s="2"/>
      <c r="BL401" s="1" t="s">
        <v>56</v>
      </c>
    </row>
    <row r="402" spans="1:64" x14ac:dyDescent="0.25">
      <c r="A402" s="81" t="s">
        <v>865</v>
      </c>
      <c r="B402" s="82" t="s">
        <v>1400</v>
      </c>
      <c r="C402" s="81" t="s">
        <v>1401</v>
      </c>
      <c r="D402" s="16">
        <v>0</v>
      </c>
      <c r="E402" s="17"/>
      <c r="F402" s="2" t="s">
        <v>243</v>
      </c>
      <c r="G402" s="2" t="s">
        <v>245</v>
      </c>
      <c r="H402" s="10" t="s">
        <v>57</v>
      </c>
      <c r="I402" s="11" t="s">
        <v>244</v>
      </c>
      <c r="J402" s="11" t="s">
        <v>486</v>
      </c>
      <c r="K402" s="61" t="s">
        <v>487</v>
      </c>
      <c r="L402" s="11" t="s">
        <v>67</v>
      </c>
      <c r="M402" s="25"/>
      <c r="N402" s="82"/>
      <c r="O402" s="3" t="str">
        <f>IF($A402="","",IF(P402=AZ402,"E","A"))</f>
        <v>A</v>
      </c>
      <c r="P402" s="84">
        <v>15261</v>
      </c>
      <c r="Q402" s="84">
        <v>5814</v>
      </c>
      <c r="R402" s="32"/>
      <c r="S402" s="3" t="str">
        <f>IF($A402="","",IF(T402=BA402,"E","A"))</f>
        <v>A</v>
      </c>
      <c r="T402" s="84">
        <v>13631</v>
      </c>
      <c r="U402" s="84">
        <v>3072</v>
      </c>
      <c r="V402" s="32"/>
      <c r="W402" s="3" t="str">
        <f t="shared" si="159"/>
        <v>A</v>
      </c>
      <c r="X402" s="84">
        <v>12664</v>
      </c>
      <c r="Y402" s="84">
        <v>2345</v>
      </c>
      <c r="Z402" s="32"/>
      <c r="AA402" s="3" t="str">
        <f t="shared" si="160"/>
        <v>A</v>
      </c>
      <c r="AB402" s="84">
        <v>14141</v>
      </c>
      <c r="AC402" s="84">
        <v>3697</v>
      </c>
      <c r="AD402" s="36"/>
      <c r="AE402" s="82"/>
      <c r="AF402" s="3" t="str">
        <f t="shared" si="161"/>
        <v>A</v>
      </c>
      <c r="AG402" s="84">
        <v>0</v>
      </c>
      <c r="AH402" s="84">
        <v>0</v>
      </c>
      <c r="AI402" s="39"/>
      <c r="AJ402" s="79" t="s">
        <v>1801</v>
      </c>
      <c r="AK402" s="39"/>
      <c r="AL402" s="4">
        <f t="shared" si="166"/>
        <v>55697</v>
      </c>
      <c r="AM402" s="4">
        <f t="shared" si="167"/>
        <v>14928</v>
      </c>
      <c r="AN402" s="4">
        <f t="shared" si="162"/>
        <v>70625</v>
      </c>
      <c r="AO402" s="39"/>
      <c r="AP402" s="8">
        <f t="shared" si="168"/>
        <v>0</v>
      </c>
      <c r="AQ402" s="8">
        <f t="shared" si="169"/>
        <v>0</v>
      </c>
      <c r="AR402" s="8">
        <f t="shared" si="163"/>
        <v>0</v>
      </c>
      <c r="AS402" s="42"/>
      <c r="AT402" s="84">
        <v>55697</v>
      </c>
      <c r="AU402" s="84">
        <v>14928</v>
      </c>
      <c r="AV402" s="4">
        <f t="shared" si="164"/>
        <v>70625</v>
      </c>
      <c r="AW402" s="50" t="str">
        <f t="shared" si="165"/>
        <v/>
      </c>
      <c r="AX402" s="1" t="s">
        <v>1639</v>
      </c>
      <c r="AY402" s="2" t="s">
        <v>1640</v>
      </c>
      <c r="AZ402" s="2">
        <v>28788.080000000002</v>
      </c>
      <c r="BA402" s="73">
        <v>25189.57</v>
      </c>
      <c r="BB402" s="73">
        <v>25189.57</v>
      </c>
      <c r="BC402" s="73">
        <v>28788.080000000002</v>
      </c>
      <c r="BD402" s="73"/>
      <c r="BE402" s="66">
        <v>0</v>
      </c>
      <c r="BF402" s="66">
        <v>0.02</v>
      </c>
      <c r="BG402" s="63">
        <v>45283</v>
      </c>
      <c r="BH402" s="2"/>
      <c r="BI402" s="2"/>
      <c r="BJ402" s="2">
        <v>109512</v>
      </c>
      <c r="BK402" s="2">
        <v>10001.879999999999</v>
      </c>
      <c r="BL402" s="1" t="s">
        <v>56</v>
      </c>
    </row>
    <row r="403" spans="1:64" x14ac:dyDescent="0.25">
      <c r="A403" s="81" t="s">
        <v>865</v>
      </c>
      <c r="B403" s="82" t="s">
        <v>1574</v>
      </c>
      <c r="C403" s="81" t="s">
        <v>1575</v>
      </c>
      <c r="D403" s="16">
        <v>43160</v>
      </c>
      <c r="E403" s="17"/>
      <c r="F403" s="2" t="s">
        <v>243</v>
      </c>
      <c r="G403" s="2" t="s">
        <v>245</v>
      </c>
      <c r="H403" s="10" t="s">
        <v>57</v>
      </c>
      <c r="I403" s="11" t="s">
        <v>244</v>
      </c>
      <c r="J403" s="11" t="s">
        <v>486</v>
      </c>
      <c r="K403" s="61" t="s">
        <v>487</v>
      </c>
      <c r="L403" s="11" t="s">
        <v>67</v>
      </c>
      <c r="M403" s="25"/>
      <c r="N403" s="82"/>
      <c r="O403" s="3" t="str">
        <f>IF($A403="","",IF(P403=AZ403,"E","A"))</f>
        <v>A</v>
      </c>
      <c r="P403" s="84">
        <v>12812</v>
      </c>
      <c r="Q403" s="84">
        <v>4003</v>
      </c>
      <c r="R403" s="32"/>
      <c r="S403" s="3" t="str">
        <f>IF($A403="","",IF(T403=BA403,"E","A"))</f>
        <v>A</v>
      </c>
      <c r="T403" s="84">
        <v>10543</v>
      </c>
      <c r="U403" s="84">
        <v>3517</v>
      </c>
      <c r="V403" s="32"/>
      <c r="W403" s="3" t="str">
        <f t="shared" si="159"/>
        <v>A</v>
      </c>
      <c r="X403" s="84">
        <v>12473</v>
      </c>
      <c r="Y403" s="84">
        <v>3913</v>
      </c>
      <c r="Z403" s="32"/>
      <c r="AA403" s="3" t="str">
        <f t="shared" si="160"/>
        <v>A</v>
      </c>
      <c r="AB403" s="84">
        <v>13953</v>
      </c>
      <c r="AC403" s="84">
        <v>4316</v>
      </c>
      <c r="AD403" s="36"/>
      <c r="AE403" s="82"/>
      <c r="AF403" s="3" t="str">
        <f t="shared" si="161"/>
        <v>A</v>
      </c>
      <c r="AG403" s="84">
        <v>0</v>
      </c>
      <c r="AH403" s="84">
        <v>0</v>
      </c>
      <c r="AI403" s="39"/>
      <c r="AJ403" s="79" t="s">
        <v>1801</v>
      </c>
      <c r="AK403" s="39"/>
      <c r="AL403" s="4">
        <f t="shared" si="166"/>
        <v>49781</v>
      </c>
      <c r="AM403" s="4">
        <f t="shared" si="167"/>
        <v>15749</v>
      </c>
      <c r="AN403" s="4">
        <f t="shared" si="162"/>
        <v>65530</v>
      </c>
      <c r="AO403" s="39"/>
      <c r="AP403" s="8">
        <f t="shared" si="168"/>
        <v>0</v>
      </c>
      <c r="AQ403" s="8">
        <f t="shared" si="169"/>
        <v>0</v>
      </c>
      <c r="AR403" s="8">
        <f t="shared" si="163"/>
        <v>0</v>
      </c>
      <c r="AS403" s="42"/>
      <c r="AT403" s="84">
        <v>49781</v>
      </c>
      <c r="AU403" s="84">
        <v>15749</v>
      </c>
      <c r="AV403" s="4">
        <f t="shared" si="164"/>
        <v>65530</v>
      </c>
      <c r="AW403" s="50" t="str">
        <f t="shared" si="165"/>
        <v/>
      </c>
      <c r="AX403" s="1" t="s">
        <v>1639</v>
      </c>
      <c r="AY403" s="2" t="s">
        <v>1640</v>
      </c>
      <c r="AZ403" s="2">
        <v>78142.8</v>
      </c>
      <c r="BA403" s="73">
        <v>68374.95</v>
      </c>
      <c r="BB403" s="73">
        <v>68374.95</v>
      </c>
      <c r="BC403" s="73">
        <v>78142.8</v>
      </c>
      <c r="BD403" s="73"/>
      <c r="BE403" s="66">
        <v>0</v>
      </c>
      <c r="BF403" s="66">
        <v>0.02</v>
      </c>
      <c r="BG403" s="63">
        <v>44977</v>
      </c>
      <c r="BH403" s="2"/>
      <c r="BI403" s="2"/>
      <c r="BJ403" s="2">
        <v>315361</v>
      </c>
      <c r="BK403" s="2">
        <v>31536</v>
      </c>
      <c r="BL403" s="1" t="s">
        <v>56</v>
      </c>
    </row>
    <row r="404" spans="1:64" x14ac:dyDescent="0.25">
      <c r="A404" s="81" t="s">
        <v>586</v>
      </c>
      <c r="B404" s="82" t="s">
        <v>587</v>
      </c>
      <c r="C404" s="81" t="s">
        <v>588</v>
      </c>
      <c r="D404" s="16">
        <v>43170</v>
      </c>
      <c r="E404" s="17"/>
      <c r="F404" s="2" t="s">
        <v>243</v>
      </c>
      <c r="G404" s="2" t="s">
        <v>245</v>
      </c>
      <c r="H404" s="10" t="s">
        <v>57</v>
      </c>
      <c r="I404" s="11" t="s">
        <v>244</v>
      </c>
      <c r="J404" s="11" t="s">
        <v>478</v>
      </c>
      <c r="K404" s="61" t="s">
        <v>479</v>
      </c>
      <c r="L404" s="11" t="s">
        <v>67</v>
      </c>
      <c r="M404" s="25"/>
      <c r="N404" s="82"/>
      <c r="O404" s="3" t="str">
        <f>IF($A404="","",IF(P404=0,"A",IF(P404=AZ404,"E","A")))</f>
        <v>A</v>
      </c>
      <c r="P404" s="84">
        <v>7215</v>
      </c>
      <c r="Q404" s="84">
        <v>4113</v>
      </c>
      <c r="R404" s="32"/>
      <c r="S404" s="3" t="str">
        <f>IF($A404="","",IF(T404=0,"A",IF(T404=BA404,"E","A")))</f>
        <v>A</v>
      </c>
      <c r="T404" s="84">
        <v>4683</v>
      </c>
      <c r="U404" s="84">
        <v>4539</v>
      </c>
      <c r="V404" s="32"/>
      <c r="W404" s="3" t="str">
        <f t="shared" si="159"/>
        <v>A</v>
      </c>
      <c r="X404" s="84">
        <v>4801</v>
      </c>
      <c r="Y404" s="84">
        <v>2786</v>
      </c>
      <c r="Z404" s="32"/>
      <c r="AA404" s="3" t="str">
        <f t="shared" si="160"/>
        <v>A</v>
      </c>
      <c r="AB404" s="84">
        <v>5125</v>
      </c>
      <c r="AC404" s="84">
        <v>2284</v>
      </c>
      <c r="AD404" s="36"/>
      <c r="AE404" s="82"/>
      <c r="AF404" s="3" t="str">
        <f t="shared" si="161"/>
        <v>A</v>
      </c>
      <c r="AG404" s="84">
        <v>0</v>
      </c>
      <c r="AH404" s="84">
        <v>0</v>
      </c>
      <c r="AI404" s="39"/>
      <c r="AJ404" s="79" t="s">
        <v>1801</v>
      </c>
      <c r="AK404" s="39"/>
      <c r="AL404" s="4">
        <f t="shared" si="166"/>
        <v>21824</v>
      </c>
      <c r="AM404" s="4">
        <f t="shared" si="167"/>
        <v>13722</v>
      </c>
      <c r="AN404" s="4">
        <f t="shared" si="162"/>
        <v>35546</v>
      </c>
      <c r="AO404" s="39"/>
      <c r="AP404" s="8">
        <f t="shared" si="168"/>
        <v>0</v>
      </c>
      <c r="AQ404" s="8">
        <f t="shared" si="169"/>
        <v>0</v>
      </c>
      <c r="AR404" s="8">
        <f t="shared" si="163"/>
        <v>0</v>
      </c>
      <c r="AS404" s="42"/>
      <c r="AT404" s="84">
        <v>21824</v>
      </c>
      <c r="AU404" s="84">
        <v>13722</v>
      </c>
      <c r="AV404" s="4">
        <f t="shared" si="164"/>
        <v>35546</v>
      </c>
      <c r="AW404" s="50" t="str">
        <f t="shared" si="165"/>
        <v/>
      </c>
      <c r="AX404" s="1" t="s">
        <v>1639</v>
      </c>
      <c r="AY404" s="2" t="s">
        <v>1640</v>
      </c>
      <c r="AZ404" s="2">
        <v>25694.720000000001</v>
      </c>
      <c r="BA404" s="73">
        <v>22482.880000000001</v>
      </c>
      <c r="BB404" s="73">
        <v>22482.880000000001</v>
      </c>
      <c r="BC404" s="73">
        <v>25694.720000000001</v>
      </c>
      <c r="BD404" s="73"/>
      <c r="BE404" s="66">
        <v>0</v>
      </c>
      <c r="BF404" s="66">
        <v>0.02</v>
      </c>
      <c r="BG404" s="63">
        <v>44985</v>
      </c>
      <c r="BH404" s="74">
        <v>43916</v>
      </c>
      <c r="BI404" s="74">
        <v>43937</v>
      </c>
      <c r="BJ404" s="2"/>
      <c r="BK404" s="2"/>
      <c r="BL404" s="1" t="s">
        <v>396</v>
      </c>
    </row>
    <row r="405" spans="1:64" x14ac:dyDescent="0.25">
      <c r="A405" s="81" t="s">
        <v>586</v>
      </c>
      <c r="B405" s="82" t="s">
        <v>586</v>
      </c>
      <c r="C405" s="81" t="s">
        <v>867</v>
      </c>
      <c r="D405" s="16">
        <v>0</v>
      </c>
      <c r="E405" s="17"/>
      <c r="F405" s="2" t="s">
        <v>243</v>
      </c>
      <c r="G405" s="2" t="s">
        <v>245</v>
      </c>
      <c r="H405" s="10" t="s">
        <v>57</v>
      </c>
      <c r="I405" s="11" t="s">
        <v>244</v>
      </c>
      <c r="J405" s="11" t="s">
        <v>478</v>
      </c>
      <c r="K405" s="61" t="s">
        <v>479</v>
      </c>
      <c r="L405" s="11" t="s">
        <v>67</v>
      </c>
      <c r="M405" s="25"/>
      <c r="N405" s="82"/>
      <c r="O405" s="3" t="str">
        <f>IF($A405="","",IF(P405=0,"A",IF(P405=AZ405,"E","A")))</f>
        <v>A</v>
      </c>
      <c r="P405" s="84">
        <v>87038</v>
      </c>
      <c r="Q405" s="84">
        <v>8486</v>
      </c>
      <c r="R405" s="32"/>
      <c r="S405" s="3" t="str">
        <f>IF($A405="","",IF(T405=0,"A",IF(T405=BA405,"E","A")))</f>
        <v>A</v>
      </c>
      <c r="T405" s="84">
        <v>75136</v>
      </c>
      <c r="U405" s="84">
        <v>10125</v>
      </c>
      <c r="V405" s="32"/>
      <c r="W405" s="3" t="str">
        <f t="shared" si="159"/>
        <v>A</v>
      </c>
      <c r="X405" s="84">
        <v>60953.5</v>
      </c>
      <c r="Y405" s="84">
        <v>5545</v>
      </c>
      <c r="Z405" s="32"/>
      <c r="AA405" s="3" t="str">
        <f t="shared" si="160"/>
        <v>A</v>
      </c>
      <c r="AB405" s="84">
        <v>65261</v>
      </c>
      <c r="AC405" s="84">
        <v>5271</v>
      </c>
      <c r="AD405" s="36"/>
      <c r="AE405" s="82"/>
      <c r="AF405" s="3" t="str">
        <f t="shared" si="161"/>
        <v>A</v>
      </c>
      <c r="AG405" s="84">
        <v>0</v>
      </c>
      <c r="AH405" s="84">
        <v>0</v>
      </c>
      <c r="AI405" s="39"/>
      <c r="AJ405" s="79" t="s">
        <v>1801</v>
      </c>
      <c r="AK405" s="39"/>
      <c r="AL405" s="4">
        <f t="shared" si="166"/>
        <v>288388.5</v>
      </c>
      <c r="AM405" s="4">
        <f t="shared" si="167"/>
        <v>29427</v>
      </c>
      <c r="AN405" s="4">
        <f t="shared" si="162"/>
        <v>317815.5</v>
      </c>
      <c r="AO405" s="39"/>
      <c r="AP405" s="8">
        <f t="shared" si="168"/>
        <v>0</v>
      </c>
      <c r="AQ405" s="8">
        <f t="shared" si="169"/>
        <v>0</v>
      </c>
      <c r="AR405" s="8">
        <f t="shared" si="163"/>
        <v>0</v>
      </c>
      <c r="AS405" s="42"/>
      <c r="AT405" s="84">
        <v>288388.5</v>
      </c>
      <c r="AU405" s="84">
        <v>29427</v>
      </c>
      <c r="AV405" s="4">
        <f t="shared" si="164"/>
        <v>317815.5</v>
      </c>
      <c r="AW405" s="50" t="str">
        <f t="shared" si="165"/>
        <v/>
      </c>
      <c r="AX405" s="1" t="s">
        <v>1639</v>
      </c>
      <c r="AY405" s="2" t="s">
        <v>1640</v>
      </c>
      <c r="AZ405" s="2">
        <v>0</v>
      </c>
      <c r="BA405" s="73">
        <v>0</v>
      </c>
      <c r="BB405" s="73">
        <v>0</v>
      </c>
      <c r="BC405" s="73">
        <v>0</v>
      </c>
      <c r="BD405" s="73"/>
      <c r="BE405" s="66">
        <v>0</v>
      </c>
      <c r="BF405" s="66">
        <v>0.02</v>
      </c>
      <c r="BG405" s="63">
        <v>44260</v>
      </c>
      <c r="BH405" s="2"/>
      <c r="BI405" s="2"/>
      <c r="BJ405" s="2"/>
      <c r="BK405" s="2"/>
      <c r="BL405" s="1" t="s">
        <v>396</v>
      </c>
    </row>
    <row r="406" spans="1:64" x14ac:dyDescent="0.25">
      <c r="A406" s="81" t="s">
        <v>586</v>
      </c>
      <c r="B406" s="82" t="s">
        <v>1394</v>
      </c>
      <c r="C406" s="81" t="s">
        <v>1395</v>
      </c>
      <c r="D406" s="16">
        <v>45348</v>
      </c>
      <c r="E406" s="17"/>
      <c r="F406" s="2" t="s">
        <v>243</v>
      </c>
      <c r="G406" s="2" t="s">
        <v>245</v>
      </c>
      <c r="H406" s="10" t="s">
        <v>57</v>
      </c>
      <c r="I406" s="11" t="s">
        <v>244</v>
      </c>
      <c r="J406" s="11" t="s">
        <v>478</v>
      </c>
      <c r="K406" s="61" t="s">
        <v>479</v>
      </c>
      <c r="L406" s="11" t="s">
        <v>67</v>
      </c>
      <c r="M406" s="25"/>
      <c r="N406" s="82"/>
      <c r="O406" s="3" t="str">
        <f>IF($A406="","",IF(P406=AZ406,"E","A"))</f>
        <v>A</v>
      </c>
      <c r="P406" s="84">
        <v>35396.35</v>
      </c>
      <c r="Q406" s="84">
        <v>10050</v>
      </c>
      <c r="R406" s="32"/>
      <c r="S406" s="3" t="str">
        <f>IF($A406="","",IF(T406=BA406,"E","A"))</f>
        <v>A</v>
      </c>
      <c r="T406" s="84">
        <v>34208</v>
      </c>
      <c r="U406" s="84">
        <v>8905</v>
      </c>
      <c r="V406" s="32"/>
      <c r="W406" s="3" t="str">
        <f t="shared" si="159"/>
        <v>A</v>
      </c>
      <c r="X406" s="84">
        <v>25271</v>
      </c>
      <c r="Y406" s="84">
        <v>7745</v>
      </c>
      <c r="Z406" s="32"/>
      <c r="AA406" s="3" t="str">
        <f t="shared" si="160"/>
        <v>A</v>
      </c>
      <c r="AB406" s="84">
        <v>25569.1</v>
      </c>
      <c r="AC406" s="84">
        <v>6870</v>
      </c>
      <c r="AD406" s="36"/>
      <c r="AE406" s="82"/>
      <c r="AF406" s="3" t="str">
        <f t="shared" si="161"/>
        <v>A</v>
      </c>
      <c r="AG406" s="84">
        <v>0</v>
      </c>
      <c r="AH406" s="84">
        <v>0</v>
      </c>
      <c r="AI406" s="39"/>
      <c r="AJ406" s="79" t="s">
        <v>1801</v>
      </c>
      <c r="AK406" s="39"/>
      <c r="AL406" s="4">
        <f t="shared" si="166"/>
        <v>120444.45000000001</v>
      </c>
      <c r="AM406" s="4">
        <f t="shared" si="167"/>
        <v>33570</v>
      </c>
      <c r="AN406" s="4">
        <f t="shared" si="162"/>
        <v>154014.45000000001</v>
      </c>
      <c r="AO406" s="39"/>
      <c r="AP406" s="8">
        <f t="shared" si="168"/>
        <v>0</v>
      </c>
      <c r="AQ406" s="8">
        <f t="shared" si="169"/>
        <v>0</v>
      </c>
      <c r="AR406" s="8">
        <f t="shared" si="163"/>
        <v>0</v>
      </c>
      <c r="AS406" s="42"/>
      <c r="AT406" s="84">
        <v>120444.45000000001</v>
      </c>
      <c r="AU406" s="84">
        <v>33570</v>
      </c>
      <c r="AV406" s="4">
        <f t="shared" si="164"/>
        <v>154014.45000000001</v>
      </c>
      <c r="AW406" s="50" t="str">
        <f t="shared" si="165"/>
        <v/>
      </c>
      <c r="AX406" s="1" t="s">
        <v>1639</v>
      </c>
      <c r="AY406" s="2" t="s">
        <v>1640</v>
      </c>
      <c r="AZ406" s="2">
        <v>154430.24</v>
      </c>
      <c r="BA406" s="73">
        <v>135126.46</v>
      </c>
      <c r="BB406" s="73">
        <v>135126.46</v>
      </c>
      <c r="BC406" s="73">
        <v>154430.24</v>
      </c>
      <c r="BD406" s="73"/>
      <c r="BE406" s="66">
        <v>0</v>
      </c>
      <c r="BF406" s="66">
        <v>0.02</v>
      </c>
      <c r="BG406" s="63">
        <v>45348</v>
      </c>
      <c r="BH406" s="2"/>
      <c r="BI406" s="2"/>
      <c r="BJ406" s="2">
        <v>558000</v>
      </c>
      <c r="BK406" s="2">
        <v>29295</v>
      </c>
      <c r="BL406" s="1" t="s">
        <v>396</v>
      </c>
    </row>
    <row r="407" spans="1:64" x14ac:dyDescent="0.25">
      <c r="A407" s="81" t="s">
        <v>871</v>
      </c>
      <c r="B407" s="82" t="s">
        <v>871</v>
      </c>
      <c r="C407" s="81" t="s">
        <v>872</v>
      </c>
      <c r="D407" s="16">
        <v>43791</v>
      </c>
      <c r="E407" s="17"/>
      <c r="F407" s="2" t="s">
        <v>52</v>
      </c>
      <c r="G407" s="2" t="s">
        <v>55</v>
      </c>
      <c r="H407" s="10" t="s">
        <v>57</v>
      </c>
      <c r="I407" s="11" t="s">
        <v>54</v>
      </c>
      <c r="J407" s="11" t="s">
        <v>58</v>
      </c>
      <c r="K407" s="61" t="s">
        <v>59</v>
      </c>
      <c r="L407" s="11" t="s">
        <v>67</v>
      </c>
      <c r="M407" s="25"/>
      <c r="N407" s="82"/>
      <c r="O407" s="3" t="str">
        <f t="shared" ref="O407:O428" si="170">IF($A407="","",IF(P407=0,"A",IF(P407=AZ407,"E","A")))</f>
        <v>A</v>
      </c>
      <c r="P407" s="84">
        <v>0</v>
      </c>
      <c r="Q407" s="84">
        <v>0</v>
      </c>
      <c r="R407" s="32"/>
      <c r="S407" s="3" t="str">
        <f t="shared" ref="S407:S428" si="171">IF($A407="","",IF(T407=0,"A",IF(T407=BA407,"E","A")))</f>
        <v>A</v>
      </c>
      <c r="T407" s="84">
        <v>8031</v>
      </c>
      <c r="U407" s="84">
        <v>2971</v>
      </c>
      <c r="V407" s="32"/>
      <c r="W407" s="3" t="str">
        <f t="shared" si="159"/>
        <v>A</v>
      </c>
      <c r="X407" s="84">
        <v>56980</v>
      </c>
      <c r="Y407" s="84">
        <v>18912</v>
      </c>
      <c r="Z407" s="32"/>
      <c r="AA407" s="3" t="str">
        <f t="shared" si="160"/>
        <v>A</v>
      </c>
      <c r="AB407" s="84">
        <v>64517</v>
      </c>
      <c r="AC407" s="84">
        <v>21066</v>
      </c>
      <c r="AD407" s="36"/>
      <c r="AE407" s="82"/>
      <c r="AF407" s="3" t="str">
        <f t="shared" si="161"/>
        <v>A</v>
      </c>
      <c r="AG407" s="84">
        <v>0</v>
      </c>
      <c r="AH407" s="84">
        <v>0</v>
      </c>
      <c r="AI407" s="39"/>
      <c r="AJ407" s="79" t="s">
        <v>1801</v>
      </c>
      <c r="AK407" s="39"/>
      <c r="AL407" s="4">
        <f t="shared" si="166"/>
        <v>129528</v>
      </c>
      <c r="AM407" s="4">
        <f t="shared" si="167"/>
        <v>42949</v>
      </c>
      <c r="AN407" s="4">
        <f t="shared" si="162"/>
        <v>172477</v>
      </c>
      <c r="AO407" s="39"/>
      <c r="AP407" s="8">
        <f t="shared" si="168"/>
        <v>0</v>
      </c>
      <c r="AQ407" s="8">
        <f t="shared" si="169"/>
        <v>0</v>
      </c>
      <c r="AR407" s="8">
        <f t="shared" si="163"/>
        <v>0</v>
      </c>
      <c r="AS407" s="42"/>
      <c r="AT407" s="84">
        <v>129528</v>
      </c>
      <c r="AU407" s="84">
        <v>42949</v>
      </c>
      <c r="AV407" s="4">
        <f t="shared" si="164"/>
        <v>172477</v>
      </c>
      <c r="AW407" s="50" t="str">
        <f t="shared" si="165"/>
        <v/>
      </c>
      <c r="AX407" s="1" t="s">
        <v>1639</v>
      </c>
      <c r="AY407" s="2" t="s">
        <v>1640</v>
      </c>
      <c r="AZ407" s="2">
        <v>81553.679999999993</v>
      </c>
      <c r="BA407" s="73">
        <v>71359.47</v>
      </c>
      <c r="BB407" s="73">
        <v>71359.47</v>
      </c>
      <c r="BC407" s="73">
        <v>81553.679999999993</v>
      </c>
      <c r="BD407" s="73"/>
      <c r="BE407" s="66">
        <v>0</v>
      </c>
      <c r="BF407" s="66">
        <v>0.02</v>
      </c>
      <c r="BG407" s="63">
        <v>45657</v>
      </c>
      <c r="BH407" s="2"/>
      <c r="BI407" s="2"/>
      <c r="BJ407" s="2"/>
      <c r="BK407" s="2"/>
      <c r="BL407" s="1" t="s">
        <v>56</v>
      </c>
    </row>
    <row r="408" spans="1:64" x14ac:dyDescent="0.25">
      <c r="A408" s="81" t="s">
        <v>873</v>
      </c>
      <c r="B408" s="82" t="s">
        <v>873</v>
      </c>
      <c r="C408" s="81" t="s">
        <v>874</v>
      </c>
      <c r="D408" s="16">
        <v>44338</v>
      </c>
      <c r="E408" s="17"/>
      <c r="F408" s="2" t="s">
        <v>414</v>
      </c>
      <c r="G408" s="2" t="s">
        <v>415</v>
      </c>
      <c r="H408" s="10" t="s">
        <v>105</v>
      </c>
      <c r="I408" s="11" t="s">
        <v>53</v>
      </c>
      <c r="J408" s="11" t="s">
        <v>312</v>
      </c>
      <c r="K408" s="61"/>
      <c r="L408" s="11" t="s">
        <v>67</v>
      </c>
      <c r="M408" s="25"/>
      <c r="N408" s="82"/>
      <c r="O408" s="3" t="str">
        <f t="shared" si="170"/>
        <v>E</v>
      </c>
      <c r="P408" s="84">
        <v>345264.32</v>
      </c>
      <c r="Q408" s="84">
        <v>36246</v>
      </c>
      <c r="R408" s="32"/>
      <c r="S408" s="3" t="str">
        <f t="shared" si="171"/>
        <v>E</v>
      </c>
      <c r="T408" s="84">
        <v>302106.28000000003</v>
      </c>
      <c r="U408" s="84">
        <v>31715.25</v>
      </c>
      <c r="V408" s="32"/>
      <c r="W408" s="3" t="str">
        <f t="shared" si="159"/>
        <v>E</v>
      </c>
      <c r="X408" s="84">
        <v>302106.28000000003</v>
      </c>
      <c r="Y408" s="84">
        <v>31715.25</v>
      </c>
      <c r="Z408" s="32"/>
      <c r="AA408" s="3" t="str">
        <f t="shared" si="160"/>
        <v>E</v>
      </c>
      <c r="AB408" s="84">
        <v>345264.32</v>
      </c>
      <c r="AC408" s="84">
        <v>36246</v>
      </c>
      <c r="AD408" s="36"/>
      <c r="AE408" s="82"/>
      <c r="AF408" s="3" t="str">
        <f t="shared" si="161"/>
        <v>A</v>
      </c>
      <c r="AG408" s="84"/>
      <c r="AH408" s="84"/>
      <c r="AI408" s="39"/>
      <c r="AJ408" s="79" t="s">
        <v>38</v>
      </c>
      <c r="AK408" s="39"/>
      <c r="AL408" s="4">
        <f t="shared" si="166"/>
        <v>0</v>
      </c>
      <c r="AM408" s="4">
        <f t="shared" si="167"/>
        <v>0</v>
      </c>
      <c r="AN408" s="4">
        <f t="shared" si="162"/>
        <v>0</v>
      </c>
      <c r="AO408" s="39"/>
      <c r="AP408" s="8">
        <f t="shared" si="168"/>
        <v>1294741.2000000002</v>
      </c>
      <c r="AQ408" s="8">
        <f t="shared" si="169"/>
        <v>135922.5</v>
      </c>
      <c r="AR408" s="8">
        <f t="shared" si="163"/>
        <v>1430663.7000000002</v>
      </c>
      <c r="AS408" s="42"/>
      <c r="AT408" s="84"/>
      <c r="AU408" s="84"/>
      <c r="AV408" s="4">
        <f t="shared" si="164"/>
        <v>0</v>
      </c>
      <c r="AW408" s="50" t="str">
        <f t="shared" si="165"/>
        <v/>
      </c>
      <c r="AX408" s="1" t="s">
        <v>1703</v>
      </c>
      <c r="AY408" s="2" t="s">
        <v>1704</v>
      </c>
      <c r="AZ408" s="2">
        <v>345264.32</v>
      </c>
      <c r="BA408" s="73">
        <v>302106.28000000003</v>
      </c>
      <c r="BB408" s="73">
        <v>302106.28000000003</v>
      </c>
      <c r="BC408" s="73">
        <v>345264.32</v>
      </c>
      <c r="BD408" s="73"/>
      <c r="BE408" s="66">
        <v>0</v>
      </c>
      <c r="BF408" s="66">
        <v>0.05</v>
      </c>
      <c r="BG408" s="63">
        <v>44333</v>
      </c>
      <c r="BH408" s="2"/>
      <c r="BI408" s="2"/>
      <c r="BJ408" s="2">
        <v>406204.2</v>
      </c>
      <c r="BK408" s="2">
        <v>45133.8</v>
      </c>
      <c r="BL408" s="1" t="s">
        <v>311</v>
      </c>
    </row>
    <row r="409" spans="1:64" x14ac:dyDescent="0.25">
      <c r="A409" s="81" t="s">
        <v>448</v>
      </c>
      <c r="B409" s="82" t="s">
        <v>449</v>
      </c>
      <c r="C409" s="81" t="s">
        <v>450</v>
      </c>
      <c r="D409" s="16">
        <v>41488</v>
      </c>
      <c r="E409" s="17"/>
      <c r="F409" s="2" t="s">
        <v>243</v>
      </c>
      <c r="G409" s="2" t="s">
        <v>245</v>
      </c>
      <c r="H409" s="10" t="s">
        <v>105</v>
      </c>
      <c r="I409" s="11" t="s">
        <v>244</v>
      </c>
      <c r="J409" s="11" t="s">
        <v>451</v>
      </c>
      <c r="K409" s="61" t="s">
        <v>335</v>
      </c>
      <c r="L409" s="11" t="s">
        <v>67</v>
      </c>
      <c r="M409" s="25"/>
      <c r="N409" s="82"/>
      <c r="O409" s="3" t="str">
        <f t="shared" si="170"/>
        <v>A</v>
      </c>
      <c r="P409" s="84">
        <v>77590</v>
      </c>
      <c r="Q409" s="84">
        <v>19485</v>
      </c>
      <c r="R409" s="32"/>
      <c r="S409" s="3" t="str">
        <f t="shared" si="171"/>
        <v>A</v>
      </c>
      <c r="T409" s="84">
        <v>67885</v>
      </c>
      <c r="U409" s="84">
        <v>16296</v>
      </c>
      <c r="V409" s="32"/>
      <c r="W409" s="3" t="str">
        <f t="shared" si="159"/>
        <v>A</v>
      </c>
      <c r="X409" s="84">
        <v>61538</v>
      </c>
      <c r="Y409" s="84">
        <v>11865</v>
      </c>
      <c r="Z409" s="32"/>
      <c r="AA409" s="3" t="str">
        <f t="shared" si="160"/>
        <v>A</v>
      </c>
      <c r="AB409" s="84">
        <v>65749</v>
      </c>
      <c r="AC409" s="84">
        <v>11266</v>
      </c>
      <c r="AD409" s="36"/>
      <c r="AE409" s="82"/>
      <c r="AF409" s="3" t="str">
        <f t="shared" si="161"/>
        <v>A</v>
      </c>
      <c r="AG409" s="84">
        <v>0</v>
      </c>
      <c r="AH409" s="84">
        <v>0</v>
      </c>
      <c r="AI409" s="39"/>
      <c r="AJ409" s="79" t="s">
        <v>1801</v>
      </c>
      <c r="AK409" s="39"/>
      <c r="AL409" s="4">
        <f t="shared" si="166"/>
        <v>272762</v>
      </c>
      <c r="AM409" s="4">
        <f t="shared" si="167"/>
        <v>58912</v>
      </c>
      <c r="AN409" s="4">
        <f t="shared" si="162"/>
        <v>331674</v>
      </c>
      <c r="AO409" s="39"/>
      <c r="AP409" s="8">
        <f t="shared" si="168"/>
        <v>0</v>
      </c>
      <c r="AQ409" s="8">
        <f t="shared" si="169"/>
        <v>0</v>
      </c>
      <c r="AR409" s="8">
        <f t="shared" si="163"/>
        <v>0</v>
      </c>
      <c r="AS409" s="42"/>
      <c r="AT409" s="84">
        <v>272762</v>
      </c>
      <c r="AU409" s="84">
        <v>58912</v>
      </c>
      <c r="AV409" s="4">
        <f t="shared" si="164"/>
        <v>331674</v>
      </c>
      <c r="AW409" s="50" t="str">
        <f t="shared" si="165"/>
        <v/>
      </c>
      <c r="AX409" s="1" t="s">
        <v>1639</v>
      </c>
      <c r="AY409" s="2" t="s">
        <v>1640</v>
      </c>
      <c r="AZ409" s="2">
        <v>74535.839999999997</v>
      </c>
      <c r="BA409" s="73">
        <v>65218.86</v>
      </c>
      <c r="BB409" s="73">
        <v>65218.86</v>
      </c>
      <c r="BC409" s="73">
        <v>74535.839999999997</v>
      </c>
      <c r="BD409" s="73"/>
      <c r="BE409" s="66">
        <v>3.5000000000000003E-2</v>
      </c>
      <c r="BF409" s="66">
        <v>0.02</v>
      </c>
      <c r="BG409" s="63">
        <v>45105</v>
      </c>
      <c r="BH409" s="74">
        <v>44154</v>
      </c>
      <c r="BI409" s="74">
        <v>44167</v>
      </c>
      <c r="BJ409" s="2"/>
      <c r="BK409" s="2"/>
      <c r="BL409" s="1" t="s">
        <v>219</v>
      </c>
    </row>
    <row r="410" spans="1:64" x14ac:dyDescent="0.25">
      <c r="A410" s="81" t="s">
        <v>448</v>
      </c>
      <c r="B410" s="82" t="s">
        <v>448</v>
      </c>
      <c r="C410" s="81" t="s">
        <v>879</v>
      </c>
      <c r="D410" s="16">
        <v>0</v>
      </c>
      <c r="E410" s="17"/>
      <c r="F410" s="2" t="s">
        <v>243</v>
      </c>
      <c r="G410" s="2" t="s">
        <v>245</v>
      </c>
      <c r="H410" s="10" t="s">
        <v>105</v>
      </c>
      <c r="I410" s="11" t="s">
        <v>244</v>
      </c>
      <c r="J410" s="11" t="s">
        <v>451</v>
      </c>
      <c r="K410" s="61" t="s">
        <v>335</v>
      </c>
      <c r="L410" s="11" t="s">
        <v>67</v>
      </c>
      <c r="M410" s="25"/>
      <c r="N410" s="82"/>
      <c r="O410" s="3" t="str">
        <f t="shared" si="170"/>
        <v>A</v>
      </c>
      <c r="P410" s="84">
        <v>65211</v>
      </c>
      <c r="Q410" s="84">
        <v>16020</v>
      </c>
      <c r="R410" s="32"/>
      <c r="S410" s="3" t="str">
        <f t="shared" si="171"/>
        <v>A</v>
      </c>
      <c r="T410" s="84">
        <v>55344</v>
      </c>
      <c r="U410" s="84">
        <v>14022</v>
      </c>
      <c r="V410" s="32"/>
      <c r="W410" s="3" t="str">
        <f t="shared" si="159"/>
        <v>A</v>
      </c>
      <c r="X410" s="84">
        <v>54339</v>
      </c>
      <c r="Y410" s="84">
        <v>10512</v>
      </c>
      <c r="Z410" s="32"/>
      <c r="AA410" s="3" t="str">
        <f t="shared" si="160"/>
        <v>A</v>
      </c>
      <c r="AB410" s="84">
        <v>53241</v>
      </c>
      <c r="AC410" s="84">
        <v>9712</v>
      </c>
      <c r="AD410" s="36"/>
      <c r="AE410" s="82"/>
      <c r="AF410" s="3" t="str">
        <f t="shared" si="161"/>
        <v>A</v>
      </c>
      <c r="AG410" s="84">
        <v>0</v>
      </c>
      <c r="AH410" s="84">
        <v>0</v>
      </c>
      <c r="AI410" s="39"/>
      <c r="AJ410" s="79" t="s">
        <v>1801</v>
      </c>
      <c r="AK410" s="39"/>
      <c r="AL410" s="4">
        <f t="shared" si="166"/>
        <v>228135</v>
      </c>
      <c r="AM410" s="4">
        <f t="shared" si="167"/>
        <v>50266</v>
      </c>
      <c r="AN410" s="4">
        <f t="shared" si="162"/>
        <v>278401</v>
      </c>
      <c r="AO410" s="39"/>
      <c r="AP410" s="8">
        <f t="shared" si="168"/>
        <v>0</v>
      </c>
      <c r="AQ410" s="8">
        <f t="shared" si="169"/>
        <v>0</v>
      </c>
      <c r="AR410" s="8">
        <f t="shared" si="163"/>
        <v>0</v>
      </c>
      <c r="AS410" s="42"/>
      <c r="AT410" s="84">
        <v>228135</v>
      </c>
      <c r="AU410" s="84">
        <v>50266</v>
      </c>
      <c r="AV410" s="4">
        <f t="shared" si="164"/>
        <v>278401</v>
      </c>
      <c r="AW410" s="50" t="str">
        <f t="shared" si="165"/>
        <v/>
      </c>
      <c r="AX410" s="1" t="s">
        <v>1639</v>
      </c>
      <c r="AY410" s="2" t="s">
        <v>1640</v>
      </c>
      <c r="AZ410" s="2">
        <v>81874</v>
      </c>
      <c r="BA410" s="73">
        <v>71639.75</v>
      </c>
      <c r="BB410" s="73">
        <v>71639.75</v>
      </c>
      <c r="BC410" s="73">
        <v>81874</v>
      </c>
      <c r="BD410" s="73"/>
      <c r="BE410" s="66">
        <v>0</v>
      </c>
      <c r="BF410" s="66">
        <v>0.02</v>
      </c>
      <c r="BG410" s="63">
        <v>45629</v>
      </c>
      <c r="BH410" s="2"/>
      <c r="BI410" s="2"/>
      <c r="BJ410" s="2"/>
      <c r="BK410" s="2"/>
      <c r="BL410" s="1" t="s">
        <v>219</v>
      </c>
    </row>
    <row r="411" spans="1:64" x14ac:dyDescent="0.25">
      <c r="A411" s="81" t="s">
        <v>882</v>
      </c>
      <c r="B411" s="82" t="s">
        <v>882</v>
      </c>
      <c r="C411" s="81" t="s">
        <v>883</v>
      </c>
      <c r="D411" s="16">
        <v>44000</v>
      </c>
      <c r="E411" s="17"/>
      <c r="F411" s="2" t="s">
        <v>52</v>
      </c>
      <c r="G411" s="2" t="s">
        <v>55</v>
      </c>
      <c r="H411" s="10" t="s">
        <v>57</v>
      </c>
      <c r="I411" s="11" t="s">
        <v>54</v>
      </c>
      <c r="J411" s="11" t="s">
        <v>620</v>
      </c>
      <c r="K411" s="61" t="s">
        <v>621</v>
      </c>
      <c r="L411" s="11" t="s">
        <v>67</v>
      </c>
      <c r="M411" s="25"/>
      <c r="N411" s="82"/>
      <c r="O411" s="3" t="str">
        <f t="shared" si="170"/>
        <v>A</v>
      </c>
      <c r="P411" s="84">
        <v>55019</v>
      </c>
      <c r="Q411" s="84">
        <v>13386</v>
      </c>
      <c r="R411" s="32"/>
      <c r="S411" s="3" t="str">
        <f t="shared" si="171"/>
        <v>A</v>
      </c>
      <c r="T411" s="84">
        <v>47555</v>
      </c>
      <c r="U411" s="84">
        <v>13656</v>
      </c>
      <c r="V411" s="32"/>
      <c r="W411" s="3" t="str">
        <f t="shared" si="159"/>
        <v>A</v>
      </c>
      <c r="X411" s="84">
        <v>42456</v>
      </c>
      <c r="Y411" s="84">
        <v>9943</v>
      </c>
      <c r="Z411" s="32"/>
      <c r="AA411" s="3" t="str">
        <f t="shared" si="160"/>
        <v>A</v>
      </c>
      <c r="AB411" s="84">
        <v>55792</v>
      </c>
      <c r="AC411" s="84">
        <v>11253</v>
      </c>
      <c r="AD411" s="36"/>
      <c r="AE411" s="82"/>
      <c r="AF411" s="3" t="str">
        <f t="shared" si="161"/>
        <v>A</v>
      </c>
      <c r="AG411" s="84">
        <v>0</v>
      </c>
      <c r="AH411" s="84">
        <v>0</v>
      </c>
      <c r="AI411" s="39"/>
      <c r="AJ411" s="79" t="s">
        <v>1801</v>
      </c>
      <c r="AK411" s="39"/>
      <c r="AL411" s="4">
        <f t="shared" si="166"/>
        <v>200822</v>
      </c>
      <c r="AM411" s="4">
        <f t="shared" si="167"/>
        <v>48238</v>
      </c>
      <c r="AN411" s="4">
        <f t="shared" si="162"/>
        <v>249060</v>
      </c>
      <c r="AO411" s="39"/>
      <c r="AP411" s="8">
        <f t="shared" si="168"/>
        <v>0</v>
      </c>
      <c r="AQ411" s="8">
        <f t="shared" si="169"/>
        <v>0</v>
      </c>
      <c r="AR411" s="8">
        <f t="shared" si="163"/>
        <v>0</v>
      </c>
      <c r="AS411" s="42"/>
      <c r="AT411" s="84">
        <v>200822</v>
      </c>
      <c r="AU411" s="84">
        <v>48238</v>
      </c>
      <c r="AV411" s="4">
        <f t="shared" si="164"/>
        <v>249060</v>
      </c>
      <c r="AW411" s="50" t="str">
        <f t="shared" si="165"/>
        <v/>
      </c>
      <c r="AX411" s="1" t="s">
        <v>1639</v>
      </c>
      <c r="AY411" s="2" t="s">
        <v>1640</v>
      </c>
      <c r="AZ411" s="2">
        <v>172508.48</v>
      </c>
      <c r="BA411" s="73">
        <v>150944.92000000001</v>
      </c>
      <c r="BB411" s="73">
        <v>150944.92000000001</v>
      </c>
      <c r="BC411" s="73">
        <v>172508.48</v>
      </c>
      <c r="BD411" s="73"/>
      <c r="BE411" s="66">
        <v>0</v>
      </c>
      <c r="BF411" s="66">
        <v>0.02</v>
      </c>
      <c r="BG411" s="63">
        <v>44520</v>
      </c>
      <c r="BH411" s="2"/>
      <c r="BI411" s="2"/>
      <c r="BJ411" s="2">
        <v>276997.5</v>
      </c>
      <c r="BK411" s="2">
        <v>30777.5</v>
      </c>
      <c r="BL411" s="1" t="s">
        <v>56</v>
      </c>
    </row>
    <row r="412" spans="1:64" x14ac:dyDescent="0.25">
      <c r="A412" s="81" t="s">
        <v>884</v>
      </c>
      <c r="B412" s="82" t="s">
        <v>884</v>
      </c>
      <c r="C412" s="81" t="s">
        <v>885</v>
      </c>
      <c r="D412" s="16">
        <v>43890</v>
      </c>
      <c r="E412" s="17"/>
      <c r="F412" s="2" t="s">
        <v>109</v>
      </c>
      <c r="G412" s="2" t="s">
        <v>111</v>
      </c>
      <c r="H412" s="10" t="s">
        <v>105</v>
      </c>
      <c r="I412" s="11" t="s">
        <v>110</v>
      </c>
      <c r="J412" s="11" t="s">
        <v>420</v>
      </c>
      <c r="K412" s="61" t="s">
        <v>113</v>
      </c>
      <c r="L412" s="11" t="s">
        <v>67</v>
      </c>
      <c r="M412" s="25"/>
      <c r="N412" s="82"/>
      <c r="O412" s="3" t="str">
        <f t="shared" si="170"/>
        <v>A</v>
      </c>
      <c r="P412" s="84">
        <v>70235</v>
      </c>
      <c r="Q412" s="84">
        <v>13245</v>
      </c>
      <c r="R412" s="32"/>
      <c r="S412" s="3" t="str">
        <f t="shared" si="171"/>
        <v>A</v>
      </c>
      <c r="T412" s="84">
        <v>57809.599999999999</v>
      </c>
      <c r="U412" s="84">
        <v>9952</v>
      </c>
      <c r="V412" s="32"/>
      <c r="W412" s="3" t="str">
        <f t="shared" si="159"/>
        <v>A</v>
      </c>
      <c r="X412" s="84">
        <v>56525</v>
      </c>
      <c r="Y412" s="84">
        <v>6434</v>
      </c>
      <c r="Z412" s="32"/>
      <c r="AA412" s="3" t="str">
        <f t="shared" si="160"/>
        <v>A</v>
      </c>
      <c r="AB412" s="84">
        <v>58456</v>
      </c>
      <c r="AC412" s="84">
        <v>5534</v>
      </c>
      <c r="AD412" s="36"/>
      <c r="AE412" s="82"/>
      <c r="AF412" s="3" t="str">
        <f t="shared" si="161"/>
        <v>A</v>
      </c>
      <c r="AG412" s="84">
        <v>0</v>
      </c>
      <c r="AH412" s="84">
        <v>0</v>
      </c>
      <c r="AI412" s="39"/>
      <c r="AJ412" s="79" t="s">
        <v>1801</v>
      </c>
      <c r="AK412" s="39"/>
      <c r="AL412" s="4">
        <f t="shared" si="166"/>
        <v>243025.6</v>
      </c>
      <c r="AM412" s="4">
        <f t="shared" si="167"/>
        <v>35165</v>
      </c>
      <c r="AN412" s="4">
        <f t="shared" si="162"/>
        <v>278190.59999999998</v>
      </c>
      <c r="AO412" s="39"/>
      <c r="AP412" s="8">
        <f t="shared" si="168"/>
        <v>0</v>
      </c>
      <c r="AQ412" s="8">
        <f t="shared" si="169"/>
        <v>0</v>
      </c>
      <c r="AR412" s="8">
        <f t="shared" si="163"/>
        <v>0</v>
      </c>
      <c r="AS412" s="42"/>
      <c r="AT412" s="84">
        <v>243025.6</v>
      </c>
      <c r="AU412" s="84">
        <v>35165</v>
      </c>
      <c r="AV412" s="4">
        <f t="shared" si="164"/>
        <v>278190.59999999998</v>
      </c>
      <c r="AW412" s="50" t="str">
        <f t="shared" si="165"/>
        <v/>
      </c>
      <c r="AX412" s="1" t="s">
        <v>1647</v>
      </c>
      <c r="AY412" s="2" t="s">
        <v>1640</v>
      </c>
      <c r="AZ412" s="2">
        <v>166931.76</v>
      </c>
      <c r="BA412" s="73">
        <v>146065.29</v>
      </c>
      <c r="BB412" s="73">
        <v>146065.29</v>
      </c>
      <c r="BC412" s="73">
        <v>166931.76</v>
      </c>
      <c r="BD412" s="73"/>
      <c r="BE412" s="66">
        <v>0</v>
      </c>
      <c r="BF412" s="66">
        <v>0.02</v>
      </c>
      <c r="BG412" s="63">
        <v>45706</v>
      </c>
      <c r="BH412" s="2"/>
      <c r="BI412" s="2"/>
      <c r="BJ412" s="2"/>
      <c r="BK412" s="2"/>
      <c r="BL412" s="1" t="s">
        <v>104</v>
      </c>
    </row>
    <row r="413" spans="1:64" x14ac:dyDescent="0.25">
      <c r="A413" s="81" t="s">
        <v>886</v>
      </c>
      <c r="B413" s="82" t="s">
        <v>886</v>
      </c>
      <c r="C413" s="81" t="s">
        <v>887</v>
      </c>
      <c r="D413" s="16">
        <v>0</v>
      </c>
      <c r="E413" s="17"/>
      <c r="F413" s="2" t="s">
        <v>888</v>
      </c>
      <c r="G413" s="2" t="s">
        <v>889</v>
      </c>
      <c r="H413" s="10" t="s">
        <v>105</v>
      </c>
      <c r="I413" s="11" t="s">
        <v>53</v>
      </c>
      <c r="J413" s="11" t="s">
        <v>350</v>
      </c>
      <c r="K413" s="61"/>
      <c r="L413" s="11" t="s">
        <v>67</v>
      </c>
      <c r="M413" s="25"/>
      <c r="N413" s="82"/>
      <c r="O413" s="3" t="str">
        <f t="shared" si="170"/>
        <v>A</v>
      </c>
      <c r="P413" s="84">
        <v>146725</v>
      </c>
      <c r="Q413" s="84">
        <v>14999</v>
      </c>
      <c r="R413" s="32"/>
      <c r="S413" s="3" t="str">
        <f t="shared" si="171"/>
        <v>A</v>
      </c>
      <c r="T413" s="84">
        <v>140731.5</v>
      </c>
      <c r="U413" s="84">
        <v>17671</v>
      </c>
      <c r="V413" s="32"/>
      <c r="W413" s="3" t="str">
        <f t="shared" si="159"/>
        <v>A</v>
      </c>
      <c r="X413" s="84">
        <v>136578</v>
      </c>
      <c r="Y413" s="84">
        <v>11572</v>
      </c>
      <c r="Z413" s="32"/>
      <c r="AA413" s="3" t="str">
        <f t="shared" si="160"/>
        <v>A</v>
      </c>
      <c r="AB413" s="84">
        <v>147637.5</v>
      </c>
      <c r="AC413" s="84">
        <v>13520</v>
      </c>
      <c r="AD413" s="36"/>
      <c r="AE413" s="82"/>
      <c r="AF413" s="3" t="str">
        <f t="shared" si="161"/>
        <v>A</v>
      </c>
      <c r="AG413" s="84">
        <v>0</v>
      </c>
      <c r="AH413" s="84">
        <v>0</v>
      </c>
      <c r="AI413" s="39"/>
      <c r="AJ413" s="79" t="s">
        <v>1801</v>
      </c>
      <c r="AK413" s="39"/>
      <c r="AL413" s="4">
        <f t="shared" si="166"/>
        <v>571672</v>
      </c>
      <c r="AM413" s="4">
        <f t="shared" si="167"/>
        <v>57762</v>
      </c>
      <c r="AN413" s="4">
        <f t="shared" si="162"/>
        <v>629434</v>
      </c>
      <c r="AO413" s="39"/>
      <c r="AP413" s="8">
        <f t="shared" si="168"/>
        <v>0</v>
      </c>
      <c r="AQ413" s="8">
        <f t="shared" si="169"/>
        <v>0</v>
      </c>
      <c r="AR413" s="8">
        <f t="shared" si="163"/>
        <v>0</v>
      </c>
      <c r="AS413" s="42"/>
      <c r="AT413" s="84">
        <v>571672</v>
      </c>
      <c r="AU413" s="84">
        <v>57762</v>
      </c>
      <c r="AV413" s="4">
        <f t="shared" si="164"/>
        <v>629434</v>
      </c>
      <c r="AW413" s="50" t="str">
        <f t="shared" si="165"/>
        <v/>
      </c>
      <c r="AX413" s="1" t="s">
        <v>1738</v>
      </c>
      <c r="AY413" s="2" t="s">
        <v>1739</v>
      </c>
      <c r="AZ413" s="2">
        <v>182695.36</v>
      </c>
      <c r="BA413" s="73">
        <v>159858.44</v>
      </c>
      <c r="BB413" s="73">
        <v>159858.44</v>
      </c>
      <c r="BC413" s="73">
        <v>182695.36</v>
      </c>
      <c r="BD413" s="73"/>
      <c r="BE413" s="66">
        <v>0</v>
      </c>
      <c r="BF413" s="66">
        <v>0.05</v>
      </c>
      <c r="BG413" s="63">
        <v>44166</v>
      </c>
      <c r="BH413" s="2"/>
      <c r="BI413" s="2"/>
      <c r="BJ413" s="2"/>
      <c r="BK413" s="2"/>
      <c r="BL413" s="1" t="s">
        <v>219</v>
      </c>
    </row>
    <row r="414" spans="1:64" x14ac:dyDescent="0.25">
      <c r="A414" s="81" t="s">
        <v>896</v>
      </c>
      <c r="B414" s="82" t="s">
        <v>896</v>
      </c>
      <c r="C414" s="81" t="s">
        <v>897</v>
      </c>
      <c r="D414" s="16">
        <v>0</v>
      </c>
      <c r="E414" s="17"/>
      <c r="F414" s="2" t="s">
        <v>52</v>
      </c>
      <c r="G414" s="2" t="s">
        <v>55</v>
      </c>
      <c r="H414" s="10" t="s">
        <v>57</v>
      </c>
      <c r="I414" s="11" t="s">
        <v>54</v>
      </c>
      <c r="J414" s="11" t="s">
        <v>68</v>
      </c>
      <c r="K414" s="61" t="s">
        <v>69</v>
      </c>
      <c r="L414" s="11" t="s">
        <v>67</v>
      </c>
      <c r="M414" s="25"/>
      <c r="N414" s="82"/>
      <c r="O414" s="3" t="str">
        <f t="shared" si="170"/>
        <v>A</v>
      </c>
      <c r="P414" s="84">
        <v>108577.04000000002</v>
      </c>
      <c r="Q414" s="84">
        <v>20080</v>
      </c>
      <c r="R414" s="32"/>
      <c r="S414" s="3" t="str">
        <f t="shared" si="171"/>
        <v>A</v>
      </c>
      <c r="T414" s="84">
        <v>108007.49999999999</v>
      </c>
      <c r="U414" s="84">
        <v>15337.5</v>
      </c>
      <c r="V414" s="32"/>
      <c r="W414" s="3" t="str">
        <f t="shared" si="159"/>
        <v>A</v>
      </c>
      <c r="X414" s="84">
        <v>98312.61</v>
      </c>
      <c r="Y414" s="84">
        <v>16735.5</v>
      </c>
      <c r="Z414" s="32"/>
      <c r="AA414" s="3" t="str">
        <f t="shared" si="160"/>
        <v>A</v>
      </c>
      <c r="AB414" s="84">
        <v>107832.40999999999</v>
      </c>
      <c r="AC414" s="84">
        <v>19507.060000000001</v>
      </c>
      <c r="AD414" s="36"/>
      <c r="AE414" s="82"/>
      <c r="AF414" s="3" t="str">
        <f t="shared" si="161"/>
        <v>A</v>
      </c>
      <c r="AG414" s="84">
        <v>0</v>
      </c>
      <c r="AH414" s="84">
        <v>0</v>
      </c>
      <c r="AI414" s="39"/>
      <c r="AJ414" s="79" t="s">
        <v>1801</v>
      </c>
      <c r="AK414" s="39"/>
      <c r="AL414" s="4">
        <f t="shared" si="166"/>
        <v>422729.56</v>
      </c>
      <c r="AM414" s="4">
        <f t="shared" si="167"/>
        <v>71660.06</v>
      </c>
      <c r="AN414" s="4">
        <f t="shared" si="162"/>
        <v>494389.62</v>
      </c>
      <c r="AO414" s="39"/>
      <c r="AP414" s="8">
        <f t="shared" si="168"/>
        <v>0</v>
      </c>
      <c r="AQ414" s="8">
        <f t="shared" si="169"/>
        <v>0</v>
      </c>
      <c r="AR414" s="8">
        <f t="shared" si="163"/>
        <v>0</v>
      </c>
      <c r="AS414" s="42"/>
      <c r="AT414" s="84">
        <v>422729.56</v>
      </c>
      <c r="AU414" s="84">
        <v>71660.06</v>
      </c>
      <c r="AV414" s="4">
        <f t="shared" si="164"/>
        <v>494389.62</v>
      </c>
      <c r="AW414" s="50" t="str">
        <f t="shared" si="165"/>
        <v/>
      </c>
      <c r="AX414" s="1" t="s">
        <v>1639</v>
      </c>
      <c r="AY414" s="2" t="s">
        <v>1640</v>
      </c>
      <c r="AZ414" s="2">
        <v>172508.48</v>
      </c>
      <c r="BA414" s="73">
        <v>150944.92000000001</v>
      </c>
      <c r="BB414" s="73">
        <v>150944.92000000001</v>
      </c>
      <c r="BC414" s="73">
        <v>172508.48</v>
      </c>
      <c r="BD414" s="73"/>
      <c r="BE414" s="66">
        <v>0</v>
      </c>
      <c r="BF414" s="66">
        <v>0.02</v>
      </c>
      <c r="BG414" s="63">
        <v>44075</v>
      </c>
      <c r="BH414" s="2"/>
      <c r="BI414" s="2"/>
      <c r="BJ414" s="2"/>
      <c r="BK414" s="2"/>
      <c r="BL414" s="1" t="s">
        <v>56</v>
      </c>
    </row>
    <row r="415" spans="1:64" x14ac:dyDescent="0.25">
      <c r="A415" s="81" t="s">
        <v>902</v>
      </c>
      <c r="B415" s="82" t="s">
        <v>902</v>
      </c>
      <c r="C415" s="81" t="s">
        <v>903</v>
      </c>
      <c r="D415" s="16">
        <v>45529</v>
      </c>
      <c r="E415" s="17"/>
      <c r="F415" s="2" t="s">
        <v>904</v>
      </c>
      <c r="G415" s="2" t="s">
        <v>906</v>
      </c>
      <c r="H415" s="10" t="s">
        <v>57</v>
      </c>
      <c r="I415" s="11" t="s">
        <v>905</v>
      </c>
      <c r="J415" s="11" t="s">
        <v>87</v>
      </c>
      <c r="K415" s="61" t="s">
        <v>88</v>
      </c>
      <c r="L415" s="11" t="s">
        <v>67</v>
      </c>
      <c r="M415" s="25"/>
      <c r="N415" s="82"/>
      <c r="O415" s="3" t="str">
        <f t="shared" si="170"/>
        <v>A</v>
      </c>
      <c r="P415" s="84">
        <v>191542</v>
      </c>
      <c r="Q415" s="84">
        <v>42879</v>
      </c>
      <c r="R415" s="32"/>
      <c r="S415" s="3" t="str">
        <f t="shared" si="171"/>
        <v>A</v>
      </c>
      <c r="T415" s="84">
        <v>165929</v>
      </c>
      <c r="U415" s="84">
        <v>41743</v>
      </c>
      <c r="V415" s="32"/>
      <c r="W415" s="3" t="str">
        <f t="shared" si="159"/>
        <v>A</v>
      </c>
      <c r="X415" s="84">
        <v>173972.8</v>
      </c>
      <c r="Y415" s="84">
        <v>35394</v>
      </c>
      <c r="Z415" s="32"/>
      <c r="AA415" s="3" t="str">
        <f t="shared" si="160"/>
        <v>A</v>
      </c>
      <c r="AB415" s="84">
        <v>158601.60000000001</v>
      </c>
      <c r="AC415" s="84">
        <v>34916</v>
      </c>
      <c r="AD415" s="36"/>
      <c r="AE415" s="82"/>
      <c r="AF415" s="3" t="str">
        <f t="shared" si="161"/>
        <v>A</v>
      </c>
      <c r="AG415" s="84">
        <v>0</v>
      </c>
      <c r="AH415" s="84">
        <v>0</v>
      </c>
      <c r="AI415" s="39"/>
      <c r="AJ415" s="79" t="s">
        <v>1801</v>
      </c>
      <c r="AK415" s="39"/>
      <c r="AL415" s="4">
        <f t="shared" si="166"/>
        <v>690045.4</v>
      </c>
      <c r="AM415" s="4">
        <f t="shared" si="167"/>
        <v>154932</v>
      </c>
      <c r="AN415" s="4">
        <f t="shared" si="162"/>
        <v>844977.4</v>
      </c>
      <c r="AO415" s="39"/>
      <c r="AP415" s="8">
        <f t="shared" si="168"/>
        <v>0</v>
      </c>
      <c r="AQ415" s="8">
        <f t="shared" si="169"/>
        <v>0</v>
      </c>
      <c r="AR415" s="8">
        <f t="shared" si="163"/>
        <v>0</v>
      </c>
      <c r="AS415" s="42"/>
      <c r="AT415" s="84">
        <v>690045.4</v>
      </c>
      <c r="AU415" s="84">
        <v>154932</v>
      </c>
      <c r="AV415" s="4">
        <f t="shared" si="164"/>
        <v>844977.4</v>
      </c>
      <c r="AW415" s="50" t="str">
        <f t="shared" si="165"/>
        <v/>
      </c>
      <c r="AX415" s="1" t="s">
        <v>1740</v>
      </c>
      <c r="AY415" s="2" t="s">
        <v>1741</v>
      </c>
      <c r="AZ415" s="2">
        <v>0</v>
      </c>
      <c r="BA415" s="73">
        <v>0</v>
      </c>
      <c r="BB415" s="73">
        <v>0</v>
      </c>
      <c r="BC415" s="73">
        <v>0</v>
      </c>
      <c r="BD415" s="73"/>
      <c r="BE415" s="66">
        <v>0</v>
      </c>
      <c r="BF415" s="66">
        <v>0</v>
      </c>
      <c r="BG415" s="63">
        <v>45516</v>
      </c>
      <c r="BH415" s="2"/>
      <c r="BI415" s="2"/>
      <c r="BJ415" s="2"/>
      <c r="BK415" s="2"/>
      <c r="BL415" s="1" t="s">
        <v>56</v>
      </c>
    </row>
    <row r="416" spans="1:64" x14ac:dyDescent="0.25">
      <c r="A416" s="81" t="s">
        <v>911</v>
      </c>
      <c r="B416" s="82" t="s">
        <v>911</v>
      </c>
      <c r="C416" s="81" t="s">
        <v>912</v>
      </c>
      <c r="D416" s="16">
        <v>0</v>
      </c>
      <c r="E416" s="17"/>
      <c r="F416" s="2" t="s">
        <v>243</v>
      </c>
      <c r="G416" s="2" t="s">
        <v>245</v>
      </c>
      <c r="H416" s="10" t="s">
        <v>98</v>
      </c>
      <c r="I416" s="11" t="s">
        <v>244</v>
      </c>
      <c r="J416" s="11" t="s">
        <v>246</v>
      </c>
      <c r="K416" s="61" t="s">
        <v>247</v>
      </c>
      <c r="L416" s="11" t="s">
        <v>67</v>
      </c>
      <c r="M416" s="25"/>
      <c r="N416" s="82"/>
      <c r="O416" s="3" t="str">
        <f t="shared" si="170"/>
        <v>A</v>
      </c>
      <c r="P416" s="84">
        <v>96014</v>
      </c>
      <c r="Q416" s="84">
        <v>2119</v>
      </c>
      <c r="R416" s="32"/>
      <c r="S416" s="3" t="str">
        <f t="shared" si="171"/>
        <v>A</v>
      </c>
      <c r="T416" s="84">
        <v>96188</v>
      </c>
      <c r="U416" s="84">
        <v>3423</v>
      </c>
      <c r="V416" s="32"/>
      <c r="W416" s="3" t="str">
        <f t="shared" si="159"/>
        <v>A</v>
      </c>
      <c r="X416" s="84">
        <v>134602</v>
      </c>
      <c r="Y416" s="84">
        <v>2119</v>
      </c>
      <c r="Z416" s="32"/>
      <c r="AA416" s="3" t="str">
        <f t="shared" si="160"/>
        <v>A</v>
      </c>
      <c r="AB416" s="84">
        <v>201571</v>
      </c>
      <c r="AC416" s="84">
        <v>3637</v>
      </c>
      <c r="AD416" s="36"/>
      <c r="AE416" s="82"/>
      <c r="AF416" s="3" t="str">
        <f t="shared" si="161"/>
        <v>A</v>
      </c>
      <c r="AG416" s="84">
        <v>0</v>
      </c>
      <c r="AH416" s="84">
        <v>0</v>
      </c>
      <c r="AI416" s="39"/>
      <c r="AJ416" s="79" t="s">
        <v>1801</v>
      </c>
      <c r="AK416" s="39"/>
      <c r="AL416" s="4">
        <f t="shared" si="166"/>
        <v>528375</v>
      </c>
      <c r="AM416" s="4">
        <f t="shared" si="167"/>
        <v>11298</v>
      </c>
      <c r="AN416" s="4">
        <f t="shared" si="162"/>
        <v>539673</v>
      </c>
      <c r="AO416" s="39"/>
      <c r="AP416" s="8">
        <f t="shared" si="168"/>
        <v>0</v>
      </c>
      <c r="AQ416" s="8">
        <f t="shared" si="169"/>
        <v>0</v>
      </c>
      <c r="AR416" s="8">
        <f t="shared" si="163"/>
        <v>0</v>
      </c>
      <c r="AS416" s="42"/>
      <c r="AT416" s="84">
        <v>528375</v>
      </c>
      <c r="AU416" s="84">
        <v>11298</v>
      </c>
      <c r="AV416" s="4">
        <f t="shared" si="164"/>
        <v>539673</v>
      </c>
      <c r="AW416" s="50" t="str">
        <f t="shared" si="165"/>
        <v/>
      </c>
      <c r="AX416" s="1" t="s">
        <v>1639</v>
      </c>
      <c r="AY416" s="2" t="s">
        <v>1640</v>
      </c>
      <c r="AZ416" s="2">
        <v>36890.480000000003</v>
      </c>
      <c r="BA416" s="73">
        <v>32279.17</v>
      </c>
      <c r="BB416" s="73">
        <v>32279.17</v>
      </c>
      <c r="BC416" s="73">
        <v>36890.480000000003</v>
      </c>
      <c r="BD416" s="73"/>
      <c r="BE416" s="66">
        <v>0</v>
      </c>
      <c r="BF416" s="66">
        <v>0.02</v>
      </c>
      <c r="BG416" s="63">
        <v>45716</v>
      </c>
      <c r="BH416" s="74">
        <v>43909</v>
      </c>
      <c r="BI416" s="74">
        <v>43935</v>
      </c>
      <c r="BJ416" s="2"/>
      <c r="BK416" s="2"/>
      <c r="BL416" s="1" t="s">
        <v>97</v>
      </c>
    </row>
    <row r="417" spans="1:64" x14ac:dyDescent="0.25">
      <c r="A417" s="81" t="s">
        <v>911</v>
      </c>
      <c r="B417" s="82" t="s">
        <v>991</v>
      </c>
      <c r="C417" s="81" t="s">
        <v>992</v>
      </c>
      <c r="D417" s="16">
        <v>0</v>
      </c>
      <c r="E417" s="17"/>
      <c r="F417" s="2" t="s">
        <v>243</v>
      </c>
      <c r="G417" s="2" t="s">
        <v>245</v>
      </c>
      <c r="H417" s="10" t="s">
        <v>98</v>
      </c>
      <c r="I417" s="11" t="s">
        <v>244</v>
      </c>
      <c r="J417" s="11" t="s">
        <v>246</v>
      </c>
      <c r="K417" s="61" t="s">
        <v>247</v>
      </c>
      <c r="L417" s="11" t="s">
        <v>67</v>
      </c>
      <c r="M417" s="25"/>
      <c r="N417" s="82"/>
      <c r="O417" s="3" t="str">
        <f t="shared" si="170"/>
        <v>A</v>
      </c>
      <c r="P417" s="84">
        <v>102725</v>
      </c>
      <c r="Q417" s="84">
        <v>2390</v>
      </c>
      <c r="R417" s="32"/>
      <c r="S417" s="3" t="str">
        <f t="shared" si="171"/>
        <v>A</v>
      </c>
      <c r="T417" s="84">
        <v>94898</v>
      </c>
      <c r="U417" s="84">
        <v>3000</v>
      </c>
      <c r="V417" s="32"/>
      <c r="W417" s="3" t="str">
        <f t="shared" si="159"/>
        <v>A</v>
      </c>
      <c r="X417" s="84">
        <v>87797</v>
      </c>
      <c r="Y417" s="84">
        <v>1280</v>
      </c>
      <c r="Z417" s="32"/>
      <c r="AA417" s="3" t="str">
        <f t="shared" si="160"/>
        <v>A</v>
      </c>
      <c r="AB417" s="84">
        <v>102153</v>
      </c>
      <c r="AC417" s="84">
        <v>2830</v>
      </c>
      <c r="AD417" s="36"/>
      <c r="AE417" s="82"/>
      <c r="AF417" s="3" t="str">
        <f t="shared" si="161"/>
        <v>A</v>
      </c>
      <c r="AG417" s="84">
        <v>0</v>
      </c>
      <c r="AH417" s="84">
        <v>0</v>
      </c>
      <c r="AI417" s="39"/>
      <c r="AJ417" s="79" t="s">
        <v>1801</v>
      </c>
      <c r="AK417" s="39"/>
      <c r="AL417" s="4">
        <f t="shared" si="166"/>
        <v>387573</v>
      </c>
      <c r="AM417" s="4">
        <f t="shared" si="167"/>
        <v>9500</v>
      </c>
      <c r="AN417" s="4">
        <f t="shared" si="162"/>
        <v>397073</v>
      </c>
      <c r="AO417" s="39"/>
      <c r="AP417" s="8">
        <f t="shared" si="168"/>
        <v>0</v>
      </c>
      <c r="AQ417" s="8">
        <f t="shared" si="169"/>
        <v>0</v>
      </c>
      <c r="AR417" s="8">
        <f t="shared" si="163"/>
        <v>0</v>
      </c>
      <c r="AS417" s="42"/>
      <c r="AT417" s="84">
        <v>387573</v>
      </c>
      <c r="AU417" s="84">
        <v>9500</v>
      </c>
      <c r="AV417" s="4">
        <f t="shared" si="164"/>
        <v>397073</v>
      </c>
      <c r="AW417" s="50" t="str">
        <f t="shared" si="165"/>
        <v/>
      </c>
      <c r="AX417" s="1" t="s">
        <v>1639</v>
      </c>
      <c r="AY417" s="2" t="s">
        <v>1640</v>
      </c>
      <c r="AZ417" s="2">
        <v>41232.639999999999</v>
      </c>
      <c r="BA417" s="73">
        <v>36078.559999999998</v>
      </c>
      <c r="BB417" s="73">
        <v>36078.559999999998</v>
      </c>
      <c r="BC417" s="73">
        <v>41232.639999999999</v>
      </c>
      <c r="BD417" s="73"/>
      <c r="BE417" s="66">
        <v>0</v>
      </c>
      <c r="BF417" s="66">
        <v>0.02</v>
      </c>
      <c r="BG417" s="63">
        <v>45716</v>
      </c>
      <c r="BH417" s="2"/>
      <c r="BI417" s="2"/>
      <c r="BJ417" s="2">
        <v>151200</v>
      </c>
      <c r="BK417" s="2"/>
      <c r="BL417" s="1" t="s">
        <v>97</v>
      </c>
    </row>
    <row r="418" spans="1:64" x14ac:dyDescent="0.25">
      <c r="A418" s="81" t="s">
        <v>913</v>
      </c>
      <c r="B418" s="82" t="s">
        <v>913</v>
      </c>
      <c r="C418" s="81" t="s">
        <v>914</v>
      </c>
      <c r="D418" s="16">
        <v>0</v>
      </c>
      <c r="E418" s="17"/>
      <c r="F418" s="2" t="s">
        <v>423</v>
      </c>
      <c r="G418" s="2" t="s">
        <v>424</v>
      </c>
      <c r="H418" s="10" t="s">
        <v>105</v>
      </c>
      <c r="I418" s="11" t="s">
        <v>53</v>
      </c>
      <c r="J418" s="11" t="s">
        <v>312</v>
      </c>
      <c r="K418" s="61"/>
      <c r="L418" s="11" t="s">
        <v>67</v>
      </c>
      <c r="M418" s="25"/>
      <c r="N418" s="82"/>
      <c r="O418" s="3" t="str">
        <f t="shared" si="170"/>
        <v>A</v>
      </c>
      <c r="P418" s="84">
        <v>80223</v>
      </c>
      <c r="Q418" s="84">
        <v>15090</v>
      </c>
      <c r="R418" s="32"/>
      <c r="S418" s="3" t="str">
        <f t="shared" si="171"/>
        <v>A</v>
      </c>
      <c r="T418" s="84">
        <v>68681</v>
      </c>
      <c r="U418" s="84">
        <v>13015</v>
      </c>
      <c r="V418" s="32"/>
      <c r="W418" s="3" t="str">
        <f t="shared" si="159"/>
        <v>A</v>
      </c>
      <c r="X418" s="84">
        <v>56544</v>
      </c>
      <c r="Y418" s="84">
        <v>10160</v>
      </c>
      <c r="Z418" s="32"/>
      <c r="AA418" s="3" t="str">
        <f t="shared" si="160"/>
        <v>A</v>
      </c>
      <c r="AB418" s="84">
        <v>53365</v>
      </c>
      <c r="AC418" s="84">
        <v>9905</v>
      </c>
      <c r="AD418" s="36"/>
      <c r="AE418" s="82"/>
      <c r="AF418" s="3" t="str">
        <f t="shared" si="161"/>
        <v>A</v>
      </c>
      <c r="AG418" s="84">
        <v>0</v>
      </c>
      <c r="AH418" s="84">
        <v>0</v>
      </c>
      <c r="AI418" s="39"/>
      <c r="AJ418" s="79" t="s">
        <v>1801</v>
      </c>
      <c r="AK418" s="39"/>
      <c r="AL418" s="4">
        <f t="shared" si="166"/>
        <v>258813</v>
      </c>
      <c r="AM418" s="4">
        <f t="shared" si="167"/>
        <v>48170</v>
      </c>
      <c r="AN418" s="4">
        <f t="shared" si="162"/>
        <v>306983</v>
      </c>
      <c r="AO418" s="39"/>
      <c r="AP418" s="8">
        <f t="shared" si="168"/>
        <v>0</v>
      </c>
      <c r="AQ418" s="8">
        <f t="shared" si="169"/>
        <v>0</v>
      </c>
      <c r="AR418" s="8">
        <f t="shared" si="163"/>
        <v>0</v>
      </c>
      <c r="AS418" s="42"/>
      <c r="AT418" s="84">
        <v>258813</v>
      </c>
      <c r="AU418" s="84">
        <v>48170</v>
      </c>
      <c r="AV418" s="4">
        <f t="shared" si="164"/>
        <v>306983</v>
      </c>
      <c r="AW418" s="50" t="str">
        <f t="shared" si="165"/>
        <v/>
      </c>
      <c r="AX418" s="1" t="s">
        <v>1705</v>
      </c>
      <c r="AY418" s="2" t="s">
        <v>1706</v>
      </c>
      <c r="AZ418" s="2">
        <v>172508.48</v>
      </c>
      <c r="BA418" s="73">
        <v>150944.92000000001</v>
      </c>
      <c r="BB418" s="73">
        <v>150944.92000000001</v>
      </c>
      <c r="BC418" s="73">
        <v>172508.48</v>
      </c>
      <c r="BD418" s="73"/>
      <c r="BE418" s="66">
        <v>0</v>
      </c>
      <c r="BF418" s="66">
        <v>0.05</v>
      </c>
      <c r="BG418" s="63">
        <v>44051</v>
      </c>
      <c r="BH418" s="2"/>
      <c r="BI418" s="2"/>
      <c r="BJ418" s="2"/>
      <c r="BK418" s="2"/>
      <c r="BL418" s="1" t="s">
        <v>104</v>
      </c>
    </row>
    <row r="419" spans="1:64" x14ac:dyDescent="0.25">
      <c r="A419" s="81" t="s">
        <v>915</v>
      </c>
      <c r="B419" s="82" t="s">
        <v>915</v>
      </c>
      <c r="C419" s="81" t="s">
        <v>916</v>
      </c>
      <c r="D419" s="16">
        <v>0</v>
      </c>
      <c r="E419" s="17"/>
      <c r="F419" s="2" t="s">
        <v>52</v>
      </c>
      <c r="G419" s="2" t="s">
        <v>55</v>
      </c>
      <c r="H419" s="10" t="s">
        <v>57</v>
      </c>
      <c r="I419" s="11" t="s">
        <v>54</v>
      </c>
      <c r="J419" s="11" t="s">
        <v>620</v>
      </c>
      <c r="K419" s="61" t="s">
        <v>621</v>
      </c>
      <c r="L419" s="11" t="s">
        <v>67</v>
      </c>
      <c r="M419" s="25"/>
      <c r="N419" s="82"/>
      <c r="O419" s="3" t="str">
        <f t="shared" si="170"/>
        <v>A</v>
      </c>
      <c r="P419" s="84">
        <v>23249</v>
      </c>
      <c r="Q419" s="84">
        <v>4711</v>
      </c>
      <c r="R419" s="32"/>
      <c r="S419" s="3" t="str">
        <f t="shared" si="171"/>
        <v>A</v>
      </c>
      <c r="T419" s="84">
        <v>19674</v>
      </c>
      <c r="U419" s="84">
        <v>4552</v>
      </c>
      <c r="V419" s="32"/>
      <c r="W419" s="3" t="str">
        <f t="shared" si="159"/>
        <v>A</v>
      </c>
      <c r="X419" s="84">
        <v>20020</v>
      </c>
      <c r="Y419" s="84">
        <v>2560</v>
      </c>
      <c r="Z419" s="32"/>
      <c r="AA419" s="3" t="str">
        <f t="shared" si="160"/>
        <v>A</v>
      </c>
      <c r="AB419" s="84">
        <v>18305</v>
      </c>
      <c r="AC419" s="84">
        <v>3509</v>
      </c>
      <c r="AD419" s="36"/>
      <c r="AE419" s="82"/>
      <c r="AF419" s="3" t="str">
        <f t="shared" si="161"/>
        <v>A</v>
      </c>
      <c r="AG419" s="84">
        <v>0</v>
      </c>
      <c r="AH419" s="84">
        <v>0</v>
      </c>
      <c r="AI419" s="39"/>
      <c r="AJ419" s="79" t="s">
        <v>1801</v>
      </c>
      <c r="AK419" s="39"/>
      <c r="AL419" s="4">
        <f t="shared" si="166"/>
        <v>81248</v>
      </c>
      <c r="AM419" s="4">
        <f t="shared" si="167"/>
        <v>15332</v>
      </c>
      <c r="AN419" s="4">
        <f t="shared" si="162"/>
        <v>96580</v>
      </c>
      <c r="AO419" s="39"/>
      <c r="AP419" s="8">
        <f t="shared" si="168"/>
        <v>0</v>
      </c>
      <c r="AQ419" s="8">
        <f t="shared" si="169"/>
        <v>0</v>
      </c>
      <c r="AR419" s="8">
        <f t="shared" si="163"/>
        <v>0</v>
      </c>
      <c r="AS419" s="42"/>
      <c r="AT419" s="84">
        <v>81248</v>
      </c>
      <c r="AU419" s="84">
        <v>15332</v>
      </c>
      <c r="AV419" s="4">
        <f t="shared" si="164"/>
        <v>96580</v>
      </c>
      <c r="AW419" s="50" t="str">
        <f t="shared" si="165"/>
        <v/>
      </c>
      <c r="AX419" s="1" t="s">
        <v>1639</v>
      </c>
      <c r="AY419" s="2" t="s">
        <v>1640</v>
      </c>
      <c r="AZ419" s="2">
        <v>172508.48</v>
      </c>
      <c r="BA419" s="73">
        <v>150944.92000000001</v>
      </c>
      <c r="BB419" s="73">
        <v>150944.92000000001</v>
      </c>
      <c r="BC419" s="73">
        <v>172508.48</v>
      </c>
      <c r="BD419" s="73"/>
      <c r="BE419" s="66">
        <v>0</v>
      </c>
      <c r="BF419" s="66">
        <v>0.02</v>
      </c>
      <c r="BG419" s="63">
        <v>44163</v>
      </c>
      <c r="BH419" s="2"/>
      <c r="BI419" s="2"/>
      <c r="BJ419" s="2"/>
      <c r="BK419" s="2"/>
      <c r="BL419" s="1" t="s">
        <v>56</v>
      </c>
    </row>
    <row r="420" spans="1:64" x14ac:dyDescent="0.25">
      <c r="A420" s="81" t="s">
        <v>921</v>
      </c>
      <c r="B420" s="82" t="s">
        <v>921</v>
      </c>
      <c r="C420" s="81" t="s">
        <v>922</v>
      </c>
      <c r="D420" s="16">
        <v>44334</v>
      </c>
      <c r="E420" s="17"/>
      <c r="F420" s="2" t="s">
        <v>171</v>
      </c>
      <c r="G420" s="2" t="s">
        <v>172</v>
      </c>
      <c r="H420" s="10" t="s">
        <v>105</v>
      </c>
      <c r="I420" s="11" t="s">
        <v>53</v>
      </c>
      <c r="J420" s="11" t="s">
        <v>145</v>
      </c>
      <c r="K420" s="61"/>
      <c r="L420" s="11" t="s">
        <v>67</v>
      </c>
      <c r="M420" s="25"/>
      <c r="N420" s="82"/>
      <c r="O420" s="3" t="str">
        <f t="shared" si="170"/>
        <v>A</v>
      </c>
      <c r="P420" s="84">
        <v>123315</v>
      </c>
      <c r="Q420" s="84">
        <v>37017</v>
      </c>
      <c r="R420" s="32"/>
      <c r="S420" s="3" t="str">
        <f t="shared" si="171"/>
        <v>A</v>
      </c>
      <c r="T420" s="84">
        <v>103446</v>
      </c>
      <c r="U420" s="84">
        <v>31521</v>
      </c>
      <c r="V420" s="32"/>
      <c r="W420" s="3" t="str">
        <f t="shared" si="159"/>
        <v>A</v>
      </c>
      <c r="X420" s="84">
        <v>91491</v>
      </c>
      <c r="Y420" s="84">
        <v>26740</v>
      </c>
      <c r="Z420" s="32"/>
      <c r="AA420" s="3" t="str">
        <f t="shared" si="160"/>
        <v>A</v>
      </c>
      <c r="AB420" s="84">
        <v>92467</v>
      </c>
      <c r="AC420" s="84">
        <v>25126</v>
      </c>
      <c r="AD420" s="36"/>
      <c r="AE420" s="82"/>
      <c r="AF420" s="3" t="str">
        <f t="shared" si="161"/>
        <v>A</v>
      </c>
      <c r="AG420" s="84">
        <v>0</v>
      </c>
      <c r="AH420" s="84">
        <v>0</v>
      </c>
      <c r="AI420" s="39"/>
      <c r="AJ420" s="79" t="s">
        <v>1801</v>
      </c>
      <c r="AK420" s="39"/>
      <c r="AL420" s="4">
        <f t="shared" si="166"/>
        <v>410719</v>
      </c>
      <c r="AM420" s="4">
        <f t="shared" si="167"/>
        <v>120404</v>
      </c>
      <c r="AN420" s="4">
        <f t="shared" si="162"/>
        <v>531123</v>
      </c>
      <c r="AO420" s="39"/>
      <c r="AP420" s="8">
        <f t="shared" si="168"/>
        <v>0</v>
      </c>
      <c r="AQ420" s="8">
        <f t="shared" si="169"/>
        <v>0</v>
      </c>
      <c r="AR420" s="8">
        <f t="shared" si="163"/>
        <v>0</v>
      </c>
      <c r="AS420" s="42"/>
      <c r="AT420" s="84">
        <v>410719</v>
      </c>
      <c r="AU420" s="84">
        <v>120404</v>
      </c>
      <c r="AV420" s="4">
        <f t="shared" si="164"/>
        <v>531123</v>
      </c>
      <c r="AW420" s="50" t="str">
        <f t="shared" si="165"/>
        <v/>
      </c>
      <c r="AX420" s="1" t="s">
        <v>1654</v>
      </c>
      <c r="AY420" s="2" t="s">
        <v>1655</v>
      </c>
      <c r="AZ420" s="2">
        <v>131989.51999999999</v>
      </c>
      <c r="BA420" s="73">
        <v>115490.83</v>
      </c>
      <c r="BB420" s="73">
        <v>115490.83</v>
      </c>
      <c r="BC420" s="73">
        <v>131989.51999999999</v>
      </c>
      <c r="BD420" s="73"/>
      <c r="BE420" s="66">
        <v>0</v>
      </c>
      <c r="BF420" s="66">
        <v>0.05</v>
      </c>
      <c r="BG420" s="63">
        <v>44330</v>
      </c>
      <c r="BH420" s="2"/>
      <c r="BI420" s="2"/>
      <c r="BJ420" s="2">
        <v>476613.4</v>
      </c>
      <c r="BK420" s="2">
        <v>52957</v>
      </c>
      <c r="BL420" s="1" t="s">
        <v>104</v>
      </c>
    </row>
    <row r="421" spans="1:64" x14ac:dyDescent="0.25">
      <c r="A421" s="81" t="s">
        <v>923</v>
      </c>
      <c r="B421" s="82" t="s">
        <v>923</v>
      </c>
      <c r="C421" s="81" t="s">
        <v>924</v>
      </c>
      <c r="D421" s="16">
        <v>44447</v>
      </c>
      <c r="E421" s="17"/>
      <c r="F421" s="2" t="s">
        <v>171</v>
      </c>
      <c r="G421" s="2" t="s">
        <v>172</v>
      </c>
      <c r="H421" s="10" t="s">
        <v>105</v>
      </c>
      <c r="I421" s="11" t="s">
        <v>53</v>
      </c>
      <c r="J421" s="11" t="s">
        <v>145</v>
      </c>
      <c r="K421" s="61"/>
      <c r="L421" s="11" t="s">
        <v>67</v>
      </c>
      <c r="M421" s="25"/>
      <c r="N421" s="82"/>
      <c r="O421" s="3" t="str">
        <f t="shared" si="170"/>
        <v>A</v>
      </c>
      <c r="P421" s="84">
        <v>242432</v>
      </c>
      <c r="Q421" s="84">
        <v>35888</v>
      </c>
      <c r="R421" s="32"/>
      <c r="S421" s="3" t="str">
        <f t="shared" si="171"/>
        <v>A</v>
      </c>
      <c r="T421" s="84">
        <v>217145</v>
      </c>
      <c r="U421" s="84">
        <v>31386</v>
      </c>
      <c r="V421" s="32"/>
      <c r="W421" s="3" t="str">
        <f t="shared" si="159"/>
        <v>A</v>
      </c>
      <c r="X421" s="84">
        <v>196817</v>
      </c>
      <c r="Y421" s="84">
        <v>31093</v>
      </c>
      <c r="Z421" s="32"/>
      <c r="AA421" s="3" t="str">
        <f t="shared" si="160"/>
        <v>A</v>
      </c>
      <c r="AB421" s="84">
        <v>227896</v>
      </c>
      <c r="AC421" s="84">
        <v>29770</v>
      </c>
      <c r="AD421" s="36"/>
      <c r="AE421" s="82"/>
      <c r="AF421" s="3" t="str">
        <f t="shared" si="161"/>
        <v>A</v>
      </c>
      <c r="AG421" s="84">
        <v>0</v>
      </c>
      <c r="AH421" s="84">
        <v>0</v>
      </c>
      <c r="AI421" s="39"/>
      <c r="AJ421" s="79" t="s">
        <v>1801</v>
      </c>
      <c r="AK421" s="39"/>
      <c r="AL421" s="4">
        <f t="shared" si="166"/>
        <v>884290</v>
      </c>
      <c r="AM421" s="4">
        <f t="shared" si="167"/>
        <v>128137</v>
      </c>
      <c r="AN421" s="4">
        <f t="shared" si="162"/>
        <v>1012427</v>
      </c>
      <c r="AO421" s="39"/>
      <c r="AP421" s="8">
        <f t="shared" si="168"/>
        <v>0</v>
      </c>
      <c r="AQ421" s="8">
        <f t="shared" si="169"/>
        <v>0</v>
      </c>
      <c r="AR421" s="8">
        <f t="shared" si="163"/>
        <v>0</v>
      </c>
      <c r="AS421" s="42"/>
      <c r="AT421" s="84">
        <v>884290</v>
      </c>
      <c r="AU421" s="84">
        <v>128137</v>
      </c>
      <c r="AV421" s="4">
        <f t="shared" si="164"/>
        <v>1012427</v>
      </c>
      <c r="AW421" s="50" t="str">
        <f t="shared" si="165"/>
        <v/>
      </c>
      <c r="AX421" s="1" t="s">
        <v>1654</v>
      </c>
      <c r="AY421" s="2" t="s">
        <v>1655</v>
      </c>
      <c r="AZ421" s="2">
        <v>139801.51999999999</v>
      </c>
      <c r="BA421" s="73">
        <v>122326.33</v>
      </c>
      <c r="BB421" s="73">
        <v>122326.33</v>
      </c>
      <c r="BC421" s="73">
        <v>139801.51999999999</v>
      </c>
      <c r="BD421" s="73"/>
      <c r="BE421" s="66">
        <v>0</v>
      </c>
      <c r="BF421" s="66">
        <v>0.05</v>
      </c>
      <c r="BG421" s="63">
        <v>44441</v>
      </c>
      <c r="BH421" s="2"/>
      <c r="BI421" s="2"/>
      <c r="BJ421" s="2">
        <v>498314.25</v>
      </c>
      <c r="BK421" s="2">
        <v>55368.25</v>
      </c>
      <c r="BL421" s="1" t="s">
        <v>311</v>
      </c>
    </row>
    <row r="422" spans="1:64" x14ac:dyDescent="0.25">
      <c r="A422" s="81" t="s">
        <v>929</v>
      </c>
      <c r="B422" s="82" t="s">
        <v>929</v>
      </c>
      <c r="C422" s="81" t="s">
        <v>930</v>
      </c>
      <c r="D422" s="16">
        <v>0</v>
      </c>
      <c r="E422" s="17">
        <v>45777</v>
      </c>
      <c r="F422" s="2" t="s">
        <v>171</v>
      </c>
      <c r="G422" s="2" t="s">
        <v>172</v>
      </c>
      <c r="H422" s="10" t="s">
        <v>105</v>
      </c>
      <c r="I422" s="11" t="s">
        <v>53</v>
      </c>
      <c r="J422" s="11" t="s">
        <v>145</v>
      </c>
      <c r="K422" s="61"/>
      <c r="L422" s="11" t="s">
        <v>67</v>
      </c>
      <c r="M422" s="25"/>
      <c r="N422" s="82"/>
      <c r="O422" s="3" t="str">
        <f t="shared" si="170"/>
        <v>A</v>
      </c>
      <c r="P422" s="84"/>
      <c r="Q422" s="84"/>
      <c r="R422" s="32"/>
      <c r="S422" s="3" t="str">
        <f t="shared" si="171"/>
        <v>A</v>
      </c>
      <c r="T422" s="84"/>
      <c r="U422" s="84"/>
      <c r="V422" s="32"/>
      <c r="W422" s="3" t="str">
        <f t="shared" si="159"/>
        <v>A</v>
      </c>
      <c r="X422" s="84"/>
      <c r="Y422" s="84"/>
      <c r="Z422" s="32"/>
      <c r="AA422" s="3" t="str">
        <f t="shared" si="160"/>
        <v>A</v>
      </c>
      <c r="AB422" s="84"/>
      <c r="AC422" s="84"/>
      <c r="AD422" s="36"/>
      <c r="AE422" s="82"/>
      <c r="AF422" s="3" t="str">
        <f t="shared" si="161"/>
        <v>A</v>
      </c>
      <c r="AG422" s="84"/>
      <c r="AH422" s="84"/>
      <c r="AI422" s="39"/>
      <c r="AJ422" s="79" t="s">
        <v>1801</v>
      </c>
      <c r="AK422" s="39"/>
      <c r="AL422" s="4">
        <f t="shared" si="166"/>
        <v>0</v>
      </c>
      <c r="AM422" s="4">
        <f t="shared" si="167"/>
        <v>0</v>
      </c>
      <c r="AN422" s="4">
        <f t="shared" si="162"/>
        <v>0</v>
      </c>
      <c r="AO422" s="39"/>
      <c r="AP422" s="8">
        <f t="shared" si="168"/>
        <v>0</v>
      </c>
      <c r="AQ422" s="8">
        <f t="shared" si="169"/>
        <v>0</v>
      </c>
      <c r="AR422" s="8">
        <f t="shared" si="163"/>
        <v>0</v>
      </c>
      <c r="AS422" s="42"/>
      <c r="AT422" s="84"/>
      <c r="AU422" s="84"/>
      <c r="AV422" s="4">
        <f t="shared" si="164"/>
        <v>0</v>
      </c>
      <c r="AW422" s="50" t="str">
        <f t="shared" si="165"/>
        <v/>
      </c>
      <c r="AX422" s="1" t="s">
        <v>1654</v>
      </c>
      <c r="AY422" s="2" t="s">
        <v>1655</v>
      </c>
      <c r="AZ422" s="2"/>
      <c r="BA422" s="73"/>
      <c r="BB422" s="73"/>
      <c r="BC422" s="73"/>
      <c r="BD422" s="73"/>
      <c r="BE422" s="66">
        <v>0</v>
      </c>
      <c r="BF422" s="66">
        <v>0.05</v>
      </c>
      <c r="BG422" s="63">
        <v>44239</v>
      </c>
      <c r="BH422" s="74">
        <v>45777</v>
      </c>
      <c r="BI422" s="2"/>
      <c r="BJ422" s="2">
        <v>453251.25</v>
      </c>
      <c r="BK422" s="2">
        <v>50361.25</v>
      </c>
      <c r="BL422" s="1" t="s">
        <v>104</v>
      </c>
    </row>
    <row r="423" spans="1:64" x14ac:dyDescent="0.25">
      <c r="A423" s="81" t="s">
        <v>931</v>
      </c>
      <c r="B423" s="82" t="s">
        <v>931</v>
      </c>
      <c r="C423" s="81" t="s">
        <v>932</v>
      </c>
      <c r="D423" s="16">
        <v>0</v>
      </c>
      <c r="E423" s="17"/>
      <c r="F423" s="2" t="s">
        <v>414</v>
      </c>
      <c r="G423" s="2" t="s">
        <v>415</v>
      </c>
      <c r="H423" s="10" t="s">
        <v>105</v>
      </c>
      <c r="I423" s="11" t="s">
        <v>53</v>
      </c>
      <c r="J423" s="11" t="s">
        <v>312</v>
      </c>
      <c r="K423" s="61"/>
      <c r="L423" s="11" t="s">
        <v>67</v>
      </c>
      <c r="M423" s="25"/>
      <c r="N423" s="82"/>
      <c r="O423" s="3" t="str">
        <f t="shared" si="170"/>
        <v>E</v>
      </c>
      <c r="P423" s="84">
        <v>100789.36</v>
      </c>
      <c r="Q423" s="84">
        <v>11930.08</v>
      </c>
      <c r="R423" s="32"/>
      <c r="S423" s="3" t="str">
        <f t="shared" si="171"/>
        <v>E</v>
      </c>
      <c r="T423" s="84">
        <v>88190.69</v>
      </c>
      <c r="U423" s="84">
        <v>10438.82</v>
      </c>
      <c r="V423" s="32"/>
      <c r="W423" s="3" t="str">
        <f t="shared" si="159"/>
        <v>E</v>
      </c>
      <c r="X423" s="84">
        <v>88190.69</v>
      </c>
      <c r="Y423" s="84">
        <v>10438.82</v>
      </c>
      <c r="Z423" s="32"/>
      <c r="AA423" s="3" t="str">
        <f t="shared" si="160"/>
        <v>E</v>
      </c>
      <c r="AB423" s="84">
        <v>100789.36</v>
      </c>
      <c r="AC423" s="84">
        <v>11930.08</v>
      </c>
      <c r="AD423" s="36"/>
      <c r="AE423" s="82"/>
      <c r="AF423" s="3" t="str">
        <f t="shared" si="161"/>
        <v>A</v>
      </c>
      <c r="AG423" s="84"/>
      <c r="AH423" s="84"/>
      <c r="AI423" s="39"/>
      <c r="AJ423" s="79" t="s">
        <v>38</v>
      </c>
      <c r="AK423" s="39"/>
      <c r="AL423" s="4">
        <f t="shared" si="166"/>
        <v>0</v>
      </c>
      <c r="AM423" s="4">
        <f t="shared" si="167"/>
        <v>0</v>
      </c>
      <c r="AN423" s="4">
        <f t="shared" si="162"/>
        <v>0</v>
      </c>
      <c r="AO423" s="39"/>
      <c r="AP423" s="8">
        <f t="shared" si="168"/>
        <v>377960.1</v>
      </c>
      <c r="AQ423" s="8">
        <f t="shared" si="169"/>
        <v>44737.8</v>
      </c>
      <c r="AR423" s="8">
        <f t="shared" si="163"/>
        <v>422697.89999999997</v>
      </c>
      <c r="AS423" s="42"/>
      <c r="AT423" s="84"/>
      <c r="AU423" s="84"/>
      <c r="AV423" s="4">
        <f t="shared" si="164"/>
        <v>0</v>
      </c>
      <c r="AW423" s="50" t="str">
        <f t="shared" si="165"/>
        <v/>
      </c>
      <c r="AX423" s="1" t="s">
        <v>1703</v>
      </c>
      <c r="AY423" s="2" t="s">
        <v>1704</v>
      </c>
      <c r="AZ423" s="2">
        <v>100789.36</v>
      </c>
      <c r="BA423" s="73">
        <v>88190.69</v>
      </c>
      <c r="BB423" s="73">
        <v>88190.69</v>
      </c>
      <c r="BC423" s="73">
        <v>100789.36</v>
      </c>
      <c r="BD423" s="73"/>
      <c r="BE423" s="66">
        <v>0</v>
      </c>
      <c r="BF423" s="66">
        <v>0.05</v>
      </c>
      <c r="BG423" s="63">
        <v>44092</v>
      </c>
      <c r="BH423" s="2"/>
      <c r="BI423" s="2"/>
      <c r="BJ423" s="2">
        <v>405741.15</v>
      </c>
      <c r="BK423" s="2">
        <v>45082.35</v>
      </c>
      <c r="BL423" s="1" t="s">
        <v>104</v>
      </c>
    </row>
    <row r="424" spans="1:64" x14ac:dyDescent="0.25">
      <c r="A424" s="81" t="s">
        <v>935</v>
      </c>
      <c r="B424" s="82" t="s">
        <v>935</v>
      </c>
      <c r="C424" s="81" t="s">
        <v>936</v>
      </c>
      <c r="D424" s="16">
        <v>0</v>
      </c>
      <c r="E424" s="17"/>
      <c r="F424" s="2" t="s">
        <v>456</v>
      </c>
      <c r="G424" s="2" t="s">
        <v>457</v>
      </c>
      <c r="H424" s="10" t="s">
        <v>105</v>
      </c>
      <c r="I424" s="11" t="s">
        <v>53</v>
      </c>
      <c r="J424" s="11" t="s">
        <v>312</v>
      </c>
      <c r="K424" s="61"/>
      <c r="L424" s="11" t="s">
        <v>67</v>
      </c>
      <c r="M424" s="25"/>
      <c r="N424" s="82"/>
      <c r="O424" s="3" t="str">
        <f t="shared" si="170"/>
        <v>A</v>
      </c>
      <c r="P424" s="84">
        <v>121187</v>
      </c>
      <c r="Q424" s="84">
        <v>36794</v>
      </c>
      <c r="R424" s="32"/>
      <c r="S424" s="3" t="str">
        <f t="shared" si="171"/>
        <v>A</v>
      </c>
      <c r="T424" s="84">
        <v>117839</v>
      </c>
      <c r="U424" s="84">
        <v>32255</v>
      </c>
      <c r="V424" s="32"/>
      <c r="W424" s="3" t="str">
        <f t="shared" si="159"/>
        <v>A</v>
      </c>
      <c r="X424" s="84">
        <v>101801</v>
      </c>
      <c r="Y424" s="84">
        <v>26541</v>
      </c>
      <c r="Z424" s="32"/>
      <c r="AA424" s="3" t="str">
        <f t="shared" si="160"/>
        <v>A</v>
      </c>
      <c r="AB424" s="84">
        <v>115239</v>
      </c>
      <c r="AC424" s="84">
        <v>27904</v>
      </c>
      <c r="AD424" s="36"/>
      <c r="AE424" s="82"/>
      <c r="AF424" s="3" t="str">
        <f t="shared" si="161"/>
        <v>A</v>
      </c>
      <c r="AG424" s="84">
        <v>0</v>
      </c>
      <c r="AH424" s="84">
        <v>0</v>
      </c>
      <c r="AI424" s="39"/>
      <c r="AJ424" s="79" t="s">
        <v>1801</v>
      </c>
      <c r="AK424" s="39"/>
      <c r="AL424" s="4">
        <f t="shared" si="166"/>
        <v>456066</v>
      </c>
      <c r="AM424" s="4">
        <f t="shared" si="167"/>
        <v>123494</v>
      </c>
      <c r="AN424" s="4">
        <f t="shared" si="162"/>
        <v>579560</v>
      </c>
      <c r="AO424" s="39"/>
      <c r="AP424" s="8">
        <f t="shared" si="168"/>
        <v>0</v>
      </c>
      <c r="AQ424" s="8">
        <f t="shared" si="169"/>
        <v>0</v>
      </c>
      <c r="AR424" s="8">
        <f t="shared" si="163"/>
        <v>0</v>
      </c>
      <c r="AS424" s="42"/>
      <c r="AT424" s="84">
        <v>456066</v>
      </c>
      <c r="AU424" s="84">
        <v>123494</v>
      </c>
      <c r="AV424" s="4">
        <f t="shared" si="164"/>
        <v>579560</v>
      </c>
      <c r="AW424" s="50" t="str">
        <f t="shared" si="165"/>
        <v/>
      </c>
      <c r="AX424" s="1" t="s">
        <v>1711</v>
      </c>
      <c r="AY424" s="2" t="s">
        <v>1712</v>
      </c>
      <c r="AZ424" s="2">
        <v>73365.679999999993</v>
      </c>
      <c r="BA424" s="73">
        <v>64194.97</v>
      </c>
      <c r="BB424" s="73">
        <v>64194.97</v>
      </c>
      <c r="BC424" s="73">
        <v>73365.679999999993</v>
      </c>
      <c r="BD424" s="73"/>
      <c r="BE424" s="66">
        <v>0</v>
      </c>
      <c r="BF424" s="66">
        <v>0.05</v>
      </c>
      <c r="BG424" s="63">
        <v>44170</v>
      </c>
      <c r="BH424" s="2"/>
      <c r="BI424" s="2"/>
      <c r="BJ424" s="2">
        <v>497880</v>
      </c>
      <c r="BK424" s="2">
        <v>49788</v>
      </c>
      <c r="BL424" s="1" t="s">
        <v>219</v>
      </c>
    </row>
    <row r="425" spans="1:64" x14ac:dyDescent="0.25">
      <c r="A425" s="81" t="s">
        <v>939</v>
      </c>
      <c r="B425" s="82" t="s">
        <v>939</v>
      </c>
      <c r="C425" s="81" t="s">
        <v>940</v>
      </c>
      <c r="D425" s="16">
        <v>37053</v>
      </c>
      <c r="E425" s="17"/>
      <c r="F425" s="2" t="s">
        <v>52</v>
      </c>
      <c r="G425" s="2" t="s">
        <v>55</v>
      </c>
      <c r="H425" s="10" t="s">
        <v>57</v>
      </c>
      <c r="I425" s="11" t="s">
        <v>54</v>
      </c>
      <c r="J425" s="11" t="s">
        <v>636</v>
      </c>
      <c r="K425" s="61" t="s">
        <v>637</v>
      </c>
      <c r="L425" s="11" t="s">
        <v>67</v>
      </c>
      <c r="M425" s="25"/>
      <c r="N425" s="82"/>
      <c r="O425" s="3" t="str">
        <f t="shared" si="170"/>
        <v>A</v>
      </c>
      <c r="P425" s="84">
        <v>41916.99</v>
      </c>
      <c r="Q425" s="84">
        <v>10491</v>
      </c>
      <c r="R425" s="32"/>
      <c r="S425" s="3" t="str">
        <f t="shared" si="171"/>
        <v>A</v>
      </c>
      <c r="T425" s="84">
        <v>33440.54</v>
      </c>
      <c r="U425" s="84">
        <v>7176.6</v>
      </c>
      <c r="V425" s="32"/>
      <c r="W425" s="3" t="str">
        <f t="shared" si="159"/>
        <v>A</v>
      </c>
      <c r="X425" s="84">
        <v>30937.019999999997</v>
      </c>
      <c r="Y425" s="84">
        <v>7246.92</v>
      </c>
      <c r="Z425" s="32"/>
      <c r="AA425" s="3" t="str">
        <f t="shared" si="160"/>
        <v>A</v>
      </c>
      <c r="AB425" s="84">
        <v>40479.67</v>
      </c>
      <c r="AC425" s="84">
        <v>9260</v>
      </c>
      <c r="AD425" s="36"/>
      <c r="AE425" s="82"/>
      <c r="AF425" s="3" t="str">
        <f t="shared" si="161"/>
        <v>A</v>
      </c>
      <c r="AG425" s="84">
        <v>0</v>
      </c>
      <c r="AH425" s="84">
        <v>0</v>
      </c>
      <c r="AI425" s="39"/>
      <c r="AJ425" s="79" t="s">
        <v>1801</v>
      </c>
      <c r="AK425" s="39"/>
      <c r="AL425" s="4">
        <f t="shared" si="166"/>
        <v>146774.21999999997</v>
      </c>
      <c r="AM425" s="4">
        <f t="shared" si="167"/>
        <v>34174.519999999997</v>
      </c>
      <c r="AN425" s="4">
        <f t="shared" si="162"/>
        <v>180948.73999999996</v>
      </c>
      <c r="AO425" s="39"/>
      <c r="AP425" s="8">
        <f t="shared" si="168"/>
        <v>0</v>
      </c>
      <c r="AQ425" s="8">
        <f t="shared" si="169"/>
        <v>0</v>
      </c>
      <c r="AR425" s="8">
        <f t="shared" si="163"/>
        <v>0</v>
      </c>
      <c r="AS425" s="42"/>
      <c r="AT425" s="84">
        <v>146774.22</v>
      </c>
      <c r="AU425" s="84">
        <v>34174.519999999997</v>
      </c>
      <c r="AV425" s="4">
        <f t="shared" si="164"/>
        <v>180948.74</v>
      </c>
      <c r="AW425" s="50" t="str">
        <f t="shared" si="165"/>
        <v/>
      </c>
      <c r="AX425" s="1" t="s">
        <v>1639</v>
      </c>
      <c r="AY425" s="2" t="s">
        <v>1640</v>
      </c>
      <c r="AZ425" s="2">
        <v>41561.120000000003</v>
      </c>
      <c r="BA425" s="73">
        <v>36365.980000000003</v>
      </c>
      <c r="BB425" s="73">
        <v>36365.980000000003</v>
      </c>
      <c r="BC425" s="73">
        <v>41561.120000000003</v>
      </c>
      <c r="BD425" s="73"/>
      <c r="BE425" s="66">
        <v>0</v>
      </c>
      <c r="BF425" s="66">
        <v>0.02</v>
      </c>
      <c r="BG425" s="63">
        <v>44358</v>
      </c>
      <c r="BH425" s="2"/>
      <c r="BI425" s="2"/>
      <c r="BJ425" s="2">
        <v>282045.59999999998</v>
      </c>
      <c r="BK425" s="2">
        <v>31338.400000000001</v>
      </c>
      <c r="BL425" s="1" t="s">
        <v>56</v>
      </c>
    </row>
    <row r="426" spans="1:64" x14ac:dyDescent="0.25">
      <c r="A426" s="81" t="s">
        <v>941</v>
      </c>
      <c r="B426" s="82" t="s">
        <v>941</v>
      </c>
      <c r="C426" s="81" t="s">
        <v>942</v>
      </c>
      <c r="D426" s="16">
        <v>0</v>
      </c>
      <c r="E426" s="17"/>
      <c r="F426" s="2" t="s">
        <v>828</v>
      </c>
      <c r="G426" s="2" t="s">
        <v>829</v>
      </c>
      <c r="H426" s="10" t="s">
        <v>98</v>
      </c>
      <c r="I426" s="11" t="s">
        <v>53</v>
      </c>
      <c r="J426" s="11" t="s">
        <v>830</v>
      </c>
      <c r="K426" s="61"/>
      <c r="L426" s="11" t="s">
        <v>67</v>
      </c>
      <c r="M426" s="25"/>
      <c r="N426" s="82"/>
      <c r="O426" s="3" t="str">
        <f t="shared" si="170"/>
        <v>E</v>
      </c>
      <c r="P426" s="84">
        <v>82174.64</v>
      </c>
      <c r="Q426" s="84">
        <v>10856.64</v>
      </c>
      <c r="R426" s="32"/>
      <c r="S426" s="3" t="str">
        <f t="shared" si="171"/>
        <v>E</v>
      </c>
      <c r="T426" s="84">
        <v>71902.81</v>
      </c>
      <c r="U426" s="84">
        <v>9499.56</v>
      </c>
      <c r="V426" s="32"/>
      <c r="W426" s="3" t="str">
        <f t="shared" si="159"/>
        <v>E</v>
      </c>
      <c r="X426" s="84">
        <v>71902.81</v>
      </c>
      <c r="Y426" s="84">
        <v>9499.56</v>
      </c>
      <c r="Z426" s="32"/>
      <c r="AA426" s="3" t="str">
        <f t="shared" si="160"/>
        <v>E</v>
      </c>
      <c r="AB426" s="84">
        <v>82174.64</v>
      </c>
      <c r="AC426" s="84">
        <v>10856.64</v>
      </c>
      <c r="AD426" s="36"/>
      <c r="AE426" s="82"/>
      <c r="AF426" s="3" t="str">
        <f t="shared" si="161"/>
        <v>A</v>
      </c>
      <c r="AG426" s="84"/>
      <c r="AH426" s="84"/>
      <c r="AI426" s="39"/>
      <c r="AJ426" s="79" t="s">
        <v>38</v>
      </c>
      <c r="AK426" s="39"/>
      <c r="AL426" s="4">
        <f t="shared" si="166"/>
        <v>0</v>
      </c>
      <c r="AM426" s="4">
        <f t="shared" si="167"/>
        <v>0</v>
      </c>
      <c r="AN426" s="4">
        <f t="shared" si="162"/>
        <v>0</v>
      </c>
      <c r="AO426" s="39"/>
      <c r="AP426" s="8">
        <f t="shared" si="168"/>
        <v>308154.90000000002</v>
      </c>
      <c r="AQ426" s="8">
        <f t="shared" si="169"/>
        <v>40712.399999999994</v>
      </c>
      <c r="AR426" s="8">
        <f t="shared" si="163"/>
        <v>348867.30000000005</v>
      </c>
      <c r="AS426" s="42"/>
      <c r="AT426" s="84"/>
      <c r="AU426" s="84"/>
      <c r="AV426" s="4">
        <f t="shared" si="164"/>
        <v>0</v>
      </c>
      <c r="AW426" s="50" t="str">
        <f t="shared" si="165"/>
        <v/>
      </c>
      <c r="AX426" s="1" t="s">
        <v>1732</v>
      </c>
      <c r="AY426" s="2" t="s">
        <v>1733</v>
      </c>
      <c r="AZ426" s="2">
        <v>82174.64</v>
      </c>
      <c r="BA426" s="73">
        <v>71902.81</v>
      </c>
      <c r="BB426" s="73">
        <v>71902.81</v>
      </c>
      <c r="BC426" s="73">
        <v>82174.64</v>
      </c>
      <c r="BD426" s="73"/>
      <c r="BE426" s="66">
        <v>0</v>
      </c>
      <c r="BF426" s="66">
        <v>0.05</v>
      </c>
      <c r="BG426" s="63">
        <v>44204</v>
      </c>
      <c r="BH426" s="2"/>
      <c r="BI426" s="2"/>
      <c r="BJ426" s="2">
        <v>402488.84</v>
      </c>
      <c r="BK426" s="2">
        <v>50311.1</v>
      </c>
      <c r="BL426" s="1" t="s">
        <v>97</v>
      </c>
    </row>
    <row r="427" spans="1:64" x14ac:dyDescent="0.25">
      <c r="A427" s="81" t="s">
        <v>945</v>
      </c>
      <c r="B427" s="82" t="s">
        <v>945</v>
      </c>
      <c r="C427" s="81" t="s">
        <v>946</v>
      </c>
      <c r="D427" s="16">
        <v>44490</v>
      </c>
      <c r="E427" s="17"/>
      <c r="F427" s="2" t="s">
        <v>947</v>
      </c>
      <c r="G427" s="2" t="s">
        <v>948</v>
      </c>
      <c r="H427" s="10" t="s">
        <v>98</v>
      </c>
      <c r="I427" s="11" t="s">
        <v>53</v>
      </c>
      <c r="J427" s="11" t="s">
        <v>99</v>
      </c>
      <c r="K427" s="61"/>
      <c r="L427" s="11" t="s">
        <v>67</v>
      </c>
      <c r="M427" s="25"/>
      <c r="N427" s="82"/>
      <c r="O427" s="3" t="str">
        <f t="shared" si="170"/>
        <v>A</v>
      </c>
      <c r="P427" s="84">
        <v>96145</v>
      </c>
      <c r="Q427" s="84">
        <v>660</v>
      </c>
      <c r="R427" s="32"/>
      <c r="S427" s="3" t="str">
        <f t="shared" si="171"/>
        <v>A</v>
      </c>
      <c r="T427" s="84">
        <v>134779</v>
      </c>
      <c r="U427" s="84">
        <v>7350</v>
      </c>
      <c r="V427" s="32"/>
      <c r="W427" s="3" t="str">
        <f t="shared" si="159"/>
        <v>A</v>
      </c>
      <c r="X427" s="84">
        <v>134696</v>
      </c>
      <c r="Y427" s="84">
        <v>8475</v>
      </c>
      <c r="Z427" s="32"/>
      <c r="AA427" s="3" t="str">
        <f t="shared" si="160"/>
        <v>A</v>
      </c>
      <c r="AB427" s="84">
        <v>122082</v>
      </c>
      <c r="AC427" s="84">
        <v>795</v>
      </c>
      <c r="AD427" s="36"/>
      <c r="AE427" s="82"/>
      <c r="AF427" s="3" t="str">
        <f t="shared" si="161"/>
        <v>A</v>
      </c>
      <c r="AG427" s="84">
        <v>0</v>
      </c>
      <c r="AH427" s="84">
        <v>0</v>
      </c>
      <c r="AI427" s="39"/>
      <c r="AJ427" s="79" t="s">
        <v>1801</v>
      </c>
      <c r="AK427" s="39"/>
      <c r="AL427" s="4">
        <f t="shared" si="166"/>
        <v>487702</v>
      </c>
      <c r="AM427" s="4">
        <f t="shared" si="167"/>
        <v>17280</v>
      </c>
      <c r="AN427" s="4">
        <f t="shared" si="162"/>
        <v>504982</v>
      </c>
      <c r="AO427" s="39"/>
      <c r="AP427" s="8">
        <f t="shared" si="168"/>
        <v>0</v>
      </c>
      <c r="AQ427" s="8">
        <f t="shared" si="169"/>
        <v>0</v>
      </c>
      <c r="AR427" s="8">
        <f t="shared" si="163"/>
        <v>0</v>
      </c>
      <c r="AS427" s="42"/>
      <c r="AT427" s="84">
        <v>487702</v>
      </c>
      <c r="AU427" s="84">
        <v>17280</v>
      </c>
      <c r="AV427" s="4">
        <f t="shared" si="164"/>
        <v>504982</v>
      </c>
      <c r="AW427" s="50" t="str">
        <f t="shared" si="165"/>
        <v/>
      </c>
      <c r="AX427" s="1" t="s">
        <v>1742</v>
      </c>
      <c r="AY427" s="2" t="s">
        <v>1743</v>
      </c>
      <c r="AZ427" s="2">
        <v>190999.52</v>
      </c>
      <c r="BA427" s="73">
        <v>167124.57999999999</v>
      </c>
      <c r="BB427" s="73">
        <v>167124.57999999999</v>
      </c>
      <c r="BC427" s="73">
        <v>190999.52</v>
      </c>
      <c r="BD427" s="73"/>
      <c r="BE427" s="66">
        <v>0</v>
      </c>
      <c r="BF427" s="66">
        <v>0.05</v>
      </c>
      <c r="BG427" s="63">
        <v>44482</v>
      </c>
      <c r="BH427" s="74">
        <v>45439</v>
      </c>
      <c r="BI427" s="74">
        <v>45455</v>
      </c>
      <c r="BJ427" s="2">
        <v>688747.5</v>
      </c>
      <c r="BK427" s="2">
        <v>86093.440000000002</v>
      </c>
      <c r="BL427" s="1" t="s">
        <v>97</v>
      </c>
    </row>
    <row r="428" spans="1:64" x14ac:dyDescent="0.25">
      <c r="A428" s="81" t="s">
        <v>951</v>
      </c>
      <c r="B428" s="82" t="s">
        <v>951</v>
      </c>
      <c r="C428" s="81" t="s">
        <v>952</v>
      </c>
      <c r="D428" s="16">
        <v>44333</v>
      </c>
      <c r="E428" s="17"/>
      <c r="F428" s="2" t="s">
        <v>953</v>
      </c>
      <c r="G428" s="2" t="s">
        <v>954</v>
      </c>
      <c r="H428" s="10" t="s">
        <v>98</v>
      </c>
      <c r="I428" s="11" t="s">
        <v>53</v>
      </c>
      <c r="J428" s="11" t="s">
        <v>265</v>
      </c>
      <c r="K428" s="61"/>
      <c r="L428" s="11" t="s">
        <v>67</v>
      </c>
      <c r="M428" s="25"/>
      <c r="N428" s="82"/>
      <c r="O428" s="3" t="str">
        <f t="shared" si="170"/>
        <v>A</v>
      </c>
      <c r="P428" s="84">
        <v>104747</v>
      </c>
      <c r="Q428" s="84">
        <v>3955</v>
      </c>
      <c r="R428" s="32"/>
      <c r="S428" s="3" t="str">
        <f t="shared" si="171"/>
        <v>A</v>
      </c>
      <c r="T428" s="84">
        <v>92255</v>
      </c>
      <c r="U428" s="84">
        <v>3070</v>
      </c>
      <c r="V428" s="32"/>
      <c r="W428" s="3" t="str">
        <f t="shared" si="159"/>
        <v>A</v>
      </c>
      <c r="X428" s="84">
        <v>95249</v>
      </c>
      <c r="Y428" s="84">
        <v>1780</v>
      </c>
      <c r="Z428" s="32"/>
      <c r="AA428" s="3" t="str">
        <f t="shared" si="160"/>
        <v>A</v>
      </c>
      <c r="AB428" s="84">
        <v>116162</v>
      </c>
      <c r="AC428" s="84">
        <v>5510</v>
      </c>
      <c r="AD428" s="36"/>
      <c r="AE428" s="82"/>
      <c r="AF428" s="3" t="str">
        <f t="shared" si="161"/>
        <v>A</v>
      </c>
      <c r="AG428" s="84">
        <v>0</v>
      </c>
      <c r="AH428" s="84">
        <v>0</v>
      </c>
      <c r="AI428" s="39"/>
      <c r="AJ428" s="79" t="s">
        <v>1801</v>
      </c>
      <c r="AK428" s="39"/>
      <c r="AL428" s="4">
        <f t="shared" si="166"/>
        <v>408413</v>
      </c>
      <c r="AM428" s="4">
        <f t="shared" si="167"/>
        <v>14315</v>
      </c>
      <c r="AN428" s="4">
        <f t="shared" si="162"/>
        <v>422728</v>
      </c>
      <c r="AO428" s="39"/>
      <c r="AP428" s="8">
        <f t="shared" si="168"/>
        <v>0</v>
      </c>
      <c r="AQ428" s="8">
        <f t="shared" si="169"/>
        <v>0</v>
      </c>
      <c r="AR428" s="8">
        <f t="shared" si="163"/>
        <v>0</v>
      </c>
      <c r="AS428" s="42"/>
      <c r="AT428" s="84">
        <v>408413</v>
      </c>
      <c r="AU428" s="84">
        <v>14315</v>
      </c>
      <c r="AV428" s="4">
        <f t="shared" si="164"/>
        <v>422728</v>
      </c>
      <c r="AW428" s="50" t="str">
        <f t="shared" si="165"/>
        <v/>
      </c>
      <c r="AX428" s="1" t="s">
        <v>1744</v>
      </c>
      <c r="AY428" s="2" t="s">
        <v>1745</v>
      </c>
      <c r="AZ428" s="2">
        <v>188807.67999999999</v>
      </c>
      <c r="BA428" s="73">
        <v>165206.72</v>
      </c>
      <c r="BB428" s="73">
        <v>165206.72</v>
      </c>
      <c r="BC428" s="73">
        <v>188807.67999999999</v>
      </c>
      <c r="BD428" s="73"/>
      <c r="BE428" s="66">
        <v>0</v>
      </c>
      <c r="BF428" s="66">
        <v>0.05</v>
      </c>
      <c r="BG428" s="63">
        <v>44326</v>
      </c>
      <c r="BH428" s="2"/>
      <c r="BI428" s="2"/>
      <c r="BJ428" s="2">
        <v>681783.75</v>
      </c>
      <c r="BK428" s="2">
        <v>85222.97</v>
      </c>
      <c r="BL428" s="1" t="s">
        <v>97</v>
      </c>
    </row>
    <row r="429" spans="1:64" x14ac:dyDescent="0.25">
      <c r="A429" s="81" t="s">
        <v>951</v>
      </c>
      <c r="B429" s="82" t="s">
        <v>1398</v>
      </c>
      <c r="C429" s="81" t="s">
        <v>1399</v>
      </c>
      <c r="D429" s="16">
        <v>45245</v>
      </c>
      <c r="E429" s="17"/>
      <c r="F429" s="2" t="s">
        <v>953</v>
      </c>
      <c r="G429" s="2" t="s">
        <v>954</v>
      </c>
      <c r="H429" s="10" t="s">
        <v>98</v>
      </c>
      <c r="I429" s="11" t="s">
        <v>53</v>
      </c>
      <c r="J429" s="11" t="s">
        <v>265</v>
      </c>
      <c r="K429" s="61"/>
      <c r="L429" s="11" t="s">
        <v>67</v>
      </c>
      <c r="M429" s="25"/>
      <c r="N429" s="82"/>
      <c r="O429" s="3" t="str">
        <f>IF($A429="","",IF(P429=AZ429,"E","A"))</f>
        <v>A</v>
      </c>
      <c r="P429" s="84">
        <v>36213</v>
      </c>
      <c r="Q429" s="84">
        <v>6914</v>
      </c>
      <c r="R429" s="32"/>
      <c r="S429" s="3" t="str">
        <f>IF($A429="","",IF(T429=BA429,"E","A"))</f>
        <v>A</v>
      </c>
      <c r="T429" s="84">
        <v>37862</v>
      </c>
      <c r="U429" s="84">
        <v>3468</v>
      </c>
      <c r="V429" s="32"/>
      <c r="W429" s="3" t="str">
        <f t="shared" si="159"/>
        <v>A</v>
      </c>
      <c r="X429" s="84">
        <v>37613</v>
      </c>
      <c r="Y429" s="84">
        <v>5658</v>
      </c>
      <c r="Z429" s="32"/>
      <c r="AA429" s="3" t="str">
        <f t="shared" si="160"/>
        <v>A</v>
      </c>
      <c r="AB429" s="84">
        <v>44230</v>
      </c>
      <c r="AC429" s="84">
        <v>6936</v>
      </c>
      <c r="AD429" s="36"/>
      <c r="AE429" s="82"/>
      <c r="AF429" s="3" t="str">
        <f t="shared" si="161"/>
        <v>A</v>
      </c>
      <c r="AG429" s="84">
        <v>0</v>
      </c>
      <c r="AH429" s="84">
        <v>0</v>
      </c>
      <c r="AI429" s="39"/>
      <c r="AJ429" s="79" t="s">
        <v>1801</v>
      </c>
      <c r="AK429" s="39"/>
      <c r="AL429" s="4">
        <f t="shared" si="166"/>
        <v>155918</v>
      </c>
      <c r="AM429" s="4">
        <f t="shared" si="167"/>
        <v>22976</v>
      </c>
      <c r="AN429" s="4">
        <f t="shared" si="162"/>
        <v>178894</v>
      </c>
      <c r="AO429" s="39"/>
      <c r="AP429" s="8">
        <f t="shared" si="168"/>
        <v>0</v>
      </c>
      <c r="AQ429" s="8">
        <f t="shared" si="169"/>
        <v>0</v>
      </c>
      <c r="AR429" s="8">
        <f t="shared" si="163"/>
        <v>0</v>
      </c>
      <c r="AS429" s="42"/>
      <c r="AT429" s="84">
        <v>155918</v>
      </c>
      <c r="AU429" s="84">
        <v>22976</v>
      </c>
      <c r="AV429" s="4">
        <f t="shared" si="164"/>
        <v>178894</v>
      </c>
      <c r="AW429" s="50" t="str">
        <f t="shared" si="165"/>
        <v/>
      </c>
      <c r="AX429" s="1" t="s">
        <v>1744</v>
      </c>
      <c r="AY429" s="2" t="s">
        <v>1745</v>
      </c>
      <c r="AZ429" s="2">
        <v>101316.64</v>
      </c>
      <c r="BA429" s="73">
        <v>88652.06</v>
      </c>
      <c r="BB429" s="73">
        <v>88652.06</v>
      </c>
      <c r="BC429" s="73">
        <v>101316.64</v>
      </c>
      <c r="BD429" s="73"/>
      <c r="BE429" s="66">
        <v>0</v>
      </c>
      <c r="BF429" s="66">
        <v>0.05</v>
      </c>
      <c r="BG429" s="63">
        <v>45227</v>
      </c>
      <c r="BH429" s="2"/>
      <c r="BI429" s="2"/>
      <c r="BJ429" s="2">
        <v>378000</v>
      </c>
      <c r="BK429" s="2">
        <v>11340</v>
      </c>
      <c r="BL429" s="1" t="s">
        <v>97</v>
      </c>
    </row>
    <row r="430" spans="1:64" x14ac:dyDescent="0.25">
      <c r="A430" s="81" t="s">
        <v>951</v>
      </c>
      <c r="B430" s="82" t="s">
        <v>1450</v>
      </c>
      <c r="C430" s="81" t="s">
        <v>1451</v>
      </c>
      <c r="D430" s="16">
        <v>45322</v>
      </c>
      <c r="E430" s="17"/>
      <c r="F430" s="2" t="s">
        <v>953</v>
      </c>
      <c r="G430" s="2" t="s">
        <v>954</v>
      </c>
      <c r="H430" s="10" t="s">
        <v>98</v>
      </c>
      <c r="I430" s="11" t="s">
        <v>53</v>
      </c>
      <c r="J430" s="11" t="s">
        <v>265</v>
      </c>
      <c r="K430" s="61"/>
      <c r="L430" s="11" t="s">
        <v>67</v>
      </c>
      <c r="M430" s="25"/>
      <c r="N430" s="82"/>
      <c r="O430" s="3" t="str">
        <f>IF($A430="","",IF(P430=AZ430,"E","A"))</f>
        <v>A</v>
      </c>
      <c r="P430" s="84">
        <v>30776</v>
      </c>
      <c r="Q430" s="84">
        <v>3446</v>
      </c>
      <c r="R430" s="32"/>
      <c r="S430" s="3" t="str">
        <f>IF($A430="","",IF(T430=BA430,"E","A"))</f>
        <v>A</v>
      </c>
      <c r="T430" s="84">
        <v>30790</v>
      </c>
      <c r="U430" s="84">
        <v>3104</v>
      </c>
      <c r="V430" s="32"/>
      <c r="W430" s="3" t="str">
        <f t="shared" si="159"/>
        <v>A</v>
      </c>
      <c r="X430" s="84">
        <v>27935</v>
      </c>
      <c r="Y430" s="84">
        <v>3184</v>
      </c>
      <c r="Z430" s="32"/>
      <c r="AA430" s="3" t="str">
        <f t="shared" si="160"/>
        <v>A</v>
      </c>
      <c r="AB430" s="84">
        <v>36964</v>
      </c>
      <c r="AC430" s="84">
        <v>2732</v>
      </c>
      <c r="AD430" s="36"/>
      <c r="AE430" s="82"/>
      <c r="AF430" s="3" t="str">
        <f t="shared" si="161"/>
        <v>A</v>
      </c>
      <c r="AG430" s="84">
        <v>0</v>
      </c>
      <c r="AH430" s="84">
        <v>0</v>
      </c>
      <c r="AI430" s="39"/>
      <c r="AJ430" s="79" t="s">
        <v>1801</v>
      </c>
      <c r="AK430" s="39"/>
      <c r="AL430" s="4">
        <f t="shared" si="166"/>
        <v>126465</v>
      </c>
      <c r="AM430" s="4">
        <f t="shared" si="167"/>
        <v>12466</v>
      </c>
      <c r="AN430" s="4">
        <f t="shared" si="162"/>
        <v>138931</v>
      </c>
      <c r="AO430" s="39"/>
      <c r="AP430" s="8">
        <f t="shared" si="168"/>
        <v>0</v>
      </c>
      <c r="AQ430" s="8">
        <f t="shared" si="169"/>
        <v>0</v>
      </c>
      <c r="AR430" s="8">
        <f t="shared" si="163"/>
        <v>0</v>
      </c>
      <c r="AS430" s="42"/>
      <c r="AT430" s="84">
        <v>126465</v>
      </c>
      <c r="AU430" s="84">
        <v>12466</v>
      </c>
      <c r="AV430" s="4">
        <f t="shared" si="164"/>
        <v>138931</v>
      </c>
      <c r="AW430" s="50" t="str">
        <f t="shared" si="165"/>
        <v/>
      </c>
      <c r="AX430" s="1" t="s">
        <v>1744</v>
      </c>
      <c r="AY430" s="2" t="s">
        <v>1745</v>
      </c>
      <c r="AZ430" s="2">
        <v>75045.679999999993</v>
      </c>
      <c r="BA430" s="73">
        <v>65664.97</v>
      </c>
      <c r="BB430" s="73">
        <v>65664.97</v>
      </c>
      <c r="BC430" s="73">
        <v>75045.679999999993</v>
      </c>
      <c r="BD430" s="73"/>
      <c r="BE430" s="66">
        <v>0</v>
      </c>
      <c r="BF430" s="66">
        <v>0.05</v>
      </c>
      <c r="BG430" s="63">
        <v>45315</v>
      </c>
      <c r="BH430" s="2"/>
      <c r="BI430" s="2"/>
      <c r="BJ430" s="2">
        <v>277200</v>
      </c>
      <c r="BK430" s="2">
        <v>8316</v>
      </c>
      <c r="BL430" s="1" t="s">
        <v>97</v>
      </c>
    </row>
    <row r="431" spans="1:64" x14ac:dyDescent="0.25">
      <c r="A431" s="81" t="s">
        <v>955</v>
      </c>
      <c r="B431" s="82" t="s">
        <v>956</v>
      </c>
      <c r="C431" s="81" t="s">
        <v>957</v>
      </c>
      <c r="D431" s="16">
        <v>0</v>
      </c>
      <c r="E431" s="17"/>
      <c r="F431" s="2" t="s">
        <v>52</v>
      </c>
      <c r="G431" s="2" t="s">
        <v>55</v>
      </c>
      <c r="H431" s="10" t="s">
        <v>57</v>
      </c>
      <c r="I431" s="11" t="s">
        <v>54</v>
      </c>
      <c r="J431" s="11" t="s">
        <v>135</v>
      </c>
      <c r="K431" s="61" t="s">
        <v>136</v>
      </c>
      <c r="L431" s="11" t="s">
        <v>67</v>
      </c>
      <c r="M431" s="25"/>
      <c r="N431" s="82"/>
      <c r="O431" s="3" t="str">
        <f t="shared" ref="O431:O446" si="172">IF($A431="","",IF(P431=0,"A",IF(P431=AZ431,"E","A")))</f>
        <v>A</v>
      </c>
      <c r="P431" s="84">
        <v>37400</v>
      </c>
      <c r="Q431" s="84">
        <v>7680</v>
      </c>
      <c r="R431" s="32"/>
      <c r="S431" s="3" t="str">
        <f t="shared" ref="S431:S454" si="173">IF($A431="","",IF(T431=0,"A",IF(T431=BA431,"E","A")))</f>
        <v>A</v>
      </c>
      <c r="T431" s="84">
        <v>32217</v>
      </c>
      <c r="U431" s="84">
        <v>6910</v>
      </c>
      <c r="V431" s="32"/>
      <c r="W431" s="3" t="str">
        <f t="shared" si="159"/>
        <v>A</v>
      </c>
      <c r="X431" s="84">
        <v>30453</v>
      </c>
      <c r="Y431" s="84">
        <v>8615</v>
      </c>
      <c r="Z431" s="32"/>
      <c r="AA431" s="3" t="str">
        <f t="shared" si="160"/>
        <v>A</v>
      </c>
      <c r="AB431" s="84">
        <v>31588</v>
      </c>
      <c r="AC431" s="84">
        <v>9064</v>
      </c>
      <c r="AD431" s="36"/>
      <c r="AE431" s="82"/>
      <c r="AF431" s="3" t="str">
        <f t="shared" si="161"/>
        <v>A</v>
      </c>
      <c r="AG431" s="84">
        <v>0</v>
      </c>
      <c r="AH431" s="84">
        <v>0</v>
      </c>
      <c r="AI431" s="39"/>
      <c r="AJ431" s="79" t="s">
        <v>1801</v>
      </c>
      <c r="AK431" s="39"/>
      <c r="AL431" s="4">
        <f t="shared" si="166"/>
        <v>131658</v>
      </c>
      <c r="AM431" s="4">
        <f t="shared" si="167"/>
        <v>32269</v>
      </c>
      <c r="AN431" s="4">
        <f t="shared" si="162"/>
        <v>163927</v>
      </c>
      <c r="AO431" s="39"/>
      <c r="AP431" s="8">
        <f t="shared" si="168"/>
        <v>0</v>
      </c>
      <c r="AQ431" s="8">
        <f t="shared" si="169"/>
        <v>0</v>
      </c>
      <c r="AR431" s="8">
        <f t="shared" si="163"/>
        <v>0</v>
      </c>
      <c r="AS431" s="42"/>
      <c r="AT431" s="84">
        <v>131658</v>
      </c>
      <c r="AU431" s="84">
        <v>32269</v>
      </c>
      <c r="AV431" s="4">
        <f t="shared" si="164"/>
        <v>163927</v>
      </c>
      <c r="AW431" s="50" t="str">
        <f t="shared" si="165"/>
        <v/>
      </c>
      <c r="AX431" s="1" t="s">
        <v>1639</v>
      </c>
      <c r="AY431" s="2" t="s">
        <v>1640</v>
      </c>
      <c r="AZ431" s="2">
        <v>70248.56</v>
      </c>
      <c r="BA431" s="73">
        <v>61467.49</v>
      </c>
      <c r="BB431" s="73">
        <v>61467.49</v>
      </c>
      <c r="BC431" s="73">
        <v>70248.56</v>
      </c>
      <c r="BD431" s="73"/>
      <c r="BE431" s="66">
        <v>0</v>
      </c>
      <c r="BF431" s="66">
        <v>0.02</v>
      </c>
      <c r="BG431" s="63">
        <v>44377</v>
      </c>
      <c r="BH431" s="2"/>
      <c r="BI431" s="2"/>
      <c r="BJ431" s="2">
        <v>254350.8</v>
      </c>
      <c r="BK431" s="2">
        <v>28261.200000000001</v>
      </c>
      <c r="BL431" s="1" t="s">
        <v>56</v>
      </c>
    </row>
    <row r="432" spans="1:64" x14ac:dyDescent="0.25">
      <c r="A432" s="81" t="s">
        <v>955</v>
      </c>
      <c r="B432" s="82" t="s">
        <v>955</v>
      </c>
      <c r="C432" s="81" t="s">
        <v>958</v>
      </c>
      <c r="D432" s="16">
        <v>42887</v>
      </c>
      <c r="E432" s="17"/>
      <c r="F432" s="2" t="s">
        <v>52</v>
      </c>
      <c r="G432" s="2" t="s">
        <v>55</v>
      </c>
      <c r="H432" s="10" t="s">
        <v>57</v>
      </c>
      <c r="I432" s="11" t="s">
        <v>54</v>
      </c>
      <c r="J432" s="11" t="s">
        <v>135</v>
      </c>
      <c r="K432" s="61" t="s">
        <v>136</v>
      </c>
      <c r="L432" s="11" t="s">
        <v>67</v>
      </c>
      <c r="M432" s="25"/>
      <c r="N432" s="82"/>
      <c r="O432" s="3" t="str">
        <f t="shared" si="172"/>
        <v>A</v>
      </c>
      <c r="P432" s="84">
        <v>96662.99</v>
      </c>
      <c r="Q432" s="84">
        <v>16675</v>
      </c>
      <c r="R432" s="32"/>
      <c r="S432" s="3" t="str">
        <f t="shared" si="173"/>
        <v>A</v>
      </c>
      <c r="T432" s="84">
        <v>82569.3</v>
      </c>
      <c r="U432" s="84">
        <v>15974</v>
      </c>
      <c r="V432" s="32"/>
      <c r="W432" s="3" t="str">
        <f t="shared" si="159"/>
        <v>A</v>
      </c>
      <c r="X432" s="84">
        <v>80874.95</v>
      </c>
      <c r="Y432" s="84">
        <v>17303</v>
      </c>
      <c r="Z432" s="32"/>
      <c r="AA432" s="3" t="str">
        <f t="shared" si="160"/>
        <v>A</v>
      </c>
      <c r="AB432" s="84">
        <v>95059.71</v>
      </c>
      <c r="AC432" s="84">
        <v>18479.239999999998</v>
      </c>
      <c r="AD432" s="36"/>
      <c r="AE432" s="82"/>
      <c r="AF432" s="3" t="str">
        <f t="shared" si="161"/>
        <v>A</v>
      </c>
      <c r="AG432" s="84">
        <v>0</v>
      </c>
      <c r="AH432" s="84">
        <v>0</v>
      </c>
      <c r="AI432" s="39"/>
      <c r="AJ432" s="79" t="s">
        <v>1801</v>
      </c>
      <c r="AK432" s="39"/>
      <c r="AL432" s="4">
        <f t="shared" si="166"/>
        <v>355166.95</v>
      </c>
      <c r="AM432" s="4">
        <f t="shared" si="167"/>
        <v>68431.239999999991</v>
      </c>
      <c r="AN432" s="4">
        <f t="shared" si="162"/>
        <v>423598.19</v>
      </c>
      <c r="AO432" s="39"/>
      <c r="AP432" s="8">
        <f t="shared" si="168"/>
        <v>0</v>
      </c>
      <c r="AQ432" s="8">
        <f t="shared" si="169"/>
        <v>0</v>
      </c>
      <c r="AR432" s="8">
        <f t="shared" si="163"/>
        <v>0</v>
      </c>
      <c r="AS432" s="42"/>
      <c r="AT432" s="84">
        <v>355166.95000000007</v>
      </c>
      <c r="AU432" s="84">
        <v>68431.239999999991</v>
      </c>
      <c r="AV432" s="4">
        <f t="shared" si="164"/>
        <v>423598.19000000006</v>
      </c>
      <c r="AW432" s="50" t="str">
        <f t="shared" si="165"/>
        <v/>
      </c>
      <c r="AX432" s="1" t="s">
        <v>1639</v>
      </c>
      <c r="AY432" s="2" t="s">
        <v>1640</v>
      </c>
      <c r="AZ432" s="2">
        <v>72217.919999999998</v>
      </c>
      <c r="BA432" s="73">
        <v>63190.68</v>
      </c>
      <c r="BB432" s="73">
        <v>63190.68</v>
      </c>
      <c r="BC432" s="73">
        <v>72217.919999999998</v>
      </c>
      <c r="BD432" s="73"/>
      <c r="BE432" s="66">
        <v>0</v>
      </c>
      <c r="BF432" s="66">
        <v>0.02</v>
      </c>
      <c r="BG432" s="63">
        <v>44468</v>
      </c>
      <c r="BH432" s="2"/>
      <c r="BI432" s="2"/>
      <c r="BJ432" s="2">
        <v>256478.4</v>
      </c>
      <c r="BK432" s="2">
        <v>28497.599999999999</v>
      </c>
      <c r="BL432" s="1" t="s">
        <v>56</v>
      </c>
    </row>
    <row r="433" spans="1:64" x14ac:dyDescent="0.25">
      <c r="A433" s="81" t="s">
        <v>955</v>
      </c>
      <c r="B433" s="82" t="s">
        <v>1195</v>
      </c>
      <c r="C433" s="81" t="s">
        <v>1196</v>
      </c>
      <c r="D433" s="16">
        <v>42755</v>
      </c>
      <c r="E433" s="17"/>
      <c r="F433" s="2" t="s">
        <v>52</v>
      </c>
      <c r="G433" s="2" t="s">
        <v>55</v>
      </c>
      <c r="H433" s="10" t="s">
        <v>57</v>
      </c>
      <c r="I433" s="11" t="s">
        <v>54</v>
      </c>
      <c r="J433" s="11" t="s">
        <v>135</v>
      </c>
      <c r="K433" s="61" t="s">
        <v>136</v>
      </c>
      <c r="L433" s="11" t="s">
        <v>67</v>
      </c>
      <c r="M433" s="25"/>
      <c r="N433" s="82"/>
      <c r="O433" s="3" t="str">
        <f t="shared" si="172"/>
        <v>A</v>
      </c>
      <c r="P433" s="84">
        <v>7054</v>
      </c>
      <c r="Q433" s="84">
        <v>2672</v>
      </c>
      <c r="R433" s="32"/>
      <c r="S433" s="3" t="str">
        <f t="shared" si="173"/>
        <v>E</v>
      </c>
      <c r="T433" s="84">
        <v>66802.12</v>
      </c>
      <c r="U433" s="84">
        <v>17717.77</v>
      </c>
      <c r="V433" s="32"/>
      <c r="W433" s="3" t="str">
        <f t="shared" si="159"/>
        <v>E</v>
      </c>
      <c r="X433" s="84">
        <v>66802.12</v>
      </c>
      <c r="Y433" s="84">
        <v>17717.77</v>
      </c>
      <c r="Z433" s="32"/>
      <c r="AA433" s="3" t="str">
        <f t="shared" si="160"/>
        <v>E</v>
      </c>
      <c r="AB433" s="84">
        <v>76345.279999999999</v>
      </c>
      <c r="AC433" s="84">
        <v>20248.88</v>
      </c>
      <c r="AD433" s="36"/>
      <c r="AE433" s="82"/>
      <c r="AF433" s="3" t="str">
        <f t="shared" si="161"/>
        <v>A</v>
      </c>
      <c r="AG433" s="84">
        <v>0</v>
      </c>
      <c r="AH433" s="84">
        <v>0</v>
      </c>
      <c r="AI433" s="39"/>
      <c r="AJ433" s="79" t="s">
        <v>38</v>
      </c>
      <c r="AK433" s="39"/>
      <c r="AL433" s="4">
        <f t="shared" si="166"/>
        <v>7054</v>
      </c>
      <c r="AM433" s="4">
        <f t="shared" si="167"/>
        <v>2672</v>
      </c>
      <c r="AN433" s="4">
        <f t="shared" si="162"/>
        <v>9726</v>
      </c>
      <c r="AO433" s="39"/>
      <c r="AP433" s="8">
        <f t="shared" si="168"/>
        <v>209949.52</v>
      </c>
      <c r="AQ433" s="8">
        <f t="shared" si="169"/>
        <v>55684.42</v>
      </c>
      <c r="AR433" s="8">
        <f t="shared" si="163"/>
        <v>265633.94</v>
      </c>
      <c r="AS433" s="42"/>
      <c r="AT433" s="84">
        <v>7054</v>
      </c>
      <c r="AU433" s="84">
        <v>2672</v>
      </c>
      <c r="AV433" s="4">
        <f t="shared" si="164"/>
        <v>9726</v>
      </c>
      <c r="AW433" s="50" t="str">
        <f t="shared" si="165"/>
        <v/>
      </c>
      <c r="AX433" s="1" t="s">
        <v>1639</v>
      </c>
      <c r="AY433" s="2" t="s">
        <v>1640</v>
      </c>
      <c r="AZ433" s="2">
        <v>76345.279999999999</v>
      </c>
      <c r="BA433" s="73">
        <v>66802.12</v>
      </c>
      <c r="BB433" s="73">
        <v>66802.12</v>
      </c>
      <c r="BC433" s="73">
        <v>76345.279999999999</v>
      </c>
      <c r="BD433" s="73"/>
      <c r="BE433" s="66">
        <v>0</v>
      </c>
      <c r="BF433" s="66">
        <v>0.02</v>
      </c>
      <c r="BG433" s="63">
        <v>44468</v>
      </c>
      <c r="BH433" s="2"/>
      <c r="BI433" s="2"/>
      <c r="BJ433" s="2">
        <v>275652.8</v>
      </c>
      <c r="BK433" s="2">
        <v>68913.2</v>
      </c>
      <c r="BL433" s="1" t="s">
        <v>56</v>
      </c>
    </row>
    <row r="434" spans="1:64" x14ac:dyDescent="0.25">
      <c r="A434" s="81" t="s">
        <v>959</v>
      </c>
      <c r="B434" s="82" t="s">
        <v>959</v>
      </c>
      <c r="C434" s="81" t="s">
        <v>960</v>
      </c>
      <c r="D434" s="16">
        <v>44365</v>
      </c>
      <c r="E434" s="17"/>
      <c r="F434" s="2" t="s">
        <v>423</v>
      </c>
      <c r="G434" s="2" t="s">
        <v>424</v>
      </c>
      <c r="H434" s="10" t="s">
        <v>105</v>
      </c>
      <c r="I434" s="11" t="s">
        <v>53</v>
      </c>
      <c r="J434" s="11" t="s">
        <v>312</v>
      </c>
      <c r="K434" s="61"/>
      <c r="L434" s="11" t="s">
        <v>67</v>
      </c>
      <c r="M434" s="25"/>
      <c r="N434" s="82"/>
      <c r="O434" s="3" t="str">
        <f t="shared" si="172"/>
        <v>A</v>
      </c>
      <c r="P434" s="84">
        <v>70461</v>
      </c>
      <c r="Q434" s="84">
        <v>18225</v>
      </c>
      <c r="R434" s="32"/>
      <c r="S434" s="3" t="str">
        <f t="shared" si="173"/>
        <v>A</v>
      </c>
      <c r="T434" s="84">
        <v>64321</v>
      </c>
      <c r="U434" s="84">
        <v>14830</v>
      </c>
      <c r="V434" s="32"/>
      <c r="W434" s="3" t="str">
        <f t="shared" si="159"/>
        <v>A</v>
      </c>
      <c r="X434" s="84">
        <v>52833</v>
      </c>
      <c r="Y434" s="84">
        <v>13107</v>
      </c>
      <c r="Z434" s="32"/>
      <c r="AA434" s="3" t="str">
        <f t="shared" si="160"/>
        <v>A</v>
      </c>
      <c r="AB434" s="84">
        <v>61489</v>
      </c>
      <c r="AC434" s="84">
        <v>13520</v>
      </c>
      <c r="AD434" s="36"/>
      <c r="AE434" s="82"/>
      <c r="AF434" s="3" t="str">
        <f t="shared" si="161"/>
        <v>A</v>
      </c>
      <c r="AG434" s="84">
        <v>0</v>
      </c>
      <c r="AH434" s="84">
        <v>0</v>
      </c>
      <c r="AI434" s="39"/>
      <c r="AJ434" s="79" t="s">
        <v>1801</v>
      </c>
      <c r="AK434" s="39"/>
      <c r="AL434" s="4">
        <f t="shared" si="166"/>
        <v>249104</v>
      </c>
      <c r="AM434" s="4">
        <f t="shared" si="167"/>
        <v>59682</v>
      </c>
      <c r="AN434" s="4">
        <f t="shared" si="162"/>
        <v>308786</v>
      </c>
      <c r="AO434" s="39"/>
      <c r="AP434" s="8">
        <f t="shared" si="168"/>
        <v>0</v>
      </c>
      <c r="AQ434" s="8">
        <f t="shared" si="169"/>
        <v>0</v>
      </c>
      <c r="AR434" s="8">
        <f t="shared" si="163"/>
        <v>0</v>
      </c>
      <c r="AS434" s="42"/>
      <c r="AT434" s="84">
        <v>249104</v>
      </c>
      <c r="AU434" s="84">
        <v>59682</v>
      </c>
      <c r="AV434" s="4">
        <f t="shared" si="164"/>
        <v>308786</v>
      </c>
      <c r="AW434" s="50" t="str">
        <f t="shared" si="165"/>
        <v/>
      </c>
      <c r="AX434" s="1" t="s">
        <v>1705</v>
      </c>
      <c r="AY434" s="2" t="s">
        <v>1706</v>
      </c>
      <c r="AZ434" s="2">
        <v>116383.28</v>
      </c>
      <c r="BA434" s="73">
        <v>101835.37</v>
      </c>
      <c r="BB434" s="73">
        <v>101835.37</v>
      </c>
      <c r="BC434" s="73">
        <v>116383.28</v>
      </c>
      <c r="BD434" s="73"/>
      <c r="BE434" s="66">
        <v>0</v>
      </c>
      <c r="BF434" s="66">
        <v>0.05</v>
      </c>
      <c r="BG434" s="63">
        <v>44354</v>
      </c>
      <c r="BH434" s="2"/>
      <c r="BI434" s="2"/>
      <c r="BJ434" s="2">
        <v>421394.4</v>
      </c>
      <c r="BK434" s="2">
        <v>46821.599999999999</v>
      </c>
      <c r="BL434" s="1" t="s">
        <v>104</v>
      </c>
    </row>
    <row r="435" spans="1:64" x14ac:dyDescent="0.25">
      <c r="A435" s="81" t="s">
        <v>961</v>
      </c>
      <c r="B435" s="82" t="s">
        <v>961</v>
      </c>
      <c r="C435" s="81" t="s">
        <v>962</v>
      </c>
      <c r="D435" s="16">
        <v>44365</v>
      </c>
      <c r="E435" s="17"/>
      <c r="F435" s="2" t="s">
        <v>414</v>
      </c>
      <c r="G435" s="2" t="s">
        <v>415</v>
      </c>
      <c r="H435" s="10" t="s">
        <v>105</v>
      </c>
      <c r="I435" s="11" t="s">
        <v>53</v>
      </c>
      <c r="J435" s="11" t="s">
        <v>312</v>
      </c>
      <c r="K435" s="61"/>
      <c r="L435" s="11" t="s">
        <v>67</v>
      </c>
      <c r="M435" s="25"/>
      <c r="N435" s="82"/>
      <c r="O435" s="3" t="str">
        <f t="shared" si="172"/>
        <v>E</v>
      </c>
      <c r="P435" s="84">
        <v>122618.8</v>
      </c>
      <c r="Q435" s="84">
        <v>10530.24</v>
      </c>
      <c r="R435" s="32"/>
      <c r="S435" s="3" t="str">
        <f t="shared" si="173"/>
        <v>E</v>
      </c>
      <c r="T435" s="84">
        <v>107291.45</v>
      </c>
      <c r="U435" s="84">
        <v>9213.9599999999991</v>
      </c>
      <c r="V435" s="32"/>
      <c r="W435" s="3" t="str">
        <f t="shared" si="159"/>
        <v>E</v>
      </c>
      <c r="X435" s="84">
        <v>107291.45</v>
      </c>
      <c r="Y435" s="84">
        <v>9213.9599999999991</v>
      </c>
      <c r="Z435" s="32"/>
      <c r="AA435" s="3" t="str">
        <f t="shared" si="160"/>
        <v>E</v>
      </c>
      <c r="AB435" s="84">
        <v>122618.8</v>
      </c>
      <c r="AC435" s="84">
        <v>10530.24</v>
      </c>
      <c r="AD435" s="36"/>
      <c r="AE435" s="82"/>
      <c r="AF435" s="3" t="str">
        <f t="shared" si="161"/>
        <v>A</v>
      </c>
      <c r="AG435" s="84"/>
      <c r="AH435" s="84"/>
      <c r="AI435" s="39"/>
      <c r="AJ435" s="79" t="s">
        <v>38</v>
      </c>
      <c r="AK435" s="39"/>
      <c r="AL435" s="4">
        <f t="shared" si="166"/>
        <v>0</v>
      </c>
      <c r="AM435" s="4">
        <f t="shared" si="167"/>
        <v>0</v>
      </c>
      <c r="AN435" s="4">
        <f t="shared" si="162"/>
        <v>0</v>
      </c>
      <c r="AO435" s="39"/>
      <c r="AP435" s="8">
        <f t="shared" si="168"/>
        <v>459820.5</v>
      </c>
      <c r="AQ435" s="8">
        <f t="shared" si="169"/>
        <v>39488.399999999994</v>
      </c>
      <c r="AR435" s="8">
        <f t="shared" si="163"/>
        <v>499308.9</v>
      </c>
      <c r="AS435" s="42"/>
      <c r="AT435" s="84"/>
      <c r="AU435" s="84"/>
      <c r="AV435" s="4">
        <f t="shared" si="164"/>
        <v>0</v>
      </c>
      <c r="AW435" s="50" t="str">
        <f t="shared" si="165"/>
        <v/>
      </c>
      <c r="AX435" s="1" t="s">
        <v>1703</v>
      </c>
      <c r="AY435" s="2" t="s">
        <v>1704</v>
      </c>
      <c r="AZ435" s="2">
        <v>122618.8</v>
      </c>
      <c r="BA435" s="73">
        <v>107291.45</v>
      </c>
      <c r="BB435" s="73">
        <v>107291.45</v>
      </c>
      <c r="BC435" s="73">
        <v>122618.8</v>
      </c>
      <c r="BD435" s="73"/>
      <c r="BE435" s="66">
        <v>0</v>
      </c>
      <c r="BF435" s="66">
        <v>0.05</v>
      </c>
      <c r="BG435" s="63">
        <v>44361</v>
      </c>
      <c r="BH435" s="2"/>
      <c r="BI435" s="2"/>
      <c r="BJ435" s="2">
        <v>443971.13</v>
      </c>
      <c r="BK435" s="2">
        <v>49330.13</v>
      </c>
      <c r="BL435" s="1" t="s">
        <v>104</v>
      </c>
    </row>
    <row r="436" spans="1:64" x14ac:dyDescent="0.25">
      <c r="A436" s="81" t="s">
        <v>783</v>
      </c>
      <c r="B436" s="82" t="s">
        <v>784</v>
      </c>
      <c r="C436" s="81" t="s">
        <v>785</v>
      </c>
      <c r="D436" s="16">
        <v>43340</v>
      </c>
      <c r="E436" s="17"/>
      <c r="F436" s="2" t="s">
        <v>187</v>
      </c>
      <c r="G436" s="2" t="s">
        <v>189</v>
      </c>
      <c r="H436" s="10" t="s">
        <v>57</v>
      </c>
      <c r="I436" s="11" t="s">
        <v>188</v>
      </c>
      <c r="J436" s="11" t="s">
        <v>190</v>
      </c>
      <c r="K436" s="61" t="s">
        <v>191</v>
      </c>
      <c r="L436" s="11" t="s">
        <v>67</v>
      </c>
      <c r="M436" s="25"/>
      <c r="N436" s="82"/>
      <c r="O436" s="3" t="str">
        <f t="shared" si="172"/>
        <v>A</v>
      </c>
      <c r="P436" s="84">
        <v>16856</v>
      </c>
      <c r="Q436" s="84">
        <v>15485</v>
      </c>
      <c r="R436" s="32"/>
      <c r="S436" s="3" t="str">
        <f t="shared" si="173"/>
        <v>A</v>
      </c>
      <c r="T436" s="84">
        <v>13403</v>
      </c>
      <c r="U436" s="84">
        <v>13094</v>
      </c>
      <c r="V436" s="32"/>
      <c r="W436" s="3" t="str">
        <f t="shared" si="159"/>
        <v>A</v>
      </c>
      <c r="X436" s="84">
        <v>12005</v>
      </c>
      <c r="Y436" s="84">
        <v>8407</v>
      </c>
      <c r="Z436" s="32"/>
      <c r="AA436" s="3" t="str">
        <f t="shared" si="160"/>
        <v>A</v>
      </c>
      <c r="AB436" s="84">
        <v>15195</v>
      </c>
      <c r="AC436" s="84">
        <v>10031</v>
      </c>
      <c r="AD436" s="36"/>
      <c r="AE436" s="82"/>
      <c r="AF436" s="3" t="str">
        <f t="shared" si="161"/>
        <v>A</v>
      </c>
      <c r="AG436" s="84">
        <v>0</v>
      </c>
      <c r="AH436" s="84">
        <v>0</v>
      </c>
      <c r="AI436" s="39"/>
      <c r="AJ436" s="79" t="s">
        <v>1801</v>
      </c>
      <c r="AK436" s="39"/>
      <c r="AL436" s="4">
        <f t="shared" si="166"/>
        <v>57459</v>
      </c>
      <c r="AM436" s="4">
        <f t="shared" si="167"/>
        <v>47017</v>
      </c>
      <c r="AN436" s="4">
        <f t="shared" si="162"/>
        <v>104476</v>
      </c>
      <c r="AO436" s="39"/>
      <c r="AP436" s="8">
        <f t="shared" si="168"/>
        <v>0</v>
      </c>
      <c r="AQ436" s="8">
        <f t="shared" si="169"/>
        <v>0</v>
      </c>
      <c r="AR436" s="8">
        <f t="shared" si="163"/>
        <v>0</v>
      </c>
      <c r="AS436" s="42"/>
      <c r="AT436" s="84">
        <v>57459</v>
      </c>
      <c r="AU436" s="84">
        <v>47017</v>
      </c>
      <c r="AV436" s="4">
        <f t="shared" si="164"/>
        <v>104476</v>
      </c>
      <c r="AW436" s="50" t="str">
        <f t="shared" si="165"/>
        <v/>
      </c>
      <c r="AX436" s="1" t="s">
        <v>1639</v>
      </c>
      <c r="AY436" s="2" t="s">
        <v>1640</v>
      </c>
      <c r="AZ436" s="2">
        <v>32054.560000000001</v>
      </c>
      <c r="BA436" s="73">
        <v>28047.74</v>
      </c>
      <c r="BB436" s="73">
        <v>28047.74</v>
      </c>
      <c r="BC436" s="73">
        <v>32054.560000000001</v>
      </c>
      <c r="BD436" s="73"/>
      <c r="BE436" s="66">
        <v>0</v>
      </c>
      <c r="BF436" s="66">
        <v>0.02</v>
      </c>
      <c r="BG436" s="63">
        <v>44454</v>
      </c>
      <c r="BH436" s="2"/>
      <c r="BI436" s="2"/>
      <c r="BJ436" s="2"/>
      <c r="BK436" s="2"/>
      <c r="BL436" s="1" t="s">
        <v>56</v>
      </c>
    </row>
    <row r="437" spans="1:64" x14ac:dyDescent="0.25">
      <c r="A437" s="81" t="s">
        <v>783</v>
      </c>
      <c r="B437" s="82" t="s">
        <v>783</v>
      </c>
      <c r="C437" s="81" t="s">
        <v>965</v>
      </c>
      <c r="D437" s="16">
        <v>0</v>
      </c>
      <c r="E437" s="17"/>
      <c r="F437" s="2" t="s">
        <v>187</v>
      </c>
      <c r="G437" s="2" t="s">
        <v>189</v>
      </c>
      <c r="H437" s="10" t="s">
        <v>57</v>
      </c>
      <c r="I437" s="11" t="s">
        <v>188</v>
      </c>
      <c r="J437" s="11" t="s">
        <v>190</v>
      </c>
      <c r="K437" s="61" t="s">
        <v>191</v>
      </c>
      <c r="L437" s="11" t="s">
        <v>67</v>
      </c>
      <c r="M437" s="25"/>
      <c r="N437" s="82"/>
      <c r="O437" s="3" t="str">
        <f t="shared" si="172"/>
        <v>A</v>
      </c>
      <c r="P437" s="84">
        <v>89854.15</v>
      </c>
      <c r="Q437" s="84">
        <v>23552</v>
      </c>
      <c r="R437" s="32"/>
      <c r="S437" s="3" t="str">
        <f t="shared" si="173"/>
        <v>A</v>
      </c>
      <c r="T437" s="84">
        <v>84919.3</v>
      </c>
      <c r="U437" s="84">
        <v>20259</v>
      </c>
      <c r="V437" s="32"/>
      <c r="W437" s="3" t="str">
        <f t="shared" si="159"/>
        <v>A</v>
      </c>
      <c r="X437" s="84">
        <v>71355.5</v>
      </c>
      <c r="Y437" s="84">
        <v>21972</v>
      </c>
      <c r="Z437" s="32"/>
      <c r="AA437" s="3" t="str">
        <f t="shared" si="160"/>
        <v>A</v>
      </c>
      <c r="AB437" s="84">
        <v>84113.600000000006</v>
      </c>
      <c r="AC437" s="84">
        <v>19972</v>
      </c>
      <c r="AD437" s="36"/>
      <c r="AE437" s="82"/>
      <c r="AF437" s="3" t="str">
        <f t="shared" si="161"/>
        <v>A</v>
      </c>
      <c r="AG437" s="84">
        <v>0</v>
      </c>
      <c r="AH437" s="84">
        <v>0</v>
      </c>
      <c r="AI437" s="39"/>
      <c r="AJ437" s="79" t="s">
        <v>1801</v>
      </c>
      <c r="AK437" s="39"/>
      <c r="AL437" s="4">
        <f t="shared" si="166"/>
        <v>330242.55000000005</v>
      </c>
      <c r="AM437" s="4">
        <f t="shared" si="167"/>
        <v>85755</v>
      </c>
      <c r="AN437" s="4">
        <f t="shared" si="162"/>
        <v>415997.55000000005</v>
      </c>
      <c r="AO437" s="39"/>
      <c r="AP437" s="8">
        <f t="shared" si="168"/>
        <v>0</v>
      </c>
      <c r="AQ437" s="8">
        <f t="shared" si="169"/>
        <v>0</v>
      </c>
      <c r="AR437" s="8">
        <f t="shared" si="163"/>
        <v>0</v>
      </c>
      <c r="AS437" s="42"/>
      <c r="AT437" s="84">
        <v>330242.55</v>
      </c>
      <c r="AU437" s="84">
        <v>85755</v>
      </c>
      <c r="AV437" s="4">
        <f t="shared" si="164"/>
        <v>415997.55</v>
      </c>
      <c r="AW437" s="50" t="str">
        <f t="shared" si="165"/>
        <v/>
      </c>
      <c r="AX437" s="1" t="s">
        <v>1639</v>
      </c>
      <c r="AY437" s="2" t="s">
        <v>1640</v>
      </c>
      <c r="AZ437" s="2">
        <v>254184.88</v>
      </c>
      <c r="BA437" s="73">
        <v>222411.77</v>
      </c>
      <c r="BB437" s="73">
        <v>222411.77</v>
      </c>
      <c r="BC437" s="73">
        <v>254184.88</v>
      </c>
      <c r="BD437" s="73"/>
      <c r="BE437" s="66">
        <v>0</v>
      </c>
      <c r="BF437" s="66">
        <v>0.02</v>
      </c>
      <c r="BG437" s="63">
        <v>44454</v>
      </c>
      <c r="BH437" s="2"/>
      <c r="BI437" s="2"/>
      <c r="BJ437" s="2">
        <v>906028.07</v>
      </c>
      <c r="BK437" s="2">
        <v>100669.79</v>
      </c>
      <c r="BL437" s="1" t="s">
        <v>56</v>
      </c>
    </row>
    <row r="438" spans="1:64" x14ac:dyDescent="0.25">
      <c r="A438" s="81" t="s">
        <v>783</v>
      </c>
      <c r="B438" s="82" t="s">
        <v>1049</v>
      </c>
      <c r="C438" s="81" t="s">
        <v>1050</v>
      </c>
      <c r="D438" s="16">
        <v>44720</v>
      </c>
      <c r="E438" s="17"/>
      <c r="F438" s="2" t="s">
        <v>187</v>
      </c>
      <c r="G438" s="2" t="s">
        <v>189</v>
      </c>
      <c r="H438" s="10" t="s">
        <v>57</v>
      </c>
      <c r="I438" s="11" t="s">
        <v>188</v>
      </c>
      <c r="J438" s="11" t="s">
        <v>190</v>
      </c>
      <c r="K438" s="61" t="s">
        <v>191</v>
      </c>
      <c r="L438" s="11" t="s">
        <v>67</v>
      </c>
      <c r="M438" s="25"/>
      <c r="N438" s="82"/>
      <c r="O438" s="3" t="str">
        <f t="shared" si="172"/>
        <v>A</v>
      </c>
      <c r="P438" s="84">
        <v>8933</v>
      </c>
      <c r="Q438" s="84">
        <v>6535</v>
      </c>
      <c r="R438" s="32"/>
      <c r="S438" s="3" t="str">
        <f t="shared" si="173"/>
        <v>A</v>
      </c>
      <c r="T438" s="84">
        <v>9476</v>
      </c>
      <c r="U438" s="84">
        <v>6995</v>
      </c>
      <c r="V438" s="32"/>
      <c r="W438" s="3" t="str">
        <f t="shared" si="159"/>
        <v>A</v>
      </c>
      <c r="X438" s="84">
        <v>9671</v>
      </c>
      <c r="Y438" s="84">
        <v>6970</v>
      </c>
      <c r="Z438" s="32"/>
      <c r="AA438" s="3" t="str">
        <f t="shared" si="160"/>
        <v>A</v>
      </c>
      <c r="AB438" s="84">
        <v>11648</v>
      </c>
      <c r="AC438" s="84">
        <v>7081</v>
      </c>
      <c r="AD438" s="36"/>
      <c r="AE438" s="82"/>
      <c r="AF438" s="3" t="str">
        <f t="shared" si="161"/>
        <v>A</v>
      </c>
      <c r="AG438" s="84">
        <v>0</v>
      </c>
      <c r="AH438" s="84">
        <v>0</v>
      </c>
      <c r="AI438" s="39"/>
      <c r="AJ438" s="79" t="s">
        <v>1801</v>
      </c>
      <c r="AK438" s="39"/>
      <c r="AL438" s="4">
        <f t="shared" si="166"/>
        <v>39728</v>
      </c>
      <c r="AM438" s="4">
        <f t="shared" si="167"/>
        <v>27581</v>
      </c>
      <c r="AN438" s="4">
        <f t="shared" si="162"/>
        <v>67309</v>
      </c>
      <c r="AO438" s="39"/>
      <c r="AP438" s="8">
        <f t="shared" si="168"/>
        <v>0</v>
      </c>
      <c r="AQ438" s="8">
        <f t="shared" si="169"/>
        <v>0</v>
      </c>
      <c r="AR438" s="8">
        <f t="shared" si="163"/>
        <v>0</v>
      </c>
      <c r="AS438" s="42"/>
      <c r="AT438" s="84">
        <v>39728</v>
      </c>
      <c r="AU438" s="84">
        <v>27581</v>
      </c>
      <c r="AV438" s="4">
        <f t="shared" si="164"/>
        <v>67309</v>
      </c>
      <c r="AW438" s="50" t="str">
        <f t="shared" si="165"/>
        <v/>
      </c>
      <c r="AX438" s="1" t="s">
        <v>1639</v>
      </c>
      <c r="AY438" s="2" t="s">
        <v>1640</v>
      </c>
      <c r="AZ438" s="2">
        <v>105455.2</v>
      </c>
      <c r="BA438" s="73">
        <v>92273.3</v>
      </c>
      <c r="BB438" s="73">
        <v>92273.3</v>
      </c>
      <c r="BC438" s="73">
        <v>105455.2</v>
      </c>
      <c r="BD438" s="73"/>
      <c r="BE438" s="66">
        <v>0</v>
      </c>
      <c r="BF438" s="66">
        <v>0.02</v>
      </c>
      <c r="BG438" s="63">
        <v>44714</v>
      </c>
      <c r="BH438" s="2"/>
      <c r="BI438" s="2"/>
      <c r="BJ438" s="2">
        <v>385136.78</v>
      </c>
      <c r="BK438" s="2">
        <v>42792.98</v>
      </c>
      <c r="BL438" s="1" t="s">
        <v>56</v>
      </c>
    </row>
    <row r="439" spans="1:64" x14ac:dyDescent="0.25">
      <c r="A439" s="81" t="s">
        <v>966</v>
      </c>
      <c r="B439" s="82" t="s">
        <v>966</v>
      </c>
      <c r="C439" s="81" t="s">
        <v>967</v>
      </c>
      <c r="D439" s="16">
        <v>43228</v>
      </c>
      <c r="E439" s="17"/>
      <c r="F439" s="2" t="s">
        <v>263</v>
      </c>
      <c r="G439" s="2" t="s">
        <v>264</v>
      </c>
      <c r="H439" s="10" t="s">
        <v>98</v>
      </c>
      <c r="I439" s="11" t="s">
        <v>53</v>
      </c>
      <c r="J439" s="11" t="s">
        <v>118</v>
      </c>
      <c r="K439" s="61"/>
      <c r="L439" s="11" t="s">
        <v>67</v>
      </c>
      <c r="M439" s="25"/>
      <c r="N439" s="82"/>
      <c r="O439" s="3" t="str">
        <f t="shared" si="172"/>
        <v>E</v>
      </c>
      <c r="P439" s="84">
        <v>111687.44</v>
      </c>
      <c r="Q439" s="84">
        <v>22658</v>
      </c>
      <c r="R439" s="32"/>
      <c r="S439" s="3" t="str">
        <f t="shared" si="173"/>
        <v>E</v>
      </c>
      <c r="T439" s="84">
        <v>97726.51</v>
      </c>
      <c r="U439" s="84">
        <v>19825.75</v>
      </c>
      <c r="V439" s="32"/>
      <c r="W439" s="3" t="str">
        <f t="shared" si="159"/>
        <v>E</v>
      </c>
      <c r="X439" s="84">
        <v>97726.51</v>
      </c>
      <c r="Y439" s="84">
        <v>19825.75</v>
      </c>
      <c r="Z439" s="32"/>
      <c r="AA439" s="3" t="str">
        <f t="shared" si="160"/>
        <v>E</v>
      </c>
      <c r="AB439" s="84">
        <v>111687.44</v>
      </c>
      <c r="AC439" s="84">
        <v>22658</v>
      </c>
      <c r="AD439" s="36"/>
      <c r="AE439" s="82"/>
      <c r="AF439" s="3" t="str">
        <f t="shared" si="161"/>
        <v>A</v>
      </c>
      <c r="AG439" s="84"/>
      <c r="AH439" s="84"/>
      <c r="AI439" s="39"/>
      <c r="AJ439" s="79" t="s">
        <v>38</v>
      </c>
      <c r="AK439" s="39"/>
      <c r="AL439" s="4">
        <f t="shared" si="166"/>
        <v>0</v>
      </c>
      <c r="AM439" s="4">
        <f t="shared" si="167"/>
        <v>0</v>
      </c>
      <c r="AN439" s="4">
        <f t="shared" si="162"/>
        <v>0</v>
      </c>
      <c r="AO439" s="39"/>
      <c r="AP439" s="8">
        <f t="shared" si="168"/>
        <v>418827.9</v>
      </c>
      <c r="AQ439" s="8">
        <f t="shared" si="169"/>
        <v>84967.5</v>
      </c>
      <c r="AR439" s="8">
        <f t="shared" si="163"/>
        <v>503795.4</v>
      </c>
      <c r="AS439" s="42"/>
      <c r="AT439" s="84"/>
      <c r="AU439" s="84"/>
      <c r="AV439" s="4">
        <f t="shared" si="164"/>
        <v>0</v>
      </c>
      <c r="AW439" s="50" t="str">
        <f t="shared" si="165"/>
        <v/>
      </c>
      <c r="AX439" s="1" t="s">
        <v>1668</v>
      </c>
      <c r="AY439" s="2" t="s">
        <v>1669</v>
      </c>
      <c r="AZ439" s="2">
        <v>111687.44</v>
      </c>
      <c r="BA439" s="73">
        <v>97726.51</v>
      </c>
      <c r="BB439" s="73">
        <v>97726.51</v>
      </c>
      <c r="BC439" s="73">
        <v>111687.44</v>
      </c>
      <c r="BD439" s="73"/>
      <c r="BE439" s="66">
        <v>4.4999999999999998E-2</v>
      </c>
      <c r="BF439" s="66">
        <v>0.05</v>
      </c>
      <c r="BG439" s="63">
        <v>45559</v>
      </c>
      <c r="BH439" s="2"/>
      <c r="BI439" s="2"/>
      <c r="BJ439" s="2">
        <v>393574.28</v>
      </c>
      <c r="BK439" s="2">
        <v>98393.57</v>
      </c>
      <c r="BL439" s="1" t="s">
        <v>97</v>
      </c>
    </row>
    <row r="440" spans="1:64" x14ac:dyDescent="0.25">
      <c r="A440" s="81" t="s">
        <v>966</v>
      </c>
      <c r="B440" s="82" t="s">
        <v>1003</v>
      </c>
      <c r="C440" s="81" t="s">
        <v>1004</v>
      </c>
      <c r="D440" s="16">
        <v>0</v>
      </c>
      <c r="E440" s="17"/>
      <c r="F440" s="2" t="s">
        <v>263</v>
      </c>
      <c r="G440" s="2" t="s">
        <v>264</v>
      </c>
      <c r="H440" s="10" t="s">
        <v>98</v>
      </c>
      <c r="I440" s="11" t="s">
        <v>53</v>
      </c>
      <c r="J440" s="11" t="s">
        <v>265</v>
      </c>
      <c r="K440" s="61"/>
      <c r="L440" s="11" t="s">
        <v>67</v>
      </c>
      <c r="M440" s="25"/>
      <c r="N440" s="82"/>
      <c r="O440" s="3" t="str">
        <f t="shared" si="172"/>
        <v>E</v>
      </c>
      <c r="P440" s="84">
        <v>38513.279999999999</v>
      </c>
      <c r="Q440" s="84">
        <v>0</v>
      </c>
      <c r="R440" s="32"/>
      <c r="S440" s="3" t="str">
        <f t="shared" si="173"/>
        <v>E</v>
      </c>
      <c r="T440" s="84">
        <v>33699.120000000003</v>
      </c>
      <c r="U440" s="84">
        <v>0</v>
      </c>
      <c r="V440" s="32"/>
      <c r="W440" s="3" t="str">
        <f t="shared" si="159"/>
        <v>E</v>
      </c>
      <c r="X440" s="84">
        <v>33699.120000000003</v>
      </c>
      <c r="Y440" s="84">
        <v>0</v>
      </c>
      <c r="Z440" s="32"/>
      <c r="AA440" s="3" t="str">
        <f t="shared" si="160"/>
        <v>E</v>
      </c>
      <c r="AB440" s="84">
        <v>38513.279999999999</v>
      </c>
      <c r="AC440" s="84">
        <v>0</v>
      </c>
      <c r="AD440" s="36"/>
      <c r="AE440" s="82"/>
      <c r="AF440" s="3" t="str">
        <f t="shared" si="161"/>
        <v>A</v>
      </c>
      <c r="AG440" s="84"/>
      <c r="AH440" s="84"/>
      <c r="AI440" s="39"/>
      <c r="AJ440" s="79" t="s">
        <v>38</v>
      </c>
      <c r="AK440" s="39"/>
      <c r="AL440" s="4">
        <f t="shared" si="166"/>
        <v>0</v>
      </c>
      <c r="AM440" s="4">
        <f t="shared" si="167"/>
        <v>0</v>
      </c>
      <c r="AN440" s="4">
        <f t="shared" si="162"/>
        <v>0</v>
      </c>
      <c r="AO440" s="39"/>
      <c r="AP440" s="8">
        <f t="shared" si="168"/>
        <v>144424.79999999999</v>
      </c>
      <c r="AQ440" s="8">
        <f t="shared" si="169"/>
        <v>0</v>
      </c>
      <c r="AR440" s="8">
        <f t="shared" si="163"/>
        <v>144424.79999999999</v>
      </c>
      <c r="AS440" s="42"/>
      <c r="AT440" s="84"/>
      <c r="AU440" s="84"/>
      <c r="AV440" s="4">
        <f t="shared" si="164"/>
        <v>0</v>
      </c>
      <c r="AW440" s="50" t="str">
        <f t="shared" si="165"/>
        <v/>
      </c>
      <c r="AX440" s="1" t="s">
        <v>1668</v>
      </c>
      <c r="AY440" s="2" t="s">
        <v>1669</v>
      </c>
      <c r="AZ440" s="2">
        <v>38513.279999999999</v>
      </c>
      <c r="BA440" s="73">
        <v>33699.120000000003</v>
      </c>
      <c r="BB440" s="73">
        <v>33699.120000000003</v>
      </c>
      <c r="BC440" s="73">
        <v>38513.279999999999</v>
      </c>
      <c r="BD440" s="73"/>
      <c r="BE440" s="66">
        <v>0</v>
      </c>
      <c r="BF440" s="66">
        <v>0.05</v>
      </c>
      <c r="BG440" s="63">
        <v>45559</v>
      </c>
      <c r="BH440" s="2"/>
      <c r="BI440" s="2"/>
      <c r="BJ440" s="2">
        <v>144000</v>
      </c>
      <c r="BK440" s="2"/>
      <c r="BL440" s="1" t="s">
        <v>97</v>
      </c>
    </row>
    <row r="441" spans="1:64" x14ac:dyDescent="0.25">
      <c r="A441" s="81" t="s">
        <v>968</v>
      </c>
      <c r="B441" s="82" t="s">
        <v>968</v>
      </c>
      <c r="C441" s="81" t="s">
        <v>969</v>
      </c>
      <c r="D441" s="16">
        <v>0</v>
      </c>
      <c r="E441" s="17"/>
      <c r="F441" s="2" t="s">
        <v>109</v>
      </c>
      <c r="G441" s="2" t="s">
        <v>111</v>
      </c>
      <c r="H441" s="10" t="s">
        <v>105</v>
      </c>
      <c r="I441" s="11" t="s">
        <v>110</v>
      </c>
      <c r="J441" s="11" t="s">
        <v>229</v>
      </c>
      <c r="K441" s="61" t="s">
        <v>230</v>
      </c>
      <c r="L441" s="11" t="s">
        <v>67</v>
      </c>
      <c r="M441" s="25"/>
      <c r="N441" s="82"/>
      <c r="O441" s="3" t="str">
        <f t="shared" si="172"/>
        <v>A</v>
      </c>
      <c r="P441" s="84">
        <v>121588</v>
      </c>
      <c r="Q441" s="84">
        <v>8335</v>
      </c>
      <c r="R441" s="32"/>
      <c r="S441" s="3" t="str">
        <f t="shared" si="173"/>
        <v>A</v>
      </c>
      <c r="T441" s="84">
        <v>107946</v>
      </c>
      <c r="U441" s="84">
        <v>15284</v>
      </c>
      <c r="V441" s="32"/>
      <c r="W441" s="3" t="str">
        <f t="shared" si="159"/>
        <v>A</v>
      </c>
      <c r="X441" s="84">
        <v>114047</v>
      </c>
      <c r="Y441" s="84">
        <v>11747</v>
      </c>
      <c r="Z441" s="32"/>
      <c r="AA441" s="3" t="str">
        <f t="shared" si="160"/>
        <v>A</v>
      </c>
      <c r="AB441" s="84">
        <v>126562</v>
      </c>
      <c r="AC441" s="84">
        <v>10387</v>
      </c>
      <c r="AD441" s="36"/>
      <c r="AE441" s="82"/>
      <c r="AF441" s="3" t="str">
        <f t="shared" si="161"/>
        <v>A</v>
      </c>
      <c r="AG441" s="84">
        <v>0</v>
      </c>
      <c r="AH441" s="84">
        <v>0</v>
      </c>
      <c r="AI441" s="39"/>
      <c r="AJ441" s="79" t="s">
        <v>1801</v>
      </c>
      <c r="AK441" s="39"/>
      <c r="AL441" s="4">
        <f t="shared" si="166"/>
        <v>470143</v>
      </c>
      <c r="AM441" s="4">
        <f t="shared" si="167"/>
        <v>45753</v>
      </c>
      <c r="AN441" s="4">
        <f t="shared" si="162"/>
        <v>515896</v>
      </c>
      <c r="AO441" s="39"/>
      <c r="AP441" s="8">
        <f t="shared" si="168"/>
        <v>0</v>
      </c>
      <c r="AQ441" s="8">
        <f t="shared" si="169"/>
        <v>0</v>
      </c>
      <c r="AR441" s="8">
        <f t="shared" si="163"/>
        <v>0</v>
      </c>
      <c r="AS441" s="42"/>
      <c r="AT441" s="84">
        <v>470143</v>
      </c>
      <c r="AU441" s="84">
        <v>45753</v>
      </c>
      <c r="AV441" s="4">
        <f t="shared" si="164"/>
        <v>515896</v>
      </c>
      <c r="AW441" s="50" t="str">
        <f t="shared" si="165"/>
        <v/>
      </c>
      <c r="AX441" s="1" t="s">
        <v>1647</v>
      </c>
      <c r="AY441" s="2" t="s">
        <v>1640</v>
      </c>
      <c r="AZ441" s="2">
        <v>142605.76000000001</v>
      </c>
      <c r="BA441" s="73">
        <v>124780.04</v>
      </c>
      <c r="BB441" s="73">
        <v>124780.04</v>
      </c>
      <c r="BC441" s="73">
        <v>142605.76000000001</v>
      </c>
      <c r="BD441" s="73"/>
      <c r="BE441" s="66">
        <v>0</v>
      </c>
      <c r="BF441" s="66">
        <v>0.02</v>
      </c>
      <c r="BG441" s="63">
        <v>44500</v>
      </c>
      <c r="BH441" s="2"/>
      <c r="BI441" s="2"/>
      <c r="BJ441" s="2">
        <v>514238.63</v>
      </c>
      <c r="BK441" s="2">
        <v>57137.63</v>
      </c>
      <c r="BL441" s="1" t="s">
        <v>219</v>
      </c>
    </row>
    <row r="442" spans="1:64" x14ac:dyDescent="0.25">
      <c r="A442" s="81" t="s">
        <v>974</v>
      </c>
      <c r="B442" s="82" t="s">
        <v>974</v>
      </c>
      <c r="C442" s="81" t="s">
        <v>975</v>
      </c>
      <c r="D442" s="16">
        <v>44469</v>
      </c>
      <c r="E442" s="17"/>
      <c r="F442" s="2" t="s">
        <v>243</v>
      </c>
      <c r="G442" s="2" t="s">
        <v>245</v>
      </c>
      <c r="H442" s="10" t="s">
        <v>98</v>
      </c>
      <c r="I442" s="11" t="s">
        <v>244</v>
      </c>
      <c r="J442" s="11" t="s">
        <v>278</v>
      </c>
      <c r="K442" s="61" t="s">
        <v>279</v>
      </c>
      <c r="L442" s="11" t="s">
        <v>67</v>
      </c>
      <c r="M442" s="25"/>
      <c r="N442" s="82"/>
      <c r="O442" s="3" t="str">
        <f t="shared" si="172"/>
        <v>A</v>
      </c>
      <c r="P442" s="84">
        <v>190287.34</v>
      </c>
      <c r="Q442" s="84">
        <v>12245</v>
      </c>
      <c r="R442" s="32"/>
      <c r="S442" s="3" t="str">
        <f t="shared" si="173"/>
        <v>A</v>
      </c>
      <c r="T442" s="84">
        <v>163543.51</v>
      </c>
      <c r="U442" s="84">
        <v>8957</v>
      </c>
      <c r="V442" s="32"/>
      <c r="W442" s="3" t="str">
        <f t="shared" si="159"/>
        <v>A</v>
      </c>
      <c r="X442" s="84">
        <v>175797.56</v>
      </c>
      <c r="Y442" s="84">
        <v>9926.9599999999991</v>
      </c>
      <c r="Z442" s="32"/>
      <c r="AA442" s="3" t="str">
        <f t="shared" si="160"/>
        <v>A</v>
      </c>
      <c r="AB442" s="84">
        <v>205394.35</v>
      </c>
      <c r="AC442" s="84">
        <v>10170</v>
      </c>
      <c r="AD442" s="36"/>
      <c r="AE442" s="82"/>
      <c r="AF442" s="3" t="str">
        <f t="shared" si="161"/>
        <v>A</v>
      </c>
      <c r="AG442" s="84">
        <v>0</v>
      </c>
      <c r="AH442" s="84">
        <v>0</v>
      </c>
      <c r="AI442" s="39"/>
      <c r="AJ442" s="79" t="s">
        <v>1801</v>
      </c>
      <c r="AK442" s="39"/>
      <c r="AL442" s="4">
        <f t="shared" si="166"/>
        <v>735022.75999999989</v>
      </c>
      <c r="AM442" s="4">
        <f t="shared" si="167"/>
        <v>41298.959999999999</v>
      </c>
      <c r="AN442" s="4">
        <f t="shared" si="162"/>
        <v>776321.71999999986</v>
      </c>
      <c r="AO442" s="39"/>
      <c r="AP442" s="8">
        <f t="shared" si="168"/>
        <v>0</v>
      </c>
      <c r="AQ442" s="8">
        <f t="shared" si="169"/>
        <v>0</v>
      </c>
      <c r="AR442" s="8">
        <f t="shared" si="163"/>
        <v>0</v>
      </c>
      <c r="AS442" s="42"/>
      <c r="AT442" s="84">
        <v>735022.76</v>
      </c>
      <c r="AU442" s="84">
        <v>41298.959999999999</v>
      </c>
      <c r="AV442" s="4">
        <f t="shared" si="164"/>
        <v>776321.72</v>
      </c>
      <c r="AW442" s="50" t="str">
        <f t="shared" si="165"/>
        <v/>
      </c>
      <c r="AX442" s="1" t="s">
        <v>1639</v>
      </c>
      <c r="AY442" s="2" t="s">
        <v>1640</v>
      </c>
      <c r="AZ442" s="2">
        <v>160480.24</v>
      </c>
      <c r="BA442" s="73">
        <v>140420.21</v>
      </c>
      <c r="BB442" s="73">
        <v>140420.21</v>
      </c>
      <c r="BC442" s="73">
        <v>160480.24</v>
      </c>
      <c r="BD442" s="73"/>
      <c r="BE442" s="66">
        <v>0</v>
      </c>
      <c r="BF442" s="66">
        <v>0.02</v>
      </c>
      <c r="BG442" s="63">
        <v>44462</v>
      </c>
      <c r="BH442" s="2"/>
      <c r="BI442" s="2"/>
      <c r="BJ442" s="2">
        <v>572024.25</v>
      </c>
      <c r="BK442" s="2">
        <v>71503.03</v>
      </c>
      <c r="BL442" s="1" t="s">
        <v>97</v>
      </c>
    </row>
    <row r="443" spans="1:64" x14ac:dyDescent="0.25">
      <c r="A443" s="81" t="s">
        <v>974</v>
      </c>
      <c r="B443" s="82" t="s">
        <v>1035</v>
      </c>
      <c r="C443" s="81" t="s">
        <v>1036</v>
      </c>
      <c r="D443" s="16">
        <v>0</v>
      </c>
      <c r="E443" s="17"/>
      <c r="F443" s="2" t="s">
        <v>243</v>
      </c>
      <c r="G443" s="2" t="s">
        <v>245</v>
      </c>
      <c r="H443" s="10" t="s">
        <v>98</v>
      </c>
      <c r="I443" s="11" t="s">
        <v>244</v>
      </c>
      <c r="J443" s="11" t="s">
        <v>278</v>
      </c>
      <c r="K443" s="61" t="s">
        <v>279</v>
      </c>
      <c r="L443" s="11" t="s">
        <v>67</v>
      </c>
      <c r="M443" s="25"/>
      <c r="N443" s="82"/>
      <c r="O443" s="3" t="str">
        <f t="shared" si="172"/>
        <v>A</v>
      </c>
      <c r="P443" s="84">
        <v>51525</v>
      </c>
      <c r="Q443" s="84">
        <v>3719</v>
      </c>
      <c r="R443" s="32"/>
      <c r="S443" s="3" t="str">
        <f t="shared" si="173"/>
        <v>A</v>
      </c>
      <c r="T443" s="84">
        <v>47628</v>
      </c>
      <c r="U443" s="84">
        <v>3251</v>
      </c>
      <c r="V443" s="32"/>
      <c r="W443" s="3" t="str">
        <f t="shared" si="159"/>
        <v>A</v>
      </c>
      <c r="X443" s="84">
        <v>39341</v>
      </c>
      <c r="Y443" s="84">
        <v>3097</v>
      </c>
      <c r="Z443" s="32"/>
      <c r="AA443" s="3" t="str">
        <f t="shared" si="160"/>
        <v>A</v>
      </c>
      <c r="AB443" s="84">
        <v>48282</v>
      </c>
      <c r="AC443" s="84">
        <v>3237</v>
      </c>
      <c r="AD443" s="36"/>
      <c r="AE443" s="82"/>
      <c r="AF443" s="3" t="str">
        <f t="shared" si="161"/>
        <v>A</v>
      </c>
      <c r="AG443" s="84">
        <v>0</v>
      </c>
      <c r="AH443" s="84">
        <v>0</v>
      </c>
      <c r="AI443" s="39"/>
      <c r="AJ443" s="79" t="s">
        <v>1801</v>
      </c>
      <c r="AK443" s="39"/>
      <c r="AL443" s="4">
        <f t="shared" si="166"/>
        <v>186776</v>
      </c>
      <c r="AM443" s="4">
        <f t="shared" si="167"/>
        <v>13304</v>
      </c>
      <c r="AN443" s="4">
        <f t="shared" si="162"/>
        <v>200080</v>
      </c>
      <c r="AO443" s="39"/>
      <c r="AP443" s="8">
        <f t="shared" si="168"/>
        <v>0</v>
      </c>
      <c r="AQ443" s="8">
        <f t="shared" si="169"/>
        <v>0</v>
      </c>
      <c r="AR443" s="8">
        <f t="shared" si="163"/>
        <v>0</v>
      </c>
      <c r="AS443" s="42"/>
      <c r="AT443" s="84">
        <v>186776</v>
      </c>
      <c r="AU443" s="84">
        <v>13304</v>
      </c>
      <c r="AV443" s="4">
        <f t="shared" si="164"/>
        <v>200080</v>
      </c>
      <c r="AW443" s="50" t="str">
        <f t="shared" si="165"/>
        <v/>
      </c>
      <c r="AX443" s="1" t="s">
        <v>1639</v>
      </c>
      <c r="AY443" s="2" t="s">
        <v>1640</v>
      </c>
      <c r="AZ443" s="2">
        <v>104811.12</v>
      </c>
      <c r="BA443" s="73">
        <v>91709.73</v>
      </c>
      <c r="BB443" s="73">
        <v>91709.73</v>
      </c>
      <c r="BC443" s="73">
        <v>104811.12</v>
      </c>
      <c r="BD443" s="73"/>
      <c r="BE443" s="66">
        <v>0</v>
      </c>
      <c r="BF443" s="66">
        <v>0.02</v>
      </c>
      <c r="BG443" s="63">
        <v>44649</v>
      </c>
      <c r="BH443" s="2"/>
      <c r="BI443" s="2"/>
      <c r="BJ443" s="2">
        <v>369616.5</v>
      </c>
      <c r="BK443" s="2">
        <v>46202.06</v>
      </c>
      <c r="BL443" s="1" t="s">
        <v>97</v>
      </c>
    </row>
    <row r="444" spans="1:64" x14ac:dyDescent="0.25">
      <c r="A444" s="81" t="s">
        <v>974</v>
      </c>
      <c r="B444" s="82" t="s">
        <v>1144</v>
      </c>
      <c r="C444" s="81" t="s">
        <v>1145</v>
      </c>
      <c r="D444" s="16">
        <v>0</v>
      </c>
      <c r="E444" s="17"/>
      <c r="F444" s="2" t="s">
        <v>243</v>
      </c>
      <c r="G444" s="2" t="s">
        <v>245</v>
      </c>
      <c r="H444" s="10" t="s">
        <v>98</v>
      </c>
      <c r="I444" s="11" t="s">
        <v>244</v>
      </c>
      <c r="J444" s="11" t="s">
        <v>278</v>
      </c>
      <c r="K444" s="61" t="s">
        <v>279</v>
      </c>
      <c r="L444" s="11" t="s">
        <v>67</v>
      </c>
      <c r="M444" s="25"/>
      <c r="N444" s="82"/>
      <c r="O444" s="3" t="str">
        <f t="shared" si="172"/>
        <v>A</v>
      </c>
      <c r="P444" s="84">
        <v>106461</v>
      </c>
      <c r="Q444" s="84">
        <v>936</v>
      </c>
      <c r="R444" s="32"/>
      <c r="S444" s="3" t="str">
        <f t="shared" si="173"/>
        <v>A</v>
      </c>
      <c r="T444" s="84">
        <v>94672</v>
      </c>
      <c r="U444" s="84">
        <v>741</v>
      </c>
      <c r="V444" s="32"/>
      <c r="W444" s="3" t="str">
        <f t="shared" si="159"/>
        <v>A</v>
      </c>
      <c r="X444" s="84">
        <v>91276</v>
      </c>
      <c r="Y444" s="84">
        <v>702</v>
      </c>
      <c r="Z444" s="32"/>
      <c r="AA444" s="3" t="str">
        <f t="shared" si="160"/>
        <v>A</v>
      </c>
      <c r="AB444" s="84">
        <v>109583</v>
      </c>
      <c r="AC444" s="84">
        <v>936</v>
      </c>
      <c r="AD444" s="36"/>
      <c r="AE444" s="82"/>
      <c r="AF444" s="3" t="str">
        <f t="shared" si="161"/>
        <v>A</v>
      </c>
      <c r="AG444" s="84">
        <v>0</v>
      </c>
      <c r="AH444" s="84">
        <v>0</v>
      </c>
      <c r="AI444" s="39"/>
      <c r="AJ444" s="79" t="s">
        <v>1801</v>
      </c>
      <c r="AK444" s="39"/>
      <c r="AL444" s="4">
        <f t="shared" si="166"/>
        <v>401992</v>
      </c>
      <c r="AM444" s="4">
        <f t="shared" si="167"/>
        <v>3315</v>
      </c>
      <c r="AN444" s="4">
        <f t="shared" si="162"/>
        <v>405307</v>
      </c>
      <c r="AO444" s="39"/>
      <c r="AP444" s="8">
        <f t="shared" si="168"/>
        <v>0</v>
      </c>
      <c r="AQ444" s="8">
        <f t="shared" si="169"/>
        <v>0</v>
      </c>
      <c r="AR444" s="8">
        <f t="shared" si="163"/>
        <v>0</v>
      </c>
      <c r="AS444" s="42"/>
      <c r="AT444" s="84">
        <v>401992</v>
      </c>
      <c r="AU444" s="84">
        <v>3315</v>
      </c>
      <c r="AV444" s="4">
        <f t="shared" si="164"/>
        <v>405307</v>
      </c>
      <c r="AW444" s="50" t="str">
        <f t="shared" si="165"/>
        <v/>
      </c>
      <c r="AX444" s="1" t="s">
        <v>1639</v>
      </c>
      <c r="AY444" s="2" t="s">
        <v>1640</v>
      </c>
      <c r="AZ444" s="2">
        <v>63254.080000000002</v>
      </c>
      <c r="BA444" s="73">
        <v>55347.32</v>
      </c>
      <c r="BB444" s="73">
        <v>55347.32</v>
      </c>
      <c r="BC444" s="73">
        <v>63254.080000000002</v>
      </c>
      <c r="BD444" s="73"/>
      <c r="BE444" s="66">
        <v>0</v>
      </c>
      <c r="BF444" s="66">
        <v>0.02</v>
      </c>
      <c r="BG444" s="63">
        <v>44995</v>
      </c>
      <c r="BH444" s="2"/>
      <c r="BI444" s="2"/>
      <c r="BJ444" s="2">
        <v>225000</v>
      </c>
      <c r="BK444" s="2"/>
      <c r="BL444" s="1" t="s">
        <v>97</v>
      </c>
    </row>
    <row r="445" spans="1:64" x14ac:dyDescent="0.25">
      <c r="A445" s="81" t="s">
        <v>974</v>
      </c>
      <c r="B445" s="82" t="s">
        <v>1207</v>
      </c>
      <c r="C445" s="81" t="s">
        <v>1208</v>
      </c>
      <c r="D445" s="16">
        <v>0</v>
      </c>
      <c r="E445" s="17"/>
      <c r="F445" s="2" t="s">
        <v>243</v>
      </c>
      <c r="G445" s="2" t="s">
        <v>245</v>
      </c>
      <c r="H445" s="10" t="s">
        <v>98</v>
      </c>
      <c r="I445" s="11" t="s">
        <v>244</v>
      </c>
      <c r="J445" s="11" t="s">
        <v>278</v>
      </c>
      <c r="K445" s="61" t="s">
        <v>279</v>
      </c>
      <c r="L445" s="11" t="s">
        <v>67</v>
      </c>
      <c r="M445" s="25"/>
      <c r="N445" s="82"/>
      <c r="O445" s="3" t="str">
        <f t="shared" si="172"/>
        <v>A</v>
      </c>
      <c r="P445" s="84">
        <v>55951.61</v>
      </c>
      <c r="Q445" s="84">
        <v>3444</v>
      </c>
      <c r="R445" s="32"/>
      <c r="S445" s="3" t="str">
        <f t="shared" si="173"/>
        <v>A</v>
      </c>
      <c r="T445" s="84">
        <v>49916.85</v>
      </c>
      <c r="U445" s="84">
        <v>3460</v>
      </c>
      <c r="V445" s="32"/>
      <c r="W445" s="3" t="str">
        <f t="shared" si="159"/>
        <v>A</v>
      </c>
      <c r="X445" s="84">
        <v>48674.6</v>
      </c>
      <c r="Y445" s="84">
        <v>3159</v>
      </c>
      <c r="Z445" s="32"/>
      <c r="AA445" s="3" t="str">
        <f t="shared" si="160"/>
        <v>A</v>
      </c>
      <c r="AB445" s="84">
        <v>56628.95</v>
      </c>
      <c r="AC445" s="84">
        <v>2870</v>
      </c>
      <c r="AD445" s="36"/>
      <c r="AE445" s="82"/>
      <c r="AF445" s="3" t="str">
        <f t="shared" si="161"/>
        <v>A</v>
      </c>
      <c r="AG445" s="84">
        <v>0</v>
      </c>
      <c r="AH445" s="84">
        <v>0</v>
      </c>
      <c r="AI445" s="39"/>
      <c r="AJ445" s="79" t="s">
        <v>1801</v>
      </c>
      <c r="AK445" s="39"/>
      <c r="AL445" s="4">
        <f t="shared" si="166"/>
        <v>211172.01</v>
      </c>
      <c r="AM445" s="4">
        <f t="shared" si="167"/>
        <v>12933</v>
      </c>
      <c r="AN445" s="4">
        <f t="shared" si="162"/>
        <v>224105.01</v>
      </c>
      <c r="AO445" s="39"/>
      <c r="AP445" s="8">
        <f t="shared" si="168"/>
        <v>0</v>
      </c>
      <c r="AQ445" s="8">
        <f t="shared" si="169"/>
        <v>0</v>
      </c>
      <c r="AR445" s="8">
        <f t="shared" si="163"/>
        <v>0</v>
      </c>
      <c r="AS445" s="42"/>
      <c r="AT445" s="84">
        <v>211172.01</v>
      </c>
      <c r="AU445" s="84">
        <v>12933</v>
      </c>
      <c r="AV445" s="4">
        <f t="shared" si="164"/>
        <v>224105.01</v>
      </c>
      <c r="AW445" s="50" t="str">
        <f t="shared" si="165"/>
        <v/>
      </c>
      <c r="AX445" s="1" t="s">
        <v>1639</v>
      </c>
      <c r="AY445" s="2" t="s">
        <v>1640</v>
      </c>
      <c r="AZ445" s="2">
        <v>80371.92</v>
      </c>
      <c r="BA445" s="73">
        <v>70325.429999999993</v>
      </c>
      <c r="BB445" s="73">
        <v>70325.429999999993</v>
      </c>
      <c r="BC445" s="73">
        <v>80371.92</v>
      </c>
      <c r="BD445" s="73"/>
      <c r="BE445" s="66">
        <v>0</v>
      </c>
      <c r="BF445" s="66">
        <v>0.02</v>
      </c>
      <c r="BG445" s="63">
        <v>45086</v>
      </c>
      <c r="BH445" s="2"/>
      <c r="BI445" s="2"/>
      <c r="BJ445" s="2">
        <v>296073</v>
      </c>
      <c r="BK445" s="2">
        <v>15543.83</v>
      </c>
      <c r="BL445" s="1" t="s">
        <v>97</v>
      </c>
    </row>
    <row r="446" spans="1:64" x14ac:dyDescent="0.25">
      <c r="A446" s="81" t="s">
        <v>974</v>
      </c>
      <c r="B446" s="82" t="s">
        <v>1260</v>
      </c>
      <c r="C446" s="81" t="s">
        <v>1261</v>
      </c>
      <c r="D446" s="16">
        <v>0</v>
      </c>
      <c r="E446" s="17"/>
      <c r="F446" s="2" t="s">
        <v>243</v>
      </c>
      <c r="G446" s="2" t="s">
        <v>245</v>
      </c>
      <c r="H446" s="10" t="s">
        <v>98</v>
      </c>
      <c r="I446" s="11" t="s">
        <v>244</v>
      </c>
      <c r="J446" s="11" t="s">
        <v>278</v>
      </c>
      <c r="K446" s="61" t="s">
        <v>279</v>
      </c>
      <c r="L446" s="11" t="s">
        <v>67</v>
      </c>
      <c r="M446" s="25"/>
      <c r="N446" s="82"/>
      <c r="O446" s="3" t="str">
        <f t="shared" si="172"/>
        <v>A</v>
      </c>
      <c r="P446" s="84">
        <v>36256.5</v>
      </c>
      <c r="Q446" s="84">
        <v>730</v>
      </c>
      <c r="R446" s="32"/>
      <c r="S446" s="3" t="str">
        <f t="shared" si="173"/>
        <v>A</v>
      </c>
      <c r="T446" s="84">
        <v>32339.25</v>
      </c>
      <c r="U446" s="84">
        <v>540</v>
      </c>
      <c r="V446" s="32"/>
      <c r="W446" s="3" t="str">
        <f t="shared" si="159"/>
        <v>A</v>
      </c>
      <c r="X446" s="84">
        <v>32297.05</v>
      </c>
      <c r="Y446" s="84">
        <v>685</v>
      </c>
      <c r="Z446" s="32"/>
      <c r="AA446" s="3" t="str">
        <f t="shared" si="160"/>
        <v>A</v>
      </c>
      <c r="AB446" s="84">
        <v>35806.5</v>
      </c>
      <c r="AC446" s="84">
        <v>865</v>
      </c>
      <c r="AD446" s="36"/>
      <c r="AE446" s="82"/>
      <c r="AF446" s="3" t="str">
        <f t="shared" si="161"/>
        <v>A</v>
      </c>
      <c r="AG446" s="84">
        <v>0</v>
      </c>
      <c r="AH446" s="84">
        <v>0</v>
      </c>
      <c r="AI446" s="39"/>
      <c r="AJ446" s="79" t="s">
        <v>1801</v>
      </c>
      <c r="AK446" s="39"/>
      <c r="AL446" s="4">
        <f t="shared" si="166"/>
        <v>136699.29999999999</v>
      </c>
      <c r="AM446" s="4">
        <f t="shared" si="167"/>
        <v>2820</v>
      </c>
      <c r="AN446" s="4">
        <f t="shared" si="162"/>
        <v>139519.29999999999</v>
      </c>
      <c r="AO446" s="39"/>
      <c r="AP446" s="8">
        <f t="shared" si="168"/>
        <v>0</v>
      </c>
      <c r="AQ446" s="8">
        <f t="shared" si="169"/>
        <v>0</v>
      </c>
      <c r="AR446" s="8">
        <f t="shared" si="163"/>
        <v>0</v>
      </c>
      <c r="AS446" s="42"/>
      <c r="AT446" s="84">
        <v>136699.29999999999</v>
      </c>
      <c r="AU446" s="84">
        <v>2820</v>
      </c>
      <c r="AV446" s="4">
        <f t="shared" si="164"/>
        <v>139519.29999999999</v>
      </c>
      <c r="AW446" s="50" t="str">
        <f t="shared" si="165"/>
        <v/>
      </c>
      <c r="AX446" s="1" t="s">
        <v>1639</v>
      </c>
      <c r="AY446" s="2" t="s">
        <v>1640</v>
      </c>
      <c r="AZ446" s="2">
        <v>58635.76</v>
      </c>
      <c r="BA446" s="73">
        <v>51306.29</v>
      </c>
      <c r="BB446" s="73">
        <v>51306.29</v>
      </c>
      <c r="BC446" s="73">
        <v>58635.76</v>
      </c>
      <c r="BD446" s="73"/>
      <c r="BE446" s="66">
        <v>0</v>
      </c>
      <c r="BF446" s="66">
        <v>0.02</v>
      </c>
      <c r="BG446" s="63">
        <v>45097</v>
      </c>
      <c r="BH446" s="2"/>
      <c r="BI446" s="2"/>
      <c r="BJ446" s="2">
        <v>216000</v>
      </c>
      <c r="BK446" s="2"/>
      <c r="BL446" s="1" t="s">
        <v>97</v>
      </c>
    </row>
    <row r="447" spans="1:64" x14ac:dyDescent="0.25">
      <c r="A447" s="81" t="s">
        <v>974</v>
      </c>
      <c r="B447" s="82" t="s">
        <v>1336</v>
      </c>
      <c r="C447" s="81" t="s">
        <v>1337</v>
      </c>
      <c r="D447" s="16">
        <v>0</v>
      </c>
      <c r="E447" s="17"/>
      <c r="F447" s="2" t="s">
        <v>243</v>
      </c>
      <c r="G447" s="2" t="s">
        <v>245</v>
      </c>
      <c r="H447" s="10" t="s">
        <v>98</v>
      </c>
      <c r="I447" s="11" t="s">
        <v>244</v>
      </c>
      <c r="J447" s="11" t="s">
        <v>278</v>
      </c>
      <c r="K447" s="61" t="s">
        <v>279</v>
      </c>
      <c r="L447" s="11" t="s">
        <v>67</v>
      </c>
      <c r="M447" s="25"/>
      <c r="N447" s="82"/>
      <c r="O447" s="3" t="str">
        <f>IF($A447="","",IF(P447=AZ447,"E","A"))</f>
        <v>A</v>
      </c>
      <c r="P447" s="84">
        <v>64972</v>
      </c>
      <c r="Q447" s="84">
        <v>2434</v>
      </c>
      <c r="R447" s="32"/>
      <c r="S447" s="3" t="str">
        <f t="shared" si="173"/>
        <v>A</v>
      </c>
      <c r="T447" s="84">
        <v>60076</v>
      </c>
      <c r="U447" s="84">
        <v>2637</v>
      </c>
      <c r="V447" s="32"/>
      <c r="W447" s="3" t="str">
        <f t="shared" si="159"/>
        <v>A</v>
      </c>
      <c r="X447" s="84">
        <v>59644</v>
      </c>
      <c r="Y447" s="84">
        <v>2160</v>
      </c>
      <c r="Z447" s="32"/>
      <c r="AA447" s="3" t="str">
        <f t="shared" si="160"/>
        <v>A</v>
      </c>
      <c r="AB447" s="84">
        <v>69694.5</v>
      </c>
      <c r="AC447" s="84">
        <v>2830</v>
      </c>
      <c r="AD447" s="36"/>
      <c r="AE447" s="82"/>
      <c r="AF447" s="3" t="str">
        <f t="shared" si="161"/>
        <v>A</v>
      </c>
      <c r="AG447" s="84">
        <v>0</v>
      </c>
      <c r="AH447" s="84">
        <v>0</v>
      </c>
      <c r="AI447" s="39"/>
      <c r="AJ447" s="79" t="s">
        <v>1801</v>
      </c>
      <c r="AK447" s="39"/>
      <c r="AL447" s="4">
        <f t="shared" si="166"/>
        <v>254386.5</v>
      </c>
      <c r="AM447" s="4">
        <f t="shared" si="167"/>
        <v>10061</v>
      </c>
      <c r="AN447" s="4">
        <f t="shared" si="162"/>
        <v>264447.5</v>
      </c>
      <c r="AO447" s="39"/>
      <c r="AP447" s="8">
        <f t="shared" si="168"/>
        <v>0</v>
      </c>
      <c r="AQ447" s="8">
        <f t="shared" si="169"/>
        <v>0</v>
      </c>
      <c r="AR447" s="8">
        <f t="shared" si="163"/>
        <v>0</v>
      </c>
      <c r="AS447" s="42"/>
      <c r="AT447" s="84">
        <v>254386.5</v>
      </c>
      <c r="AU447" s="84">
        <v>10061</v>
      </c>
      <c r="AV447" s="4">
        <f t="shared" si="164"/>
        <v>264447.5</v>
      </c>
      <c r="AW447" s="50" t="str">
        <f t="shared" si="165"/>
        <v/>
      </c>
      <c r="AX447" s="1" t="s">
        <v>1639</v>
      </c>
      <c r="AY447" s="2" t="s">
        <v>1640</v>
      </c>
      <c r="AZ447" s="2">
        <v>49673.52</v>
      </c>
      <c r="BA447" s="73">
        <v>43464.33</v>
      </c>
      <c r="BB447" s="73">
        <v>43464.33</v>
      </c>
      <c r="BC447" s="73">
        <v>49673.52</v>
      </c>
      <c r="BD447" s="73"/>
      <c r="BE447" s="66">
        <v>0</v>
      </c>
      <c r="BF447" s="66">
        <v>0.02</v>
      </c>
      <c r="BG447" s="63">
        <v>45098</v>
      </c>
      <c r="BH447" s="2"/>
      <c r="BI447" s="2"/>
      <c r="BJ447" s="2">
        <v>315000</v>
      </c>
      <c r="BK447" s="2"/>
      <c r="BL447" s="1" t="s">
        <v>97</v>
      </c>
    </row>
    <row r="448" spans="1:64" x14ac:dyDescent="0.25">
      <c r="A448" s="81" t="s">
        <v>980</v>
      </c>
      <c r="B448" s="82" t="s">
        <v>980</v>
      </c>
      <c r="C448" s="81" t="s">
        <v>981</v>
      </c>
      <c r="D448" s="16">
        <v>0</v>
      </c>
      <c r="E448" s="17"/>
      <c r="F448" s="2" t="s">
        <v>414</v>
      </c>
      <c r="G448" s="2" t="s">
        <v>415</v>
      </c>
      <c r="H448" s="10" t="s">
        <v>105</v>
      </c>
      <c r="I448" s="11" t="s">
        <v>53</v>
      </c>
      <c r="J448" s="11" t="s">
        <v>312</v>
      </c>
      <c r="K448" s="61"/>
      <c r="L448" s="11" t="s">
        <v>67</v>
      </c>
      <c r="M448" s="25"/>
      <c r="N448" s="82"/>
      <c r="O448" s="3" t="str">
        <f t="shared" ref="O448:O454" si="174">IF($A448="","",IF(P448=0,"A",IF(P448=AZ448,"E","A")))</f>
        <v>E</v>
      </c>
      <c r="P448" s="84">
        <v>131871.84</v>
      </c>
      <c r="Q448" s="84">
        <v>11813.04</v>
      </c>
      <c r="R448" s="32"/>
      <c r="S448" s="3" t="str">
        <f t="shared" si="173"/>
        <v>E</v>
      </c>
      <c r="T448" s="84">
        <v>115387.86</v>
      </c>
      <c r="U448" s="84">
        <v>10336.41</v>
      </c>
      <c r="V448" s="32"/>
      <c r="W448" s="3" t="str">
        <f t="shared" si="159"/>
        <v>E</v>
      </c>
      <c r="X448" s="84">
        <v>115387.86</v>
      </c>
      <c r="Y448" s="84">
        <v>10336.41</v>
      </c>
      <c r="Z448" s="32"/>
      <c r="AA448" s="3" t="str">
        <f t="shared" si="160"/>
        <v>E</v>
      </c>
      <c r="AB448" s="84">
        <v>131871.84</v>
      </c>
      <c r="AC448" s="84">
        <v>11813.04</v>
      </c>
      <c r="AD448" s="36"/>
      <c r="AE448" s="82"/>
      <c r="AF448" s="3" t="str">
        <f t="shared" si="161"/>
        <v>A</v>
      </c>
      <c r="AG448" s="84"/>
      <c r="AH448" s="84"/>
      <c r="AI448" s="39"/>
      <c r="AJ448" s="79" t="s">
        <v>38</v>
      </c>
      <c r="AK448" s="39"/>
      <c r="AL448" s="4">
        <f t="shared" si="166"/>
        <v>0</v>
      </c>
      <c r="AM448" s="4">
        <f t="shared" si="167"/>
        <v>0</v>
      </c>
      <c r="AN448" s="4">
        <f t="shared" si="162"/>
        <v>0</v>
      </c>
      <c r="AO448" s="39"/>
      <c r="AP448" s="8">
        <f t="shared" si="168"/>
        <v>494519.4</v>
      </c>
      <c r="AQ448" s="8">
        <f t="shared" si="169"/>
        <v>44298.9</v>
      </c>
      <c r="AR448" s="8">
        <f t="shared" si="163"/>
        <v>538818.30000000005</v>
      </c>
      <c r="AS448" s="42"/>
      <c r="AT448" s="84"/>
      <c r="AU448" s="84"/>
      <c r="AV448" s="4">
        <f t="shared" si="164"/>
        <v>0</v>
      </c>
      <c r="AW448" s="50" t="str">
        <f t="shared" si="165"/>
        <v/>
      </c>
      <c r="AX448" s="1" t="s">
        <v>1703</v>
      </c>
      <c r="AY448" s="2" t="s">
        <v>1704</v>
      </c>
      <c r="AZ448" s="2">
        <v>131871.84</v>
      </c>
      <c r="BA448" s="73">
        <v>115387.86</v>
      </c>
      <c r="BB448" s="73">
        <v>115387.86</v>
      </c>
      <c r="BC448" s="73">
        <v>131871.84</v>
      </c>
      <c r="BD448" s="73"/>
      <c r="BE448" s="66">
        <v>0</v>
      </c>
      <c r="BF448" s="66">
        <v>0.05</v>
      </c>
      <c r="BG448" s="63">
        <v>44497</v>
      </c>
      <c r="BH448" s="2"/>
      <c r="BI448" s="2"/>
      <c r="BJ448" s="2">
        <v>475531.2</v>
      </c>
      <c r="BK448" s="2">
        <v>52836.800000000003</v>
      </c>
      <c r="BL448" s="1" t="s">
        <v>104</v>
      </c>
    </row>
    <row r="449" spans="1:64" x14ac:dyDescent="0.25">
      <c r="A449" s="81" t="s">
        <v>982</v>
      </c>
      <c r="B449" s="82" t="s">
        <v>982</v>
      </c>
      <c r="C449" s="81" t="s">
        <v>983</v>
      </c>
      <c r="D449" s="16">
        <v>44542</v>
      </c>
      <c r="E449" s="17"/>
      <c r="F449" s="2" t="s">
        <v>423</v>
      </c>
      <c r="G449" s="2" t="s">
        <v>424</v>
      </c>
      <c r="H449" s="10" t="s">
        <v>105</v>
      </c>
      <c r="I449" s="11" t="s">
        <v>53</v>
      </c>
      <c r="J449" s="11" t="s">
        <v>312</v>
      </c>
      <c r="K449" s="61"/>
      <c r="L449" s="11" t="s">
        <v>67</v>
      </c>
      <c r="M449" s="25"/>
      <c r="N449" s="82"/>
      <c r="O449" s="3" t="str">
        <f t="shared" si="174"/>
        <v>E</v>
      </c>
      <c r="P449" s="84">
        <v>123838.88</v>
      </c>
      <c r="Q449" s="84">
        <v>10732.72</v>
      </c>
      <c r="R449" s="32"/>
      <c r="S449" s="3" t="str">
        <f t="shared" si="173"/>
        <v>E</v>
      </c>
      <c r="T449" s="84">
        <v>108359.02</v>
      </c>
      <c r="U449" s="84">
        <v>9391.1299999999992</v>
      </c>
      <c r="V449" s="32"/>
      <c r="W449" s="3" t="str">
        <f t="shared" si="159"/>
        <v>E</v>
      </c>
      <c r="X449" s="84">
        <v>108359.02</v>
      </c>
      <c r="Y449" s="84">
        <v>9391.1299999999992</v>
      </c>
      <c r="Z449" s="32"/>
      <c r="AA449" s="3" t="str">
        <f t="shared" si="160"/>
        <v>E</v>
      </c>
      <c r="AB449" s="84">
        <v>123838.88</v>
      </c>
      <c r="AC449" s="84">
        <v>10732.72</v>
      </c>
      <c r="AD449" s="36"/>
      <c r="AE449" s="82"/>
      <c r="AF449" s="3" t="str">
        <f t="shared" si="161"/>
        <v>A</v>
      </c>
      <c r="AG449" s="84"/>
      <c r="AH449" s="84"/>
      <c r="AI449" s="39"/>
      <c r="AJ449" s="79" t="s">
        <v>38</v>
      </c>
      <c r="AK449" s="39"/>
      <c r="AL449" s="4">
        <f t="shared" si="166"/>
        <v>0</v>
      </c>
      <c r="AM449" s="4">
        <f t="shared" si="167"/>
        <v>0</v>
      </c>
      <c r="AN449" s="4">
        <f t="shared" si="162"/>
        <v>0</v>
      </c>
      <c r="AO449" s="39"/>
      <c r="AP449" s="8">
        <f t="shared" si="168"/>
        <v>464395.80000000005</v>
      </c>
      <c r="AQ449" s="8">
        <f t="shared" si="169"/>
        <v>40247.699999999997</v>
      </c>
      <c r="AR449" s="8">
        <f t="shared" si="163"/>
        <v>504643.50000000006</v>
      </c>
      <c r="AS449" s="42"/>
      <c r="AT449" s="84"/>
      <c r="AU449" s="84"/>
      <c r="AV449" s="4">
        <f t="shared" si="164"/>
        <v>0</v>
      </c>
      <c r="AW449" s="50" t="str">
        <f t="shared" si="165"/>
        <v/>
      </c>
      <c r="AX449" s="1" t="s">
        <v>1705</v>
      </c>
      <c r="AY449" s="2" t="s">
        <v>1706</v>
      </c>
      <c r="AZ449" s="2">
        <v>123838.88</v>
      </c>
      <c r="BA449" s="73">
        <v>108359.02</v>
      </c>
      <c r="BB449" s="73">
        <v>108359.02</v>
      </c>
      <c r="BC449" s="73">
        <v>123838.88</v>
      </c>
      <c r="BD449" s="73"/>
      <c r="BE449" s="66">
        <v>0</v>
      </c>
      <c r="BF449" s="66">
        <v>0.05</v>
      </c>
      <c r="BG449" s="63">
        <v>44540</v>
      </c>
      <c r="BH449" s="2"/>
      <c r="BI449" s="2"/>
      <c r="BJ449" s="2">
        <v>463029.12</v>
      </c>
      <c r="BK449" s="2">
        <v>51477.68</v>
      </c>
      <c r="BL449" s="1" t="s">
        <v>104</v>
      </c>
    </row>
    <row r="450" spans="1:64" x14ac:dyDescent="0.25">
      <c r="A450" s="81" t="s">
        <v>993</v>
      </c>
      <c r="B450" s="82" t="s">
        <v>993</v>
      </c>
      <c r="C450" s="81" t="s">
        <v>994</v>
      </c>
      <c r="D450" s="16">
        <v>0</v>
      </c>
      <c r="E450" s="17"/>
      <c r="F450" s="2" t="s">
        <v>423</v>
      </c>
      <c r="G450" s="2" t="s">
        <v>424</v>
      </c>
      <c r="H450" s="10" t="s">
        <v>105</v>
      </c>
      <c r="I450" s="11" t="s">
        <v>53</v>
      </c>
      <c r="J450" s="11" t="s">
        <v>312</v>
      </c>
      <c r="K450" s="61"/>
      <c r="L450" s="11" t="s">
        <v>67</v>
      </c>
      <c r="M450" s="25"/>
      <c r="N450" s="82"/>
      <c r="O450" s="3" t="str">
        <f t="shared" si="174"/>
        <v>E</v>
      </c>
      <c r="P450" s="84">
        <v>121108.16</v>
      </c>
      <c r="Q450" s="84">
        <v>14324.48</v>
      </c>
      <c r="R450" s="32"/>
      <c r="S450" s="3" t="str">
        <f t="shared" si="173"/>
        <v>E</v>
      </c>
      <c r="T450" s="84">
        <v>105969.64</v>
      </c>
      <c r="U450" s="84">
        <v>12533.92</v>
      </c>
      <c r="V450" s="32"/>
      <c r="W450" s="3" t="str">
        <f t="shared" si="159"/>
        <v>E</v>
      </c>
      <c r="X450" s="84">
        <v>105969.64</v>
      </c>
      <c r="Y450" s="84">
        <v>12533.92</v>
      </c>
      <c r="Z450" s="32"/>
      <c r="AA450" s="3" t="str">
        <f t="shared" si="160"/>
        <v>E</v>
      </c>
      <c r="AB450" s="84">
        <v>121108.16</v>
      </c>
      <c r="AC450" s="84">
        <v>14324.48</v>
      </c>
      <c r="AD450" s="36"/>
      <c r="AE450" s="82"/>
      <c r="AF450" s="3" t="str">
        <f t="shared" si="161"/>
        <v>A</v>
      </c>
      <c r="AG450" s="84"/>
      <c r="AH450" s="84"/>
      <c r="AI450" s="39"/>
      <c r="AJ450" s="79" t="s">
        <v>38</v>
      </c>
      <c r="AK450" s="39"/>
      <c r="AL450" s="4">
        <f t="shared" si="166"/>
        <v>0</v>
      </c>
      <c r="AM450" s="4">
        <f t="shared" si="167"/>
        <v>0</v>
      </c>
      <c r="AN450" s="4">
        <f t="shared" si="162"/>
        <v>0</v>
      </c>
      <c r="AO450" s="39"/>
      <c r="AP450" s="8">
        <f t="shared" si="168"/>
        <v>454155.6</v>
      </c>
      <c r="AQ450" s="8">
        <f t="shared" si="169"/>
        <v>53716.800000000003</v>
      </c>
      <c r="AR450" s="8">
        <f t="shared" si="163"/>
        <v>507872.39999999997</v>
      </c>
      <c r="AS450" s="42"/>
      <c r="AT450" s="84"/>
      <c r="AU450" s="84"/>
      <c r="AV450" s="4">
        <f t="shared" si="164"/>
        <v>0</v>
      </c>
      <c r="AW450" s="50" t="str">
        <f t="shared" si="165"/>
        <v/>
      </c>
      <c r="AX450" s="1" t="s">
        <v>1705</v>
      </c>
      <c r="AY450" s="2" t="s">
        <v>1706</v>
      </c>
      <c r="AZ450" s="2">
        <v>121108.16</v>
      </c>
      <c r="BA450" s="73">
        <v>105969.64</v>
      </c>
      <c r="BB450" s="73">
        <v>105969.64</v>
      </c>
      <c r="BC450" s="73">
        <v>121108.16</v>
      </c>
      <c r="BD450" s="73"/>
      <c r="BE450" s="66">
        <v>0</v>
      </c>
      <c r="BF450" s="66">
        <v>0.05</v>
      </c>
      <c r="BG450" s="63">
        <v>44642</v>
      </c>
      <c r="BH450" s="2"/>
      <c r="BI450" s="2"/>
      <c r="BJ450" s="2">
        <v>427089.6</v>
      </c>
      <c r="BK450" s="2">
        <v>47454.400000000001</v>
      </c>
      <c r="BL450" s="1" t="s">
        <v>104</v>
      </c>
    </row>
    <row r="451" spans="1:64" x14ac:dyDescent="0.25">
      <c r="A451" s="81" t="s">
        <v>995</v>
      </c>
      <c r="B451" s="82" t="s">
        <v>995</v>
      </c>
      <c r="C451" s="81" t="s">
        <v>996</v>
      </c>
      <c r="D451" s="16">
        <v>44574</v>
      </c>
      <c r="E451" s="17"/>
      <c r="F451" s="2" t="s">
        <v>328</v>
      </c>
      <c r="G451" s="2" t="s">
        <v>329</v>
      </c>
      <c r="H451" s="10" t="s">
        <v>105</v>
      </c>
      <c r="I451" s="11" t="s">
        <v>53</v>
      </c>
      <c r="J451" s="11" t="s">
        <v>145</v>
      </c>
      <c r="K451" s="61"/>
      <c r="L451" s="11" t="s">
        <v>67</v>
      </c>
      <c r="M451" s="25"/>
      <c r="N451" s="82"/>
      <c r="O451" s="3" t="str">
        <f t="shared" si="174"/>
        <v>E</v>
      </c>
      <c r="P451" s="84">
        <v>107828.96</v>
      </c>
      <c r="Q451" s="84">
        <v>10520</v>
      </c>
      <c r="R451" s="32"/>
      <c r="S451" s="3" t="str">
        <f t="shared" si="173"/>
        <v>E</v>
      </c>
      <c r="T451" s="84">
        <v>94350.34</v>
      </c>
      <c r="U451" s="84">
        <v>9205</v>
      </c>
      <c r="V451" s="32"/>
      <c r="W451" s="3" t="str">
        <f t="shared" si="159"/>
        <v>E</v>
      </c>
      <c r="X451" s="84">
        <v>94350.34</v>
      </c>
      <c r="Y451" s="84">
        <v>9205</v>
      </c>
      <c r="Z451" s="32"/>
      <c r="AA451" s="3" t="str">
        <f t="shared" si="160"/>
        <v>E</v>
      </c>
      <c r="AB451" s="84">
        <v>107828.96</v>
      </c>
      <c r="AC451" s="84">
        <v>10520</v>
      </c>
      <c r="AD451" s="36"/>
      <c r="AE451" s="82"/>
      <c r="AF451" s="3" t="str">
        <f t="shared" si="161"/>
        <v>A</v>
      </c>
      <c r="AG451" s="84"/>
      <c r="AH451" s="84"/>
      <c r="AI451" s="39"/>
      <c r="AJ451" s="79" t="s">
        <v>38</v>
      </c>
      <c r="AK451" s="39"/>
      <c r="AL451" s="4">
        <f t="shared" si="166"/>
        <v>0</v>
      </c>
      <c r="AM451" s="4">
        <f t="shared" si="167"/>
        <v>0</v>
      </c>
      <c r="AN451" s="4">
        <f t="shared" si="162"/>
        <v>0</v>
      </c>
      <c r="AO451" s="39"/>
      <c r="AP451" s="8">
        <f t="shared" si="168"/>
        <v>404358.60000000003</v>
      </c>
      <c r="AQ451" s="8">
        <f t="shared" si="169"/>
        <v>39450</v>
      </c>
      <c r="AR451" s="8">
        <f t="shared" si="163"/>
        <v>443808.60000000003</v>
      </c>
      <c r="AS451" s="42"/>
      <c r="AT451" s="84"/>
      <c r="AU451" s="84"/>
      <c r="AV451" s="4">
        <f t="shared" si="164"/>
        <v>0</v>
      </c>
      <c r="AW451" s="50" t="str">
        <f t="shared" si="165"/>
        <v/>
      </c>
      <c r="AX451" s="1" t="s">
        <v>1684</v>
      </c>
      <c r="AY451" s="2" t="s">
        <v>1685</v>
      </c>
      <c r="AZ451" s="2">
        <v>107828.96</v>
      </c>
      <c r="BA451" s="73">
        <v>94350.34</v>
      </c>
      <c r="BB451" s="73">
        <v>94350.34</v>
      </c>
      <c r="BC451" s="73">
        <v>107828.96</v>
      </c>
      <c r="BD451" s="73"/>
      <c r="BE451" s="66">
        <v>0</v>
      </c>
      <c r="BF451" s="66">
        <v>0.05</v>
      </c>
      <c r="BG451" s="63">
        <v>44572</v>
      </c>
      <c r="BH451" s="2"/>
      <c r="BI451" s="2"/>
      <c r="BJ451" s="2">
        <v>405582.39</v>
      </c>
      <c r="BK451" s="2">
        <v>45064.71</v>
      </c>
      <c r="BL451" s="1" t="s">
        <v>104</v>
      </c>
    </row>
    <row r="452" spans="1:64" x14ac:dyDescent="0.25">
      <c r="A452" s="81" t="s">
        <v>997</v>
      </c>
      <c r="B452" s="82" t="s">
        <v>997</v>
      </c>
      <c r="C452" s="81" t="s">
        <v>998</v>
      </c>
      <c r="D452" s="16">
        <v>0</v>
      </c>
      <c r="E452" s="17"/>
      <c r="F452" s="2" t="s">
        <v>171</v>
      </c>
      <c r="G452" s="2" t="s">
        <v>172</v>
      </c>
      <c r="H452" s="10" t="s">
        <v>105</v>
      </c>
      <c r="I452" s="11" t="s">
        <v>53</v>
      </c>
      <c r="J452" s="11" t="s">
        <v>145</v>
      </c>
      <c r="K452" s="61"/>
      <c r="L452" s="11" t="s">
        <v>67</v>
      </c>
      <c r="M452" s="25"/>
      <c r="N452" s="82"/>
      <c r="O452" s="3" t="str">
        <f t="shared" si="174"/>
        <v>A</v>
      </c>
      <c r="P452" s="84">
        <v>93848</v>
      </c>
      <c r="Q452" s="84">
        <v>23460</v>
      </c>
      <c r="R452" s="32"/>
      <c r="S452" s="3" t="str">
        <f t="shared" si="173"/>
        <v>A</v>
      </c>
      <c r="T452" s="84">
        <v>88417</v>
      </c>
      <c r="U452" s="84">
        <v>20728</v>
      </c>
      <c r="V452" s="32"/>
      <c r="W452" s="3" t="str">
        <f t="shared" si="159"/>
        <v>A</v>
      </c>
      <c r="X452" s="84">
        <v>68914</v>
      </c>
      <c r="Y452" s="84">
        <v>14626</v>
      </c>
      <c r="Z452" s="32"/>
      <c r="AA452" s="3" t="str">
        <f t="shared" si="160"/>
        <v>A</v>
      </c>
      <c r="AB452" s="84">
        <v>72614</v>
      </c>
      <c r="AC452" s="84">
        <v>12886</v>
      </c>
      <c r="AD452" s="36"/>
      <c r="AE452" s="82"/>
      <c r="AF452" s="3" t="str">
        <f t="shared" si="161"/>
        <v>A</v>
      </c>
      <c r="AG452" s="84">
        <v>0</v>
      </c>
      <c r="AH452" s="84">
        <v>0</v>
      </c>
      <c r="AI452" s="39"/>
      <c r="AJ452" s="79" t="s">
        <v>1801</v>
      </c>
      <c r="AK452" s="39"/>
      <c r="AL452" s="4">
        <f t="shared" si="166"/>
        <v>323793</v>
      </c>
      <c r="AM452" s="4">
        <f t="shared" si="167"/>
        <v>71700</v>
      </c>
      <c r="AN452" s="4">
        <f t="shared" si="162"/>
        <v>395493</v>
      </c>
      <c r="AO452" s="39"/>
      <c r="AP452" s="8">
        <f t="shared" si="168"/>
        <v>0</v>
      </c>
      <c r="AQ452" s="8">
        <f t="shared" si="169"/>
        <v>0</v>
      </c>
      <c r="AR452" s="8">
        <f t="shared" si="163"/>
        <v>0</v>
      </c>
      <c r="AS452" s="42"/>
      <c r="AT452" s="84">
        <v>323793</v>
      </c>
      <c r="AU452" s="84">
        <v>71700</v>
      </c>
      <c r="AV452" s="4">
        <f t="shared" si="164"/>
        <v>395493</v>
      </c>
      <c r="AW452" s="50" t="str">
        <f t="shared" si="165"/>
        <v/>
      </c>
      <c r="AX452" s="1" t="s">
        <v>1654</v>
      </c>
      <c r="AY452" s="2" t="s">
        <v>1655</v>
      </c>
      <c r="AZ452" s="2">
        <v>112323.04</v>
      </c>
      <c r="BA452" s="73">
        <v>98282.66</v>
      </c>
      <c r="BB452" s="73">
        <v>98282.66</v>
      </c>
      <c r="BC452" s="73">
        <v>112323.04</v>
      </c>
      <c r="BD452" s="73"/>
      <c r="BE452" s="66">
        <v>0</v>
      </c>
      <c r="BF452" s="66">
        <v>0.05</v>
      </c>
      <c r="BG452" s="63">
        <v>44548</v>
      </c>
      <c r="BH452" s="2"/>
      <c r="BI452" s="2"/>
      <c r="BJ452" s="2">
        <v>419972.54</v>
      </c>
      <c r="BK452" s="2">
        <v>46663.62</v>
      </c>
      <c r="BL452" s="1" t="s">
        <v>104</v>
      </c>
    </row>
    <row r="453" spans="1:64" x14ac:dyDescent="0.25">
      <c r="A453" s="81" t="s">
        <v>1005</v>
      </c>
      <c r="B453" s="82" t="s">
        <v>1005</v>
      </c>
      <c r="C453" s="81" t="s">
        <v>1006</v>
      </c>
      <c r="D453" s="16">
        <v>44855</v>
      </c>
      <c r="E453" s="17"/>
      <c r="F453" s="2" t="s">
        <v>1007</v>
      </c>
      <c r="G453" s="2" t="s">
        <v>1008</v>
      </c>
      <c r="H453" s="10" t="s">
        <v>98</v>
      </c>
      <c r="I453" s="11" t="s">
        <v>53</v>
      </c>
      <c r="J453" s="11" t="s">
        <v>224</v>
      </c>
      <c r="K453" s="61"/>
      <c r="L453" s="11" t="s">
        <v>67</v>
      </c>
      <c r="M453" s="25"/>
      <c r="N453" s="82"/>
      <c r="O453" s="3" t="str">
        <f t="shared" si="174"/>
        <v>A</v>
      </c>
      <c r="P453" s="84">
        <v>136408</v>
      </c>
      <c r="Q453" s="84">
        <v>0</v>
      </c>
      <c r="R453" s="32"/>
      <c r="S453" s="3" t="str">
        <f t="shared" si="173"/>
        <v>A</v>
      </c>
      <c r="T453" s="84">
        <v>132666</v>
      </c>
      <c r="U453" s="84"/>
      <c r="V453" s="32"/>
      <c r="W453" s="3" t="str">
        <f t="shared" si="159"/>
        <v>A</v>
      </c>
      <c r="X453" s="84">
        <v>137502</v>
      </c>
      <c r="Y453" s="84"/>
      <c r="Z453" s="32"/>
      <c r="AA453" s="3" t="str">
        <f t="shared" si="160"/>
        <v>A</v>
      </c>
      <c r="AB453" s="84">
        <v>168350</v>
      </c>
      <c r="AC453" s="84"/>
      <c r="AD453" s="36"/>
      <c r="AE453" s="82"/>
      <c r="AF453" s="3" t="str">
        <f t="shared" si="161"/>
        <v>A</v>
      </c>
      <c r="AG453" s="84">
        <v>0</v>
      </c>
      <c r="AH453" s="84">
        <v>0</v>
      </c>
      <c r="AI453" s="39"/>
      <c r="AJ453" s="79" t="s">
        <v>1801</v>
      </c>
      <c r="AK453" s="39"/>
      <c r="AL453" s="4">
        <f t="shared" si="166"/>
        <v>574926</v>
      </c>
      <c r="AM453" s="4">
        <f t="shared" si="167"/>
        <v>0</v>
      </c>
      <c r="AN453" s="4">
        <f t="shared" si="162"/>
        <v>574926</v>
      </c>
      <c r="AO453" s="39"/>
      <c r="AP453" s="8">
        <f t="shared" si="168"/>
        <v>0</v>
      </c>
      <c r="AQ453" s="8">
        <f t="shared" si="169"/>
        <v>0</v>
      </c>
      <c r="AR453" s="8">
        <f t="shared" si="163"/>
        <v>0</v>
      </c>
      <c r="AS453" s="42"/>
      <c r="AT453" s="84">
        <v>574926</v>
      </c>
      <c r="AU453" s="84"/>
      <c r="AV453" s="4">
        <f t="shared" si="164"/>
        <v>574926</v>
      </c>
      <c r="AW453" s="50" t="str">
        <f t="shared" si="165"/>
        <v/>
      </c>
      <c r="AX453" s="1" t="s">
        <v>1746</v>
      </c>
      <c r="AY453" s="2" t="s">
        <v>1747</v>
      </c>
      <c r="AZ453" s="2">
        <v>137010.48000000001</v>
      </c>
      <c r="BA453" s="73">
        <v>119884.17</v>
      </c>
      <c r="BB453" s="73">
        <v>119884.17</v>
      </c>
      <c r="BC453" s="73">
        <v>137010.48000000001</v>
      </c>
      <c r="BD453" s="73"/>
      <c r="BE453" s="66">
        <v>0</v>
      </c>
      <c r="BF453" s="66">
        <v>0.05</v>
      </c>
      <c r="BG453" s="63">
        <v>44851</v>
      </c>
      <c r="BH453" s="2"/>
      <c r="BI453" s="2"/>
      <c r="BJ453" s="2">
        <v>498344.4</v>
      </c>
      <c r="BK453" s="2">
        <v>62293.05</v>
      </c>
      <c r="BL453" s="1" t="s">
        <v>97</v>
      </c>
    </row>
    <row r="454" spans="1:64" x14ac:dyDescent="0.25">
      <c r="A454" s="81" t="s">
        <v>1015</v>
      </c>
      <c r="B454" s="82" t="s">
        <v>1015</v>
      </c>
      <c r="C454" s="81" t="s">
        <v>1016</v>
      </c>
      <c r="D454" s="16">
        <v>0</v>
      </c>
      <c r="E454" s="17"/>
      <c r="F454" s="2" t="s">
        <v>1017</v>
      </c>
      <c r="G454" s="2" t="s">
        <v>1018</v>
      </c>
      <c r="H454" s="10" t="s">
        <v>98</v>
      </c>
      <c r="I454" s="11" t="s">
        <v>53</v>
      </c>
      <c r="J454" s="11" t="s">
        <v>99</v>
      </c>
      <c r="K454" s="61"/>
      <c r="L454" s="11" t="s">
        <v>67</v>
      </c>
      <c r="M454" s="25"/>
      <c r="N454" s="82"/>
      <c r="O454" s="3" t="str">
        <f t="shared" si="174"/>
        <v>A</v>
      </c>
      <c r="P454" s="84">
        <v>184894</v>
      </c>
      <c r="Q454" s="84">
        <v>8548</v>
      </c>
      <c r="R454" s="32"/>
      <c r="S454" s="3" t="str">
        <f t="shared" si="173"/>
        <v>A</v>
      </c>
      <c r="T454" s="84">
        <v>153182</v>
      </c>
      <c r="U454" s="84">
        <v>7416</v>
      </c>
      <c r="V454" s="32"/>
      <c r="W454" s="3" t="str">
        <f t="shared" si="159"/>
        <v>A</v>
      </c>
      <c r="X454" s="84">
        <v>159306</v>
      </c>
      <c r="Y454" s="84">
        <v>7328</v>
      </c>
      <c r="Z454" s="32"/>
      <c r="AA454" s="3" t="str">
        <f t="shared" si="160"/>
        <v>A</v>
      </c>
      <c r="AB454" s="84">
        <v>169474</v>
      </c>
      <c r="AC454" s="84">
        <v>8483</v>
      </c>
      <c r="AD454" s="36"/>
      <c r="AE454" s="82"/>
      <c r="AF454" s="3" t="str">
        <f t="shared" si="161"/>
        <v>A</v>
      </c>
      <c r="AG454" s="84">
        <v>0</v>
      </c>
      <c r="AH454" s="84">
        <v>0</v>
      </c>
      <c r="AI454" s="39"/>
      <c r="AJ454" s="79" t="s">
        <v>1801</v>
      </c>
      <c r="AK454" s="39"/>
      <c r="AL454" s="4">
        <f t="shared" si="166"/>
        <v>666856</v>
      </c>
      <c r="AM454" s="4">
        <f t="shared" si="167"/>
        <v>31775</v>
      </c>
      <c r="AN454" s="4">
        <f t="shared" si="162"/>
        <v>698631</v>
      </c>
      <c r="AO454" s="39"/>
      <c r="AP454" s="8">
        <f t="shared" si="168"/>
        <v>0</v>
      </c>
      <c r="AQ454" s="8">
        <f t="shared" si="169"/>
        <v>0</v>
      </c>
      <c r="AR454" s="8">
        <f t="shared" si="163"/>
        <v>0</v>
      </c>
      <c r="AS454" s="42"/>
      <c r="AT454" s="84">
        <v>666856</v>
      </c>
      <c r="AU454" s="84">
        <v>31775</v>
      </c>
      <c r="AV454" s="4">
        <f t="shared" si="164"/>
        <v>698631</v>
      </c>
      <c r="AW454" s="50" t="str">
        <f t="shared" si="165"/>
        <v/>
      </c>
      <c r="AX454" s="1" t="s">
        <v>1748</v>
      </c>
      <c r="AY454" s="2" t="s">
        <v>1749</v>
      </c>
      <c r="AZ454" s="2">
        <v>143074.96</v>
      </c>
      <c r="BA454" s="73">
        <v>125190.59</v>
      </c>
      <c r="BB454" s="73">
        <v>125190.59</v>
      </c>
      <c r="BC454" s="73">
        <v>143074.96</v>
      </c>
      <c r="BD454" s="73"/>
      <c r="BE454" s="66">
        <v>0</v>
      </c>
      <c r="BF454" s="66">
        <v>0.05</v>
      </c>
      <c r="BG454" s="63">
        <v>44550</v>
      </c>
      <c r="BH454" s="74">
        <v>45498</v>
      </c>
      <c r="BI454" s="74">
        <v>45513</v>
      </c>
      <c r="BJ454" s="2">
        <v>534951</v>
      </c>
      <c r="BK454" s="2">
        <v>66756.38</v>
      </c>
      <c r="BL454" s="1" t="s">
        <v>97</v>
      </c>
    </row>
    <row r="455" spans="1:64" x14ac:dyDescent="0.25">
      <c r="A455" s="81" t="s">
        <v>1015</v>
      </c>
      <c r="B455" s="82" t="s">
        <v>1606</v>
      </c>
      <c r="C455" s="81" t="s">
        <v>1607</v>
      </c>
      <c r="D455" s="16">
        <v>45778</v>
      </c>
      <c r="E455" s="17"/>
      <c r="F455" s="2" t="s">
        <v>1017</v>
      </c>
      <c r="G455" s="2" t="s">
        <v>1018</v>
      </c>
      <c r="H455" s="10" t="s">
        <v>98</v>
      </c>
      <c r="I455" s="11" t="s">
        <v>53</v>
      </c>
      <c r="J455" s="11" t="s">
        <v>99</v>
      </c>
      <c r="K455" s="61"/>
      <c r="L455" s="11" t="s">
        <v>67</v>
      </c>
      <c r="M455" s="25"/>
      <c r="N455" s="82"/>
      <c r="O455" s="3" t="str">
        <f>IF($A455="","",IF(P455=AZ455,"E","A"))</f>
        <v>A</v>
      </c>
      <c r="P455" s="84">
        <v>108286</v>
      </c>
      <c r="Q455" s="84">
        <v>2004</v>
      </c>
      <c r="R455" s="32"/>
      <c r="S455" s="3" t="str">
        <f>IF($A455="","",IF(T455=BA455,"E","A"))</f>
        <v>A</v>
      </c>
      <c r="T455" s="84">
        <v>117240</v>
      </c>
      <c r="U455" s="84">
        <v>2190</v>
      </c>
      <c r="V455" s="32"/>
      <c r="W455" s="3" t="str">
        <f t="shared" si="159"/>
        <v>A</v>
      </c>
      <c r="X455" s="84">
        <v>119105</v>
      </c>
      <c r="Y455" s="84">
        <v>1528</v>
      </c>
      <c r="Z455" s="32"/>
      <c r="AA455" s="3" t="str">
        <f t="shared" si="160"/>
        <v>A</v>
      </c>
      <c r="AB455" s="84">
        <v>127969</v>
      </c>
      <c r="AC455" s="84">
        <v>2711</v>
      </c>
      <c r="AD455" s="36"/>
      <c r="AE455" s="82"/>
      <c r="AF455" s="3" t="str">
        <f t="shared" si="161"/>
        <v>A</v>
      </c>
      <c r="AG455" s="84">
        <v>0</v>
      </c>
      <c r="AH455" s="84">
        <v>0</v>
      </c>
      <c r="AI455" s="39"/>
      <c r="AJ455" s="79" t="s">
        <v>1801</v>
      </c>
      <c r="AK455" s="39"/>
      <c r="AL455" s="4">
        <f t="shared" si="166"/>
        <v>472600</v>
      </c>
      <c r="AM455" s="4">
        <f t="shared" si="167"/>
        <v>8433</v>
      </c>
      <c r="AN455" s="4">
        <f t="shared" si="162"/>
        <v>481033</v>
      </c>
      <c r="AO455" s="39"/>
      <c r="AP455" s="8">
        <f t="shared" si="168"/>
        <v>0</v>
      </c>
      <c r="AQ455" s="8">
        <f t="shared" si="169"/>
        <v>0</v>
      </c>
      <c r="AR455" s="8">
        <f t="shared" si="163"/>
        <v>0</v>
      </c>
      <c r="AS455" s="42"/>
      <c r="AT455" s="84">
        <v>472600</v>
      </c>
      <c r="AU455" s="84">
        <v>8433</v>
      </c>
      <c r="AV455" s="4">
        <f t="shared" si="164"/>
        <v>481033</v>
      </c>
      <c r="AW455" s="50" t="str">
        <f t="shared" si="165"/>
        <v/>
      </c>
      <c r="AX455" s="1" t="s">
        <v>1748</v>
      </c>
      <c r="AY455" s="2" t="s">
        <v>1749</v>
      </c>
      <c r="AZ455" s="2">
        <v>49194.8</v>
      </c>
      <c r="BA455" s="73">
        <v>43045.45</v>
      </c>
      <c r="BB455" s="73">
        <v>43045.45</v>
      </c>
      <c r="BC455" s="73">
        <v>49194.8</v>
      </c>
      <c r="BD455" s="73"/>
      <c r="BE455" s="66">
        <v>0</v>
      </c>
      <c r="BF455" s="66">
        <v>0.05</v>
      </c>
      <c r="BG455" s="63">
        <v>45775</v>
      </c>
      <c r="BH455" s="2"/>
      <c r="BI455" s="2"/>
      <c r="BJ455" s="2">
        <v>183140.7</v>
      </c>
      <c r="BK455" s="2">
        <v>9614.89</v>
      </c>
      <c r="BL455" s="1" t="s">
        <v>97</v>
      </c>
    </row>
    <row r="456" spans="1:64" x14ac:dyDescent="0.25">
      <c r="A456" s="81" t="s">
        <v>1019</v>
      </c>
      <c r="B456" s="82" t="s">
        <v>1019</v>
      </c>
      <c r="C456" s="81" t="s">
        <v>1020</v>
      </c>
      <c r="D456" s="16">
        <v>0</v>
      </c>
      <c r="E456" s="17"/>
      <c r="F456" s="2" t="s">
        <v>109</v>
      </c>
      <c r="G456" s="2" t="s">
        <v>111</v>
      </c>
      <c r="H456" s="10" t="s">
        <v>98</v>
      </c>
      <c r="I456" s="11" t="s">
        <v>110</v>
      </c>
      <c r="J456" s="11" t="s">
        <v>286</v>
      </c>
      <c r="K456" s="61" t="s">
        <v>287</v>
      </c>
      <c r="L456" s="11" t="s">
        <v>67</v>
      </c>
      <c r="M456" s="25"/>
      <c r="N456" s="82"/>
      <c r="O456" s="3" t="str">
        <f t="shared" ref="O456:O469" si="175">IF($A456="","",IF(P456=0,"A",IF(P456=AZ456,"E","A")))</f>
        <v>A</v>
      </c>
      <c r="P456" s="84">
        <v>74294</v>
      </c>
      <c r="Q456" s="84">
        <v>8710</v>
      </c>
      <c r="R456" s="32"/>
      <c r="S456" s="3" t="str">
        <f t="shared" ref="S456:S469" si="176">IF($A456="","",IF(T456=0,"A",IF(T456=BA456,"E","A")))</f>
        <v>A</v>
      </c>
      <c r="T456" s="84">
        <v>64651.5</v>
      </c>
      <c r="U456" s="84">
        <v>6792</v>
      </c>
      <c r="V456" s="32"/>
      <c r="W456" s="3" t="str">
        <f t="shared" ref="W456:W519" si="177">IF($A456="","",IF(X456=0,"A",IF(X456=BB456,"E","A")))</f>
        <v>A</v>
      </c>
      <c r="X456" s="84">
        <v>65309.5</v>
      </c>
      <c r="Y456" s="84">
        <v>5648</v>
      </c>
      <c r="Z456" s="32"/>
      <c r="AA456" s="3" t="str">
        <f t="shared" ref="AA456:AA519" si="178">IF($A456="","",IF(AB456=0,"A",IF(AB456=BC456,"E","A")))</f>
        <v>A</v>
      </c>
      <c r="AB456" s="84">
        <v>91517.5</v>
      </c>
      <c r="AC456" s="84">
        <v>7166</v>
      </c>
      <c r="AD456" s="36"/>
      <c r="AE456" s="82"/>
      <c r="AF456" s="3" t="str">
        <f t="shared" ref="AF456:AF519" si="179">IF($A456="","",IF(AG456=0,"A",IF(AG456=BD456,"E","A")))</f>
        <v>A</v>
      </c>
      <c r="AG456" s="84">
        <v>0</v>
      </c>
      <c r="AH456" s="84">
        <v>0</v>
      </c>
      <c r="AI456" s="39"/>
      <c r="AJ456" s="79" t="s">
        <v>1801</v>
      </c>
      <c r="AK456" s="39"/>
      <c r="AL456" s="4">
        <f t="shared" si="166"/>
        <v>295772.5</v>
      </c>
      <c r="AM456" s="4">
        <f t="shared" si="167"/>
        <v>28316</v>
      </c>
      <c r="AN456" s="4">
        <f t="shared" ref="AN456:AN519" si="180">SUM(AL456:AM456)</f>
        <v>324088.5</v>
      </c>
      <c r="AO456" s="39"/>
      <c r="AP456" s="8">
        <f t="shared" si="168"/>
        <v>0</v>
      </c>
      <c r="AQ456" s="8">
        <f t="shared" si="169"/>
        <v>0</v>
      </c>
      <c r="AR456" s="8">
        <f t="shared" ref="AR456:AR519" si="181">SUM(AP456:AQ456)</f>
        <v>0</v>
      </c>
      <c r="AS456" s="42"/>
      <c r="AT456" s="84">
        <v>295772.5</v>
      </c>
      <c r="AU456" s="84">
        <v>28316</v>
      </c>
      <c r="AV456" s="4">
        <f t="shared" ref="AV456:AV519" si="182">SUM(AT456:AU456)</f>
        <v>324088.5</v>
      </c>
      <c r="AW456" s="50" t="str">
        <f t="shared" ref="AW456:AW519" si="183">IF(AV456=0,"",IF(AN456=AV456,"","W"))</f>
        <v/>
      </c>
      <c r="AX456" s="1" t="s">
        <v>1647</v>
      </c>
      <c r="AY456" s="2" t="s">
        <v>1640</v>
      </c>
      <c r="AZ456" s="2">
        <v>114180.08</v>
      </c>
      <c r="BA456" s="73">
        <v>99907.57</v>
      </c>
      <c r="BB456" s="73">
        <v>99907.57</v>
      </c>
      <c r="BC456" s="73">
        <v>114180.08</v>
      </c>
      <c r="BD456" s="73"/>
      <c r="BE456" s="66">
        <v>0</v>
      </c>
      <c r="BF456" s="66">
        <v>0.02</v>
      </c>
      <c r="BG456" s="63">
        <v>44548</v>
      </c>
      <c r="BH456" s="2"/>
      <c r="BI456" s="2"/>
      <c r="BJ456" s="2">
        <v>426915</v>
      </c>
      <c r="BK456" s="2">
        <v>53364.38</v>
      </c>
      <c r="BL456" s="1" t="s">
        <v>237</v>
      </c>
    </row>
    <row r="457" spans="1:64" x14ac:dyDescent="0.25">
      <c r="A457" s="81" t="s">
        <v>1021</v>
      </c>
      <c r="B457" s="82" t="s">
        <v>1021</v>
      </c>
      <c r="C457" s="81" t="s">
        <v>1022</v>
      </c>
      <c r="D457" s="16">
        <v>44709</v>
      </c>
      <c r="E457" s="17"/>
      <c r="F457" s="2" t="s">
        <v>52</v>
      </c>
      <c r="G457" s="2" t="s">
        <v>55</v>
      </c>
      <c r="H457" s="10" t="s">
        <v>57</v>
      </c>
      <c r="I457" s="11" t="s">
        <v>54</v>
      </c>
      <c r="J457" s="11" t="s">
        <v>620</v>
      </c>
      <c r="K457" s="61" t="s">
        <v>621</v>
      </c>
      <c r="L457" s="11" t="s">
        <v>67</v>
      </c>
      <c r="M457" s="25"/>
      <c r="N457" s="82"/>
      <c r="O457" s="3" t="str">
        <f t="shared" si="175"/>
        <v>A</v>
      </c>
      <c r="P457" s="84">
        <v>26013</v>
      </c>
      <c r="Q457" s="84">
        <v>8005</v>
      </c>
      <c r="R457" s="32"/>
      <c r="S457" s="3" t="str">
        <f t="shared" si="176"/>
        <v>A</v>
      </c>
      <c r="T457" s="84">
        <v>25016</v>
      </c>
      <c r="U457" s="84">
        <v>6980</v>
      </c>
      <c r="V457" s="32"/>
      <c r="W457" s="3" t="str">
        <f t="shared" si="177"/>
        <v>A</v>
      </c>
      <c r="X457" s="84">
        <v>25735</v>
      </c>
      <c r="Y457" s="84">
        <v>7020</v>
      </c>
      <c r="Z457" s="32"/>
      <c r="AA457" s="3" t="str">
        <f t="shared" si="178"/>
        <v>A</v>
      </c>
      <c r="AB457" s="84">
        <v>30141</v>
      </c>
      <c r="AC457" s="84">
        <v>9975</v>
      </c>
      <c r="AD457" s="36"/>
      <c r="AE457" s="82"/>
      <c r="AF457" s="3" t="str">
        <f t="shared" si="179"/>
        <v>A</v>
      </c>
      <c r="AG457" s="84">
        <v>0</v>
      </c>
      <c r="AH457" s="84">
        <v>0</v>
      </c>
      <c r="AI457" s="39"/>
      <c r="AJ457" s="79" t="s">
        <v>1801</v>
      </c>
      <c r="AK457" s="39"/>
      <c r="AL457" s="4">
        <f t="shared" ref="AL457:AL520" si="184">IF($O457="A",P457,0)+IF($S457="A",T457,0)+IF($W457="A",X457,0)+IF($AA457="A",AB457,0)+IF($AF457="A",AG457,0)</f>
        <v>106905</v>
      </c>
      <c r="AM457" s="4">
        <f t="shared" ref="AM457:AM520" si="185">IF($O457="A",Q457,0)+IF($S457="A",U457,0)+IF($W457="A",Y457,0)+IF($AA457="A",AC457,0)+IF($AF457="A",AH457,0)</f>
        <v>31980</v>
      </c>
      <c r="AN457" s="4">
        <f t="shared" si="180"/>
        <v>138885</v>
      </c>
      <c r="AO457" s="39"/>
      <c r="AP457" s="8">
        <f t="shared" ref="AP457:AP520" si="186">IF($O457="E",P457,0)+IF($S457="E",T457,0)+IF($W457="E",X457,0)+IF($AA457="E",AB457,0)+IF($AF457="E",AG457,0)</f>
        <v>0</v>
      </c>
      <c r="AQ457" s="8">
        <f t="shared" ref="AQ457:AQ520" si="187">IF($O457="E",Q457,0)+IF($S457="E",U457,0)+IF($W457="E",Y457,0)+IF($AA457="E",AC457,0)+IF($AF457="E",AH457,0)</f>
        <v>0</v>
      </c>
      <c r="AR457" s="8">
        <f t="shared" si="181"/>
        <v>0</v>
      </c>
      <c r="AS457" s="42"/>
      <c r="AT457" s="84">
        <v>106905</v>
      </c>
      <c r="AU457" s="84">
        <v>31980</v>
      </c>
      <c r="AV457" s="4">
        <f t="shared" si="182"/>
        <v>138885</v>
      </c>
      <c r="AW457" s="50" t="str">
        <f t="shared" si="183"/>
        <v/>
      </c>
      <c r="AX457" s="1" t="s">
        <v>1639</v>
      </c>
      <c r="AY457" s="2" t="s">
        <v>1640</v>
      </c>
      <c r="AZ457" s="2">
        <v>96311.44</v>
      </c>
      <c r="BA457" s="73">
        <v>84272.51</v>
      </c>
      <c r="BB457" s="73">
        <v>84272.51</v>
      </c>
      <c r="BC457" s="73">
        <v>96311.44</v>
      </c>
      <c r="BD457" s="73"/>
      <c r="BE457" s="66">
        <v>0</v>
      </c>
      <c r="BF457" s="66">
        <v>0.02</v>
      </c>
      <c r="BG457" s="63">
        <v>44709</v>
      </c>
      <c r="BH457" s="2"/>
      <c r="BI457" s="2"/>
      <c r="BJ457" s="2">
        <v>350794.8</v>
      </c>
      <c r="BK457" s="2">
        <v>38977.199999999997</v>
      </c>
      <c r="BL457" s="1" t="s">
        <v>56</v>
      </c>
    </row>
    <row r="458" spans="1:64" x14ac:dyDescent="0.25">
      <c r="A458" s="81" t="s">
        <v>1027</v>
      </c>
      <c r="B458" s="82" t="s">
        <v>1027</v>
      </c>
      <c r="C458" s="81" t="s">
        <v>1028</v>
      </c>
      <c r="D458" s="16">
        <v>0</v>
      </c>
      <c r="E458" s="17"/>
      <c r="F458" s="2" t="s">
        <v>109</v>
      </c>
      <c r="G458" s="2" t="s">
        <v>111</v>
      </c>
      <c r="H458" s="10" t="s">
        <v>98</v>
      </c>
      <c r="I458" s="11" t="s">
        <v>110</v>
      </c>
      <c r="J458" s="11" t="s">
        <v>286</v>
      </c>
      <c r="K458" s="61" t="s">
        <v>287</v>
      </c>
      <c r="L458" s="11" t="s">
        <v>67</v>
      </c>
      <c r="M458" s="25"/>
      <c r="N458" s="82"/>
      <c r="O458" s="3" t="str">
        <f t="shared" si="175"/>
        <v>A</v>
      </c>
      <c r="P458" s="84">
        <v>84265</v>
      </c>
      <c r="Q458" s="84">
        <v>17309</v>
      </c>
      <c r="R458" s="32"/>
      <c r="S458" s="3" t="str">
        <f t="shared" si="176"/>
        <v>A</v>
      </c>
      <c r="T458" s="84">
        <v>68994</v>
      </c>
      <c r="U458" s="84">
        <v>15317</v>
      </c>
      <c r="V458" s="32"/>
      <c r="W458" s="3" t="str">
        <f t="shared" si="177"/>
        <v>A</v>
      </c>
      <c r="X458" s="84">
        <v>59375</v>
      </c>
      <c r="Y458" s="84">
        <v>13574</v>
      </c>
      <c r="Z458" s="32"/>
      <c r="AA458" s="3" t="str">
        <f t="shared" si="178"/>
        <v>A</v>
      </c>
      <c r="AB458" s="84">
        <v>80418</v>
      </c>
      <c r="AC458" s="84">
        <v>12761</v>
      </c>
      <c r="AD458" s="36"/>
      <c r="AE458" s="82"/>
      <c r="AF458" s="3" t="str">
        <f t="shared" si="179"/>
        <v>A</v>
      </c>
      <c r="AG458" s="84">
        <v>0</v>
      </c>
      <c r="AH458" s="84">
        <v>0</v>
      </c>
      <c r="AI458" s="39"/>
      <c r="AJ458" s="79" t="s">
        <v>1801</v>
      </c>
      <c r="AK458" s="39"/>
      <c r="AL458" s="4">
        <f t="shared" si="184"/>
        <v>293052</v>
      </c>
      <c r="AM458" s="4">
        <f t="shared" si="185"/>
        <v>58961</v>
      </c>
      <c r="AN458" s="4">
        <f t="shared" si="180"/>
        <v>352013</v>
      </c>
      <c r="AO458" s="39"/>
      <c r="AP458" s="8">
        <f t="shared" si="186"/>
        <v>0</v>
      </c>
      <c r="AQ458" s="8">
        <f t="shared" si="187"/>
        <v>0</v>
      </c>
      <c r="AR458" s="8">
        <f t="shared" si="181"/>
        <v>0</v>
      </c>
      <c r="AS458" s="42"/>
      <c r="AT458" s="84">
        <v>293052</v>
      </c>
      <c r="AU458" s="84">
        <v>58961</v>
      </c>
      <c r="AV458" s="4">
        <f t="shared" si="182"/>
        <v>352013</v>
      </c>
      <c r="AW458" s="50" t="str">
        <f t="shared" si="183"/>
        <v/>
      </c>
      <c r="AX458" s="1" t="s">
        <v>1647</v>
      </c>
      <c r="AY458" s="2" t="s">
        <v>1640</v>
      </c>
      <c r="AZ458" s="2">
        <v>120515.92</v>
      </c>
      <c r="BA458" s="73">
        <v>105451.43</v>
      </c>
      <c r="BB458" s="73">
        <v>105451.43</v>
      </c>
      <c r="BC458" s="73">
        <v>120515.92</v>
      </c>
      <c r="BD458" s="73"/>
      <c r="BE458" s="66">
        <v>0</v>
      </c>
      <c r="BF458" s="66">
        <v>0.02</v>
      </c>
      <c r="BG458" s="63">
        <v>44576</v>
      </c>
      <c r="BH458" s="2"/>
      <c r="BI458" s="2"/>
      <c r="BJ458" s="2">
        <v>453303</v>
      </c>
      <c r="BK458" s="2">
        <v>56662.879999999997</v>
      </c>
      <c r="BL458" s="1" t="s">
        <v>237</v>
      </c>
    </row>
    <row r="459" spans="1:64" x14ac:dyDescent="0.25">
      <c r="A459" s="81" t="s">
        <v>1029</v>
      </c>
      <c r="B459" s="82" t="s">
        <v>1029</v>
      </c>
      <c r="C459" s="81" t="s">
        <v>1030</v>
      </c>
      <c r="D459" s="16">
        <v>44659</v>
      </c>
      <c r="E459" s="17"/>
      <c r="F459" s="2" t="s">
        <v>1031</v>
      </c>
      <c r="G459" s="2" t="s">
        <v>1032</v>
      </c>
      <c r="H459" s="10" t="s">
        <v>57</v>
      </c>
      <c r="I459" s="11" t="s">
        <v>53</v>
      </c>
      <c r="J459" s="11" t="s">
        <v>319</v>
      </c>
      <c r="K459" s="61"/>
      <c r="L459" s="11" t="s">
        <v>67</v>
      </c>
      <c r="M459" s="25"/>
      <c r="N459" s="82"/>
      <c r="O459" s="3" t="str">
        <f t="shared" si="175"/>
        <v>A</v>
      </c>
      <c r="P459" s="84">
        <v>79246</v>
      </c>
      <c r="Q459" s="84">
        <v>14945</v>
      </c>
      <c r="R459" s="32"/>
      <c r="S459" s="3" t="str">
        <f t="shared" si="176"/>
        <v>A</v>
      </c>
      <c r="T459" s="84">
        <v>63509</v>
      </c>
      <c r="U459" s="84">
        <v>11209</v>
      </c>
      <c r="V459" s="32"/>
      <c r="W459" s="3" t="str">
        <f t="shared" si="177"/>
        <v>A</v>
      </c>
      <c r="X459" s="84">
        <v>54221</v>
      </c>
      <c r="Y459" s="84">
        <v>5923</v>
      </c>
      <c r="Z459" s="32"/>
      <c r="AA459" s="3" t="str">
        <f t="shared" si="178"/>
        <v>A</v>
      </c>
      <c r="AB459" s="84">
        <v>67530</v>
      </c>
      <c r="AC459" s="84">
        <v>8122</v>
      </c>
      <c r="AD459" s="36"/>
      <c r="AE459" s="82"/>
      <c r="AF459" s="3" t="str">
        <f t="shared" si="179"/>
        <v>A</v>
      </c>
      <c r="AG459" s="84">
        <v>0</v>
      </c>
      <c r="AH459" s="84">
        <v>0</v>
      </c>
      <c r="AI459" s="39"/>
      <c r="AJ459" s="79" t="s">
        <v>1801</v>
      </c>
      <c r="AK459" s="39"/>
      <c r="AL459" s="4">
        <f t="shared" si="184"/>
        <v>264506</v>
      </c>
      <c r="AM459" s="4">
        <f t="shared" si="185"/>
        <v>40199</v>
      </c>
      <c r="AN459" s="4">
        <f t="shared" si="180"/>
        <v>304705</v>
      </c>
      <c r="AO459" s="39"/>
      <c r="AP459" s="8">
        <f t="shared" si="186"/>
        <v>0</v>
      </c>
      <c r="AQ459" s="8">
        <f t="shared" si="187"/>
        <v>0</v>
      </c>
      <c r="AR459" s="8">
        <f t="shared" si="181"/>
        <v>0</v>
      </c>
      <c r="AS459" s="42"/>
      <c r="AT459" s="84">
        <v>264506</v>
      </c>
      <c r="AU459" s="84">
        <v>40199</v>
      </c>
      <c r="AV459" s="4">
        <f t="shared" si="182"/>
        <v>304705</v>
      </c>
      <c r="AW459" s="50" t="str">
        <f t="shared" si="183"/>
        <v/>
      </c>
      <c r="AX459" s="1" t="s">
        <v>1750</v>
      </c>
      <c r="AY459" s="2" t="s">
        <v>1751</v>
      </c>
      <c r="AZ459" s="2">
        <v>153422.64000000001</v>
      </c>
      <c r="BA459" s="73">
        <v>134244.81</v>
      </c>
      <c r="BB459" s="73">
        <v>134244.81</v>
      </c>
      <c r="BC459" s="73">
        <v>153422.64000000001</v>
      </c>
      <c r="BD459" s="73"/>
      <c r="BE459" s="66">
        <v>0</v>
      </c>
      <c r="BF459" s="66">
        <v>0.05</v>
      </c>
      <c r="BG459" s="63">
        <v>44655</v>
      </c>
      <c r="BH459" s="2"/>
      <c r="BI459" s="2"/>
      <c r="BJ459" s="2">
        <v>549187.5</v>
      </c>
      <c r="BK459" s="2">
        <v>122041.67</v>
      </c>
      <c r="BL459" s="1" t="s">
        <v>56</v>
      </c>
    </row>
    <row r="460" spans="1:64" x14ac:dyDescent="0.25">
      <c r="A460" s="81" t="s">
        <v>1039</v>
      </c>
      <c r="B460" s="82" t="s">
        <v>1039</v>
      </c>
      <c r="C460" s="81" t="s">
        <v>1040</v>
      </c>
      <c r="D460" s="16">
        <v>44750</v>
      </c>
      <c r="E460" s="17"/>
      <c r="F460" s="2" t="s">
        <v>52</v>
      </c>
      <c r="G460" s="2" t="s">
        <v>55</v>
      </c>
      <c r="H460" s="10" t="s">
        <v>57</v>
      </c>
      <c r="I460" s="11" t="s">
        <v>54</v>
      </c>
      <c r="J460" s="11" t="s">
        <v>131</v>
      </c>
      <c r="K460" s="61" t="s">
        <v>132</v>
      </c>
      <c r="L460" s="11" t="s">
        <v>67</v>
      </c>
      <c r="M460" s="25"/>
      <c r="N460" s="82"/>
      <c r="O460" s="3" t="str">
        <f t="shared" si="175"/>
        <v>A</v>
      </c>
      <c r="P460" s="84">
        <v>112261.95</v>
      </c>
      <c r="Q460" s="84">
        <v>17310</v>
      </c>
      <c r="R460" s="32"/>
      <c r="S460" s="3" t="str">
        <f t="shared" si="176"/>
        <v>A</v>
      </c>
      <c r="T460" s="84">
        <v>98644.2</v>
      </c>
      <c r="U460" s="84">
        <v>13565</v>
      </c>
      <c r="V460" s="32"/>
      <c r="W460" s="3" t="str">
        <f t="shared" si="177"/>
        <v>A</v>
      </c>
      <c r="X460" s="84">
        <v>88955.7</v>
      </c>
      <c r="Y460" s="84">
        <v>10049</v>
      </c>
      <c r="Z460" s="32"/>
      <c r="AA460" s="3" t="str">
        <f t="shared" si="178"/>
        <v>A</v>
      </c>
      <c r="AB460" s="84">
        <v>102000.25</v>
      </c>
      <c r="AC460" s="84">
        <v>14897</v>
      </c>
      <c r="AD460" s="36"/>
      <c r="AE460" s="82"/>
      <c r="AF460" s="3" t="str">
        <f t="shared" si="179"/>
        <v>A</v>
      </c>
      <c r="AG460" s="84">
        <v>0</v>
      </c>
      <c r="AH460" s="84">
        <v>0</v>
      </c>
      <c r="AI460" s="39"/>
      <c r="AJ460" s="79" t="s">
        <v>1801</v>
      </c>
      <c r="AK460" s="39"/>
      <c r="AL460" s="4">
        <f t="shared" si="184"/>
        <v>401862.1</v>
      </c>
      <c r="AM460" s="4">
        <f t="shared" si="185"/>
        <v>55821</v>
      </c>
      <c r="AN460" s="4">
        <f t="shared" si="180"/>
        <v>457683.1</v>
      </c>
      <c r="AO460" s="39"/>
      <c r="AP460" s="8">
        <f t="shared" si="186"/>
        <v>0</v>
      </c>
      <c r="AQ460" s="8">
        <f t="shared" si="187"/>
        <v>0</v>
      </c>
      <c r="AR460" s="8">
        <f t="shared" si="181"/>
        <v>0</v>
      </c>
      <c r="AS460" s="42"/>
      <c r="AT460" s="84">
        <v>401862.10000000003</v>
      </c>
      <c r="AU460" s="84">
        <v>55821</v>
      </c>
      <c r="AV460" s="4">
        <f t="shared" si="182"/>
        <v>457683.10000000003</v>
      </c>
      <c r="AW460" s="50" t="str">
        <f t="shared" si="183"/>
        <v/>
      </c>
      <c r="AX460" s="1" t="s">
        <v>1639</v>
      </c>
      <c r="AY460" s="2" t="s">
        <v>1640</v>
      </c>
      <c r="AZ460" s="2">
        <v>57703.519999999997</v>
      </c>
      <c r="BA460" s="73">
        <v>50490.58</v>
      </c>
      <c r="BB460" s="73">
        <v>50490.58</v>
      </c>
      <c r="BC460" s="73">
        <v>57703.519999999997</v>
      </c>
      <c r="BD460" s="73"/>
      <c r="BE460" s="66">
        <v>0</v>
      </c>
      <c r="BF460" s="66">
        <v>0.02</v>
      </c>
      <c r="BG460" s="63">
        <v>44743</v>
      </c>
      <c r="BH460" s="2"/>
      <c r="BI460" s="2"/>
      <c r="BJ460" s="2">
        <v>206334</v>
      </c>
      <c r="BK460" s="2">
        <v>22926</v>
      </c>
      <c r="BL460" s="1" t="s">
        <v>56</v>
      </c>
    </row>
    <row r="461" spans="1:64" x14ac:dyDescent="0.25">
      <c r="A461" s="81" t="s">
        <v>1041</v>
      </c>
      <c r="B461" s="82" t="s">
        <v>1041</v>
      </c>
      <c r="C461" s="81" t="s">
        <v>1042</v>
      </c>
      <c r="D461" s="16">
        <v>44738</v>
      </c>
      <c r="E461" s="17"/>
      <c r="F461" s="2" t="s">
        <v>1043</v>
      </c>
      <c r="G461" s="2" t="s">
        <v>1044</v>
      </c>
      <c r="H461" s="10" t="s">
        <v>57</v>
      </c>
      <c r="I461" s="11" t="s">
        <v>53</v>
      </c>
      <c r="J461" s="11" t="s">
        <v>319</v>
      </c>
      <c r="K461" s="61"/>
      <c r="L461" s="11" t="s">
        <v>67</v>
      </c>
      <c r="M461" s="25"/>
      <c r="N461" s="82"/>
      <c r="O461" s="3" t="str">
        <f t="shared" si="175"/>
        <v>A</v>
      </c>
      <c r="P461" s="84">
        <v>39792</v>
      </c>
      <c r="Q461" s="84">
        <v>13407</v>
      </c>
      <c r="R461" s="32"/>
      <c r="S461" s="3" t="str">
        <f t="shared" si="176"/>
        <v>A</v>
      </c>
      <c r="T461" s="84">
        <v>42806</v>
      </c>
      <c r="U461" s="84">
        <v>8666</v>
      </c>
      <c r="V461" s="32"/>
      <c r="W461" s="3" t="str">
        <f t="shared" si="177"/>
        <v>A</v>
      </c>
      <c r="X461" s="84">
        <v>28217</v>
      </c>
      <c r="Y461" s="84">
        <v>10798</v>
      </c>
      <c r="Z461" s="32"/>
      <c r="AA461" s="3" t="str">
        <f t="shared" si="178"/>
        <v>A</v>
      </c>
      <c r="AB461" s="84">
        <v>36541</v>
      </c>
      <c r="AC461" s="84">
        <v>11437</v>
      </c>
      <c r="AD461" s="36"/>
      <c r="AE461" s="82"/>
      <c r="AF461" s="3" t="str">
        <f t="shared" si="179"/>
        <v>A</v>
      </c>
      <c r="AG461" s="84">
        <v>0</v>
      </c>
      <c r="AH461" s="84">
        <v>0</v>
      </c>
      <c r="AI461" s="39"/>
      <c r="AJ461" s="79" t="s">
        <v>1801</v>
      </c>
      <c r="AK461" s="39"/>
      <c r="AL461" s="4">
        <f t="shared" si="184"/>
        <v>147356</v>
      </c>
      <c r="AM461" s="4">
        <f t="shared" si="185"/>
        <v>44308</v>
      </c>
      <c r="AN461" s="4">
        <f t="shared" si="180"/>
        <v>191664</v>
      </c>
      <c r="AO461" s="39"/>
      <c r="AP461" s="8">
        <f t="shared" si="186"/>
        <v>0</v>
      </c>
      <c r="AQ461" s="8">
        <f t="shared" si="187"/>
        <v>0</v>
      </c>
      <c r="AR461" s="8">
        <f t="shared" si="181"/>
        <v>0</v>
      </c>
      <c r="AS461" s="42"/>
      <c r="AT461" s="84">
        <v>147356</v>
      </c>
      <c r="AU461" s="84">
        <v>44308</v>
      </c>
      <c r="AV461" s="4">
        <f t="shared" si="182"/>
        <v>191664</v>
      </c>
      <c r="AW461" s="50" t="str">
        <f t="shared" si="183"/>
        <v/>
      </c>
      <c r="AX461" s="1" t="s">
        <v>1752</v>
      </c>
      <c r="AY461" s="2" t="s">
        <v>1753</v>
      </c>
      <c r="AZ461" s="2">
        <v>169488.08</v>
      </c>
      <c r="BA461" s="73">
        <v>148302.07</v>
      </c>
      <c r="BB461" s="73">
        <v>148302.07</v>
      </c>
      <c r="BC461" s="73">
        <v>169488.08</v>
      </c>
      <c r="BD461" s="73"/>
      <c r="BE461" s="66">
        <v>0</v>
      </c>
      <c r="BF461" s="66">
        <v>0.05</v>
      </c>
      <c r="BG461" s="63">
        <v>44735</v>
      </c>
      <c r="BH461" s="2"/>
      <c r="BI461" s="2"/>
      <c r="BJ461" s="2">
        <v>618992.11</v>
      </c>
      <c r="BK461" s="2">
        <v>68776.899999999994</v>
      </c>
      <c r="BL461" s="1" t="s">
        <v>56</v>
      </c>
    </row>
    <row r="462" spans="1:64" x14ac:dyDescent="0.25">
      <c r="A462" s="81" t="s">
        <v>1051</v>
      </c>
      <c r="B462" s="82" t="s">
        <v>1051</v>
      </c>
      <c r="C462" s="81" t="s">
        <v>1052</v>
      </c>
      <c r="D462" s="16">
        <v>0</v>
      </c>
      <c r="E462" s="17"/>
      <c r="F462" s="2" t="s">
        <v>52</v>
      </c>
      <c r="G462" s="2" t="s">
        <v>55</v>
      </c>
      <c r="H462" s="10" t="s">
        <v>57</v>
      </c>
      <c r="I462" s="11" t="s">
        <v>54</v>
      </c>
      <c r="J462" s="11" t="s">
        <v>68</v>
      </c>
      <c r="K462" s="61" t="s">
        <v>69</v>
      </c>
      <c r="L462" s="11" t="s">
        <v>67</v>
      </c>
      <c r="M462" s="25"/>
      <c r="N462" s="82"/>
      <c r="O462" s="3" t="str">
        <f t="shared" si="175"/>
        <v>A</v>
      </c>
      <c r="P462" s="84">
        <v>83046.58</v>
      </c>
      <c r="Q462" s="84">
        <v>17025.29</v>
      </c>
      <c r="R462" s="32"/>
      <c r="S462" s="3" t="str">
        <f t="shared" si="176"/>
        <v>A</v>
      </c>
      <c r="T462" s="84">
        <v>68453.100000000006</v>
      </c>
      <c r="U462" s="84">
        <v>22980.9</v>
      </c>
      <c r="V462" s="32"/>
      <c r="W462" s="3" t="str">
        <f t="shared" si="177"/>
        <v>A</v>
      </c>
      <c r="X462" s="84">
        <v>60768.75</v>
      </c>
      <c r="Y462" s="84">
        <v>15587</v>
      </c>
      <c r="Z462" s="32"/>
      <c r="AA462" s="3" t="str">
        <f t="shared" si="178"/>
        <v>A</v>
      </c>
      <c r="AB462" s="84">
        <v>60218.85</v>
      </c>
      <c r="AC462" s="84">
        <v>18448</v>
      </c>
      <c r="AD462" s="36"/>
      <c r="AE462" s="82"/>
      <c r="AF462" s="3" t="str">
        <f t="shared" si="179"/>
        <v>A</v>
      </c>
      <c r="AG462" s="84">
        <v>0</v>
      </c>
      <c r="AH462" s="84">
        <v>0</v>
      </c>
      <c r="AI462" s="39"/>
      <c r="AJ462" s="79" t="s">
        <v>1801</v>
      </c>
      <c r="AK462" s="39"/>
      <c r="AL462" s="4">
        <f t="shared" si="184"/>
        <v>272487.27999999997</v>
      </c>
      <c r="AM462" s="4">
        <f t="shared" si="185"/>
        <v>74041.19</v>
      </c>
      <c r="AN462" s="4">
        <f t="shared" si="180"/>
        <v>346528.47</v>
      </c>
      <c r="AO462" s="39"/>
      <c r="AP462" s="8">
        <f t="shared" si="186"/>
        <v>0</v>
      </c>
      <c r="AQ462" s="8">
        <f t="shared" si="187"/>
        <v>0</v>
      </c>
      <c r="AR462" s="8">
        <f t="shared" si="181"/>
        <v>0</v>
      </c>
      <c r="AS462" s="42"/>
      <c r="AT462" s="84">
        <v>272487.28000000003</v>
      </c>
      <c r="AU462" s="84">
        <v>74041.19</v>
      </c>
      <c r="AV462" s="4">
        <f t="shared" si="182"/>
        <v>346528.47000000003</v>
      </c>
      <c r="AW462" s="50" t="str">
        <f t="shared" si="183"/>
        <v/>
      </c>
      <c r="AX462" s="1" t="s">
        <v>1639</v>
      </c>
      <c r="AY462" s="2" t="s">
        <v>1640</v>
      </c>
      <c r="AZ462" s="2">
        <v>163650.79999999999</v>
      </c>
      <c r="BA462" s="73">
        <v>143194.45000000001</v>
      </c>
      <c r="BB462" s="73">
        <v>143194.45000000001</v>
      </c>
      <c r="BC462" s="73">
        <v>163650.79999999999</v>
      </c>
      <c r="BD462" s="73"/>
      <c r="BE462" s="66">
        <v>0</v>
      </c>
      <c r="BF462" s="66">
        <v>0.02</v>
      </c>
      <c r="BG462" s="63">
        <v>44760</v>
      </c>
      <c r="BH462" s="2"/>
      <c r="BI462" s="2"/>
      <c r="BJ462" s="2">
        <v>585175.38</v>
      </c>
      <c r="BK462" s="2">
        <v>103266.25</v>
      </c>
      <c r="BL462" s="1" t="s">
        <v>56</v>
      </c>
    </row>
    <row r="463" spans="1:64" x14ac:dyDescent="0.25">
      <c r="A463" s="81" t="s">
        <v>1053</v>
      </c>
      <c r="B463" s="82" t="s">
        <v>1053</v>
      </c>
      <c r="C463" s="81" t="s">
        <v>1054</v>
      </c>
      <c r="D463" s="16">
        <v>44671</v>
      </c>
      <c r="E463" s="17"/>
      <c r="F463" s="2" t="s">
        <v>143</v>
      </c>
      <c r="G463" s="2" t="s">
        <v>144</v>
      </c>
      <c r="H463" s="10" t="s">
        <v>105</v>
      </c>
      <c r="I463" s="11" t="s">
        <v>53</v>
      </c>
      <c r="J463" s="11" t="s">
        <v>145</v>
      </c>
      <c r="K463" s="61"/>
      <c r="L463" s="11" t="s">
        <v>67</v>
      </c>
      <c r="M463" s="25"/>
      <c r="N463" s="82"/>
      <c r="O463" s="3" t="str">
        <f t="shared" si="175"/>
        <v>E</v>
      </c>
      <c r="P463" s="84">
        <v>145802.4</v>
      </c>
      <c r="Q463" s="84">
        <v>13379.76</v>
      </c>
      <c r="R463" s="32"/>
      <c r="S463" s="3" t="str">
        <f t="shared" si="176"/>
        <v>E</v>
      </c>
      <c r="T463" s="84">
        <v>127577.1</v>
      </c>
      <c r="U463" s="84">
        <v>11707.29</v>
      </c>
      <c r="V463" s="32"/>
      <c r="W463" s="3" t="str">
        <f t="shared" si="177"/>
        <v>E</v>
      </c>
      <c r="X463" s="84">
        <v>127577.1</v>
      </c>
      <c r="Y463" s="84">
        <v>11707.29</v>
      </c>
      <c r="Z463" s="32"/>
      <c r="AA463" s="3" t="str">
        <f t="shared" si="178"/>
        <v>E</v>
      </c>
      <c r="AB463" s="84">
        <v>145802.4</v>
      </c>
      <c r="AC463" s="84">
        <v>13379.76</v>
      </c>
      <c r="AD463" s="36"/>
      <c r="AE463" s="82"/>
      <c r="AF463" s="3" t="str">
        <f t="shared" si="179"/>
        <v>A</v>
      </c>
      <c r="AG463" s="84"/>
      <c r="AH463" s="84"/>
      <c r="AI463" s="39"/>
      <c r="AJ463" s="79" t="s">
        <v>38</v>
      </c>
      <c r="AK463" s="39"/>
      <c r="AL463" s="4">
        <f t="shared" si="184"/>
        <v>0</v>
      </c>
      <c r="AM463" s="4">
        <f t="shared" si="185"/>
        <v>0</v>
      </c>
      <c r="AN463" s="4">
        <f t="shared" si="180"/>
        <v>0</v>
      </c>
      <c r="AO463" s="39"/>
      <c r="AP463" s="8">
        <f t="shared" si="186"/>
        <v>546759</v>
      </c>
      <c r="AQ463" s="8">
        <f t="shared" si="187"/>
        <v>50174.100000000006</v>
      </c>
      <c r="AR463" s="8">
        <f t="shared" si="181"/>
        <v>596933.1</v>
      </c>
      <c r="AS463" s="42"/>
      <c r="AT463" s="84"/>
      <c r="AU463" s="84"/>
      <c r="AV463" s="4">
        <f t="shared" si="182"/>
        <v>0</v>
      </c>
      <c r="AW463" s="50" t="str">
        <f t="shared" si="183"/>
        <v/>
      </c>
      <c r="AX463" s="1" t="s">
        <v>1650</v>
      </c>
      <c r="AY463" s="2" t="s">
        <v>1651</v>
      </c>
      <c r="AZ463" s="2">
        <v>145802.4</v>
      </c>
      <c r="BA463" s="73">
        <v>127577.1</v>
      </c>
      <c r="BB463" s="73">
        <v>127577.1</v>
      </c>
      <c r="BC463" s="73">
        <v>145802.4</v>
      </c>
      <c r="BD463" s="73"/>
      <c r="BE463" s="66">
        <v>0</v>
      </c>
      <c r="BF463" s="66">
        <v>0.05</v>
      </c>
      <c r="BG463" s="63">
        <v>44669</v>
      </c>
      <c r="BH463" s="2"/>
      <c r="BI463" s="2"/>
      <c r="BJ463" s="2">
        <v>521910</v>
      </c>
      <c r="BK463" s="2">
        <v>48860.4</v>
      </c>
      <c r="BL463" s="1" t="s">
        <v>104</v>
      </c>
    </row>
    <row r="464" spans="1:64" x14ac:dyDescent="0.25">
      <c r="A464" s="81" t="s">
        <v>1055</v>
      </c>
      <c r="B464" s="82" t="s">
        <v>1055</v>
      </c>
      <c r="C464" s="81" t="s">
        <v>1056</v>
      </c>
      <c r="D464" s="16">
        <v>0</v>
      </c>
      <c r="E464" s="17"/>
      <c r="F464" s="2" t="s">
        <v>414</v>
      </c>
      <c r="G464" s="2" t="s">
        <v>415</v>
      </c>
      <c r="H464" s="10" t="s">
        <v>105</v>
      </c>
      <c r="I464" s="11" t="s">
        <v>53</v>
      </c>
      <c r="J464" s="11" t="s">
        <v>312</v>
      </c>
      <c r="K464" s="61"/>
      <c r="L464" s="11" t="s">
        <v>67</v>
      </c>
      <c r="M464" s="25"/>
      <c r="N464" s="82"/>
      <c r="O464" s="3" t="str">
        <f t="shared" si="175"/>
        <v>E</v>
      </c>
      <c r="P464" s="84">
        <v>117987.84</v>
      </c>
      <c r="Q464" s="84">
        <v>14070.32</v>
      </c>
      <c r="R464" s="32"/>
      <c r="S464" s="3" t="str">
        <f t="shared" si="176"/>
        <v>E</v>
      </c>
      <c r="T464" s="84">
        <v>103239.36</v>
      </c>
      <c r="U464" s="84">
        <v>12311.53</v>
      </c>
      <c r="V464" s="32"/>
      <c r="W464" s="3" t="str">
        <f t="shared" si="177"/>
        <v>E</v>
      </c>
      <c r="X464" s="84">
        <v>103239.36</v>
      </c>
      <c r="Y464" s="84">
        <v>12311.53</v>
      </c>
      <c r="Z464" s="32"/>
      <c r="AA464" s="3" t="str">
        <f t="shared" si="178"/>
        <v>E</v>
      </c>
      <c r="AB464" s="84">
        <v>117987.84</v>
      </c>
      <c r="AC464" s="84">
        <v>14070.32</v>
      </c>
      <c r="AD464" s="36"/>
      <c r="AE464" s="82"/>
      <c r="AF464" s="3" t="str">
        <f t="shared" si="179"/>
        <v>A</v>
      </c>
      <c r="AG464" s="84"/>
      <c r="AH464" s="84"/>
      <c r="AI464" s="39"/>
      <c r="AJ464" s="79" t="s">
        <v>38</v>
      </c>
      <c r="AK464" s="39"/>
      <c r="AL464" s="4">
        <f t="shared" si="184"/>
        <v>0</v>
      </c>
      <c r="AM464" s="4">
        <f t="shared" si="185"/>
        <v>0</v>
      </c>
      <c r="AN464" s="4">
        <f t="shared" si="180"/>
        <v>0</v>
      </c>
      <c r="AO464" s="39"/>
      <c r="AP464" s="8">
        <f t="shared" si="186"/>
        <v>442454.4</v>
      </c>
      <c r="AQ464" s="8">
        <f t="shared" si="187"/>
        <v>52763.7</v>
      </c>
      <c r="AR464" s="8">
        <f t="shared" si="181"/>
        <v>495218.10000000003</v>
      </c>
      <c r="AS464" s="42"/>
      <c r="AT464" s="84"/>
      <c r="AU464" s="84"/>
      <c r="AV464" s="4">
        <f t="shared" si="182"/>
        <v>0</v>
      </c>
      <c r="AW464" s="50" t="str">
        <f t="shared" si="183"/>
        <v/>
      </c>
      <c r="AX464" s="1" t="s">
        <v>1703</v>
      </c>
      <c r="AY464" s="2" t="s">
        <v>1704</v>
      </c>
      <c r="AZ464" s="2">
        <v>117987.84</v>
      </c>
      <c r="BA464" s="73">
        <v>103239.36</v>
      </c>
      <c r="BB464" s="73">
        <v>103239.36</v>
      </c>
      <c r="BC464" s="73">
        <v>117987.84</v>
      </c>
      <c r="BD464" s="73"/>
      <c r="BE464" s="66">
        <v>0</v>
      </c>
      <c r="BF464" s="66">
        <v>0.05</v>
      </c>
      <c r="BG464" s="63">
        <v>44628</v>
      </c>
      <c r="BH464" s="74">
        <v>45218</v>
      </c>
      <c r="BI464" s="74">
        <v>45222</v>
      </c>
      <c r="BJ464" s="2">
        <v>416085</v>
      </c>
      <c r="BK464" s="2">
        <v>46611.72</v>
      </c>
      <c r="BL464" s="1" t="s">
        <v>104</v>
      </c>
    </row>
    <row r="465" spans="1:64" x14ac:dyDescent="0.25">
      <c r="A465" s="81" t="s">
        <v>1061</v>
      </c>
      <c r="B465" s="82" t="s">
        <v>1061</v>
      </c>
      <c r="C465" s="81" t="s">
        <v>1062</v>
      </c>
      <c r="D465" s="16">
        <v>0</v>
      </c>
      <c r="E465" s="17">
        <v>45821</v>
      </c>
      <c r="F465" s="2" t="s">
        <v>243</v>
      </c>
      <c r="G465" s="2" t="s">
        <v>245</v>
      </c>
      <c r="H465" s="10" t="s">
        <v>98</v>
      </c>
      <c r="I465" s="11" t="s">
        <v>244</v>
      </c>
      <c r="J465" s="11" t="s">
        <v>246</v>
      </c>
      <c r="K465" s="61" t="s">
        <v>247</v>
      </c>
      <c r="L465" s="11" t="s">
        <v>67</v>
      </c>
      <c r="M465" s="25"/>
      <c r="N465" s="82"/>
      <c r="O465" s="3" t="str">
        <f t="shared" si="175"/>
        <v>A</v>
      </c>
      <c r="P465" s="84">
        <v>79993</v>
      </c>
      <c r="Q465" s="84">
        <v>6704</v>
      </c>
      <c r="R465" s="32"/>
      <c r="S465" s="3" t="str">
        <f t="shared" si="176"/>
        <v>A</v>
      </c>
      <c r="T465" s="84">
        <v>37788</v>
      </c>
      <c r="U465" s="84">
        <v>3173</v>
      </c>
      <c r="V465" s="32"/>
      <c r="W465" s="3" t="str">
        <f t="shared" si="177"/>
        <v>A</v>
      </c>
      <c r="X465" s="84">
        <v>0</v>
      </c>
      <c r="Y465" s="84">
        <v>0</v>
      </c>
      <c r="Z465" s="32"/>
      <c r="AA465" s="3" t="str">
        <f t="shared" si="178"/>
        <v>A</v>
      </c>
      <c r="AB465" s="84">
        <v>0</v>
      </c>
      <c r="AC465" s="84">
        <v>0</v>
      </c>
      <c r="AD465" s="36"/>
      <c r="AE465" s="82"/>
      <c r="AF465" s="3" t="str">
        <f t="shared" si="179"/>
        <v>A</v>
      </c>
      <c r="AG465" s="84">
        <v>0</v>
      </c>
      <c r="AH465" s="84">
        <v>0</v>
      </c>
      <c r="AI465" s="39"/>
      <c r="AJ465" s="79" t="s">
        <v>1801</v>
      </c>
      <c r="AK465" s="39"/>
      <c r="AL465" s="4">
        <f t="shared" si="184"/>
        <v>117781</v>
      </c>
      <c r="AM465" s="4">
        <f t="shared" si="185"/>
        <v>9877</v>
      </c>
      <c r="AN465" s="4">
        <f t="shared" si="180"/>
        <v>127658</v>
      </c>
      <c r="AO465" s="39"/>
      <c r="AP465" s="8">
        <f t="shared" si="186"/>
        <v>0</v>
      </c>
      <c r="AQ465" s="8">
        <f t="shared" si="187"/>
        <v>0</v>
      </c>
      <c r="AR465" s="8">
        <f t="shared" si="181"/>
        <v>0</v>
      </c>
      <c r="AS465" s="42"/>
      <c r="AT465" s="84">
        <v>117781</v>
      </c>
      <c r="AU465" s="84">
        <v>9877</v>
      </c>
      <c r="AV465" s="4">
        <f t="shared" si="182"/>
        <v>127658</v>
      </c>
      <c r="AW465" s="50" t="str">
        <f t="shared" si="183"/>
        <v/>
      </c>
      <c r="AX465" s="1" t="s">
        <v>1639</v>
      </c>
      <c r="AY465" s="2" t="s">
        <v>1640</v>
      </c>
      <c r="AZ465" s="2">
        <v>227305.12</v>
      </c>
      <c r="BA465" s="73">
        <v>198891.98</v>
      </c>
      <c r="BB465" s="73"/>
      <c r="BC465" s="73"/>
      <c r="BD465" s="73"/>
      <c r="BE465" s="66">
        <v>0</v>
      </c>
      <c r="BF465" s="66">
        <v>0.02</v>
      </c>
      <c r="BG465" s="63">
        <v>44729</v>
      </c>
      <c r="BH465" s="2"/>
      <c r="BI465" s="2"/>
      <c r="BJ465" s="2">
        <v>830148</v>
      </c>
      <c r="BK465" s="2">
        <v>103768.5</v>
      </c>
      <c r="BL465" s="1" t="s">
        <v>97</v>
      </c>
    </row>
    <row r="466" spans="1:64" x14ac:dyDescent="0.25">
      <c r="A466" s="81" t="s">
        <v>1068</v>
      </c>
      <c r="B466" s="82" t="s">
        <v>1068</v>
      </c>
      <c r="C466" s="81" t="s">
        <v>1069</v>
      </c>
      <c r="D466" s="16">
        <v>44772</v>
      </c>
      <c r="E466" s="17"/>
      <c r="F466" s="2" t="s">
        <v>52</v>
      </c>
      <c r="G466" s="2" t="s">
        <v>55</v>
      </c>
      <c r="H466" s="10" t="s">
        <v>57</v>
      </c>
      <c r="I466" s="11" t="s">
        <v>54</v>
      </c>
      <c r="J466" s="11" t="s">
        <v>620</v>
      </c>
      <c r="K466" s="61" t="s">
        <v>621</v>
      </c>
      <c r="L466" s="11" t="s">
        <v>67</v>
      </c>
      <c r="M466" s="25"/>
      <c r="N466" s="82"/>
      <c r="O466" s="3" t="str">
        <f t="shared" si="175"/>
        <v>A</v>
      </c>
      <c r="P466" s="84">
        <v>50176</v>
      </c>
      <c r="Q466" s="84">
        <v>11715</v>
      </c>
      <c r="R466" s="32"/>
      <c r="S466" s="3" t="str">
        <f t="shared" si="176"/>
        <v>A</v>
      </c>
      <c r="T466" s="84">
        <v>48162</v>
      </c>
      <c r="U466" s="84">
        <v>11231</v>
      </c>
      <c r="V466" s="32"/>
      <c r="W466" s="3" t="str">
        <f t="shared" si="177"/>
        <v>A</v>
      </c>
      <c r="X466" s="84">
        <v>40624</v>
      </c>
      <c r="Y466" s="84">
        <v>8166</v>
      </c>
      <c r="Z466" s="32"/>
      <c r="AA466" s="3" t="str">
        <f t="shared" si="178"/>
        <v>A</v>
      </c>
      <c r="AB466" s="84">
        <v>51916</v>
      </c>
      <c r="AC466" s="84">
        <v>10217</v>
      </c>
      <c r="AD466" s="36"/>
      <c r="AE466" s="82"/>
      <c r="AF466" s="3" t="str">
        <f t="shared" si="179"/>
        <v>A</v>
      </c>
      <c r="AG466" s="84">
        <v>0</v>
      </c>
      <c r="AH466" s="84">
        <v>0</v>
      </c>
      <c r="AI466" s="39"/>
      <c r="AJ466" s="79" t="s">
        <v>1801</v>
      </c>
      <c r="AK466" s="39"/>
      <c r="AL466" s="4">
        <f t="shared" si="184"/>
        <v>190878</v>
      </c>
      <c r="AM466" s="4">
        <f t="shared" si="185"/>
        <v>41329</v>
      </c>
      <c r="AN466" s="4">
        <f t="shared" si="180"/>
        <v>232207</v>
      </c>
      <c r="AO466" s="39"/>
      <c r="AP466" s="8">
        <f t="shared" si="186"/>
        <v>0</v>
      </c>
      <c r="AQ466" s="8">
        <f t="shared" si="187"/>
        <v>0</v>
      </c>
      <c r="AR466" s="8">
        <f t="shared" si="181"/>
        <v>0</v>
      </c>
      <c r="AS466" s="42"/>
      <c r="AT466" s="84">
        <v>190878</v>
      </c>
      <c r="AU466" s="84">
        <v>41329</v>
      </c>
      <c r="AV466" s="4">
        <f t="shared" si="182"/>
        <v>232207</v>
      </c>
      <c r="AW466" s="50" t="str">
        <f t="shared" si="183"/>
        <v/>
      </c>
      <c r="AX466" s="1" t="s">
        <v>1639</v>
      </c>
      <c r="AY466" s="2" t="s">
        <v>1640</v>
      </c>
      <c r="AZ466" s="2">
        <v>51441.919999999998</v>
      </c>
      <c r="BA466" s="73">
        <v>45011.68</v>
      </c>
      <c r="BB466" s="73">
        <v>45011.68</v>
      </c>
      <c r="BC466" s="73">
        <v>51441.919999999998</v>
      </c>
      <c r="BD466" s="73"/>
      <c r="BE466" s="66">
        <v>0</v>
      </c>
      <c r="BF466" s="66">
        <v>0.02</v>
      </c>
      <c r="BG466" s="63">
        <v>44771</v>
      </c>
      <c r="BH466" s="2"/>
      <c r="BI466" s="2"/>
      <c r="BJ466" s="2">
        <v>183943.65</v>
      </c>
      <c r="BK466" s="2">
        <v>20438.189999999999</v>
      </c>
      <c r="BL466" s="1" t="s">
        <v>56</v>
      </c>
    </row>
    <row r="467" spans="1:64" x14ac:dyDescent="0.25">
      <c r="A467" s="81" t="s">
        <v>1070</v>
      </c>
      <c r="B467" s="82" t="s">
        <v>1070</v>
      </c>
      <c r="C467" s="81" t="s">
        <v>1071</v>
      </c>
      <c r="D467" s="16">
        <v>44727</v>
      </c>
      <c r="E467" s="17"/>
      <c r="F467" s="2" t="s">
        <v>52</v>
      </c>
      <c r="G467" s="2" t="s">
        <v>55</v>
      </c>
      <c r="H467" s="10" t="s">
        <v>57</v>
      </c>
      <c r="I467" s="11" t="s">
        <v>54</v>
      </c>
      <c r="J467" s="11" t="s">
        <v>636</v>
      </c>
      <c r="K467" s="61" t="s">
        <v>637</v>
      </c>
      <c r="L467" s="11" t="s">
        <v>67</v>
      </c>
      <c r="M467" s="25"/>
      <c r="N467" s="82"/>
      <c r="O467" s="3" t="str">
        <f t="shared" si="175"/>
        <v>A</v>
      </c>
      <c r="P467" s="84">
        <v>46794</v>
      </c>
      <c r="Q467" s="84">
        <v>17273</v>
      </c>
      <c r="R467" s="32"/>
      <c r="S467" s="3" t="str">
        <f t="shared" si="176"/>
        <v>A</v>
      </c>
      <c r="T467" s="84">
        <v>40548</v>
      </c>
      <c r="U467" s="84">
        <v>14838</v>
      </c>
      <c r="V467" s="32"/>
      <c r="W467" s="3" t="str">
        <f t="shared" si="177"/>
        <v>A</v>
      </c>
      <c r="X467" s="84">
        <v>36006</v>
      </c>
      <c r="Y467" s="84">
        <v>13848</v>
      </c>
      <c r="Z467" s="32"/>
      <c r="AA467" s="3" t="str">
        <f t="shared" si="178"/>
        <v>A</v>
      </c>
      <c r="AB467" s="84">
        <v>39990</v>
      </c>
      <c r="AC467" s="84">
        <v>15670</v>
      </c>
      <c r="AD467" s="36"/>
      <c r="AE467" s="82"/>
      <c r="AF467" s="3" t="str">
        <f t="shared" si="179"/>
        <v>A</v>
      </c>
      <c r="AG467" s="84">
        <v>0</v>
      </c>
      <c r="AH467" s="84">
        <v>0</v>
      </c>
      <c r="AI467" s="39"/>
      <c r="AJ467" s="79" t="s">
        <v>1801</v>
      </c>
      <c r="AK467" s="39"/>
      <c r="AL467" s="4">
        <f t="shared" si="184"/>
        <v>163338</v>
      </c>
      <c r="AM467" s="4">
        <f t="shared" si="185"/>
        <v>61629</v>
      </c>
      <c r="AN467" s="4">
        <f t="shared" si="180"/>
        <v>224967</v>
      </c>
      <c r="AO467" s="39"/>
      <c r="AP467" s="8">
        <f t="shared" si="186"/>
        <v>0</v>
      </c>
      <c r="AQ467" s="8">
        <f t="shared" si="187"/>
        <v>0</v>
      </c>
      <c r="AR467" s="8">
        <f t="shared" si="181"/>
        <v>0</v>
      </c>
      <c r="AS467" s="42"/>
      <c r="AT467" s="84">
        <v>163338</v>
      </c>
      <c r="AU467" s="84">
        <v>61629</v>
      </c>
      <c r="AV467" s="4">
        <f t="shared" si="182"/>
        <v>224967</v>
      </c>
      <c r="AW467" s="50" t="str">
        <f t="shared" si="183"/>
        <v/>
      </c>
      <c r="AX467" s="1" t="s">
        <v>1639</v>
      </c>
      <c r="AY467" s="2" t="s">
        <v>1640</v>
      </c>
      <c r="AZ467" s="2">
        <v>76941.039999999994</v>
      </c>
      <c r="BA467" s="73">
        <v>67323.41</v>
      </c>
      <c r="BB467" s="73">
        <v>67323.41</v>
      </c>
      <c r="BC467" s="73">
        <v>76941.039999999994</v>
      </c>
      <c r="BD467" s="73"/>
      <c r="BE467" s="66">
        <v>0</v>
      </c>
      <c r="BF467" s="66">
        <v>0.02</v>
      </c>
      <c r="BG467" s="63">
        <v>45003</v>
      </c>
      <c r="BH467" s="2"/>
      <c r="BI467" s="2"/>
      <c r="BJ467" s="2">
        <v>280241.87</v>
      </c>
      <c r="BK467" s="2">
        <v>49454.45</v>
      </c>
      <c r="BL467" s="1" t="s">
        <v>56</v>
      </c>
    </row>
    <row r="468" spans="1:64" x14ac:dyDescent="0.25">
      <c r="A468" s="81" t="s">
        <v>1072</v>
      </c>
      <c r="B468" s="82" t="s">
        <v>1072</v>
      </c>
      <c r="C468" s="81" t="s">
        <v>1073</v>
      </c>
      <c r="D468" s="16">
        <v>44890</v>
      </c>
      <c r="E468" s="17"/>
      <c r="F468" s="2" t="s">
        <v>348</v>
      </c>
      <c r="G468" s="2" t="s">
        <v>349</v>
      </c>
      <c r="H468" s="10" t="s">
        <v>105</v>
      </c>
      <c r="I468" s="11" t="s">
        <v>53</v>
      </c>
      <c r="J468" s="11" t="s">
        <v>1074</v>
      </c>
      <c r="K468" s="61"/>
      <c r="L468" s="11" t="s">
        <v>67</v>
      </c>
      <c r="M468" s="25"/>
      <c r="N468" s="82"/>
      <c r="O468" s="3" t="str">
        <f t="shared" si="175"/>
        <v>A</v>
      </c>
      <c r="P468" s="84">
        <v>200858</v>
      </c>
      <c r="Q468" s="84">
        <v>13222</v>
      </c>
      <c r="R468" s="32"/>
      <c r="S468" s="3" t="str">
        <f t="shared" si="176"/>
        <v>A</v>
      </c>
      <c r="T468" s="84">
        <v>179145</v>
      </c>
      <c r="U468" s="84">
        <v>11905</v>
      </c>
      <c r="V468" s="32"/>
      <c r="W468" s="3" t="str">
        <f t="shared" si="177"/>
        <v>A</v>
      </c>
      <c r="X468" s="84">
        <v>168034</v>
      </c>
      <c r="Y468" s="84">
        <v>10340</v>
      </c>
      <c r="Z468" s="32"/>
      <c r="AA468" s="3" t="str">
        <f t="shared" si="178"/>
        <v>A</v>
      </c>
      <c r="AB468" s="84">
        <v>180027</v>
      </c>
      <c r="AC468" s="84">
        <v>13811</v>
      </c>
      <c r="AD468" s="36"/>
      <c r="AE468" s="82"/>
      <c r="AF468" s="3" t="str">
        <f t="shared" si="179"/>
        <v>A</v>
      </c>
      <c r="AG468" s="84">
        <v>0</v>
      </c>
      <c r="AH468" s="84">
        <v>0</v>
      </c>
      <c r="AI468" s="39"/>
      <c r="AJ468" s="79" t="s">
        <v>1801</v>
      </c>
      <c r="AK468" s="39"/>
      <c r="AL468" s="4">
        <f t="shared" si="184"/>
        <v>728064</v>
      </c>
      <c r="AM468" s="4">
        <f t="shared" si="185"/>
        <v>49278</v>
      </c>
      <c r="AN468" s="4">
        <f t="shared" si="180"/>
        <v>777342</v>
      </c>
      <c r="AO468" s="39"/>
      <c r="AP468" s="8">
        <f t="shared" si="186"/>
        <v>0</v>
      </c>
      <c r="AQ468" s="8">
        <f t="shared" si="187"/>
        <v>0</v>
      </c>
      <c r="AR468" s="8">
        <f t="shared" si="181"/>
        <v>0</v>
      </c>
      <c r="AS468" s="42"/>
      <c r="AT468" s="84">
        <v>728064</v>
      </c>
      <c r="AU468" s="84">
        <v>49278</v>
      </c>
      <c r="AV468" s="4">
        <f t="shared" si="182"/>
        <v>777342</v>
      </c>
      <c r="AW468" s="50" t="str">
        <f t="shared" si="183"/>
        <v/>
      </c>
      <c r="AX468" s="1" t="s">
        <v>1688</v>
      </c>
      <c r="AY468" s="2" t="s">
        <v>1689</v>
      </c>
      <c r="AZ468" s="2">
        <v>219960.95999999999</v>
      </c>
      <c r="BA468" s="73">
        <v>192465.84</v>
      </c>
      <c r="BB468" s="73">
        <v>192465.84</v>
      </c>
      <c r="BC468" s="73">
        <v>219960.95999999999</v>
      </c>
      <c r="BD468" s="73"/>
      <c r="BE468" s="66">
        <v>0</v>
      </c>
      <c r="BF468" s="66">
        <v>0.05</v>
      </c>
      <c r="BG468" s="63">
        <v>44887</v>
      </c>
      <c r="BH468" s="2"/>
      <c r="BI468" s="2"/>
      <c r="BJ468" s="2">
        <v>813594.25</v>
      </c>
      <c r="BK468" s="2">
        <v>90398.25</v>
      </c>
      <c r="BL468" s="1" t="s">
        <v>104</v>
      </c>
    </row>
    <row r="469" spans="1:64" x14ac:dyDescent="0.25">
      <c r="A469" s="81" t="s">
        <v>1075</v>
      </c>
      <c r="B469" s="82" t="s">
        <v>1075</v>
      </c>
      <c r="C469" s="81" t="s">
        <v>1076</v>
      </c>
      <c r="D469" s="16">
        <v>44770</v>
      </c>
      <c r="E469" s="17"/>
      <c r="F469" s="2" t="s">
        <v>1077</v>
      </c>
      <c r="G469" s="2" t="s">
        <v>1078</v>
      </c>
      <c r="H469" s="10" t="s">
        <v>105</v>
      </c>
      <c r="I469" s="11" t="s">
        <v>53</v>
      </c>
      <c r="J469" s="11" t="s">
        <v>106</v>
      </c>
      <c r="K469" s="61"/>
      <c r="L469" s="11" t="s">
        <v>67</v>
      </c>
      <c r="M469" s="25"/>
      <c r="N469" s="82"/>
      <c r="O469" s="3" t="str">
        <f t="shared" si="175"/>
        <v>A</v>
      </c>
      <c r="P469" s="84">
        <v>76515</v>
      </c>
      <c r="Q469" s="84">
        <v>5707</v>
      </c>
      <c r="R469" s="32"/>
      <c r="S469" s="3" t="str">
        <f t="shared" si="176"/>
        <v>A</v>
      </c>
      <c r="T469" s="84">
        <v>73151</v>
      </c>
      <c r="U469" s="84">
        <v>6246</v>
      </c>
      <c r="V469" s="32"/>
      <c r="W469" s="3" t="str">
        <f t="shared" si="177"/>
        <v>A</v>
      </c>
      <c r="X469" s="84">
        <v>63527</v>
      </c>
      <c r="Y469" s="84">
        <v>5248</v>
      </c>
      <c r="Z469" s="32"/>
      <c r="AA469" s="3" t="str">
        <f t="shared" si="178"/>
        <v>A</v>
      </c>
      <c r="AB469" s="84">
        <v>69155</v>
      </c>
      <c r="AC469" s="84">
        <v>6093</v>
      </c>
      <c r="AD469" s="36"/>
      <c r="AE469" s="82"/>
      <c r="AF469" s="3" t="str">
        <f t="shared" si="179"/>
        <v>A</v>
      </c>
      <c r="AG469" s="84">
        <v>0</v>
      </c>
      <c r="AH469" s="84">
        <v>0</v>
      </c>
      <c r="AI469" s="39"/>
      <c r="AJ469" s="79" t="s">
        <v>1801</v>
      </c>
      <c r="AK469" s="39"/>
      <c r="AL469" s="4">
        <f t="shared" si="184"/>
        <v>282348</v>
      </c>
      <c r="AM469" s="4">
        <f t="shared" si="185"/>
        <v>23294</v>
      </c>
      <c r="AN469" s="4">
        <f t="shared" si="180"/>
        <v>305642</v>
      </c>
      <c r="AO469" s="39"/>
      <c r="AP469" s="8">
        <f t="shared" si="186"/>
        <v>0</v>
      </c>
      <c r="AQ469" s="8">
        <f t="shared" si="187"/>
        <v>0</v>
      </c>
      <c r="AR469" s="8">
        <f t="shared" si="181"/>
        <v>0</v>
      </c>
      <c r="AS469" s="42"/>
      <c r="AT469" s="84">
        <v>282348</v>
      </c>
      <c r="AU469" s="84">
        <v>23294</v>
      </c>
      <c r="AV469" s="4">
        <f t="shared" si="182"/>
        <v>305642</v>
      </c>
      <c r="AW469" s="50" t="str">
        <f t="shared" si="183"/>
        <v/>
      </c>
      <c r="AX469" s="1" t="s">
        <v>1754</v>
      </c>
      <c r="AY469" s="2" t="s">
        <v>1755</v>
      </c>
      <c r="AZ469" s="2">
        <v>232560.8</v>
      </c>
      <c r="BA469" s="73">
        <v>203490.7</v>
      </c>
      <c r="BB469" s="73">
        <v>203490.7</v>
      </c>
      <c r="BC469" s="73">
        <v>232560.8</v>
      </c>
      <c r="BD469" s="73"/>
      <c r="BE469" s="66">
        <v>0</v>
      </c>
      <c r="BF469" s="66">
        <v>0.05</v>
      </c>
      <c r="BG469" s="63">
        <v>44767</v>
      </c>
      <c r="BH469" s="2"/>
      <c r="BI469" s="2"/>
      <c r="BJ469" s="2">
        <v>831580</v>
      </c>
      <c r="BK469" s="2">
        <v>92397.79</v>
      </c>
      <c r="BL469" s="1" t="s">
        <v>104</v>
      </c>
    </row>
    <row r="470" spans="1:64" x14ac:dyDescent="0.25">
      <c r="A470" s="81" t="s">
        <v>1075</v>
      </c>
      <c r="B470" s="82" t="s">
        <v>1462</v>
      </c>
      <c r="C470" s="81" t="s">
        <v>1463</v>
      </c>
      <c r="D470" s="16">
        <v>0</v>
      </c>
      <c r="E470" s="17"/>
      <c r="F470" s="2" t="s">
        <v>1077</v>
      </c>
      <c r="G470" s="2" t="s">
        <v>1078</v>
      </c>
      <c r="H470" s="10" t="s">
        <v>105</v>
      </c>
      <c r="I470" s="11" t="s">
        <v>53</v>
      </c>
      <c r="J470" s="11" t="s">
        <v>106</v>
      </c>
      <c r="K470" s="61"/>
      <c r="L470" s="11" t="s">
        <v>67</v>
      </c>
      <c r="M470" s="25"/>
      <c r="N470" s="82"/>
      <c r="O470" s="3" t="str">
        <f>IF($A470="","",IF(P470=AZ470,"E","A"))</f>
        <v>A</v>
      </c>
      <c r="P470" s="84">
        <v>19465</v>
      </c>
      <c r="Q470" s="84">
        <v>3375</v>
      </c>
      <c r="R470" s="32"/>
      <c r="S470" s="3" t="str">
        <f>IF($A470="","",IF(T470=BA470,"E","A"))</f>
        <v>A</v>
      </c>
      <c r="T470" s="84">
        <v>15256</v>
      </c>
      <c r="U470" s="84">
        <v>2510</v>
      </c>
      <c r="V470" s="32"/>
      <c r="W470" s="3" t="str">
        <f t="shared" si="177"/>
        <v>A</v>
      </c>
      <c r="X470" s="84">
        <v>15521</v>
      </c>
      <c r="Y470" s="84">
        <v>1799</v>
      </c>
      <c r="Z470" s="32"/>
      <c r="AA470" s="3" t="str">
        <f t="shared" si="178"/>
        <v>A</v>
      </c>
      <c r="AB470" s="84">
        <v>15526</v>
      </c>
      <c r="AC470" s="84">
        <v>3087</v>
      </c>
      <c r="AD470" s="36"/>
      <c r="AE470" s="82"/>
      <c r="AF470" s="3" t="str">
        <f t="shared" si="179"/>
        <v>A</v>
      </c>
      <c r="AG470" s="84">
        <v>0</v>
      </c>
      <c r="AH470" s="84">
        <v>0</v>
      </c>
      <c r="AI470" s="39"/>
      <c r="AJ470" s="79" t="s">
        <v>1801</v>
      </c>
      <c r="AK470" s="39"/>
      <c r="AL470" s="4">
        <f t="shared" si="184"/>
        <v>65768</v>
      </c>
      <c r="AM470" s="4">
        <f t="shared" si="185"/>
        <v>10771</v>
      </c>
      <c r="AN470" s="4">
        <f t="shared" si="180"/>
        <v>76539</v>
      </c>
      <c r="AO470" s="39"/>
      <c r="AP470" s="8">
        <f t="shared" si="186"/>
        <v>0</v>
      </c>
      <c r="AQ470" s="8">
        <f t="shared" si="187"/>
        <v>0</v>
      </c>
      <c r="AR470" s="8">
        <f t="shared" si="181"/>
        <v>0</v>
      </c>
      <c r="AS470" s="42"/>
      <c r="AT470" s="84">
        <v>65768</v>
      </c>
      <c r="AU470" s="84">
        <v>10771</v>
      </c>
      <c r="AV470" s="4">
        <f t="shared" si="182"/>
        <v>76539</v>
      </c>
      <c r="AW470" s="50" t="str">
        <f t="shared" si="183"/>
        <v/>
      </c>
      <c r="AX470" s="1" t="s">
        <v>1754</v>
      </c>
      <c r="AY470" s="2" t="s">
        <v>1755</v>
      </c>
      <c r="AZ470" s="2">
        <v>98907.36</v>
      </c>
      <c r="BA470" s="73">
        <v>86543.94</v>
      </c>
      <c r="BB470" s="73">
        <v>86543.94</v>
      </c>
      <c r="BC470" s="73">
        <v>98907.36</v>
      </c>
      <c r="BD470" s="73"/>
      <c r="BE470" s="66">
        <v>0</v>
      </c>
      <c r="BF470" s="66">
        <v>0.05</v>
      </c>
      <c r="BG470" s="63">
        <v>44967</v>
      </c>
      <c r="BH470" s="2"/>
      <c r="BI470" s="2"/>
      <c r="BJ470" s="2">
        <v>360210.24</v>
      </c>
      <c r="BK470" s="2">
        <v>18911.04</v>
      </c>
      <c r="BL470" s="1" t="s">
        <v>104</v>
      </c>
    </row>
    <row r="471" spans="1:64" x14ac:dyDescent="0.25">
      <c r="A471" s="81" t="s">
        <v>1079</v>
      </c>
      <c r="B471" s="82" t="s">
        <v>1079</v>
      </c>
      <c r="C471" s="81" t="s">
        <v>1080</v>
      </c>
      <c r="D471" s="16">
        <v>42641</v>
      </c>
      <c r="E471" s="17">
        <v>45809</v>
      </c>
      <c r="F471" s="2" t="s">
        <v>803</v>
      </c>
      <c r="G471" s="2" t="s">
        <v>804</v>
      </c>
      <c r="H471" s="10" t="s">
        <v>105</v>
      </c>
      <c r="I471" s="11" t="s">
        <v>53</v>
      </c>
      <c r="J471" s="11" t="s">
        <v>106</v>
      </c>
      <c r="K471" s="61"/>
      <c r="L471" s="11" t="s">
        <v>67</v>
      </c>
      <c r="M471" s="25"/>
      <c r="N471" s="82"/>
      <c r="O471" s="3" t="str">
        <f t="shared" ref="O471:O481" si="188">IF($A471="","",IF(P471=0,"A",IF(P471=AZ471,"E","A")))</f>
        <v>A</v>
      </c>
      <c r="P471" s="84"/>
      <c r="Q471" s="84"/>
      <c r="R471" s="32"/>
      <c r="S471" s="3" t="str">
        <f t="shared" ref="S471:S482" si="189">IF($A471="","",IF(T471=0,"A",IF(T471=BA471,"E","A")))</f>
        <v>A</v>
      </c>
      <c r="T471" s="84"/>
      <c r="U471" s="84"/>
      <c r="V471" s="32"/>
      <c r="W471" s="3" t="str">
        <f t="shared" si="177"/>
        <v>A</v>
      </c>
      <c r="X471" s="84"/>
      <c r="Y471" s="84"/>
      <c r="Z471" s="32"/>
      <c r="AA471" s="3" t="str">
        <f t="shared" si="178"/>
        <v>A</v>
      </c>
      <c r="AB471" s="84"/>
      <c r="AC471" s="84"/>
      <c r="AD471" s="36"/>
      <c r="AE471" s="82"/>
      <c r="AF471" s="3" t="str">
        <f t="shared" si="179"/>
        <v>A</v>
      </c>
      <c r="AG471" s="84"/>
      <c r="AH471" s="84"/>
      <c r="AI471" s="39"/>
      <c r="AJ471" s="79" t="s">
        <v>1801</v>
      </c>
      <c r="AK471" s="39"/>
      <c r="AL471" s="4">
        <f t="shared" si="184"/>
        <v>0</v>
      </c>
      <c r="AM471" s="4">
        <f t="shared" si="185"/>
        <v>0</v>
      </c>
      <c r="AN471" s="4">
        <f t="shared" si="180"/>
        <v>0</v>
      </c>
      <c r="AO471" s="39"/>
      <c r="AP471" s="8">
        <f t="shared" si="186"/>
        <v>0</v>
      </c>
      <c r="AQ471" s="8">
        <f t="shared" si="187"/>
        <v>0</v>
      </c>
      <c r="AR471" s="8">
        <f t="shared" si="181"/>
        <v>0</v>
      </c>
      <c r="AS471" s="42"/>
      <c r="AT471" s="84"/>
      <c r="AU471" s="84"/>
      <c r="AV471" s="4">
        <f t="shared" si="182"/>
        <v>0</v>
      </c>
      <c r="AW471" s="50" t="str">
        <f t="shared" si="183"/>
        <v/>
      </c>
      <c r="AX471" s="1" t="s">
        <v>1730</v>
      </c>
      <c r="AY471" s="2" t="s">
        <v>1731</v>
      </c>
      <c r="AZ471" s="2"/>
      <c r="BA471" s="73"/>
      <c r="BB471" s="73"/>
      <c r="BC471" s="73"/>
      <c r="BD471" s="73"/>
      <c r="BE471" s="66">
        <v>3.5000000000000003E-2</v>
      </c>
      <c r="BF471" s="66">
        <v>0.05</v>
      </c>
      <c r="BG471" s="63">
        <v>44441</v>
      </c>
      <c r="BH471" s="74">
        <v>45809</v>
      </c>
      <c r="BI471" s="2"/>
      <c r="BJ471" s="2">
        <v>540729.54</v>
      </c>
      <c r="BK471" s="2">
        <v>60081.06</v>
      </c>
      <c r="BL471" s="1" t="s">
        <v>104</v>
      </c>
    </row>
    <row r="472" spans="1:64" x14ac:dyDescent="0.25">
      <c r="A472" s="81" t="s">
        <v>1081</v>
      </c>
      <c r="B472" s="82" t="s">
        <v>1081</v>
      </c>
      <c r="C472" s="81" t="s">
        <v>1082</v>
      </c>
      <c r="D472" s="16">
        <v>44772</v>
      </c>
      <c r="E472" s="17"/>
      <c r="F472" s="2" t="s">
        <v>1083</v>
      </c>
      <c r="G472" s="2" t="s">
        <v>1084</v>
      </c>
      <c r="H472" s="10" t="s">
        <v>105</v>
      </c>
      <c r="I472" s="11" t="s">
        <v>53</v>
      </c>
      <c r="J472" s="11" t="s">
        <v>1074</v>
      </c>
      <c r="K472" s="61"/>
      <c r="L472" s="11" t="s">
        <v>67</v>
      </c>
      <c r="M472" s="25"/>
      <c r="N472" s="82"/>
      <c r="O472" s="3" t="str">
        <f t="shared" si="188"/>
        <v>A</v>
      </c>
      <c r="P472" s="84">
        <v>241301</v>
      </c>
      <c r="Q472" s="84">
        <v>47478</v>
      </c>
      <c r="R472" s="32"/>
      <c r="S472" s="3" t="str">
        <f t="shared" si="189"/>
        <v>A</v>
      </c>
      <c r="T472" s="84">
        <v>211691</v>
      </c>
      <c r="U472" s="84">
        <v>27567</v>
      </c>
      <c r="V472" s="32"/>
      <c r="W472" s="3" t="str">
        <f t="shared" si="177"/>
        <v>A</v>
      </c>
      <c r="X472" s="84">
        <v>192194</v>
      </c>
      <c r="Y472" s="84">
        <v>29016</v>
      </c>
      <c r="Z472" s="32"/>
      <c r="AA472" s="3" t="str">
        <f t="shared" si="178"/>
        <v>A</v>
      </c>
      <c r="AB472" s="84">
        <v>219715</v>
      </c>
      <c r="AC472" s="84">
        <v>33461</v>
      </c>
      <c r="AD472" s="36"/>
      <c r="AE472" s="82"/>
      <c r="AF472" s="3" t="str">
        <f t="shared" si="179"/>
        <v>A</v>
      </c>
      <c r="AG472" s="84">
        <v>0</v>
      </c>
      <c r="AH472" s="84">
        <v>0</v>
      </c>
      <c r="AI472" s="39"/>
      <c r="AJ472" s="79" t="s">
        <v>1801</v>
      </c>
      <c r="AK472" s="39"/>
      <c r="AL472" s="4">
        <f t="shared" si="184"/>
        <v>864901</v>
      </c>
      <c r="AM472" s="4">
        <f t="shared" si="185"/>
        <v>137522</v>
      </c>
      <c r="AN472" s="4">
        <f t="shared" si="180"/>
        <v>1002423</v>
      </c>
      <c r="AO472" s="39"/>
      <c r="AP472" s="8">
        <f t="shared" si="186"/>
        <v>0</v>
      </c>
      <c r="AQ472" s="8">
        <f t="shared" si="187"/>
        <v>0</v>
      </c>
      <c r="AR472" s="8">
        <f t="shared" si="181"/>
        <v>0</v>
      </c>
      <c r="AS472" s="42"/>
      <c r="AT472" s="84">
        <v>864901</v>
      </c>
      <c r="AU472" s="84">
        <v>137522</v>
      </c>
      <c r="AV472" s="4">
        <f t="shared" si="182"/>
        <v>1002423</v>
      </c>
      <c r="AW472" s="50" t="str">
        <f t="shared" si="183"/>
        <v/>
      </c>
      <c r="AX472" s="1" t="s">
        <v>1756</v>
      </c>
      <c r="AY472" s="2" t="s">
        <v>1757</v>
      </c>
      <c r="AZ472" s="2">
        <v>204826</v>
      </c>
      <c r="BA472" s="73">
        <v>179222.75</v>
      </c>
      <c r="BB472" s="73">
        <v>179222.75</v>
      </c>
      <c r="BC472" s="73">
        <v>204826</v>
      </c>
      <c r="BD472" s="73"/>
      <c r="BE472" s="66">
        <v>0</v>
      </c>
      <c r="BF472" s="66">
        <v>0.05</v>
      </c>
      <c r="BG472" s="63">
        <v>44770</v>
      </c>
      <c r="BH472" s="2"/>
      <c r="BI472" s="2"/>
      <c r="BJ472" s="2">
        <v>732408</v>
      </c>
      <c r="BK472" s="2">
        <v>81378.67</v>
      </c>
      <c r="BL472" s="1" t="s">
        <v>104</v>
      </c>
    </row>
    <row r="473" spans="1:64" x14ac:dyDescent="0.25">
      <c r="A473" s="81" t="s">
        <v>1087</v>
      </c>
      <c r="B473" s="82" t="s">
        <v>1087</v>
      </c>
      <c r="C473" s="81" t="s">
        <v>1088</v>
      </c>
      <c r="D473" s="16">
        <v>0</v>
      </c>
      <c r="E473" s="17"/>
      <c r="F473" s="2" t="s">
        <v>76</v>
      </c>
      <c r="G473" s="2" t="s">
        <v>78</v>
      </c>
      <c r="H473" s="10" t="s">
        <v>57</v>
      </c>
      <c r="I473" s="11" t="s">
        <v>77</v>
      </c>
      <c r="J473" s="11" t="s">
        <v>87</v>
      </c>
      <c r="K473" s="61" t="s">
        <v>88</v>
      </c>
      <c r="L473" s="11" t="s">
        <v>67</v>
      </c>
      <c r="M473" s="25"/>
      <c r="N473" s="82"/>
      <c r="O473" s="3" t="str">
        <f t="shared" si="188"/>
        <v>A</v>
      </c>
      <c r="P473" s="84">
        <v>95595</v>
      </c>
      <c r="Q473" s="84">
        <v>16909</v>
      </c>
      <c r="R473" s="32"/>
      <c r="S473" s="3" t="str">
        <f t="shared" si="189"/>
        <v>A</v>
      </c>
      <c r="T473" s="84">
        <v>89072.5</v>
      </c>
      <c r="U473" s="84">
        <v>14591</v>
      </c>
      <c r="V473" s="32"/>
      <c r="W473" s="3" t="str">
        <f t="shared" si="177"/>
        <v>A</v>
      </c>
      <c r="X473" s="84">
        <v>69598</v>
      </c>
      <c r="Y473" s="84">
        <v>10395</v>
      </c>
      <c r="Z473" s="32"/>
      <c r="AA473" s="3" t="str">
        <f t="shared" si="178"/>
        <v>A</v>
      </c>
      <c r="AB473" s="84">
        <v>107213</v>
      </c>
      <c r="AC473" s="84">
        <v>15778</v>
      </c>
      <c r="AD473" s="36"/>
      <c r="AE473" s="82"/>
      <c r="AF473" s="3" t="str">
        <f t="shared" si="179"/>
        <v>A</v>
      </c>
      <c r="AG473" s="84">
        <v>0</v>
      </c>
      <c r="AH473" s="84">
        <v>0</v>
      </c>
      <c r="AI473" s="39"/>
      <c r="AJ473" s="79" t="s">
        <v>1801</v>
      </c>
      <c r="AK473" s="39"/>
      <c r="AL473" s="4">
        <f t="shared" si="184"/>
        <v>361478.5</v>
      </c>
      <c r="AM473" s="4">
        <f t="shared" si="185"/>
        <v>57673</v>
      </c>
      <c r="AN473" s="4">
        <f t="shared" si="180"/>
        <v>419151.5</v>
      </c>
      <c r="AO473" s="39"/>
      <c r="AP473" s="8">
        <f t="shared" si="186"/>
        <v>0</v>
      </c>
      <c r="AQ473" s="8">
        <f t="shared" si="187"/>
        <v>0</v>
      </c>
      <c r="AR473" s="8">
        <f t="shared" si="181"/>
        <v>0</v>
      </c>
      <c r="AS473" s="42"/>
      <c r="AT473" s="84">
        <v>361478.5</v>
      </c>
      <c r="AU473" s="84">
        <v>57673</v>
      </c>
      <c r="AV473" s="4">
        <f t="shared" si="182"/>
        <v>419151.5</v>
      </c>
      <c r="AW473" s="50" t="str">
        <f t="shared" si="183"/>
        <v/>
      </c>
      <c r="AX473" s="1" t="s">
        <v>1639</v>
      </c>
      <c r="AY473" s="2" t="s">
        <v>1640</v>
      </c>
      <c r="AZ473" s="2">
        <v>171088.16</v>
      </c>
      <c r="BA473" s="73">
        <v>149702.14000000001</v>
      </c>
      <c r="BB473" s="73">
        <v>149702.14000000001</v>
      </c>
      <c r="BC473" s="73">
        <v>171088.16</v>
      </c>
      <c r="BD473" s="73"/>
      <c r="BE473" s="66">
        <v>0</v>
      </c>
      <c r="BF473" s="66">
        <v>0.02</v>
      </c>
      <c r="BG473" s="63">
        <v>44916</v>
      </c>
      <c r="BH473" s="2"/>
      <c r="BI473" s="2"/>
      <c r="BJ473" s="2">
        <v>645237.80000000005</v>
      </c>
      <c r="BK473" s="2">
        <v>71693.09</v>
      </c>
      <c r="BL473" s="1" t="s">
        <v>56</v>
      </c>
    </row>
    <row r="474" spans="1:64" x14ac:dyDescent="0.25">
      <c r="A474" s="81" t="s">
        <v>1087</v>
      </c>
      <c r="B474" s="82" t="s">
        <v>1223</v>
      </c>
      <c r="C474" s="81" t="s">
        <v>1224</v>
      </c>
      <c r="D474" s="16">
        <v>0</v>
      </c>
      <c r="E474" s="17"/>
      <c r="F474" s="2" t="s">
        <v>76</v>
      </c>
      <c r="G474" s="2" t="s">
        <v>78</v>
      </c>
      <c r="H474" s="10" t="s">
        <v>57</v>
      </c>
      <c r="I474" s="11" t="s">
        <v>77</v>
      </c>
      <c r="J474" s="11" t="s">
        <v>87</v>
      </c>
      <c r="K474" s="61" t="s">
        <v>88</v>
      </c>
      <c r="L474" s="11" t="s">
        <v>67</v>
      </c>
      <c r="M474" s="25"/>
      <c r="N474" s="82"/>
      <c r="O474" s="3" t="str">
        <f t="shared" si="188"/>
        <v>A</v>
      </c>
      <c r="P474" s="84">
        <v>21379</v>
      </c>
      <c r="Q474" s="84">
        <v>8271</v>
      </c>
      <c r="R474" s="32"/>
      <c r="S474" s="3" t="str">
        <f t="shared" si="189"/>
        <v>A</v>
      </c>
      <c r="T474" s="84">
        <v>20223</v>
      </c>
      <c r="U474" s="84">
        <v>6768</v>
      </c>
      <c r="V474" s="32"/>
      <c r="W474" s="3" t="str">
        <f t="shared" si="177"/>
        <v>A</v>
      </c>
      <c r="X474" s="84">
        <v>23709</v>
      </c>
      <c r="Y474" s="84">
        <v>5990</v>
      </c>
      <c r="Z474" s="32"/>
      <c r="AA474" s="3" t="str">
        <f t="shared" si="178"/>
        <v>A</v>
      </c>
      <c r="AB474" s="84">
        <v>23666</v>
      </c>
      <c r="AC474" s="84">
        <v>6114</v>
      </c>
      <c r="AD474" s="36"/>
      <c r="AE474" s="82"/>
      <c r="AF474" s="3" t="str">
        <f t="shared" si="179"/>
        <v>A</v>
      </c>
      <c r="AG474" s="84">
        <v>0</v>
      </c>
      <c r="AH474" s="84">
        <v>0</v>
      </c>
      <c r="AI474" s="39"/>
      <c r="AJ474" s="79" t="s">
        <v>1801</v>
      </c>
      <c r="AK474" s="39"/>
      <c r="AL474" s="4">
        <f t="shared" si="184"/>
        <v>88977</v>
      </c>
      <c r="AM474" s="4">
        <f t="shared" si="185"/>
        <v>27143</v>
      </c>
      <c r="AN474" s="4">
        <f t="shared" si="180"/>
        <v>116120</v>
      </c>
      <c r="AO474" s="39"/>
      <c r="AP474" s="8">
        <f t="shared" si="186"/>
        <v>0</v>
      </c>
      <c r="AQ474" s="8">
        <f t="shared" si="187"/>
        <v>0</v>
      </c>
      <c r="AR474" s="8">
        <f t="shared" si="181"/>
        <v>0</v>
      </c>
      <c r="AS474" s="42"/>
      <c r="AT474" s="84">
        <v>88977</v>
      </c>
      <c r="AU474" s="84">
        <v>27143</v>
      </c>
      <c r="AV474" s="4">
        <f t="shared" si="182"/>
        <v>116120</v>
      </c>
      <c r="AW474" s="50" t="str">
        <f t="shared" si="183"/>
        <v/>
      </c>
      <c r="AX474" s="1" t="s">
        <v>1639</v>
      </c>
      <c r="AY474" s="2" t="s">
        <v>1640</v>
      </c>
      <c r="AZ474" s="2">
        <v>41362.080000000002</v>
      </c>
      <c r="BA474" s="73">
        <v>36191.82</v>
      </c>
      <c r="BB474" s="73">
        <v>36191.82</v>
      </c>
      <c r="BC474" s="73">
        <v>41362.080000000002</v>
      </c>
      <c r="BD474" s="73"/>
      <c r="BE474" s="66">
        <v>0</v>
      </c>
      <c r="BF474" s="66">
        <v>0.02</v>
      </c>
      <c r="BG474" s="63">
        <v>45196</v>
      </c>
      <c r="BH474" s="2"/>
      <c r="BI474" s="2"/>
      <c r="BJ474" s="2">
        <v>150000</v>
      </c>
      <c r="BK474" s="2">
        <v>50000</v>
      </c>
      <c r="BL474" s="1" t="s">
        <v>56</v>
      </c>
    </row>
    <row r="475" spans="1:64" x14ac:dyDescent="0.25">
      <c r="A475" s="81" t="s">
        <v>868</v>
      </c>
      <c r="B475" s="82" t="s">
        <v>869</v>
      </c>
      <c r="C475" s="81" t="s">
        <v>870</v>
      </c>
      <c r="D475" s="16">
        <v>43733</v>
      </c>
      <c r="E475" s="17"/>
      <c r="F475" s="2" t="s">
        <v>859</v>
      </c>
      <c r="G475" s="2" t="s">
        <v>860</v>
      </c>
      <c r="H475" s="10" t="s">
        <v>98</v>
      </c>
      <c r="I475" s="11" t="s">
        <v>53</v>
      </c>
      <c r="J475" s="11" t="s">
        <v>224</v>
      </c>
      <c r="K475" s="61"/>
      <c r="L475" s="11" t="s">
        <v>67</v>
      </c>
      <c r="M475" s="25"/>
      <c r="N475" s="82"/>
      <c r="O475" s="3" t="str">
        <f t="shared" si="188"/>
        <v>A</v>
      </c>
      <c r="P475" s="84">
        <v>80675</v>
      </c>
      <c r="Q475" s="84">
        <v>0</v>
      </c>
      <c r="R475" s="32"/>
      <c r="S475" s="3" t="str">
        <f t="shared" si="189"/>
        <v>A</v>
      </c>
      <c r="T475" s="84">
        <v>79969</v>
      </c>
      <c r="U475" s="84"/>
      <c r="V475" s="32"/>
      <c r="W475" s="3" t="str">
        <f t="shared" si="177"/>
        <v>A</v>
      </c>
      <c r="X475" s="84">
        <v>69557</v>
      </c>
      <c r="Y475" s="84"/>
      <c r="Z475" s="32"/>
      <c r="AA475" s="3" t="str">
        <f t="shared" si="178"/>
        <v>A</v>
      </c>
      <c r="AB475" s="84">
        <v>84616</v>
      </c>
      <c r="AC475" s="84"/>
      <c r="AD475" s="36"/>
      <c r="AE475" s="82"/>
      <c r="AF475" s="3" t="str">
        <f t="shared" si="179"/>
        <v>A</v>
      </c>
      <c r="AG475" s="84">
        <v>0</v>
      </c>
      <c r="AH475" s="84">
        <v>0</v>
      </c>
      <c r="AI475" s="39"/>
      <c r="AJ475" s="79" t="s">
        <v>1801</v>
      </c>
      <c r="AK475" s="39"/>
      <c r="AL475" s="4">
        <f t="shared" si="184"/>
        <v>314817</v>
      </c>
      <c r="AM475" s="4">
        <f t="shared" si="185"/>
        <v>0</v>
      </c>
      <c r="AN475" s="4">
        <f t="shared" si="180"/>
        <v>314817</v>
      </c>
      <c r="AO475" s="39"/>
      <c r="AP475" s="8">
        <f t="shared" si="186"/>
        <v>0</v>
      </c>
      <c r="AQ475" s="8">
        <f t="shared" si="187"/>
        <v>0</v>
      </c>
      <c r="AR475" s="8">
        <f t="shared" si="181"/>
        <v>0</v>
      </c>
      <c r="AS475" s="42"/>
      <c r="AT475" s="84">
        <v>314817</v>
      </c>
      <c r="AU475" s="84"/>
      <c r="AV475" s="4">
        <f t="shared" si="182"/>
        <v>314817</v>
      </c>
      <c r="AW475" s="50" t="str">
        <f t="shared" si="183"/>
        <v/>
      </c>
      <c r="AX475" s="1" t="s">
        <v>1736</v>
      </c>
      <c r="AY475" s="2" t="s">
        <v>1737</v>
      </c>
      <c r="AZ475" s="2">
        <v>88093.440000000002</v>
      </c>
      <c r="BA475" s="73">
        <v>77081.759999999995</v>
      </c>
      <c r="BB475" s="73">
        <v>77081.759999999995</v>
      </c>
      <c r="BC475" s="73">
        <v>88093.440000000002</v>
      </c>
      <c r="BD475" s="73"/>
      <c r="BE475" s="66">
        <v>0</v>
      </c>
      <c r="BF475" s="66">
        <v>0.05</v>
      </c>
      <c r="BG475" s="63">
        <v>44755</v>
      </c>
      <c r="BH475" s="74">
        <v>43911</v>
      </c>
      <c r="BI475" s="74">
        <v>43971</v>
      </c>
      <c r="BJ475" s="2"/>
      <c r="BK475" s="2"/>
      <c r="BL475" s="1" t="s">
        <v>97</v>
      </c>
    </row>
    <row r="476" spans="1:64" x14ac:dyDescent="0.25">
      <c r="A476" s="81" t="s">
        <v>868</v>
      </c>
      <c r="B476" s="82" t="s">
        <v>1059</v>
      </c>
      <c r="C476" s="81" t="s">
        <v>1060</v>
      </c>
      <c r="D476" s="16">
        <v>0</v>
      </c>
      <c r="E476" s="17"/>
      <c r="F476" s="2" t="s">
        <v>859</v>
      </c>
      <c r="G476" s="2" t="s">
        <v>860</v>
      </c>
      <c r="H476" s="10" t="s">
        <v>98</v>
      </c>
      <c r="I476" s="11" t="s">
        <v>53</v>
      </c>
      <c r="J476" s="11" t="s">
        <v>224</v>
      </c>
      <c r="K476" s="61"/>
      <c r="L476" s="11" t="s">
        <v>67</v>
      </c>
      <c r="M476" s="25"/>
      <c r="N476" s="82"/>
      <c r="O476" s="3" t="str">
        <f t="shared" si="188"/>
        <v>A</v>
      </c>
      <c r="P476" s="84">
        <v>69531</v>
      </c>
      <c r="Q476" s="84">
        <v>0</v>
      </c>
      <c r="R476" s="32"/>
      <c r="S476" s="3" t="str">
        <f t="shared" si="189"/>
        <v>A</v>
      </c>
      <c r="T476" s="84">
        <v>70020</v>
      </c>
      <c r="U476" s="84"/>
      <c r="V476" s="32"/>
      <c r="W476" s="3" t="str">
        <f t="shared" si="177"/>
        <v>A</v>
      </c>
      <c r="X476" s="84">
        <v>54057</v>
      </c>
      <c r="Y476" s="84"/>
      <c r="Z476" s="32"/>
      <c r="AA476" s="3" t="str">
        <f t="shared" si="178"/>
        <v>A</v>
      </c>
      <c r="AB476" s="84">
        <v>64947</v>
      </c>
      <c r="AC476" s="84"/>
      <c r="AD476" s="36"/>
      <c r="AE476" s="82"/>
      <c r="AF476" s="3" t="str">
        <f t="shared" si="179"/>
        <v>A</v>
      </c>
      <c r="AG476" s="84">
        <v>0</v>
      </c>
      <c r="AH476" s="84">
        <v>0</v>
      </c>
      <c r="AI476" s="39"/>
      <c r="AJ476" s="79" t="s">
        <v>1801</v>
      </c>
      <c r="AK476" s="39"/>
      <c r="AL476" s="4">
        <f t="shared" si="184"/>
        <v>258555</v>
      </c>
      <c r="AM476" s="4">
        <f t="shared" si="185"/>
        <v>0</v>
      </c>
      <c r="AN476" s="4">
        <f t="shared" si="180"/>
        <v>258555</v>
      </c>
      <c r="AO476" s="39"/>
      <c r="AP476" s="8">
        <f t="shared" si="186"/>
        <v>0</v>
      </c>
      <c r="AQ476" s="8">
        <f t="shared" si="187"/>
        <v>0</v>
      </c>
      <c r="AR476" s="8">
        <f t="shared" si="181"/>
        <v>0</v>
      </c>
      <c r="AS476" s="42"/>
      <c r="AT476" s="84">
        <v>258555</v>
      </c>
      <c r="AU476" s="84"/>
      <c r="AV476" s="4">
        <f t="shared" si="182"/>
        <v>258555</v>
      </c>
      <c r="AW476" s="50" t="str">
        <f t="shared" si="183"/>
        <v/>
      </c>
      <c r="AX476" s="1" t="s">
        <v>1736</v>
      </c>
      <c r="AY476" s="2" t="s">
        <v>1737</v>
      </c>
      <c r="AZ476" s="2">
        <v>30625.040000000001</v>
      </c>
      <c r="BA476" s="73">
        <v>26796.91</v>
      </c>
      <c r="BB476" s="73">
        <v>26796.91</v>
      </c>
      <c r="BC476" s="73">
        <v>30625.040000000001</v>
      </c>
      <c r="BD476" s="73"/>
      <c r="BE476" s="66">
        <v>0</v>
      </c>
      <c r="BF476" s="66">
        <v>0.05</v>
      </c>
      <c r="BG476" s="63">
        <v>44755</v>
      </c>
      <c r="BH476" s="2"/>
      <c r="BI476" s="2"/>
      <c r="BJ476" s="2">
        <v>108000</v>
      </c>
      <c r="BK476" s="2"/>
      <c r="BL476" s="1" t="s">
        <v>97</v>
      </c>
    </row>
    <row r="477" spans="1:64" x14ac:dyDescent="0.25">
      <c r="A477" s="81" t="s">
        <v>868</v>
      </c>
      <c r="B477" s="82" t="s">
        <v>868</v>
      </c>
      <c r="C477" s="81" t="s">
        <v>1089</v>
      </c>
      <c r="D477" s="16">
        <v>37450</v>
      </c>
      <c r="E477" s="17"/>
      <c r="F477" s="2" t="s">
        <v>859</v>
      </c>
      <c r="G477" s="2" t="s">
        <v>860</v>
      </c>
      <c r="H477" s="10" t="s">
        <v>98</v>
      </c>
      <c r="I477" s="11" t="s">
        <v>53</v>
      </c>
      <c r="J477" s="11" t="s">
        <v>224</v>
      </c>
      <c r="K477" s="61"/>
      <c r="L477" s="11" t="s">
        <v>67</v>
      </c>
      <c r="M477" s="25"/>
      <c r="N477" s="82"/>
      <c r="O477" s="3" t="str">
        <f t="shared" si="188"/>
        <v>A</v>
      </c>
      <c r="P477" s="84">
        <v>96178</v>
      </c>
      <c r="Q477" s="84">
        <v>0</v>
      </c>
      <c r="R477" s="32"/>
      <c r="S477" s="3" t="str">
        <f t="shared" si="189"/>
        <v>A</v>
      </c>
      <c r="T477" s="84">
        <v>81825</v>
      </c>
      <c r="U477" s="84"/>
      <c r="V477" s="32"/>
      <c r="W477" s="3" t="str">
        <f t="shared" si="177"/>
        <v>A</v>
      </c>
      <c r="X477" s="84">
        <v>84276</v>
      </c>
      <c r="Y477" s="84"/>
      <c r="Z477" s="32"/>
      <c r="AA477" s="3" t="str">
        <f t="shared" si="178"/>
        <v>A</v>
      </c>
      <c r="AB477" s="84">
        <v>101357</v>
      </c>
      <c r="AC477" s="84">
        <v>3005</v>
      </c>
      <c r="AD477" s="36"/>
      <c r="AE477" s="82"/>
      <c r="AF477" s="3" t="str">
        <f t="shared" si="179"/>
        <v>A</v>
      </c>
      <c r="AG477" s="84">
        <v>0</v>
      </c>
      <c r="AH477" s="84">
        <v>0</v>
      </c>
      <c r="AI477" s="39"/>
      <c r="AJ477" s="79" t="s">
        <v>1801</v>
      </c>
      <c r="AK477" s="39"/>
      <c r="AL477" s="4">
        <f t="shared" si="184"/>
        <v>363636</v>
      </c>
      <c r="AM477" s="4">
        <f t="shared" si="185"/>
        <v>3005</v>
      </c>
      <c r="AN477" s="4">
        <f t="shared" si="180"/>
        <v>366641</v>
      </c>
      <c r="AO477" s="39"/>
      <c r="AP477" s="8">
        <f t="shared" si="186"/>
        <v>0</v>
      </c>
      <c r="AQ477" s="8">
        <f t="shared" si="187"/>
        <v>0</v>
      </c>
      <c r="AR477" s="8">
        <f t="shared" si="181"/>
        <v>0</v>
      </c>
      <c r="AS477" s="42"/>
      <c r="AT477" s="84">
        <v>363636</v>
      </c>
      <c r="AU477" s="84">
        <v>3005</v>
      </c>
      <c r="AV477" s="4">
        <f t="shared" si="182"/>
        <v>366641</v>
      </c>
      <c r="AW477" s="50" t="str">
        <f t="shared" si="183"/>
        <v/>
      </c>
      <c r="AX477" s="1" t="s">
        <v>1736</v>
      </c>
      <c r="AY477" s="2" t="s">
        <v>1737</v>
      </c>
      <c r="AZ477" s="2">
        <v>129422.96</v>
      </c>
      <c r="BA477" s="73">
        <v>113245.09</v>
      </c>
      <c r="BB477" s="73">
        <v>113245.09</v>
      </c>
      <c r="BC477" s="73">
        <v>129422.96</v>
      </c>
      <c r="BD477" s="73"/>
      <c r="BE477" s="66">
        <v>0.04</v>
      </c>
      <c r="BF477" s="66">
        <v>0.05</v>
      </c>
      <c r="BG477" s="63">
        <v>44755</v>
      </c>
      <c r="BH477" s="2"/>
      <c r="BI477" s="2"/>
      <c r="BJ477" s="2">
        <v>472668</v>
      </c>
      <c r="BK477" s="2">
        <v>59083.5</v>
      </c>
      <c r="BL477" s="1" t="s">
        <v>97</v>
      </c>
    </row>
    <row r="478" spans="1:64" x14ac:dyDescent="0.25">
      <c r="A478" s="81" t="s">
        <v>868</v>
      </c>
      <c r="B478" s="82" t="s">
        <v>1098</v>
      </c>
      <c r="C478" s="81" t="s">
        <v>1099</v>
      </c>
      <c r="D478" s="16">
        <v>0</v>
      </c>
      <c r="E478" s="17"/>
      <c r="F478" s="2" t="s">
        <v>859</v>
      </c>
      <c r="G478" s="2" t="s">
        <v>860</v>
      </c>
      <c r="H478" s="10" t="s">
        <v>98</v>
      </c>
      <c r="I478" s="11" t="s">
        <v>53</v>
      </c>
      <c r="J478" s="11" t="s">
        <v>224</v>
      </c>
      <c r="K478" s="61"/>
      <c r="L478" s="11" t="s">
        <v>67</v>
      </c>
      <c r="M478" s="25"/>
      <c r="N478" s="82"/>
      <c r="O478" s="3" t="str">
        <f t="shared" si="188"/>
        <v>A</v>
      </c>
      <c r="P478" s="84">
        <v>116904</v>
      </c>
      <c r="Q478" s="84">
        <v>0</v>
      </c>
      <c r="R478" s="32"/>
      <c r="S478" s="3" t="str">
        <f t="shared" si="189"/>
        <v>A</v>
      </c>
      <c r="T478" s="84">
        <v>107812</v>
      </c>
      <c r="U478" s="84"/>
      <c r="V478" s="32"/>
      <c r="W478" s="3" t="str">
        <f t="shared" si="177"/>
        <v>A</v>
      </c>
      <c r="X478" s="84">
        <v>90978</v>
      </c>
      <c r="Y478" s="84"/>
      <c r="Z478" s="32"/>
      <c r="AA478" s="3" t="str">
        <f t="shared" si="178"/>
        <v>A</v>
      </c>
      <c r="AB478" s="84">
        <v>111250</v>
      </c>
      <c r="AC478" s="84"/>
      <c r="AD478" s="36"/>
      <c r="AE478" s="82"/>
      <c r="AF478" s="3" t="str">
        <f t="shared" si="179"/>
        <v>A</v>
      </c>
      <c r="AG478" s="84">
        <v>0</v>
      </c>
      <c r="AH478" s="84">
        <v>0</v>
      </c>
      <c r="AI478" s="39"/>
      <c r="AJ478" s="79" t="s">
        <v>1801</v>
      </c>
      <c r="AK478" s="39"/>
      <c r="AL478" s="4">
        <f t="shared" si="184"/>
        <v>426944</v>
      </c>
      <c r="AM478" s="4">
        <f t="shared" si="185"/>
        <v>0</v>
      </c>
      <c r="AN478" s="4">
        <f t="shared" si="180"/>
        <v>426944</v>
      </c>
      <c r="AO478" s="39"/>
      <c r="AP478" s="8">
        <f t="shared" si="186"/>
        <v>0</v>
      </c>
      <c r="AQ478" s="8">
        <f t="shared" si="187"/>
        <v>0</v>
      </c>
      <c r="AR478" s="8">
        <f t="shared" si="181"/>
        <v>0</v>
      </c>
      <c r="AS478" s="42"/>
      <c r="AT478" s="84">
        <v>426944</v>
      </c>
      <c r="AU478" s="84"/>
      <c r="AV478" s="4">
        <f t="shared" si="182"/>
        <v>426944</v>
      </c>
      <c r="AW478" s="50" t="str">
        <f t="shared" si="183"/>
        <v/>
      </c>
      <c r="AX478" s="1" t="s">
        <v>1736</v>
      </c>
      <c r="AY478" s="2" t="s">
        <v>1737</v>
      </c>
      <c r="AZ478" s="2">
        <v>69000.88</v>
      </c>
      <c r="BA478" s="73">
        <v>60375.77</v>
      </c>
      <c r="BB478" s="73">
        <v>60375.77</v>
      </c>
      <c r="BC478" s="73">
        <v>69000.88</v>
      </c>
      <c r="BD478" s="73"/>
      <c r="BE478" s="66">
        <v>0</v>
      </c>
      <c r="BF478" s="66">
        <v>0.05</v>
      </c>
      <c r="BG478" s="63">
        <v>44755</v>
      </c>
      <c r="BH478" s="2"/>
      <c r="BI478" s="2"/>
      <c r="BJ478" s="2">
        <v>252000</v>
      </c>
      <c r="BK478" s="2"/>
      <c r="BL478" s="1" t="s">
        <v>97</v>
      </c>
    </row>
    <row r="479" spans="1:64" x14ac:dyDescent="0.25">
      <c r="A479" s="81" t="s">
        <v>868</v>
      </c>
      <c r="B479" s="82" t="s">
        <v>1126</v>
      </c>
      <c r="C479" s="81" t="s">
        <v>1127</v>
      </c>
      <c r="D479" s="16">
        <v>0</v>
      </c>
      <c r="E479" s="17"/>
      <c r="F479" s="2" t="s">
        <v>859</v>
      </c>
      <c r="G479" s="2" t="s">
        <v>860</v>
      </c>
      <c r="H479" s="10" t="s">
        <v>98</v>
      </c>
      <c r="I479" s="11" t="s">
        <v>53</v>
      </c>
      <c r="J479" s="11" t="s">
        <v>224</v>
      </c>
      <c r="K479" s="61"/>
      <c r="L479" s="11" t="s">
        <v>67</v>
      </c>
      <c r="M479" s="25"/>
      <c r="N479" s="82"/>
      <c r="O479" s="3" t="str">
        <f t="shared" si="188"/>
        <v>A</v>
      </c>
      <c r="P479" s="84">
        <v>68449</v>
      </c>
      <c r="Q479" s="84">
        <v>9345</v>
      </c>
      <c r="R479" s="32"/>
      <c r="S479" s="3" t="str">
        <f t="shared" si="189"/>
        <v>A</v>
      </c>
      <c r="T479" s="84">
        <v>64003</v>
      </c>
      <c r="U479" s="84">
        <v>10240</v>
      </c>
      <c r="V479" s="32"/>
      <c r="W479" s="3" t="str">
        <f t="shared" si="177"/>
        <v>A</v>
      </c>
      <c r="X479" s="84">
        <v>45454</v>
      </c>
      <c r="Y479" s="84">
        <v>7555</v>
      </c>
      <c r="Z479" s="32"/>
      <c r="AA479" s="3" t="str">
        <f t="shared" si="178"/>
        <v>A</v>
      </c>
      <c r="AB479" s="84">
        <v>48893</v>
      </c>
      <c r="AC479" s="84">
        <v>5575</v>
      </c>
      <c r="AD479" s="36"/>
      <c r="AE479" s="82"/>
      <c r="AF479" s="3" t="str">
        <f t="shared" si="179"/>
        <v>A</v>
      </c>
      <c r="AG479" s="84">
        <v>0</v>
      </c>
      <c r="AH479" s="84">
        <v>0</v>
      </c>
      <c r="AI479" s="39"/>
      <c r="AJ479" s="79" t="s">
        <v>1801</v>
      </c>
      <c r="AK479" s="39"/>
      <c r="AL479" s="4">
        <f t="shared" si="184"/>
        <v>226799</v>
      </c>
      <c r="AM479" s="4">
        <f t="shared" si="185"/>
        <v>32715</v>
      </c>
      <c r="AN479" s="4">
        <f t="shared" si="180"/>
        <v>259514</v>
      </c>
      <c r="AO479" s="39"/>
      <c r="AP479" s="8">
        <f t="shared" si="186"/>
        <v>0</v>
      </c>
      <c r="AQ479" s="8">
        <f t="shared" si="187"/>
        <v>0</v>
      </c>
      <c r="AR479" s="8">
        <f t="shared" si="181"/>
        <v>0</v>
      </c>
      <c r="AS479" s="42"/>
      <c r="AT479" s="84">
        <v>226799</v>
      </c>
      <c r="AU479" s="84">
        <v>32715</v>
      </c>
      <c r="AV479" s="4">
        <f t="shared" si="182"/>
        <v>259514</v>
      </c>
      <c r="AW479" s="50" t="str">
        <f t="shared" si="183"/>
        <v/>
      </c>
      <c r="AX479" s="1" t="s">
        <v>1736</v>
      </c>
      <c r="AY479" s="2" t="s">
        <v>1737</v>
      </c>
      <c r="AZ479" s="2">
        <v>129126</v>
      </c>
      <c r="BA479" s="73">
        <v>112985.25</v>
      </c>
      <c r="BB479" s="73">
        <v>112985.25</v>
      </c>
      <c r="BC479" s="73">
        <v>129126</v>
      </c>
      <c r="BD479" s="73"/>
      <c r="BE479" s="66">
        <v>0</v>
      </c>
      <c r="BF479" s="66">
        <v>0.05</v>
      </c>
      <c r="BG479" s="63">
        <v>44765</v>
      </c>
      <c r="BH479" s="2"/>
      <c r="BI479" s="2"/>
      <c r="BJ479" s="2">
        <v>458970</v>
      </c>
      <c r="BK479" s="2">
        <v>57371.25</v>
      </c>
      <c r="BL479" s="1" t="s">
        <v>97</v>
      </c>
    </row>
    <row r="480" spans="1:64" x14ac:dyDescent="0.25">
      <c r="A480" s="81" t="s">
        <v>868</v>
      </c>
      <c r="B480" s="82" t="s">
        <v>1134</v>
      </c>
      <c r="C480" s="81" t="s">
        <v>1135</v>
      </c>
      <c r="D480" s="16">
        <v>0</v>
      </c>
      <c r="E480" s="17"/>
      <c r="F480" s="2" t="s">
        <v>859</v>
      </c>
      <c r="G480" s="2" t="s">
        <v>860</v>
      </c>
      <c r="H480" s="10" t="s">
        <v>98</v>
      </c>
      <c r="I480" s="11" t="s">
        <v>53</v>
      </c>
      <c r="J480" s="11" t="s">
        <v>224</v>
      </c>
      <c r="K480" s="61"/>
      <c r="L480" s="11" t="s">
        <v>67</v>
      </c>
      <c r="M480" s="25"/>
      <c r="N480" s="82"/>
      <c r="O480" s="3" t="str">
        <f t="shared" si="188"/>
        <v>A</v>
      </c>
      <c r="P480" s="84">
        <v>168692</v>
      </c>
      <c r="Q480" s="84">
        <v>0</v>
      </c>
      <c r="R480" s="32"/>
      <c r="S480" s="3" t="str">
        <f t="shared" si="189"/>
        <v>A</v>
      </c>
      <c r="T480" s="84">
        <v>162053</v>
      </c>
      <c r="U480" s="84"/>
      <c r="V480" s="32"/>
      <c r="W480" s="3" t="str">
        <f t="shared" si="177"/>
        <v>A</v>
      </c>
      <c r="X480" s="84">
        <v>131253</v>
      </c>
      <c r="Y480" s="84"/>
      <c r="Z480" s="32"/>
      <c r="AA480" s="3" t="str">
        <f t="shared" si="178"/>
        <v>A</v>
      </c>
      <c r="AB480" s="84">
        <v>143759</v>
      </c>
      <c r="AC480" s="84"/>
      <c r="AD480" s="36"/>
      <c r="AE480" s="82"/>
      <c r="AF480" s="3" t="str">
        <f t="shared" si="179"/>
        <v>A</v>
      </c>
      <c r="AG480" s="84">
        <v>0</v>
      </c>
      <c r="AH480" s="84">
        <v>0</v>
      </c>
      <c r="AI480" s="39"/>
      <c r="AJ480" s="79" t="s">
        <v>1801</v>
      </c>
      <c r="AK480" s="39"/>
      <c r="AL480" s="4">
        <f t="shared" si="184"/>
        <v>605757</v>
      </c>
      <c r="AM480" s="4">
        <f t="shared" si="185"/>
        <v>0</v>
      </c>
      <c r="AN480" s="4">
        <f t="shared" si="180"/>
        <v>605757</v>
      </c>
      <c r="AO480" s="39"/>
      <c r="AP480" s="8">
        <f t="shared" si="186"/>
        <v>0</v>
      </c>
      <c r="AQ480" s="8">
        <f t="shared" si="187"/>
        <v>0</v>
      </c>
      <c r="AR480" s="8">
        <f t="shared" si="181"/>
        <v>0</v>
      </c>
      <c r="AS480" s="42"/>
      <c r="AT480" s="84">
        <v>605757</v>
      </c>
      <c r="AU480" s="84"/>
      <c r="AV480" s="4">
        <f t="shared" si="182"/>
        <v>605757</v>
      </c>
      <c r="AW480" s="50" t="str">
        <f t="shared" si="183"/>
        <v/>
      </c>
      <c r="AX480" s="1" t="s">
        <v>1736</v>
      </c>
      <c r="AY480" s="2" t="s">
        <v>1737</v>
      </c>
      <c r="AZ480" s="2">
        <v>82479.44</v>
      </c>
      <c r="BA480" s="73">
        <v>72169.509999999995</v>
      </c>
      <c r="BB480" s="73">
        <v>72169.509999999995</v>
      </c>
      <c r="BC480" s="73">
        <v>82479.44</v>
      </c>
      <c r="BD480" s="73"/>
      <c r="BE480" s="66">
        <v>0</v>
      </c>
      <c r="BF480" s="66">
        <v>0.05</v>
      </c>
      <c r="BG480" s="63">
        <v>44848</v>
      </c>
      <c r="BH480" s="2"/>
      <c r="BI480" s="2"/>
      <c r="BJ480" s="2">
        <v>300000</v>
      </c>
      <c r="BK480" s="2"/>
      <c r="BL480" s="1" t="s">
        <v>97</v>
      </c>
    </row>
    <row r="481" spans="1:64" x14ac:dyDescent="0.25">
      <c r="A481" s="81" t="s">
        <v>868</v>
      </c>
      <c r="B481" s="82" t="s">
        <v>1150</v>
      </c>
      <c r="C481" s="81" t="s">
        <v>1151</v>
      </c>
      <c r="D481" s="16">
        <v>0</v>
      </c>
      <c r="E481" s="17"/>
      <c r="F481" s="2" t="s">
        <v>859</v>
      </c>
      <c r="G481" s="2" t="s">
        <v>860</v>
      </c>
      <c r="H481" s="10" t="s">
        <v>98</v>
      </c>
      <c r="I481" s="11" t="s">
        <v>53</v>
      </c>
      <c r="J481" s="11" t="s">
        <v>224</v>
      </c>
      <c r="K481" s="61"/>
      <c r="L481" s="11" t="s">
        <v>67</v>
      </c>
      <c r="M481" s="25"/>
      <c r="N481" s="82"/>
      <c r="O481" s="3" t="str">
        <f t="shared" si="188"/>
        <v>A</v>
      </c>
      <c r="P481" s="84">
        <v>113223</v>
      </c>
      <c r="Q481" s="84">
        <v>0</v>
      </c>
      <c r="R481" s="32"/>
      <c r="S481" s="3" t="str">
        <f t="shared" si="189"/>
        <v>A</v>
      </c>
      <c r="T481" s="84">
        <v>110381</v>
      </c>
      <c r="U481" s="84"/>
      <c r="V481" s="32"/>
      <c r="W481" s="3" t="str">
        <f t="shared" si="177"/>
        <v>A</v>
      </c>
      <c r="X481" s="84">
        <v>84705</v>
      </c>
      <c r="Y481" s="84"/>
      <c r="Z481" s="32"/>
      <c r="AA481" s="3" t="str">
        <f t="shared" si="178"/>
        <v>A</v>
      </c>
      <c r="AB481" s="84">
        <v>106893</v>
      </c>
      <c r="AC481" s="84"/>
      <c r="AD481" s="36"/>
      <c r="AE481" s="82"/>
      <c r="AF481" s="3" t="str">
        <f t="shared" si="179"/>
        <v>A</v>
      </c>
      <c r="AG481" s="84">
        <v>0</v>
      </c>
      <c r="AH481" s="84">
        <v>0</v>
      </c>
      <c r="AI481" s="39"/>
      <c r="AJ481" s="79" t="s">
        <v>1801</v>
      </c>
      <c r="AK481" s="39"/>
      <c r="AL481" s="4">
        <f t="shared" si="184"/>
        <v>415202</v>
      </c>
      <c r="AM481" s="4">
        <f t="shared" si="185"/>
        <v>0</v>
      </c>
      <c r="AN481" s="4">
        <f t="shared" si="180"/>
        <v>415202</v>
      </c>
      <c r="AO481" s="39"/>
      <c r="AP481" s="8">
        <f t="shared" si="186"/>
        <v>0</v>
      </c>
      <c r="AQ481" s="8">
        <f t="shared" si="187"/>
        <v>0</v>
      </c>
      <c r="AR481" s="8">
        <f t="shared" si="181"/>
        <v>0</v>
      </c>
      <c r="AS481" s="42"/>
      <c r="AT481" s="84">
        <v>415202</v>
      </c>
      <c r="AU481" s="84"/>
      <c r="AV481" s="4">
        <f t="shared" si="182"/>
        <v>415202</v>
      </c>
      <c r="AW481" s="50" t="str">
        <f t="shared" si="183"/>
        <v/>
      </c>
      <c r="AX481" s="1" t="s">
        <v>1736</v>
      </c>
      <c r="AY481" s="2" t="s">
        <v>1737</v>
      </c>
      <c r="AZ481" s="2">
        <v>64334.080000000002</v>
      </c>
      <c r="BA481" s="73">
        <v>56292.32</v>
      </c>
      <c r="BB481" s="73">
        <v>56292.32</v>
      </c>
      <c r="BC481" s="73">
        <v>64334.080000000002</v>
      </c>
      <c r="BD481" s="73"/>
      <c r="BE481" s="66">
        <v>0</v>
      </c>
      <c r="BF481" s="66">
        <v>0.05</v>
      </c>
      <c r="BG481" s="63">
        <v>44828</v>
      </c>
      <c r="BH481" s="2"/>
      <c r="BI481" s="2"/>
      <c r="BJ481" s="2">
        <v>234000</v>
      </c>
      <c r="BK481" s="2">
        <v>29250</v>
      </c>
      <c r="BL481" s="1" t="s">
        <v>97</v>
      </c>
    </row>
    <row r="482" spans="1:64" x14ac:dyDescent="0.25">
      <c r="A482" s="81" t="s">
        <v>868</v>
      </c>
      <c r="B482" s="82" t="s">
        <v>1354</v>
      </c>
      <c r="C482" s="81" t="s">
        <v>1355</v>
      </c>
      <c r="D482" s="16">
        <v>0</v>
      </c>
      <c r="E482" s="17"/>
      <c r="F482" s="2" t="s">
        <v>859</v>
      </c>
      <c r="G482" s="2" t="s">
        <v>860</v>
      </c>
      <c r="H482" s="10" t="s">
        <v>98</v>
      </c>
      <c r="I482" s="11" t="s">
        <v>53</v>
      </c>
      <c r="J482" s="11" t="s">
        <v>224</v>
      </c>
      <c r="K482" s="61"/>
      <c r="L482" s="11" t="s">
        <v>67</v>
      </c>
      <c r="M482" s="25"/>
      <c r="N482" s="82"/>
      <c r="O482" s="3" t="str">
        <f t="shared" ref="O482:O488" si="190">IF($A482="","",IF(P482=AZ482,"E","A"))</f>
        <v>A</v>
      </c>
      <c r="P482" s="84">
        <v>50354</v>
      </c>
      <c r="Q482" s="84">
        <v>0</v>
      </c>
      <c r="R482" s="32"/>
      <c r="S482" s="3" t="str">
        <f t="shared" si="189"/>
        <v>A</v>
      </c>
      <c r="T482" s="84">
        <v>58531</v>
      </c>
      <c r="U482" s="84"/>
      <c r="V482" s="32"/>
      <c r="W482" s="3" t="str">
        <f t="shared" si="177"/>
        <v>A</v>
      </c>
      <c r="X482" s="84">
        <v>44149</v>
      </c>
      <c r="Y482" s="84"/>
      <c r="Z482" s="32"/>
      <c r="AA482" s="3" t="str">
        <f t="shared" si="178"/>
        <v>A</v>
      </c>
      <c r="AB482" s="84">
        <v>57939</v>
      </c>
      <c r="AC482" s="84"/>
      <c r="AD482" s="36"/>
      <c r="AE482" s="82"/>
      <c r="AF482" s="3" t="str">
        <f t="shared" si="179"/>
        <v>A</v>
      </c>
      <c r="AG482" s="84">
        <v>0</v>
      </c>
      <c r="AH482" s="84">
        <v>0</v>
      </c>
      <c r="AI482" s="39"/>
      <c r="AJ482" s="79" t="s">
        <v>1801</v>
      </c>
      <c r="AK482" s="39"/>
      <c r="AL482" s="4">
        <f t="shared" si="184"/>
        <v>210973</v>
      </c>
      <c r="AM482" s="4">
        <f t="shared" si="185"/>
        <v>0</v>
      </c>
      <c r="AN482" s="4">
        <f t="shared" si="180"/>
        <v>210973</v>
      </c>
      <c r="AO482" s="39"/>
      <c r="AP482" s="8">
        <f t="shared" si="186"/>
        <v>0</v>
      </c>
      <c r="AQ482" s="8">
        <f t="shared" si="187"/>
        <v>0</v>
      </c>
      <c r="AR482" s="8">
        <f t="shared" si="181"/>
        <v>0</v>
      </c>
      <c r="AS482" s="42"/>
      <c r="AT482" s="84">
        <v>210973</v>
      </c>
      <c r="AU482" s="84"/>
      <c r="AV482" s="4">
        <f t="shared" si="182"/>
        <v>210973</v>
      </c>
      <c r="AW482" s="50" t="str">
        <f t="shared" si="183"/>
        <v/>
      </c>
      <c r="AX482" s="1" t="s">
        <v>1736</v>
      </c>
      <c r="AY482" s="2" t="s">
        <v>1737</v>
      </c>
      <c r="AZ482" s="2">
        <v>24305.360000000001</v>
      </c>
      <c r="BA482" s="73">
        <v>21267.19</v>
      </c>
      <c r="BB482" s="73">
        <v>21267.19</v>
      </c>
      <c r="BC482" s="73">
        <v>24305.360000000001</v>
      </c>
      <c r="BD482" s="73"/>
      <c r="BE482" s="66">
        <v>0</v>
      </c>
      <c r="BF482" s="66">
        <v>0.05</v>
      </c>
      <c r="BG482" s="63">
        <v>45107</v>
      </c>
      <c r="BH482" s="2"/>
      <c r="BI482" s="2"/>
      <c r="BJ482" s="2">
        <v>150000</v>
      </c>
      <c r="BK482" s="2"/>
      <c r="BL482" s="1" t="s">
        <v>97</v>
      </c>
    </row>
    <row r="483" spans="1:64" x14ac:dyDescent="0.25">
      <c r="A483" s="81" t="s">
        <v>868</v>
      </c>
      <c r="B483" s="82" t="s">
        <v>1396</v>
      </c>
      <c r="C483" s="81" t="s">
        <v>1397</v>
      </c>
      <c r="D483" s="16">
        <v>0</v>
      </c>
      <c r="E483" s="17"/>
      <c r="F483" s="2" t="s">
        <v>859</v>
      </c>
      <c r="G483" s="2" t="s">
        <v>860</v>
      </c>
      <c r="H483" s="10" t="s">
        <v>98</v>
      </c>
      <c r="I483" s="11" t="s">
        <v>53</v>
      </c>
      <c r="J483" s="11" t="s">
        <v>224</v>
      </c>
      <c r="K483" s="61"/>
      <c r="L483" s="11" t="s">
        <v>67</v>
      </c>
      <c r="M483" s="25"/>
      <c r="N483" s="82"/>
      <c r="O483" s="3" t="str">
        <f t="shared" si="190"/>
        <v>A</v>
      </c>
      <c r="P483" s="84">
        <v>55411</v>
      </c>
      <c r="Q483" s="84">
        <v>0</v>
      </c>
      <c r="R483" s="32"/>
      <c r="S483" s="3" t="str">
        <f t="shared" ref="S483:S488" si="191">IF($A483="","",IF(T483=BA483,"E","A"))</f>
        <v>A</v>
      </c>
      <c r="T483" s="84">
        <v>94694</v>
      </c>
      <c r="U483" s="84"/>
      <c r="V483" s="32"/>
      <c r="W483" s="3" t="str">
        <f t="shared" si="177"/>
        <v>A</v>
      </c>
      <c r="X483" s="84">
        <v>56055</v>
      </c>
      <c r="Y483" s="84"/>
      <c r="Z483" s="32"/>
      <c r="AA483" s="3" t="str">
        <f t="shared" si="178"/>
        <v>A</v>
      </c>
      <c r="AB483" s="84">
        <v>61374</v>
      </c>
      <c r="AC483" s="84"/>
      <c r="AD483" s="36"/>
      <c r="AE483" s="82"/>
      <c r="AF483" s="3" t="str">
        <f t="shared" si="179"/>
        <v>A</v>
      </c>
      <c r="AG483" s="84">
        <v>0</v>
      </c>
      <c r="AH483" s="84">
        <v>0</v>
      </c>
      <c r="AI483" s="39"/>
      <c r="AJ483" s="79" t="s">
        <v>1801</v>
      </c>
      <c r="AK483" s="39"/>
      <c r="AL483" s="4">
        <f t="shared" si="184"/>
        <v>267534</v>
      </c>
      <c r="AM483" s="4">
        <f t="shared" si="185"/>
        <v>0</v>
      </c>
      <c r="AN483" s="4">
        <f t="shared" si="180"/>
        <v>267534</v>
      </c>
      <c r="AO483" s="39"/>
      <c r="AP483" s="8">
        <f t="shared" si="186"/>
        <v>0</v>
      </c>
      <c r="AQ483" s="8">
        <f t="shared" si="187"/>
        <v>0</v>
      </c>
      <c r="AR483" s="8">
        <f t="shared" si="181"/>
        <v>0</v>
      </c>
      <c r="AS483" s="42"/>
      <c r="AT483" s="84">
        <v>267534</v>
      </c>
      <c r="AU483" s="84"/>
      <c r="AV483" s="4">
        <f t="shared" si="182"/>
        <v>267534</v>
      </c>
      <c r="AW483" s="50" t="str">
        <f t="shared" si="183"/>
        <v/>
      </c>
      <c r="AX483" s="1" t="s">
        <v>1736</v>
      </c>
      <c r="AY483" s="2" t="s">
        <v>1737</v>
      </c>
      <c r="AZ483" s="2"/>
      <c r="BA483" s="73"/>
      <c r="BB483" s="73"/>
      <c r="BC483" s="73"/>
      <c r="BD483" s="73"/>
      <c r="BE483" s="66">
        <v>0</v>
      </c>
      <c r="BF483" s="66">
        <v>0.05</v>
      </c>
      <c r="BG483" s="63">
        <v>45323</v>
      </c>
      <c r="BH483" s="74">
        <v>45231</v>
      </c>
      <c r="BI483" s="2"/>
      <c r="BJ483" s="2">
        <v>360000</v>
      </c>
      <c r="BK483" s="2">
        <v>18900</v>
      </c>
      <c r="BL483" s="1" t="s">
        <v>97</v>
      </c>
    </row>
    <row r="484" spans="1:64" x14ac:dyDescent="0.25">
      <c r="A484" s="81" t="s">
        <v>868</v>
      </c>
      <c r="B484" s="82" t="s">
        <v>1448</v>
      </c>
      <c r="C484" s="81" t="s">
        <v>1449</v>
      </c>
      <c r="D484" s="16">
        <v>0</v>
      </c>
      <c r="E484" s="17"/>
      <c r="F484" s="2" t="s">
        <v>859</v>
      </c>
      <c r="G484" s="2" t="s">
        <v>860</v>
      </c>
      <c r="H484" s="10" t="s">
        <v>98</v>
      </c>
      <c r="I484" s="11" t="s">
        <v>53</v>
      </c>
      <c r="J484" s="11" t="s">
        <v>224</v>
      </c>
      <c r="K484" s="61"/>
      <c r="L484" s="11" t="s">
        <v>67</v>
      </c>
      <c r="M484" s="25"/>
      <c r="N484" s="82"/>
      <c r="O484" s="3" t="str">
        <f t="shared" si="190"/>
        <v>A</v>
      </c>
      <c r="P484" s="84">
        <v>119097</v>
      </c>
      <c r="Q484" s="84">
        <v>0</v>
      </c>
      <c r="R484" s="32"/>
      <c r="S484" s="3" t="str">
        <f t="shared" si="191"/>
        <v>A</v>
      </c>
      <c r="T484" s="84">
        <v>115467</v>
      </c>
      <c r="U484" s="84"/>
      <c r="V484" s="32"/>
      <c r="W484" s="3" t="str">
        <f t="shared" si="177"/>
        <v>A</v>
      </c>
      <c r="X484" s="84">
        <v>93598</v>
      </c>
      <c r="Y484" s="84"/>
      <c r="Z484" s="32"/>
      <c r="AA484" s="3" t="str">
        <f t="shared" si="178"/>
        <v>A</v>
      </c>
      <c r="AB484" s="84">
        <v>90562</v>
      </c>
      <c r="AC484" s="84"/>
      <c r="AD484" s="36"/>
      <c r="AE484" s="82"/>
      <c r="AF484" s="3" t="str">
        <f t="shared" si="179"/>
        <v>A</v>
      </c>
      <c r="AG484" s="84">
        <v>0</v>
      </c>
      <c r="AH484" s="84">
        <v>0</v>
      </c>
      <c r="AI484" s="39"/>
      <c r="AJ484" s="79" t="s">
        <v>1801</v>
      </c>
      <c r="AK484" s="39"/>
      <c r="AL484" s="4">
        <f t="shared" si="184"/>
        <v>418724</v>
      </c>
      <c r="AM484" s="4">
        <f t="shared" si="185"/>
        <v>0</v>
      </c>
      <c r="AN484" s="4">
        <f t="shared" si="180"/>
        <v>418724</v>
      </c>
      <c r="AO484" s="39"/>
      <c r="AP484" s="8">
        <f t="shared" si="186"/>
        <v>0</v>
      </c>
      <c r="AQ484" s="8">
        <f t="shared" si="187"/>
        <v>0</v>
      </c>
      <c r="AR484" s="8">
        <f t="shared" si="181"/>
        <v>0</v>
      </c>
      <c r="AS484" s="42"/>
      <c r="AT484" s="84">
        <v>418724</v>
      </c>
      <c r="AU484" s="84"/>
      <c r="AV484" s="4">
        <f t="shared" si="182"/>
        <v>418724</v>
      </c>
      <c r="AW484" s="50" t="str">
        <f t="shared" si="183"/>
        <v/>
      </c>
      <c r="AX484" s="1" t="s">
        <v>1736</v>
      </c>
      <c r="AY484" s="2" t="s">
        <v>1737</v>
      </c>
      <c r="AZ484" s="2">
        <v>109889.44</v>
      </c>
      <c r="BA484" s="73">
        <v>96153.26</v>
      </c>
      <c r="BB484" s="73">
        <v>96153.26</v>
      </c>
      <c r="BC484" s="73">
        <v>109889.44</v>
      </c>
      <c r="BD484" s="73"/>
      <c r="BE484" s="66">
        <v>0</v>
      </c>
      <c r="BF484" s="66">
        <v>0.05</v>
      </c>
      <c r="BG484" s="63">
        <v>45281</v>
      </c>
      <c r="BH484" s="2"/>
      <c r="BI484" s="2"/>
      <c r="BJ484" s="2">
        <v>420530.15</v>
      </c>
      <c r="BK484" s="2"/>
      <c r="BL484" s="1" t="s">
        <v>97</v>
      </c>
    </row>
    <row r="485" spans="1:64" x14ac:dyDescent="0.25">
      <c r="A485" s="81" t="s">
        <v>868</v>
      </c>
      <c r="B485" s="82" t="s">
        <v>1529</v>
      </c>
      <c r="C485" s="81" t="s">
        <v>1530</v>
      </c>
      <c r="D485" s="16">
        <v>0</v>
      </c>
      <c r="E485" s="17"/>
      <c r="F485" s="2" t="s">
        <v>859</v>
      </c>
      <c r="G485" s="2" t="s">
        <v>860</v>
      </c>
      <c r="H485" s="10" t="s">
        <v>98</v>
      </c>
      <c r="I485" s="11" t="s">
        <v>53</v>
      </c>
      <c r="J485" s="11" t="s">
        <v>224</v>
      </c>
      <c r="K485" s="61"/>
      <c r="L485" s="11" t="s">
        <v>67</v>
      </c>
      <c r="M485" s="25"/>
      <c r="N485" s="82"/>
      <c r="O485" s="3" t="str">
        <f t="shared" si="190"/>
        <v>A</v>
      </c>
      <c r="P485" s="84">
        <v>69034</v>
      </c>
      <c r="Q485" s="84">
        <v>0</v>
      </c>
      <c r="R485" s="32"/>
      <c r="S485" s="3" t="str">
        <f t="shared" si="191"/>
        <v>A</v>
      </c>
      <c r="T485" s="84">
        <v>53591</v>
      </c>
      <c r="U485" s="84"/>
      <c r="V485" s="32"/>
      <c r="W485" s="3" t="str">
        <f t="shared" si="177"/>
        <v>A</v>
      </c>
      <c r="X485" s="84">
        <v>42147</v>
      </c>
      <c r="Y485" s="84"/>
      <c r="Z485" s="32"/>
      <c r="AA485" s="3" t="str">
        <f t="shared" si="178"/>
        <v>A</v>
      </c>
      <c r="AB485" s="84">
        <v>50449</v>
      </c>
      <c r="AC485" s="84"/>
      <c r="AD485" s="36"/>
      <c r="AE485" s="82"/>
      <c r="AF485" s="3" t="str">
        <f t="shared" si="179"/>
        <v>A</v>
      </c>
      <c r="AG485" s="84">
        <v>0</v>
      </c>
      <c r="AH485" s="84">
        <v>0</v>
      </c>
      <c r="AI485" s="39"/>
      <c r="AJ485" s="79" t="s">
        <v>1801</v>
      </c>
      <c r="AK485" s="39"/>
      <c r="AL485" s="4">
        <f t="shared" si="184"/>
        <v>215221</v>
      </c>
      <c r="AM485" s="4">
        <f t="shared" si="185"/>
        <v>0</v>
      </c>
      <c r="AN485" s="4">
        <f t="shared" si="180"/>
        <v>215221</v>
      </c>
      <c r="AO485" s="39"/>
      <c r="AP485" s="8">
        <f t="shared" si="186"/>
        <v>0</v>
      </c>
      <c r="AQ485" s="8">
        <f t="shared" si="187"/>
        <v>0</v>
      </c>
      <c r="AR485" s="8">
        <f t="shared" si="181"/>
        <v>0</v>
      </c>
      <c r="AS485" s="42"/>
      <c r="AT485" s="84">
        <v>215221</v>
      </c>
      <c r="AU485" s="84"/>
      <c r="AV485" s="4">
        <f t="shared" si="182"/>
        <v>215221</v>
      </c>
      <c r="AW485" s="50" t="str">
        <f t="shared" si="183"/>
        <v/>
      </c>
      <c r="AX485" s="1" t="s">
        <v>1736</v>
      </c>
      <c r="AY485" s="2" t="s">
        <v>1737</v>
      </c>
      <c r="AZ485" s="2">
        <v>105550</v>
      </c>
      <c r="BA485" s="73">
        <v>92356.25</v>
      </c>
      <c r="BB485" s="73">
        <v>92356.25</v>
      </c>
      <c r="BC485" s="73">
        <v>105550</v>
      </c>
      <c r="BD485" s="73"/>
      <c r="BE485" s="66">
        <v>0</v>
      </c>
      <c r="BF485" s="66">
        <v>0.05</v>
      </c>
      <c r="BG485" s="63">
        <v>45636</v>
      </c>
      <c r="BH485" s="2"/>
      <c r="BI485" s="2"/>
      <c r="BJ485" s="2">
        <v>405000</v>
      </c>
      <c r="BK485" s="2"/>
      <c r="BL485" s="1" t="s">
        <v>97</v>
      </c>
    </row>
    <row r="486" spans="1:64" x14ac:dyDescent="0.25">
      <c r="A486" s="81" t="s">
        <v>868</v>
      </c>
      <c r="B486" s="82" t="s">
        <v>1545</v>
      </c>
      <c r="C486" s="81" t="s">
        <v>1546</v>
      </c>
      <c r="D486" s="16">
        <v>0</v>
      </c>
      <c r="E486" s="17"/>
      <c r="F486" s="2" t="s">
        <v>859</v>
      </c>
      <c r="G486" s="2" t="s">
        <v>860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82"/>
      <c r="O486" s="3" t="str">
        <f t="shared" si="190"/>
        <v>E</v>
      </c>
      <c r="P486" s="84">
        <v>79719.039999999994</v>
      </c>
      <c r="Q486" s="84">
        <v>4173.4399999999996</v>
      </c>
      <c r="R486" s="32"/>
      <c r="S486" s="3" t="str">
        <f t="shared" si="191"/>
        <v>E</v>
      </c>
      <c r="T486" s="84">
        <v>69754.16</v>
      </c>
      <c r="U486" s="84">
        <v>3651.76</v>
      </c>
      <c r="V486" s="32"/>
      <c r="W486" s="3" t="str">
        <f t="shared" si="177"/>
        <v>E</v>
      </c>
      <c r="X486" s="84">
        <v>69754.16</v>
      </c>
      <c r="Y486" s="84">
        <v>3651.76</v>
      </c>
      <c r="Z486" s="32"/>
      <c r="AA486" s="3" t="str">
        <f t="shared" si="178"/>
        <v>E</v>
      </c>
      <c r="AB486" s="84">
        <v>79719.039999999994</v>
      </c>
      <c r="AC486" s="84">
        <v>4173.4399999999996</v>
      </c>
      <c r="AD486" s="36"/>
      <c r="AE486" s="82"/>
      <c r="AF486" s="3" t="str">
        <f t="shared" si="179"/>
        <v>A</v>
      </c>
      <c r="AG486" s="84"/>
      <c r="AH486" s="84"/>
      <c r="AI486" s="39"/>
      <c r="AJ486" s="79" t="s">
        <v>38</v>
      </c>
      <c r="AK486" s="39"/>
      <c r="AL486" s="4">
        <f t="shared" si="184"/>
        <v>0</v>
      </c>
      <c r="AM486" s="4">
        <f t="shared" si="185"/>
        <v>0</v>
      </c>
      <c r="AN486" s="4">
        <f t="shared" si="180"/>
        <v>0</v>
      </c>
      <c r="AO486" s="39"/>
      <c r="AP486" s="8">
        <f t="shared" si="186"/>
        <v>298946.40000000002</v>
      </c>
      <c r="AQ486" s="8">
        <f t="shared" si="187"/>
        <v>15650.399999999998</v>
      </c>
      <c r="AR486" s="8">
        <f t="shared" si="181"/>
        <v>314596.80000000005</v>
      </c>
      <c r="AS486" s="42"/>
      <c r="AT486" s="84"/>
      <c r="AU486" s="84"/>
      <c r="AV486" s="4">
        <f t="shared" si="182"/>
        <v>0</v>
      </c>
      <c r="AW486" s="50" t="str">
        <f t="shared" si="183"/>
        <v/>
      </c>
      <c r="AX486" s="1" t="s">
        <v>1736</v>
      </c>
      <c r="AY486" s="2" t="s">
        <v>1737</v>
      </c>
      <c r="AZ486" s="2">
        <v>79719.039999999994</v>
      </c>
      <c r="BA486" s="73">
        <v>69754.16</v>
      </c>
      <c r="BB486" s="73">
        <v>69754.16</v>
      </c>
      <c r="BC486" s="73">
        <v>79719.039999999994</v>
      </c>
      <c r="BD486" s="73"/>
      <c r="BE486" s="66">
        <v>0</v>
      </c>
      <c r="BF486" s="66">
        <v>0.05</v>
      </c>
      <c r="BG486" s="63">
        <v>45600</v>
      </c>
      <c r="BH486" s="2"/>
      <c r="BI486" s="2"/>
      <c r="BJ486" s="2">
        <v>300000</v>
      </c>
      <c r="BK486" s="2">
        <v>15750</v>
      </c>
      <c r="BL486" s="1" t="s">
        <v>97</v>
      </c>
    </row>
    <row r="487" spans="1:64" x14ac:dyDescent="0.25">
      <c r="A487" s="81" t="s">
        <v>868</v>
      </c>
      <c r="B487" s="82" t="s">
        <v>1584</v>
      </c>
      <c r="C487" s="81" t="s">
        <v>1585</v>
      </c>
      <c r="D487" s="16">
        <v>0</v>
      </c>
      <c r="E487" s="17"/>
      <c r="F487" s="2" t="s">
        <v>859</v>
      </c>
      <c r="G487" s="2" t="s">
        <v>860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82"/>
      <c r="O487" s="3" t="str">
        <f t="shared" si="190"/>
        <v>A</v>
      </c>
      <c r="P487" s="84">
        <v>41408</v>
      </c>
      <c r="Q487" s="84">
        <v>0</v>
      </c>
      <c r="R487" s="32"/>
      <c r="S487" s="3" t="str">
        <f t="shared" si="191"/>
        <v>A</v>
      </c>
      <c r="T487" s="84">
        <v>50261</v>
      </c>
      <c r="U487" s="84"/>
      <c r="V487" s="32"/>
      <c r="W487" s="3" t="str">
        <f t="shared" si="177"/>
        <v>A</v>
      </c>
      <c r="X487" s="84">
        <v>28457</v>
      </c>
      <c r="Y487" s="84"/>
      <c r="Z487" s="32"/>
      <c r="AA487" s="3" t="str">
        <f t="shared" si="178"/>
        <v>A</v>
      </c>
      <c r="AB487" s="84">
        <v>24217</v>
      </c>
      <c r="AC487" s="84"/>
      <c r="AD487" s="36"/>
      <c r="AE487" s="82"/>
      <c r="AF487" s="3" t="str">
        <f t="shared" si="179"/>
        <v>A</v>
      </c>
      <c r="AG487" s="84">
        <v>0</v>
      </c>
      <c r="AH487" s="84">
        <v>0</v>
      </c>
      <c r="AI487" s="39"/>
      <c r="AJ487" s="79" t="s">
        <v>1801</v>
      </c>
      <c r="AK487" s="39"/>
      <c r="AL487" s="4">
        <f t="shared" si="184"/>
        <v>144343</v>
      </c>
      <c r="AM487" s="4">
        <f t="shared" si="185"/>
        <v>0</v>
      </c>
      <c r="AN487" s="4">
        <f t="shared" si="180"/>
        <v>144343</v>
      </c>
      <c r="AO487" s="39"/>
      <c r="AP487" s="8">
        <f t="shared" si="186"/>
        <v>0</v>
      </c>
      <c r="AQ487" s="8">
        <f t="shared" si="187"/>
        <v>0</v>
      </c>
      <c r="AR487" s="8">
        <f t="shared" si="181"/>
        <v>0</v>
      </c>
      <c r="AS487" s="42"/>
      <c r="AT487" s="84">
        <v>144343</v>
      </c>
      <c r="AU487" s="84"/>
      <c r="AV487" s="4">
        <f t="shared" si="182"/>
        <v>144343</v>
      </c>
      <c r="AW487" s="50" t="str">
        <f t="shared" si="183"/>
        <v/>
      </c>
      <c r="AX487" s="1" t="s">
        <v>1736</v>
      </c>
      <c r="AY487" s="2" t="s">
        <v>1737</v>
      </c>
      <c r="AZ487" s="2">
        <v>50552.08</v>
      </c>
      <c r="BA487" s="73">
        <v>44233.07</v>
      </c>
      <c r="BB487" s="73">
        <v>44233.07</v>
      </c>
      <c r="BC487" s="73">
        <v>50552.08</v>
      </c>
      <c r="BD487" s="73"/>
      <c r="BE487" s="66">
        <v>0</v>
      </c>
      <c r="BF487" s="66">
        <v>0.05</v>
      </c>
      <c r="BG487" s="63">
        <v>45748</v>
      </c>
      <c r="BH487" s="2"/>
      <c r="BI487" s="2"/>
      <c r="BJ487" s="2">
        <v>187500</v>
      </c>
      <c r="BK487" s="2">
        <v>9843.75</v>
      </c>
      <c r="BL487" s="1" t="s">
        <v>97</v>
      </c>
    </row>
    <row r="488" spans="1:64" x14ac:dyDescent="0.25">
      <c r="A488" s="81" t="s">
        <v>868</v>
      </c>
      <c r="B488" s="82" t="s">
        <v>1604</v>
      </c>
      <c r="C488" s="81" t="s">
        <v>1605</v>
      </c>
      <c r="D488" s="16">
        <v>0</v>
      </c>
      <c r="E488" s="17"/>
      <c r="F488" s="2" t="s">
        <v>859</v>
      </c>
      <c r="G488" s="2" t="s">
        <v>860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82"/>
      <c r="O488" s="3" t="str">
        <f t="shared" si="190"/>
        <v>A</v>
      </c>
      <c r="P488" s="84">
        <v>56338</v>
      </c>
      <c r="Q488" s="84">
        <v>0</v>
      </c>
      <c r="R488" s="32"/>
      <c r="S488" s="3" t="str">
        <f t="shared" si="191"/>
        <v>A</v>
      </c>
      <c r="T488" s="84">
        <v>113831</v>
      </c>
      <c r="U488" s="84"/>
      <c r="V488" s="32"/>
      <c r="W488" s="3" t="str">
        <f t="shared" si="177"/>
        <v>A</v>
      </c>
      <c r="X488" s="84">
        <v>45510</v>
      </c>
      <c r="Y488" s="84"/>
      <c r="Z488" s="32"/>
      <c r="AA488" s="3" t="str">
        <f t="shared" si="178"/>
        <v>A</v>
      </c>
      <c r="AB488" s="84">
        <v>30874</v>
      </c>
      <c r="AC488" s="84"/>
      <c r="AD488" s="36"/>
      <c r="AE488" s="82"/>
      <c r="AF488" s="3" t="str">
        <f t="shared" si="179"/>
        <v>A</v>
      </c>
      <c r="AG488" s="84">
        <v>0</v>
      </c>
      <c r="AH488" s="84">
        <v>0</v>
      </c>
      <c r="AI488" s="39"/>
      <c r="AJ488" s="79" t="s">
        <v>1801</v>
      </c>
      <c r="AK488" s="39"/>
      <c r="AL488" s="4">
        <f t="shared" si="184"/>
        <v>246553</v>
      </c>
      <c r="AM488" s="4">
        <f t="shared" si="185"/>
        <v>0</v>
      </c>
      <c r="AN488" s="4">
        <f t="shared" si="180"/>
        <v>246553</v>
      </c>
      <c r="AO488" s="39"/>
      <c r="AP488" s="8">
        <f t="shared" si="186"/>
        <v>0</v>
      </c>
      <c r="AQ488" s="8">
        <f t="shared" si="187"/>
        <v>0</v>
      </c>
      <c r="AR488" s="8">
        <f t="shared" si="181"/>
        <v>0</v>
      </c>
      <c r="AS488" s="42"/>
      <c r="AT488" s="84">
        <v>246553</v>
      </c>
      <c r="AU488" s="84"/>
      <c r="AV488" s="4">
        <f t="shared" si="182"/>
        <v>246553</v>
      </c>
      <c r="AW488" s="50" t="str">
        <f t="shared" si="183"/>
        <v/>
      </c>
      <c r="AX488" s="1" t="s">
        <v>1736</v>
      </c>
      <c r="AY488" s="2" t="s">
        <v>1737</v>
      </c>
      <c r="AZ488" s="2">
        <v>55253.440000000002</v>
      </c>
      <c r="BA488" s="73">
        <v>48346.76</v>
      </c>
      <c r="BB488" s="73">
        <v>48346.76</v>
      </c>
      <c r="BC488" s="73">
        <v>55253.440000000002</v>
      </c>
      <c r="BD488" s="73"/>
      <c r="BE488" s="66">
        <v>0</v>
      </c>
      <c r="BF488" s="66">
        <v>0.05</v>
      </c>
      <c r="BG488" s="63">
        <v>45778</v>
      </c>
      <c r="BH488" s="2"/>
      <c r="BI488" s="2"/>
      <c r="BJ488" s="2">
        <v>208800</v>
      </c>
      <c r="BK488" s="2"/>
      <c r="BL488" s="1" t="s">
        <v>97</v>
      </c>
    </row>
    <row r="489" spans="1:64" x14ac:dyDescent="0.25">
      <c r="A489" s="81" t="s">
        <v>1090</v>
      </c>
      <c r="B489" s="82" t="s">
        <v>1090</v>
      </c>
      <c r="C489" s="81" t="s">
        <v>1091</v>
      </c>
      <c r="D489" s="16">
        <v>45000</v>
      </c>
      <c r="E489" s="17"/>
      <c r="F489" s="2" t="s">
        <v>1092</v>
      </c>
      <c r="G489" s="2" t="s">
        <v>1093</v>
      </c>
      <c r="H489" s="10" t="s">
        <v>57</v>
      </c>
      <c r="I489" s="11" t="s">
        <v>53</v>
      </c>
      <c r="J489" s="11" t="s">
        <v>384</v>
      </c>
      <c r="K489" s="61"/>
      <c r="L489" s="11" t="s">
        <v>67</v>
      </c>
      <c r="M489" s="25"/>
      <c r="N489" s="82"/>
      <c r="O489" s="3" t="str">
        <f t="shared" ref="O489:O494" si="192">IF($A489="","",IF(P489=0,"A",IF(P489=AZ489,"E","A")))</f>
        <v>E</v>
      </c>
      <c r="P489" s="84">
        <v>159457.20000000001</v>
      </c>
      <c r="Q489" s="84">
        <v>22965.119999999999</v>
      </c>
      <c r="R489" s="32"/>
      <c r="S489" s="3" t="str">
        <f t="shared" ref="S489:S532" si="193">IF($A489="","",IF(T489=0,"A",IF(T489=BA489,"E","A")))</f>
        <v>E</v>
      </c>
      <c r="T489" s="84">
        <v>139525.04999999999</v>
      </c>
      <c r="U489" s="84">
        <v>20094.48</v>
      </c>
      <c r="V489" s="32"/>
      <c r="W489" s="3" t="str">
        <f t="shared" si="177"/>
        <v>E</v>
      </c>
      <c r="X489" s="84">
        <v>139525.04999999999</v>
      </c>
      <c r="Y489" s="84">
        <v>20094.48</v>
      </c>
      <c r="Z489" s="32"/>
      <c r="AA489" s="3" t="str">
        <f t="shared" si="178"/>
        <v>E</v>
      </c>
      <c r="AB489" s="84">
        <v>159457.20000000001</v>
      </c>
      <c r="AC489" s="84">
        <v>22965.119999999999</v>
      </c>
      <c r="AD489" s="36"/>
      <c r="AE489" s="82"/>
      <c r="AF489" s="3" t="str">
        <f t="shared" si="179"/>
        <v>A</v>
      </c>
      <c r="AG489" s="84"/>
      <c r="AH489" s="84"/>
      <c r="AI489" s="39"/>
      <c r="AJ489" s="79" t="s">
        <v>38</v>
      </c>
      <c r="AK489" s="39"/>
      <c r="AL489" s="4">
        <f t="shared" si="184"/>
        <v>0</v>
      </c>
      <c r="AM489" s="4">
        <f t="shared" si="185"/>
        <v>0</v>
      </c>
      <c r="AN489" s="4">
        <f t="shared" si="180"/>
        <v>0</v>
      </c>
      <c r="AO489" s="39"/>
      <c r="AP489" s="8">
        <f t="shared" si="186"/>
        <v>597964.5</v>
      </c>
      <c r="AQ489" s="8">
        <f t="shared" si="187"/>
        <v>86119.2</v>
      </c>
      <c r="AR489" s="8">
        <f t="shared" si="181"/>
        <v>684083.7</v>
      </c>
      <c r="AS489" s="42"/>
      <c r="AT489" s="84"/>
      <c r="AU489" s="84"/>
      <c r="AV489" s="4">
        <f t="shared" si="182"/>
        <v>0</v>
      </c>
      <c r="AW489" s="50" t="str">
        <f t="shared" si="183"/>
        <v/>
      </c>
      <c r="AX489" s="1" t="s">
        <v>1758</v>
      </c>
      <c r="AY489" s="2" t="s">
        <v>1759</v>
      </c>
      <c r="AZ489" s="2">
        <v>159457.20000000001</v>
      </c>
      <c r="BA489" s="73">
        <v>139525.04999999999</v>
      </c>
      <c r="BB489" s="73">
        <v>139525.04999999999</v>
      </c>
      <c r="BC489" s="73">
        <v>159457.20000000001</v>
      </c>
      <c r="BD489" s="73"/>
      <c r="BE489" s="66">
        <v>0</v>
      </c>
      <c r="BF489" s="66">
        <v>0.05</v>
      </c>
      <c r="BG489" s="63">
        <v>45004</v>
      </c>
      <c r="BH489" s="2"/>
      <c r="BI489" s="2"/>
      <c r="BJ489" s="2">
        <v>567201.6</v>
      </c>
      <c r="BK489" s="2">
        <v>70900.2</v>
      </c>
      <c r="BL489" s="1" t="s">
        <v>56</v>
      </c>
    </row>
    <row r="490" spans="1:64" x14ac:dyDescent="0.25">
      <c r="A490" s="81" t="s">
        <v>1096</v>
      </c>
      <c r="B490" s="82" t="s">
        <v>1096</v>
      </c>
      <c r="C490" s="81" t="s">
        <v>1097</v>
      </c>
      <c r="D490" s="16">
        <v>44883</v>
      </c>
      <c r="E490" s="17"/>
      <c r="F490" s="2" t="s">
        <v>522</v>
      </c>
      <c r="G490" s="2" t="s">
        <v>523</v>
      </c>
      <c r="H490" s="10" t="s">
        <v>105</v>
      </c>
      <c r="I490" s="11" t="s">
        <v>53</v>
      </c>
      <c r="J490" s="11" t="s">
        <v>312</v>
      </c>
      <c r="K490" s="61"/>
      <c r="L490" s="11" t="s">
        <v>67</v>
      </c>
      <c r="M490" s="25"/>
      <c r="N490" s="82"/>
      <c r="O490" s="3" t="str">
        <f t="shared" si="192"/>
        <v>A</v>
      </c>
      <c r="P490" s="84">
        <v>259249</v>
      </c>
      <c r="Q490" s="84">
        <v>24415</v>
      </c>
      <c r="R490" s="32"/>
      <c r="S490" s="3" t="str">
        <f t="shared" si="193"/>
        <v>A</v>
      </c>
      <c r="T490" s="84">
        <v>225027</v>
      </c>
      <c r="U490" s="84">
        <v>28900</v>
      </c>
      <c r="V490" s="32"/>
      <c r="W490" s="3" t="str">
        <f t="shared" si="177"/>
        <v>A</v>
      </c>
      <c r="X490" s="84">
        <v>196213</v>
      </c>
      <c r="Y490" s="84">
        <v>26640</v>
      </c>
      <c r="Z490" s="32"/>
      <c r="AA490" s="3" t="str">
        <f t="shared" si="178"/>
        <v>A</v>
      </c>
      <c r="AB490" s="84">
        <v>231200</v>
      </c>
      <c r="AC490" s="84">
        <v>26166</v>
      </c>
      <c r="AD490" s="36"/>
      <c r="AE490" s="82"/>
      <c r="AF490" s="3" t="str">
        <f t="shared" si="179"/>
        <v>A</v>
      </c>
      <c r="AG490" s="84">
        <v>0</v>
      </c>
      <c r="AH490" s="84">
        <v>0</v>
      </c>
      <c r="AI490" s="39"/>
      <c r="AJ490" s="79" t="s">
        <v>1801</v>
      </c>
      <c r="AK490" s="39"/>
      <c r="AL490" s="4">
        <f t="shared" si="184"/>
        <v>911689</v>
      </c>
      <c r="AM490" s="4">
        <f t="shared" si="185"/>
        <v>106121</v>
      </c>
      <c r="AN490" s="4">
        <f t="shared" si="180"/>
        <v>1017810</v>
      </c>
      <c r="AO490" s="39"/>
      <c r="AP490" s="8">
        <f t="shared" si="186"/>
        <v>0</v>
      </c>
      <c r="AQ490" s="8">
        <f t="shared" si="187"/>
        <v>0</v>
      </c>
      <c r="AR490" s="8">
        <f t="shared" si="181"/>
        <v>0</v>
      </c>
      <c r="AS490" s="42"/>
      <c r="AT490" s="84">
        <v>911689</v>
      </c>
      <c r="AU490" s="84">
        <v>106121</v>
      </c>
      <c r="AV490" s="4">
        <f t="shared" si="182"/>
        <v>1017810</v>
      </c>
      <c r="AW490" s="50" t="str">
        <f t="shared" si="183"/>
        <v/>
      </c>
      <c r="AX490" s="1" t="s">
        <v>1719</v>
      </c>
      <c r="AY490" s="2" t="s">
        <v>1720</v>
      </c>
      <c r="AZ490" s="2">
        <v>155230.88</v>
      </c>
      <c r="BA490" s="73">
        <v>135827.01999999999</v>
      </c>
      <c r="BB490" s="73">
        <v>135827.01999999999</v>
      </c>
      <c r="BC490" s="73">
        <v>155230.88</v>
      </c>
      <c r="BD490" s="73"/>
      <c r="BE490" s="66">
        <v>0</v>
      </c>
      <c r="BF490" s="66">
        <v>0.05</v>
      </c>
      <c r="BG490" s="63">
        <v>44879</v>
      </c>
      <c r="BH490" s="2"/>
      <c r="BI490" s="2"/>
      <c r="BJ490" s="2">
        <v>574170.18999999994</v>
      </c>
      <c r="BK490" s="2">
        <v>63796.69</v>
      </c>
      <c r="BL490" s="1" t="s">
        <v>104</v>
      </c>
    </row>
    <row r="491" spans="1:64" x14ac:dyDescent="0.25">
      <c r="A491" s="81" t="s">
        <v>1102</v>
      </c>
      <c r="B491" s="82" t="s">
        <v>1102</v>
      </c>
      <c r="C491" s="81" t="s">
        <v>1103</v>
      </c>
      <c r="D491" s="16">
        <v>0</v>
      </c>
      <c r="E491" s="17"/>
      <c r="F491" s="2" t="s">
        <v>243</v>
      </c>
      <c r="G491" s="2" t="s">
        <v>245</v>
      </c>
      <c r="H491" s="10" t="s">
        <v>98</v>
      </c>
      <c r="I491" s="11" t="s">
        <v>244</v>
      </c>
      <c r="J491" s="11" t="s">
        <v>278</v>
      </c>
      <c r="K491" s="61" t="s">
        <v>279</v>
      </c>
      <c r="L491" s="11" t="s">
        <v>67</v>
      </c>
      <c r="M491" s="25"/>
      <c r="N491" s="82"/>
      <c r="O491" s="3" t="str">
        <f t="shared" si="192"/>
        <v>E</v>
      </c>
      <c r="P491" s="84">
        <v>118203.36</v>
      </c>
      <c r="Q491" s="84">
        <v>15123.04</v>
      </c>
      <c r="R491" s="32"/>
      <c r="S491" s="3" t="str">
        <f t="shared" si="193"/>
        <v>E</v>
      </c>
      <c r="T491" s="84">
        <v>103427.94</v>
      </c>
      <c r="U491" s="84">
        <v>13232.66</v>
      </c>
      <c r="V491" s="32"/>
      <c r="W491" s="3" t="str">
        <f t="shared" si="177"/>
        <v>A</v>
      </c>
      <c r="X491" s="84">
        <v>106339.25</v>
      </c>
      <c r="Y491" s="84">
        <v>1230</v>
      </c>
      <c r="Z491" s="32"/>
      <c r="AA491" s="3" t="str">
        <f t="shared" si="178"/>
        <v>A</v>
      </c>
      <c r="AB491" s="84">
        <v>248464.71</v>
      </c>
      <c r="AC491" s="84">
        <v>2995</v>
      </c>
      <c r="AD491" s="36"/>
      <c r="AE491" s="82"/>
      <c r="AF491" s="3" t="str">
        <f t="shared" si="179"/>
        <v>A</v>
      </c>
      <c r="AG491" s="84">
        <v>0</v>
      </c>
      <c r="AH491" s="84">
        <v>0</v>
      </c>
      <c r="AI491" s="39"/>
      <c r="AJ491" s="79" t="s">
        <v>38</v>
      </c>
      <c r="AK491" s="39"/>
      <c r="AL491" s="4">
        <f t="shared" si="184"/>
        <v>354803.95999999996</v>
      </c>
      <c r="AM491" s="4">
        <f t="shared" si="185"/>
        <v>4225</v>
      </c>
      <c r="AN491" s="4">
        <f t="shared" si="180"/>
        <v>359028.95999999996</v>
      </c>
      <c r="AO491" s="39"/>
      <c r="AP491" s="8">
        <f t="shared" si="186"/>
        <v>221631.3</v>
      </c>
      <c r="AQ491" s="8">
        <f t="shared" si="187"/>
        <v>28355.7</v>
      </c>
      <c r="AR491" s="8">
        <f t="shared" si="181"/>
        <v>249987</v>
      </c>
      <c r="AS491" s="42"/>
      <c r="AT491" s="84">
        <v>354803.96</v>
      </c>
      <c r="AU491" s="84">
        <v>4225</v>
      </c>
      <c r="AV491" s="4">
        <f t="shared" si="182"/>
        <v>359028.96</v>
      </c>
      <c r="AW491" s="50" t="str">
        <f t="shared" si="183"/>
        <v/>
      </c>
      <c r="AX491" s="1" t="s">
        <v>1639</v>
      </c>
      <c r="AY491" s="2" t="s">
        <v>1640</v>
      </c>
      <c r="AZ491" s="2">
        <v>118203.36</v>
      </c>
      <c r="BA491" s="73">
        <v>103427.94</v>
      </c>
      <c r="BB491" s="73">
        <v>103427.94</v>
      </c>
      <c r="BC491" s="73">
        <v>118203.36</v>
      </c>
      <c r="BD491" s="73"/>
      <c r="BE491" s="66">
        <v>0</v>
      </c>
      <c r="BF491" s="66">
        <v>0.02</v>
      </c>
      <c r="BG491" s="63">
        <v>45828</v>
      </c>
      <c r="BH491" s="2"/>
      <c r="BI491" s="2"/>
      <c r="BJ491" s="2">
        <v>456576</v>
      </c>
      <c r="BK491" s="2">
        <v>57072</v>
      </c>
      <c r="BL491" s="1" t="s">
        <v>97</v>
      </c>
    </row>
    <row r="492" spans="1:64" x14ac:dyDescent="0.25">
      <c r="A492" s="81" t="s">
        <v>1106</v>
      </c>
      <c r="B492" s="82" t="s">
        <v>1106</v>
      </c>
      <c r="C492" s="81" t="s">
        <v>1107</v>
      </c>
      <c r="D492" s="16">
        <v>0</v>
      </c>
      <c r="E492" s="17"/>
      <c r="F492" s="2" t="s">
        <v>52</v>
      </c>
      <c r="G492" s="2" t="s">
        <v>55</v>
      </c>
      <c r="H492" s="10" t="s">
        <v>57</v>
      </c>
      <c r="I492" s="11" t="s">
        <v>54</v>
      </c>
      <c r="J492" s="11" t="s">
        <v>620</v>
      </c>
      <c r="K492" s="61" t="s">
        <v>621</v>
      </c>
      <c r="L492" s="11" t="s">
        <v>67</v>
      </c>
      <c r="M492" s="25"/>
      <c r="N492" s="82"/>
      <c r="O492" s="3" t="str">
        <f t="shared" si="192"/>
        <v>A</v>
      </c>
      <c r="P492" s="84">
        <v>23294</v>
      </c>
      <c r="Q492" s="84">
        <v>7326</v>
      </c>
      <c r="R492" s="32"/>
      <c r="S492" s="3" t="str">
        <f t="shared" si="193"/>
        <v>A</v>
      </c>
      <c r="T492" s="84">
        <v>21954</v>
      </c>
      <c r="U492" s="84">
        <v>7346</v>
      </c>
      <c r="V492" s="32"/>
      <c r="W492" s="3" t="str">
        <f t="shared" si="177"/>
        <v>A</v>
      </c>
      <c r="X492" s="84">
        <v>20392</v>
      </c>
      <c r="Y492" s="84">
        <v>6452</v>
      </c>
      <c r="Z492" s="32"/>
      <c r="AA492" s="3" t="str">
        <f t="shared" si="178"/>
        <v>A</v>
      </c>
      <c r="AB492" s="84">
        <v>21287</v>
      </c>
      <c r="AC492" s="84">
        <v>4037</v>
      </c>
      <c r="AD492" s="36"/>
      <c r="AE492" s="82"/>
      <c r="AF492" s="3" t="str">
        <f t="shared" si="179"/>
        <v>A</v>
      </c>
      <c r="AG492" s="84">
        <v>0</v>
      </c>
      <c r="AH492" s="84">
        <v>0</v>
      </c>
      <c r="AI492" s="39"/>
      <c r="AJ492" s="79" t="s">
        <v>1801</v>
      </c>
      <c r="AK492" s="39"/>
      <c r="AL492" s="4">
        <f t="shared" si="184"/>
        <v>86927</v>
      </c>
      <c r="AM492" s="4">
        <f t="shared" si="185"/>
        <v>25161</v>
      </c>
      <c r="AN492" s="4">
        <f t="shared" si="180"/>
        <v>112088</v>
      </c>
      <c r="AO492" s="39"/>
      <c r="AP492" s="8">
        <f t="shared" si="186"/>
        <v>0</v>
      </c>
      <c r="AQ492" s="8">
        <f t="shared" si="187"/>
        <v>0</v>
      </c>
      <c r="AR492" s="8">
        <f t="shared" si="181"/>
        <v>0</v>
      </c>
      <c r="AS492" s="42"/>
      <c r="AT492" s="84">
        <v>86927</v>
      </c>
      <c r="AU492" s="84">
        <v>25161</v>
      </c>
      <c r="AV492" s="4">
        <f t="shared" si="182"/>
        <v>112088</v>
      </c>
      <c r="AW492" s="50" t="str">
        <f t="shared" si="183"/>
        <v/>
      </c>
      <c r="AX492" s="1" t="s">
        <v>1639</v>
      </c>
      <c r="AY492" s="2" t="s">
        <v>1640</v>
      </c>
      <c r="AZ492" s="2">
        <v>96378.4</v>
      </c>
      <c r="BA492" s="73">
        <v>84331.1</v>
      </c>
      <c r="BB492" s="73">
        <v>84331.1</v>
      </c>
      <c r="BC492" s="73">
        <v>96378.4</v>
      </c>
      <c r="BD492" s="73"/>
      <c r="BE492" s="66">
        <v>0</v>
      </c>
      <c r="BF492" s="66">
        <v>0.02</v>
      </c>
      <c r="BG492" s="63">
        <v>44832</v>
      </c>
      <c r="BH492" s="2"/>
      <c r="BI492" s="2"/>
      <c r="BJ492" s="2">
        <v>346514.07</v>
      </c>
      <c r="BK492" s="2">
        <v>38501.57</v>
      </c>
      <c r="BL492" s="1" t="s">
        <v>56</v>
      </c>
    </row>
    <row r="493" spans="1:64" x14ac:dyDescent="0.25">
      <c r="A493" s="81" t="s">
        <v>1108</v>
      </c>
      <c r="B493" s="82" t="s">
        <v>1108</v>
      </c>
      <c r="C493" s="81" t="s">
        <v>1109</v>
      </c>
      <c r="D493" s="16">
        <v>41197</v>
      </c>
      <c r="E493" s="17"/>
      <c r="F493" s="2" t="s">
        <v>52</v>
      </c>
      <c r="G493" s="2" t="s">
        <v>55</v>
      </c>
      <c r="H493" s="10" t="s">
        <v>57</v>
      </c>
      <c r="I493" s="11" t="s">
        <v>54</v>
      </c>
      <c r="J493" s="11" t="s">
        <v>72</v>
      </c>
      <c r="K493" s="61" t="s">
        <v>73</v>
      </c>
      <c r="L493" s="11" t="s">
        <v>67</v>
      </c>
      <c r="M493" s="25"/>
      <c r="N493" s="82"/>
      <c r="O493" s="3" t="str">
        <f t="shared" si="192"/>
        <v>A</v>
      </c>
      <c r="P493" s="84">
        <v>141294.25</v>
      </c>
      <c r="Q493" s="84">
        <v>49639</v>
      </c>
      <c r="R493" s="32"/>
      <c r="S493" s="3" t="str">
        <f t="shared" si="193"/>
        <v>A</v>
      </c>
      <c r="T493" s="84">
        <v>119156</v>
      </c>
      <c r="U493" s="84">
        <v>36856</v>
      </c>
      <c r="V493" s="32"/>
      <c r="W493" s="3" t="str">
        <f t="shared" si="177"/>
        <v>A</v>
      </c>
      <c r="X493" s="84">
        <v>110815</v>
      </c>
      <c r="Y493" s="84">
        <v>36779</v>
      </c>
      <c r="Z493" s="32"/>
      <c r="AA493" s="3" t="str">
        <f t="shared" si="178"/>
        <v>A</v>
      </c>
      <c r="AB493" s="84">
        <v>124756.4</v>
      </c>
      <c r="AC493" s="84">
        <v>39509.199999999997</v>
      </c>
      <c r="AD493" s="36"/>
      <c r="AE493" s="82"/>
      <c r="AF493" s="3" t="str">
        <f t="shared" si="179"/>
        <v>A</v>
      </c>
      <c r="AG493" s="84">
        <v>0</v>
      </c>
      <c r="AH493" s="84">
        <v>0</v>
      </c>
      <c r="AI493" s="39"/>
      <c r="AJ493" s="79" t="s">
        <v>1801</v>
      </c>
      <c r="AK493" s="39"/>
      <c r="AL493" s="4">
        <f t="shared" si="184"/>
        <v>496021.65</v>
      </c>
      <c r="AM493" s="4">
        <f t="shared" si="185"/>
        <v>162783.20000000001</v>
      </c>
      <c r="AN493" s="4">
        <f t="shared" si="180"/>
        <v>658804.85000000009</v>
      </c>
      <c r="AO493" s="39"/>
      <c r="AP493" s="8">
        <f t="shared" si="186"/>
        <v>0</v>
      </c>
      <c r="AQ493" s="8">
        <f t="shared" si="187"/>
        <v>0</v>
      </c>
      <c r="AR493" s="8">
        <f t="shared" si="181"/>
        <v>0</v>
      </c>
      <c r="AS493" s="42"/>
      <c r="AT493" s="84">
        <v>496021.65</v>
      </c>
      <c r="AU493" s="84">
        <v>162783.20000000001</v>
      </c>
      <c r="AV493" s="4">
        <f t="shared" si="182"/>
        <v>658804.85000000009</v>
      </c>
      <c r="AW493" s="50" t="str">
        <f t="shared" si="183"/>
        <v/>
      </c>
      <c r="AX493" s="1" t="s">
        <v>1639</v>
      </c>
      <c r="AY493" s="2" t="s">
        <v>1640</v>
      </c>
      <c r="AZ493" s="2">
        <v>162810.96</v>
      </c>
      <c r="BA493" s="73">
        <v>142459.59</v>
      </c>
      <c r="BB493" s="73">
        <v>142459.59</v>
      </c>
      <c r="BC493" s="73">
        <v>162810.96</v>
      </c>
      <c r="BD493" s="73"/>
      <c r="BE493" s="66">
        <v>0</v>
      </c>
      <c r="BF493" s="66">
        <v>0.02</v>
      </c>
      <c r="BG493" s="63">
        <v>44844</v>
      </c>
      <c r="BH493" s="2"/>
      <c r="BI493" s="2"/>
      <c r="BJ493" s="2">
        <v>579131.18999999994</v>
      </c>
      <c r="BK493" s="2">
        <v>65347.91</v>
      </c>
      <c r="BL493" s="1" t="s">
        <v>56</v>
      </c>
    </row>
    <row r="494" spans="1:64" x14ac:dyDescent="0.25">
      <c r="A494" s="81" t="s">
        <v>1110</v>
      </c>
      <c r="B494" s="82" t="s">
        <v>1110</v>
      </c>
      <c r="C494" s="81" t="s">
        <v>1111</v>
      </c>
      <c r="D494" s="16">
        <v>0</v>
      </c>
      <c r="E494" s="17"/>
      <c r="F494" s="2" t="s">
        <v>243</v>
      </c>
      <c r="G494" s="2" t="s">
        <v>245</v>
      </c>
      <c r="H494" s="10" t="s">
        <v>98</v>
      </c>
      <c r="I494" s="11" t="s">
        <v>244</v>
      </c>
      <c r="J494" s="11" t="s">
        <v>278</v>
      </c>
      <c r="K494" s="61" t="s">
        <v>279</v>
      </c>
      <c r="L494" s="11" t="s">
        <v>67</v>
      </c>
      <c r="M494" s="25"/>
      <c r="N494" s="82"/>
      <c r="O494" s="3" t="str">
        <f t="shared" si="192"/>
        <v>A</v>
      </c>
      <c r="P494" s="84">
        <v>176359.53</v>
      </c>
      <c r="Q494" s="84">
        <v>10701</v>
      </c>
      <c r="R494" s="32"/>
      <c r="S494" s="3" t="str">
        <f t="shared" si="193"/>
        <v>A</v>
      </c>
      <c r="T494" s="84">
        <v>146611.49</v>
      </c>
      <c r="U494" s="84">
        <v>8740.2200000000012</v>
      </c>
      <c r="V494" s="32"/>
      <c r="W494" s="3" t="str">
        <f t="shared" si="177"/>
        <v>A</v>
      </c>
      <c r="X494" s="84">
        <v>153697.45000000001</v>
      </c>
      <c r="Y494" s="84">
        <v>10667</v>
      </c>
      <c r="Z494" s="32"/>
      <c r="AA494" s="3" t="str">
        <f t="shared" si="178"/>
        <v>A</v>
      </c>
      <c r="AB494" s="84">
        <v>181522.87</v>
      </c>
      <c r="AC494" s="84">
        <v>12917</v>
      </c>
      <c r="AD494" s="36"/>
      <c r="AE494" s="82"/>
      <c r="AF494" s="3" t="str">
        <f t="shared" si="179"/>
        <v>A</v>
      </c>
      <c r="AG494" s="84">
        <v>0</v>
      </c>
      <c r="AH494" s="84">
        <v>0</v>
      </c>
      <c r="AI494" s="39"/>
      <c r="AJ494" s="79" t="s">
        <v>1801</v>
      </c>
      <c r="AK494" s="39"/>
      <c r="AL494" s="4">
        <f t="shared" si="184"/>
        <v>658191.34000000008</v>
      </c>
      <c r="AM494" s="4">
        <f t="shared" si="185"/>
        <v>43025.22</v>
      </c>
      <c r="AN494" s="4">
        <f t="shared" si="180"/>
        <v>701216.56</v>
      </c>
      <c r="AO494" s="39"/>
      <c r="AP494" s="8">
        <f t="shared" si="186"/>
        <v>0</v>
      </c>
      <c r="AQ494" s="8">
        <f t="shared" si="187"/>
        <v>0</v>
      </c>
      <c r="AR494" s="8">
        <f t="shared" si="181"/>
        <v>0</v>
      </c>
      <c r="AS494" s="42"/>
      <c r="AT494" s="84">
        <v>658191.34</v>
      </c>
      <c r="AU494" s="84">
        <v>43025.22</v>
      </c>
      <c r="AV494" s="4">
        <f t="shared" si="182"/>
        <v>701216.55999999994</v>
      </c>
      <c r="AW494" s="50" t="str">
        <f t="shared" si="183"/>
        <v/>
      </c>
      <c r="AX494" s="1" t="s">
        <v>1639</v>
      </c>
      <c r="AY494" s="2" t="s">
        <v>1640</v>
      </c>
      <c r="AZ494" s="2">
        <v>170075.12</v>
      </c>
      <c r="BA494" s="73">
        <v>148815.73000000001</v>
      </c>
      <c r="BB494" s="73">
        <v>148815.73000000001</v>
      </c>
      <c r="BC494" s="73">
        <v>170075.12</v>
      </c>
      <c r="BD494" s="73"/>
      <c r="BE494" s="66">
        <v>0</v>
      </c>
      <c r="BF494" s="66">
        <v>0.02</v>
      </c>
      <c r="BG494" s="63">
        <v>45016</v>
      </c>
      <c r="BH494" s="2"/>
      <c r="BI494" s="2"/>
      <c r="BJ494" s="2">
        <v>607368</v>
      </c>
      <c r="BK494" s="2">
        <v>75921</v>
      </c>
      <c r="BL494" s="1" t="s">
        <v>97</v>
      </c>
    </row>
    <row r="495" spans="1:64" x14ac:dyDescent="0.25">
      <c r="A495" s="81" t="s">
        <v>1110</v>
      </c>
      <c r="B495" s="82" t="s">
        <v>1306</v>
      </c>
      <c r="C495" s="81" t="s">
        <v>1307</v>
      </c>
      <c r="D495" s="16">
        <v>0</v>
      </c>
      <c r="E495" s="17"/>
      <c r="F495" s="2" t="s">
        <v>243</v>
      </c>
      <c r="G495" s="2" t="s">
        <v>245</v>
      </c>
      <c r="H495" s="10" t="s">
        <v>98</v>
      </c>
      <c r="I495" s="11" t="s">
        <v>244</v>
      </c>
      <c r="J495" s="11" t="s">
        <v>278</v>
      </c>
      <c r="K495" s="61" t="s">
        <v>279</v>
      </c>
      <c r="L495" s="11" t="s">
        <v>67</v>
      </c>
      <c r="M495" s="25"/>
      <c r="N495" s="82"/>
      <c r="O495" s="3" t="str">
        <f>IF($A495="","",IF(P495=AZ495,"E","A"))</f>
        <v>A</v>
      </c>
      <c r="P495" s="84">
        <v>76440</v>
      </c>
      <c r="Q495" s="84">
        <v>990</v>
      </c>
      <c r="R495" s="32"/>
      <c r="S495" s="3" t="str">
        <f t="shared" si="193"/>
        <v>A</v>
      </c>
      <c r="T495" s="84">
        <v>67837</v>
      </c>
      <c r="U495" s="84">
        <v>1000</v>
      </c>
      <c r="V495" s="32"/>
      <c r="W495" s="3" t="str">
        <f t="shared" si="177"/>
        <v>A</v>
      </c>
      <c r="X495" s="84">
        <v>72158</v>
      </c>
      <c r="Y495" s="84">
        <v>610</v>
      </c>
      <c r="Z495" s="32"/>
      <c r="AA495" s="3" t="str">
        <f t="shared" si="178"/>
        <v>A</v>
      </c>
      <c r="AB495" s="84">
        <v>74714</v>
      </c>
      <c r="AC495" s="84">
        <v>790</v>
      </c>
      <c r="AD495" s="36"/>
      <c r="AE495" s="82"/>
      <c r="AF495" s="3" t="str">
        <f t="shared" si="179"/>
        <v>A</v>
      </c>
      <c r="AG495" s="84">
        <v>0</v>
      </c>
      <c r="AH495" s="84">
        <v>0</v>
      </c>
      <c r="AI495" s="39"/>
      <c r="AJ495" s="79" t="s">
        <v>1801</v>
      </c>
      <c r="AK495" s="39"/>
      <c r="AL495" s="4">
        <f t="shared" si="184"/>
        <v>291149</v>
      </c>
      <c r="AM495" s="4">
        <f t="shared" si="185"/>
        <v>3390</v>
      </c>
      <c r="AN495" s="4">
        <f t="shared" si="180"/>
        <v>294539</v>
      </c>
      <c r="AO495" s="39"/>
      <c r="AP495" s="8">
        <f t="shared" si="186"/>
        <v>0</v>
      </c>
      <c r="AQ495" s="8">
        <f t="shared" si="187"/>
        <v>0</v>
      </c>
      <c r="AR495" s="8">
        <f t="shared" si="181"/>
        <v>0</v>
      </c>
      <c r="AS495" s="42"/>
      <c r="AT495" s="84">
        <v>291149</v>
      </c>
      <c r="AU495" s="84">
        <v>3390</v>
      </c>
      <c r="AV495" s="4">
        <f t="shared" si="182"/>
        <v>294539</v>
      </c>
      <c r="AW495" s="50" t="str">
        <f t="shared" si="183"/>
        <v/>
      </c>
      <c r="AX495" s="1" t="s">
        <v>1639</v>
      </c>
      <c r="AY495" s="2" t="s">
        <v>1640</v>
      </c>
      <c r="AZ495" s="2">
        <v>117146.8</v>
      </c>
      <c r="BA495" s="73">
        <v>102503.45</v>
      </c>
      <c r="BB495" s="73">
        <v>102503.45</v>
      </c>
      <c r="BC495" s="73">
        <v>117146.8</v>
      </c>
      <c r="BD495" s="73"/>
      <c r="BE495" s="66">
        <v>0</v>
      </c>
      <c r="BF495" s="66">
        <v>0.02</v>
      </c>
      <c r="BG495" s="63">
        <v>45147</v>
      </c>
      <c r="BH495" s="2"/>
      <c r="BI495" s="2"/>
      <c r="BJ495" s="2">
        <v>420000</v>
      </c>
      <c r="BK495" s="2"/>
      <c r="BL495" s="1" t="s">
        <v>97</v>
      </c>
    </row>
    <row r="496" spans="1:64" x14ac:dyDescent="0.25">
      <c r="A496" s="81" t="s">
        <v>1110</v>
      </c>
      <c r="B496" s="82" t="s">
        <v>1332</v>
      </c>
      <c r="C496" s="81" t="s">
        <v>1333</v>
      </c>
      <c r="D496" s="16">
        <v>45191</v>
      </c>
      <c r="E496" s="17"/>
      <c r="F496" s="2" t="s">
        <v>243</v>
      </c>
      <c r="G496" s="2" t="s">
        <v>245</v>
      </c>
      <c r="H496" s="10" t="s">
        <v>98</v>
      </c>
      <c r="I496" s="11" t="s">
        <v>244</v>
      </c>
      <c r="J496" s="11" t="s">
        <v>278</v>
      </c>
      <c r="K496" s="61" t="s">
        <v>279</v>
      </c>
      <c r="L496" s="11" t="s">
        <v>67</v>
      </c>
      <c r="M496" s="25"/>
      <c r="N496" s="82"/>
      <c r="O496" s="3" t="str">
        <f>IF($A496="","",IF(P496=AZ496,"E","A"))</f>
        <v>A</v>
      </c>
      <c r="P496" s="84">
        <v>22995.599999999999</v>
      </c>
      <c r="Q496" s="84">
        <v>565</v>
      </c>
      <c r="R496" s="32"/>
      <c r="S496" s="3" t="str">
        <f t="shared" si="193"/>
        <v>A</v>
      </c>
      <c r="T496" s="84">
        <v>20367.7</v>
      </c>
      <c r="U496" s="84">
        <v>430</v>
      </c>
      <c r="V496" s="32"/>
      <c r="W496" s="3" t="str">
        <f t="shared" si="177"/>
        <v>A</v>
      </c>
      <c r="X496" s="84">
        <v>22257.81</v>
      </c>
      <c r="Y496" s="84">
        <v>210</v>
      </c>
      <c r="Z496" s="32"/>
      <c r="AA496" s="3" t="str">
        <f t="shared" si="178"/>
        <v>A</v>
      </c>
      <c r="AB496" s="84">
        <v>25639.9</v>
      </c>
      <c r="AC496" s="84">
        <v>270</v>
      </c>
      <c r="AD496" s="36"/>
      <c r="AE496" s="82"/>
      <c r="AF496" s="3" t="str">
        <f t="shared" si="179"/>
        <v>A</v>
      </c>
      <c r="AG496" s="84">
        <v>0</v>
      </c>
      <c r="AH496" s="84">
        <v>0</v>
      </c>
      <c r="AI496" s="39"/>
      <c r="AJ496" s="79" t="s">
        <v>1801</v>
      </c>
      <c r="AK496" s="39"/>
      <c r="AL496" s="4">
        <f t="shared" si="184"/>
        <v>91261.010000000009</v>
      </c>
      <c r="AM496" s="4">
        <f t="shared" si="185"/>
        <v>1475</v>
      </c>
      <c r="AN496" s="4">
        <f t="shared" si="180"/>
        <v>92736.010000000009</v>
      </c>
      <c r="AO496" s="39"/>
      <c r="AP496" s="8">
        <f t="shared" si="186"/>
        <v>0</v>
      </c>
      <c r="AQ496" s="8">
        <f t="shared" si="187"/>
        <v>0</v>
      </c>
      <c r="AR496" s="8">
        <f t="shared" si="181"/>
        <v>0</v>
      </c>
      <c r="AS496" s="42"/>
      <c r="AT496" s="84">
        <v>91261.01</v>
      </c>
      <c r="AU496" s="84">
        <v>1475</v>
      </c>
      <c r="AV496" s="4">
        <f t="shared" si="182"/>
        <v>92736.01</v>
      </c>
      <c r="AW496" s="50" t="str">
        <f t="shared" si="183"/>
        <v/>
      </c>
      <c r="AX496" s="1" t="s">
        <v>1639</v>
      </c>
      <c r="AY496" s="2" t="s">
        <v>1640</v>
      </c>
      <c r="AZ496" s="2">
        <v>77898.64</v>
      </c>
      <c r="BA496" s="73">
        <v>68161.31</v>
      </c>
      <c r="BB496" s="73">
        <v>68161.31</v>
      </c>
      <c r="BC496" s="73">
        <v>77898.64</v>
      </c>
      <c r="BD496" s="73"/>
      <c r="BE496" s="66">
        <v>0</v>
      </c>
      <c r="BF496" s="66">
        <v>0.02</v>
      </c>
      <c r="BG496" s="63">
        <v>45191</v>
      </c>
      <c r="BH496" s="2"/>
      <c r="BI496" s="2"/>
      <c r="BJ496" s="2">
        <v>282500</v>
      </c>
      <c r="BK496" s="2"/>
      <c r="BL496" s="1" t="s">
        <v>97</v>
      </c>
    </row>
    <row r="497" spans="1:64" x14ac:dyDescent="0.25">
      <c r="A497" s="81" t="s">
        <v>1112</v>
      </c>
      <c r="B497" s="82" t="s">
        <v>1112</v>
      </c>
      <c r="C497" s="81" t="s">
        <v>1113</v>
      </c>
      <c r="D497" s="16">
        <v>0</v>
      </c>
      <c r="E497" s="17"/>
      <c r="F497" s="2" t="s">
        <v>243</v>
      </c>
      <c r="G497" s="2" t="s">
        <v>245</v>
      </c>
      <c r="H497" s="10" t="s">
        <v>98</v>
      </c>
      <c r="I497" s="11" t="s">
        <v>244</v>
      </c>
      <c r="J497" s="11" t="s">
        <v>278</v>
      </c>
      <c r="K497" s="61" t="s">
        <v>279</v>
      </c>
      <c r="L497" s="11" t="s">
        <v>67</v>
      </c>
      <c r="M497" s="25"/>
      <c r="N497" s="82"/>
      <c r="O497" s="3" t="str">
        <f t="shared" ref="O497:O525" si="194">IF($A497="","",IF(P497=0,"A",IF(P497=AZ497,"E","A")))</f>
        <v>A</v>
      </c>
      <c r="P497" s="84">
        <v>108440</v>
      </c>
      <c r="Q497" s="84">
        <v>8534</v>
      </c>
      <c r="R497" s="32"/>
      <c r="S497" s="3" t="str">
        <f t="shared" si="193"/>
        <v>A</v>
      </c>
      <c r="T497" s="84">
        <v>107962.70999999999</v>
      </c>
      <c r="U497" s="84">
        <v>12499</v>
      </c>
      <c r="V497" s="32"/>
      <c r="W497" s="3" t="str">
        <f t="shared" si="177"/>
        <v>A</v>
      </c>
      <c r="X497" s="84">
        <v>104102.1</v>
      </c>
      <c r="Y497" s="84">
        <v>10285</v>
      </c>
      <c r="Z497" s="32"/>
      <c r="AA497" s="3" t="str">
        <f t="shared" si="178"/>
        <v>A</v>
      </c>
      <c r="AB497" s="84">
        <v>124144.73000000001</v>
      </c>
      <c r="AC497" s="84">
        <v>10124</v>
      </c>
      <c r="AD497" s="36"/>
      <c r="AE497" s="82"/>
      <c r="AF497" s="3" t="str">
        <f t="shared" si="179"/>
        <v>A</v>
      </c>
      <c r="AG497" s="84">
        <v>0</v>
      </c>
      <c r="AH497" s="84">
        <v>0</v>
      </c>
      <c r="AI497" s="39"/>
      <c r="AJ497" s="79" t="s">
        <v>1801</v>
      </c>
      <c r="AK497" s="39"/>
      <c r="AL497" s="4">
        <f t="shared" si="184"/>
        <v>444649.54000000004</v>
      </c>
      <c r="AM497" s="4">
        <f t="shared" si="185"/>
        <v>41442</v>
      </c>
      <c r="AN497" s="4">
        <f t="shared" si="180"/>
        <v>486091.54000000004</v>
      </c>
      <c r="AO497" s="39"/>
      <c r="AP497" s="8">
        <f t="shared" si="186"/>
        <v>0</v>
      </c>
      <c r="AQ497" s="8">
        <f t="shared" si="187"/>
        <v>0</v>
      </c>
      <c r="AR497" s="8">
        <f t="shared" si="181"/>
        <v>0</v>
      </c>
      <c r="AS497" s="42"/>
      <c r="AT497" s="84">
        <v>444649.54</v>
      </c>
      <c r="AU497" s="84">
        <v>41442</v>
      </c>
      <c r="AV497" s="4">
        <f t="shared" si="182"/>
        <v>486091.54</v>
      </c>
      <c r="AW497" s="50" t="str">
        <f t="shared" si="183"/>
        <v/>
      </c>
      <c r="AX497" s="1" t="s">
        <v>1639</v>
      </c>
      <c r="AY497" s="2" t="s">
        <v>1640</v>
      </c>
      <c r="AZ497" s="2">
        <v>163534.96</v>
      </c>
      <c r="BA497" s="73">
        <v>143093.09</v>
      </c>
      <c r="BB497" s="73">
        <v>143093.09</v>
      </c>
      <c r="BC497" s="73">
        <v>163534.96</v>
      </c>
      <c r="BD497" s="73"/>
      <c r="BE497" s="66">
        <v>0</v>
      </c>
      <c r="BF497" s="66">
        <v>0.02</v>
      </c>
      <c r="BG497" s="63">
        <v>44918</v>
      </c>
      <c r="BH497" s="2"/>
      <c r="BI497" s="2"/>
      <c r="BJ497" s="2">
        <v>616752</v>
      </c>
      <c r="BK497" s="2">
        <v>77094</v>
      </c>
      <c r="BL497" s="1" t="s">
        <v>97</v>
      </c>
    </row>
    <row r="498" spans="1:64" x14ac:dyDescent="0.25">
      <c r="A498" s="81" t="s">
        <v>1112</v>
      </c>
      <c r="B498" s="82" t="s">
        <v>1148</v>
      </c>
      <c r="C498" s="81" t="s">
        <v>1149</v>
      </c>
      <c r="D498" s="16">
        <v>0</v>
      </c>
      <c r="E498" s="17"/>
      <c r="F498" s="2" t="s">
        <v>243</v>
      </c>
      <c r="G498" s="2" t="s">
        <v>245</v>
      </c>
      <c r="H498" s="10" t="s">
        <v>98</v>
      </c>
      <c r="I498" s="11" t="s">
        <v>244</v>
      </c>
      <c r="J498" s="11" t="s">
        <v>278</v>
      </c>
      <c r="K498" s="61" t="s">
        <v>279</v>
      </c>
      <c r="L498" s="11" t="s">
        <v>67</v>
      </c>
      <c r="M498" s="25"/>
      <c r="N498" s="82"/>
      <c r="O498" s="3" t="str">
        <f t="shared" si="194"/>
        <v>A</v>
      </c>
      <c r="P498" s="84">
        <v>73722</v>
      </c>
      <c r="Q498" s="84">
        <v>0</v>
      </c>
      <c r="R498" s="32"/>
      <c r="S498" s="3" t="str">
        <f t="shared" si="193"/>
        <v>A</v>
      </c>
      <c r="T498" s="84">
        <v>65320</v>
      </c>
      <c r="U498" s="84"/>
      <c r="V498" s="32"/>
      <c r="W498" s="3" t="str">
        <f t="shared" si="177"/>
        <v>A</v>
      </c>
      <c r="X498" s="84">
        <v>67070</v>
      </c>
      <c r="Y498" s="84"/>
      <c r="Z498" s="32"/>
      <c r="AA498" s="3" t="str">
        <f t="shared" si="178"/>
        <v>A</v>
      </c>
      <c r="AB498" s="84">
        <v>82249</v>
      </c>
      <c r="AC498" s="84"/>
      <c r="AD498" s="36"/>
      <c r="AE498" s="82"/>
      <c r="AF498" s="3" t="str">
        <f t="shared" si="179"/>
        <v>A</v>
      </c>
      <c r="AG498" s="84">
        <v>0</v>
      </c>
      <c r="AH498" s="84">
        <v>0</v>
      </c>
      <c r="AI498" s="39"/>
      <c r="AJ498" s="79" t="s">
        <v>1801</v>
      </c>
      <c r="AK498" s="39"/>
      <c r="AL498" s="4">
        <f t="shared" si="184"/>
        <v>288361</v>
      </c>
      <c r="AM498" s="4">
        <f t="shared" si="185"/>
        <v>0</v>
      </c>
      <c r="AN498" s="4">
        <f t="shared" si="180"/>
        <v>288361</v>
      </c>
      <c r="AO498" s="39"/>
      <c r="AP498" s="8">
        <f t="shared" si="186"/>
        <v>0</v>
      </c>
      <c r="AQ498" s="8">
        <f t="shared" si="187"/>
        <v>0</v>
      </c>
      <c r="AR498" s="8">
        <f t="shared" si="181"/>
        <v>0</v>
      </c>
      <c r="AS498" s="42"/>
      <c r="AT498" s="84">
        <v>288361</v>
      </c>
      <c r="AU498" s="84"/>
      <c r="AV498" s="4">
        <f t="shared" si="182"/>
        <v>288361</v>
      </c>
      <c r="AW498" s="50" t="str">
        <f t="shared" si="183"/>
        <v/>
      </c>
      <c r="AX498" s="1" t="s">
        <v>1639</v>
      </c>
      <c r="AY498" s="2" t="s">
        <v>1640</v>
      </c>
      <c r="AZ498" s="2">
        <v>62810.16</v>
      </c>
      <c r="BA498" s="73">
        <v>54958.89</v>
      </c>
      <c r="BB498" s="73">
        <v>54958.89</v>
      </c>
      <c r="BC498" s="73">
        <v>62810.16</v>
      </c>
      <c r="BD498" s="73"/>
      <c r="BE498" s="66">
        <v>0</v>
      </c>
      <c r="BF498" s="66">
        <v>0.02</v>
      </c>
      <c r="BG498" s="63">
        <v>44981</v>
      </c>
      <c r="BH498" s="2"/>
      <c r="BI498" s="2"/>
      <c r="BJ498" s="2">
        <v>225000</v>
      </c>
      <c r="BK498" s="2"/>
      <c r="BL498" s="1" t="s">
        <v>97</v>
      </c>
    </row>
    <row r="499" spans="1:64" x14ac:dyDescent="0.25">
      <c r="A499" s="81" t="s">
        <v>1112</v>
      </c>
      <c r="B499" s="82" t="s">
        <v>1173</v>
      </c>
      <c r="C499" s="81" t="s">
        <v>1174</v>
      </c>
      <c r="D499" s="16">
        <v>0</v>
      </c>
      <c r="E499" s="17"/>
      <c r="F499" s="2" t="s">
        <v>243</v>
      </c>
      <c r="G499" s="2" t="s">
        <v>245</v>
      </c>
      <c r="H499" s="10" t="s">
        <v>98</v>
      </c>
      <c r="I499" s="11" t="s">
        <v>244</v>
      </c>
      <c r="J499" s="11" t="s">
        <v>278</v>
      </c>
      <c r="K499" s="61" t="s">
        <v>279</v>
      </c>
      <c r="L499" s="11" t="s">
        <v>67</v>
      </c>
      <c r="M499" s="25"/>
      <c r="N499" s="82"/>
      <c r="O499" s="3" t="str">
        <f t="shared" si="194"/>
        <v>A</v>
      </c>
      <c r="P499" s="84">
        <v>65825</v>
      </c>
      <c r="Q499" s="84">
        <v>1665</v>
      </c>
      <c r="R499" s="32"/>
      <c r="S499" s="3" t="str">
        <f t="shared" si="193"/>
        <v>A</v>
      </c>
      <c r="T499" s="84">
        <v>58213</v>
      </c>
      <c r="U499" s="84">
        <v>1300</v>
      </c>
      <c r="V499" s="32"/>
      <c r="W499" s="3" t="str">
        <f t="shared" si="177"/>
        <v>A</v>
      </c>
      <c r="X499" s="84">
        <v>56690</v>
      </c>
      <c r="Y499" s="84">
        <v>1205</v>
      </c>
      <c r="Z499" s="32"/>
      <c r="AA499" s="3" t="str">
        <f t="shared" si="178"/>
        <v>A</v>
      </c>
      <c r="AB499" s="84">
        <v>67533</v>
      </c>
      <c r="AC499" s="84">
        <v>2165</v>
      </c>
      <c r="AD499" s="36"/>
      <c r="AE499" s="82"/>
      <c r="AF499" s="3" t="str">
        <f t="shared" si="179"/>
        <v>A</v>
      </c>
      <c r="AG499" s="84">
        <v>0</v>
      </c>
      <c r="AH499" s="84">
        <v>0</v>
      </c>
      <c r="AI499" s="39"/>
      <c r="AJ499" s="79" t="s">
        <v>1801</v>
      </c>
      <c r="AK499" s="39"/>
      <c r="AL499" s="4">
        <f t="shared" si="184"/>
        <v>248261</v>
      </c>
      <c r="AM499" s="4">
        <f t="shared" si="185"/>
        <v>6335</v>
      </c>
      <c r="AN499" s="4">
        <f t="shared" si="180"/>
        <v>254596</v>
      </c>
      <c r="AO499" s="39"/>
      <c r="AP499" s="8">
        <f t="shared" si="186"/>
        <v>0</v>
      </c>
      <c r="AQ499" s="8">
        <f t="shared" si="187"/>
        <v>0</v>
      </c>
      <c r="AR499" s="8">
        <f t="shared" si="181"/>
        <v>0</v>
      </c>
      <c r="AS499" s="42"/>
      <c r="AT499" s="84">
        <v>248261</v>
      </c>
      <c r="AU499" s="84">
        <v>6335</v>
      </c>
      <c r="AV499" s="4">
        <f t="shared" si="182"/>
        <v>254596</v>
      </c>
      <c r="AW499" s="50" t="str">
        <f t="shared" si="183"/>
        <v/>
      </c>
      <c r="AX499" s="1" t="s">
        <v>1639</v>
      </c>
      <c r="AY499" s="2" t="s">
        <v>1640</v>
      </c>
      <c r="AZ499" s="2">
        <v>62383.12</v>
      </c>
      <c r="BA499" s="73">
        <v>54585.23</v>
      </c>
      <c r="BB499" s="73">
        <v>54585.23</v>
      </c>
      <c r="BC499" s="73">
        <v>62383.12</v>
      </c>
      <c r="BD499" s="73"/>
      <c r="BE499" s="66">
        <v>0</v>
      </c>
      <c r="BF499" s="66">
        <v>0.02</v>
      </c>
      <c r="BG499" s="63">
        <v>45113</v>
      </c>
      <c r="BH499" s="2"/>
      <c r="BI499" s="2"/>
      <c r="BJ499" s="2">
        <v>270000</v>
      </c>
      <c r="BK499" s="2"/>
      <c r="BL499" s="1" t="s">
        <v>97</v>
      </c>
    </row>
    <row r="500" spans="1:64" x14ac:dyDescent="0.25">
      <c r="A500" s="81" t="s">
        <v>1112</v>
      </c>
      <c r="B500" s="82" t="s">
        <v>1175</v>
      </c>
      <c r="C500" s="81" t="s">
        <v>1176</v>
      </c>
      <c r="D500" s="16">
        <v>0</v>
      </c>
      <c r="E500" s="17"/>
      <c r="F500" s="2" t="s">
        <v>243</v>
      </c>
      <c r="G500" s="2" t="s">
        <v>245</v>
      </c>
      <c r="H500" s="10" t="s">
        <v>98</v>
      </c>
      <c r="I500" s="11" t="s">
        <v>244</v>
      </c>
      <c r="J500" s="11" t="s">
        <v>278</v>
      </c>
      <c r="K500" s="61" t="s">
        <v>279</v>
      </c>
      <c r="L500" s="11" t="s">
        <v>67</v>
      </c>
      <c r="M500" s="25"/>
      <c r="N500" s="82"/>
      <c r="O500" s="3" t="str">
        <f t="shared" si="194"/>
        <v>A</v>
      </c>
      <c r="P500" s="84">
        <v>143683</v>
      </c>
      <c r="Q500" s="84">
        <v>52823</v>
      </c>
      <c r="R500" s="32"/>
      <c r="S500" s="3" t="str">
        <f t="shared" si="193"/>
        <v>A</v>
      </c>
      <c r="T500" s="84">
        <v>129336.95000000001</v>
      </c>
      <c r="U500" s="84">
        <v>39260</v>
      </c>
      <c r="V500" s="32"/>
      <c r="W500" s="3" t="str">
        <f t="shared" si="177"/>
        <v>A</v>
      </c>
      <c r="X500" s="84">
        <v>116583</v>
      </c>
      <c r="Y500" s="84">
        <v>36284</v>
      </c>
      <c r="Z500" s="32"/>
      <c r="AA500" s="3" t="str">
        <f t="shared" si="178"/>
        <v>A</v>
      </c>
      <c r="AB500" s="84">
        <v>135852</v>
      </c>
      <c r="AC500" s="84">
        <v>43077</v>
      </c>
      <c r="AD500" s="36"/>
      <c r="AE500" s="82"/>
      <c r="AF500" s="3" t="str">
        <f t="shared" si="179"/>
        <v>A</v>
      </c>
      <c r="AG500" s="84">
        <v>0</v>
      </c>
      <c r="AH500" s="84">
        <v>0</v>
      </c>
      <c r="AI500" s="39"/>
      <c r="AJ500" s="79" t="s">
        <v>1801</v>
      </c>
      <c r="AK500" s="39"/>
      <c r="AL500" s="4">
        <f t="shared" si="184"/>
        <v>525454.94999999995</v>
      </c>
      <c r="AM500" s="4">
        <f t="shared" si="185"/>
        <v>171444</v>
      </c>
      <c r="AN500" s="4">
        <f t="shared" si="180"/>
        <v>696898.95</v>
      </c>
      <c r="AO500" s="39"/>
      <c r="AP500" s="8">
        <f t="shared" si="186"/>
        <v>0</v>
      </c>
      <c r="AQ500" s="8">
        <f t="shared" si="187"/>
        <v>0</v>
      </c>
      <c r="AR500" s="8">
        <f t="shared" si="181"/>
        <v>0</v>
      </c>
      <c r="AS500" s="42"/>
      <c r="AT500" s="84">
        <v>525454.94999999995</v>
      </c>
      <c r="AU500" s="84">
        <v>171444</v>
      </c>
      <c r="AV500" s="4">
        <f t="shared" si="182"/>
        <v>696898.95</v>
      </c>
      <c r="AW500" s="50" t="str">
        <f t="shared" si="183"/>
        <v/>
      </c>
      <c r="AX500" s="1" t="s">
        <v>1639</v>
      </c>
      <c r="AY500" s="2" t="s">
        <v>1640</v>
      </c>
      <c r="AZ500" s="2">
        <v>66231.679999999993</v>
      </c>
      <c r="BA500" s="73">
        <v>57952.72</v>
      </c>
      <c r="BB500" s="73">
        <v>57952.72</v>
      </c>
      <c r="BC500" s="73">
        <v>66231.679999999993</v>
      </c>
      <c r="BD500" s="73"/>
      <c r="BE500" s="66">
        <v>0</v>
      </c>
      <c r="BF500" s="66">
        <v>0.02</v>
      </c>
      <c r="BG500" s="63">
        <v>44947</v>
      </c>
      <c r="BH500" s="2"/>
      <c r="BI500" s="2"/>
      <c r="BJ500" s="2">
        <v>240000</v>
      </c>
      <c r="BK500" s="2"/>
      <c r="BL500" s="1" t="s">
        <v>97</v>
      </c>
    </row>
    <row r="501" spans="1:64" x14ac:dyDescent="0.25">
      <c r="A501" s="81" t="s">
        <v>1114</v>
      </c>
      <c r="B501" s="82" t="s">
        <v>1114</v>
      </c>
      <c r="C501" s="81" t="s">
        <v>1115</v>
      </c>
      <c r="D501" s="16">
        <v>45125</v>
      </c>
      <c r="E501" s="17"/>
      <c r="F501" s="2" t="s">
        <v>551</v>
      </c>
      <c r="G501" s="2" t="s">
        <v>552</v>
      </c>
      <c r="H501" s="10" t="s">
        <v>105</v>
      </c>
      <c r="I501" s="11" t="s">
        <v>53</v>
      </c>
      <c r="J501" s="11" t="s">
        <v>106</v>
      </c>
      <c r="K501" s="61"/>
      <c r="L501" s="11" t="s">
        <v>67</v>
      </c>
      <c r="M501" s="25"/>
      <c r="N501" s="82"/>
      <c r="O501" s="3" t="str">
        <f t="shared" si="194"/>
        <v>A</v>
      </c>
      <c r="P501" s="84">
        <v>323384</v>
      </c>
      <c r="Q501" s="84">
        <v>32101</v>
      </c>
      <c r="R501" s="32"/>
      <c r="S501" s="3" t="str">
        <f t="shared" si="193"/>
        <v>A</v>
      </c>
      <c r="T501" s="84">
        <v>298157</v>
      </c>
      <c r="U501" s="84">
        <v>31708</v>
      </c>
      <c r="V501" s="32"/>
      <c r="W501" s="3" t="str">
        <f t="shared" si="177"/>
        <v>A</v>
      </c>
      <c r="X501" s="84">
        <v>269396</v>
      </c>
      <c r="Y501" s="84">
        <v>35989</v>
      </c>
      <c r="Z501" s="32"/>
      <c r="AA501" s="3" t="str">
        <f t="shared" si="178"/>
        <v>A</v>
      </c>
      <c r="AB501" s="84">
        <v>292021</v>
      </c>
      <c r="AC501" s="84">
        <v>26030</v>
      </c>
      <c r="AD501" s="36"/>
      <c r="AE501" s="82"/>
      <c r="AF501" s="3" t="str">
        <f t="shared" si="179"/>
        <v>A</v>
      </c>
      <c r="AG501" s="84">
        <v>0</v>
      </c>
      <c r="AH501" s="84">
        <v>0</v>
      </c>
      <c r="AI501" s="39"/>
      <c r="AJ501" s="79" t="s">
        <v>1801</v>
      </c>
      <c r="AK501" s="39"/>
      <c r="AL501" s="4">
        <f t="shared" si="184"/>
        <v>1182958</v>
      </c>
      <c r="AM501" s="4">
        <f t="shared" si="185"/>
        <v>125828</v>
      </c>
      <c r="AN501" s="4">
        <f t="shared" si="180"/>
        <v>1308786</v>
      </c>
      <c r="AO501" s="39"/>
      <c r="AP501" s="8">
        <f t="shared" si="186"/>
        <v>0</v>
      </c>
      <c r="AQ501" s="8">
        <f t="shared" si="187"/>
        <v>0</v>
      </c>
      <c r="AR501" s="8">
        <f t="shared" si="181"/>
        <v>0</v>
      </c>
      <c r="AS501" s="42"/>
      <c r="AT501" s="84">
        <v>1182958</v>
      </c>
      <c r="AU501" s="84">
        <v>125828</v>
      </c>
      <c r="AV501" s="4">
        <f t="shared" si="182"/>
        <v>1308786</v>
      </c>
      <c r="AW501" s="50" t="str">
        <f t="shared" si="183"/>
        <v/>
      </c>
      <c r="AX501" s="1" t="s">
        <v>1725</v>
      </c>
      <c r="AY501" s="2" t="s">
        <v>1659</v>
      </c>
      <c r="AZ501" s="2">
        <v>117988</v>
      </c>
      <c r="BA501" s="73">
        <v>103239.5</v>
      </c>
      <c r="BB501" s="73">
        <v>103239.5</v>
      </c>
      <c r="BC501" s="73">
        <v>117988</v>
      </c>
      <c r="BD501" s="73"/>
      <c r="BE501" s="66">
        <v>0</v>
      </c>
      <c r="BF501" s="66">
        <v>0.05</v>
      </c>
      <c r="BG501" s="63">
        <v>45123</v>
      </c>
      <c r="BH501" s="2"/>
      <c r="BI501" s="2"/>
      <c r="BJ501" s="2">
        <v>425553.75</v>
      </c>
      <c r="BK501" s="2">
        <v>47283.75</v>
      </c>
      <c r="BL501" s="1" t="s">
        <v>104</v>
      </c>
    </row>
    <row r="502" spans="1:64" x14ac:dyDescent="0.25">
      <c r="A502" s="81" t="s">
        <v>1116</v>
      </c>
      <c r="B502" s="82" t="s">
        <v>1116</v>
      </c>
      <c r="C502" s="81" t="s">
        <v>1117</v>
      </c>
      <c r="D502" s="16">
        <v>0</v>
      </c>
      <c r="E502" s="17"/>
      <c r="F502" s="2" t="s">
        <v>1118</v>
      </c>
      <c r="G502" s="2" t="s">
        <v>1119</v>
      </c>
      <c r="H502" s="10" t="s">
        <v>105</v>
      </c>
      <c r="I502" s="11" t="s">
        <v>53</v>
      </c>
      <c r="J502" s="11" t="s">
        <v>145</v>
      </c>
      <c r="K502" s="61"/>
      <c r="L502" s="11" t="s">
        <v>67</v>
      </c>
      <c r="M502" s="25"/>
      <c r="N502" s="82"/>
      <c r="O502" s="3" t="str">
        <f t="shared" si="194"/>
        <v>A</v>
      </c>
      <c r="P502" s="84">
        <v>98344</v>
      </c>
      <c r="Q502" s="84">
        <v>15946</v>
      </c>
      <c r="R502" s="32"/>
      <c r="S502" s="3" t="str">
        <f t="shared" si="193"/>
        <v>A</v>
      </c>
      <c r="T502" s="84">
        <v>84639</v>
      </c>
      <c r="U502" s="84">
        <v>12873</v>
      </c>
      <c r="V502" s="32"/>
      <c r="W502" s="3" t="str">
        <f t="shared" si="177"/>
        <v>A</v>
      </c>
      <c r="X502" s="84">
        <v>74199</v>
      </c>
      <c r="Y502" s="84">
        <v>9438</v>
      </c>
      <c r="Z502" s="32"/>
      <c r="AA502" s="3" t="str">
        <f t="shared" si="178"/>
        <v>A</v>
      </c>
      <c r="AB502" s="84">
        <v>80953</v>
      </c>
      <c r="AC502" s="84">
        <v>9584</v>
      </c>
      <c r="AD502" s="36"/>
      <c r="AE502" s="82"/>
      <c r="AF502" s="3" t="str">
        <f t="shared" si="179"/>
        <v>A</v>
      </c>
      <c r="AG502" s="84">
        <v>0</v>
      </c>
      <c r="AH502" s="84">
        <v>0</v>
      </c>
      <c r="AI502" s="39"/>
      <c r="AJ502" s="79" t="s">
        <v>1801</v>
      </c>
      <c r="AK502" s="39"/>
      <c r="AL502" s="4">
        <f t="shared" si="184"/>
        <v>338135</v>
      </c>
      <c r="AM502" s="4">
        <f t="shared" si="185"/>
        <v>47841</v>
      </c>
      <c r="AN502" s="4">
        <f t="shared" si="180"/>
        <v>385976</v>
      </c>
      <c r="AO502" s="39"/>
      <c r="AP502" s="8">
        <f t="shared" si="186"/>
        <v>0</v>
      </c>
      <c r="AQ502" s="8">
        <f t="shared" si="187"/>
        <v>0</v>
      </c>
      <c r="AR502" s="8">
        <f t="shared" si="181"/>
        <v>0</v>
      </c>
      <c r="AS502" s="42"/>
      <c r="AT502" s="84">
        <v>338135</v>
      </c>
      <c r="AU502" s="84">
        <v>47841</v>
      </c>
      <c r="AV502" s="4">
        <f t="shared" si="182"/>
        <v>385976</v>
      </c>
      <c r="AW502" s="50" t="str">
        <f t="shared" si="183"/>
        <v/>
      </c>
      <c r="AX502" s="1" t="s">
        <v>1760</v>
      </c>
      <c r="AY502" s="2" t="s">
        <v>1761</v>
      </c>
      <c r="AZ502" s="2">
        <v>96203.839999999997</v>
      </c>
      <c r="BA502" s="73">
        <v>84178.36</v>
      </c>
      <c r="BB502" s="73">
        <v>84178.36</v>
      </c>
      <c r="BC502" s="73">
        <v>96203.839999999997</v>
      </c>
      <c r="BD502" s="73"/>
      <c r="BE502" s="66">
        <v>0</v>
      </c>
      <c r="BF502" s="66">
        <v>0.05</v>
      </c>
      <c r="BG502" s="63">
        <v>44774</v>
      </c>
      <c r="BH502" s="2"/>
      <c r="BI502" s="2"/>
      <c r="BJ502" s="2">
        <v>341950.12</v>
      </c>
      <c r="BK502" s="2">
        <v>63417.67</v>
      </c>
      <c r="BL502" s="1" t="s">
        <v>104</v>
      </c>
    </row>
    <row r="503" spans="1:64" x14ac:dyDescent="0.25">
      <c r="A503" s="81" t="s">
        <v>1120</v>
      </c>
      <c r="B503" s="82" t="s">
        <v>1120</v>
      </c>
      <c r="C503" s="81" t="s">
        <v>1121</v>
      </c>
      <c r="D503" s="16">
        <v>0</v>
      </c>
      <c r="E503" s="17"/>
      <c r="F503" s="2" t="s">
        <v>1118</v>
      </c>
      <c r="G503" s="2" t="s">
        <v>1119</v>
      </c>
      <c r="H503" s="10" t="s">
        <v>105</v>
      </c>
      <c r="I503" s="11" t="s">
        <v>53</v>
      </c>
      <c r="J503" s="11" t="s">
        <v>145</v>
      </c>
      <c r="K503" s="61"/>
      <c r="L503" s="11" t="s">
        <v>67</v>
      </c>
      <c r="M503" s="25"/>
      <c r="N503" s="82"/>
      <c r="O503" s="3" t="str">
        <f t="shared" si="194"/>
        <v>A</v>
      </c>
      <c r="P503" s="84">
        <v>39665</v>
      </c>
      <c r="Q503" s="84">
        <v>8850</v>
      </c>
      <c r="R503" s="32"/>
      <c r="S503" s="3" t="str">
        <f t="shared" si="193"/>
        <v>A</v>
      </c>
      <c r="T503" s="84">
        <v>28379</v>
      </c>
      <c r="U503" s="84">
        <v>8207</v>
      </c>
      <c r="V503" s="32"/>
      <c r="W503" s="3" t="str">
        <f t="shared" si="177"/>
        <v>A</v>
      </c>
      <c r="X503" s="84">
        <v>29632</v>
      </c>
      <c r="Y503" s="84">
        <v>6395</v>
      </c>
      <c r="Z503" s="32"/>
      <c r="AA503" s="3" t="str">
        <f t="shared" si="178"/>
        <v>A</v>
      </c>
      <c r="AB503" s="84">
        <v>41602</v>
      </c>
      <c r="AC503" s="84">
        <v>9064</v>
      </c>
      <c r="AD503" s="36"/>
      <c r="AE503" s="82"/>
      <c r="AF503" s="3" t="str">
        <f t="shared" si="179"/>
        <v>A</v>
      </c>
      <c r="AG503" s="84">
        <v>0</v>
      </c>
      <c r="AH503" s="84">
        <v>0</v>
      </c>
      <c r="AI503" s="39"/>
      <c r="AJ503" s="79" t="s">
        <v>1801</v>
      </c>
      <c r="AK503" s="39"/>
      <c r="AL503" s="4">
        <f t="shared" si="184"/>
        <v>139278</v>
      </c>
      <c r="AM503" s="4">
        <f t="shared" si="185"/>
        <v>32516</v>
      </c>
      <c r="AN503" s="4">
        <f t="shared" si="180"/>
        <v>171794</v>
      </c>
      <c r="AO503" s="39"/>
      <c r="AP503" s="8">
        <f t="shared" si="186"/>
        <v>0</v>
      </c>
      <c r="AQ503" s="8">
        <f t="shared" si="187"/>
        <v>0</v>
      </c>
      <c r="AR503" s="8">
        <f t="shared" si="181"/>
        <v>0</v>
      </c>
      <c r="AS503" s="42"/>
      <c r="AT503" s="84">
        <v>139278</v>
      </c>
      <c r="AU503" s="84">
        <v>32516</v>
      </c>
      <c r="AV503" s="4">
        <f t="shared" si="182"/>
        <v>171794</v>
      </c>
      <c r="AW503" s="50" t="str">
        <f t="shared" si="183"/>
        <v/>
      </c>
      <c r="AX503" s="1" t="s">
        <v>1760</v>
      </c>
      <c r="AY503" s="2" t="s">
        <v>1761</v>
      </c>
      <c r="AZ503" s="2">
        <v>91890.559999999998</v>
      </c>
      <c r="BA503" s="73">
        <v>80404.240000000005</v>
      </c>
      <c r="BB503" s="73">
        <v>80404.240000000005</v>
      </c>
      <c r="BC503" s="73">
        <v>91890.559999999998</v>
      </c>
      <c r="BD503" s="73"/>
      <c r="BE503" s="66">
        <v>0</v>
      </c>
      <c r="BF503" s="66">
        <v>0.05</v>
      </c>
      <c r="BG503" s="63">
        <v>44774</v>
      </c>
      <c r="BH503" s="2"/>
      <c r="BI503" s="2"/>
      <c r="BJ503" s="2">
        <v>326618.96999999997</v>
      </c>
      <c r="BK503" s="2">
        <v>70352</v>
      </c>
      <c r="BL503" s="1" t="s">
        <v>104</v>
      </c>
    </row>
    <row r="504" spans="1:64" x14ac:dyDescent="0.25">
      <c r="A504" s="81" t="s">
        <v>1120</v>
      </c>
      <c r="B504" s="82" t="s">
        <v>1122</v>
      </c>
      <c r="C504" s="81" t="s">
        <v>1123</v>
      </c>
      <c r="D504" s="16">
        <v>0</v>
      </c>
      <c r="E504" s="17"/>
      <c r="F504" s="2" t="s">
        <v>1118</v>
      </c>
      <c r="G504" s="2" t="s">
        <v>1119</v>
      </c>
      <c r="H504" s="10" t="s">
        <v>105</v>
      </c>
      <c r="I504" s="11" t="s">
        <v>53</v>
      </c>
      <c r="J504" s="11" t="s">
        <v>145</v>
      </c>
      <c r="K504" s="61"/>
      <c r="L504" s="11" t="s">
        <v>67</v>
      </c>
      <c r="M504" s="25"/>
      <c r="N504" s="82"/>
      <c r="O504" s="3" t="str">
        <f t="shared" si="194"/>
        <v>A</v>
      </c>
      <c r="P504" s="84">
        <v>89641</v>
      </c>
      <c r="Q504" s="84">
        <v>14723</v>
      </c>
      <c r="R504" s="32"/>
      <c r="S504" s="3" t="str">
        <f t="shared" si="193"/>
        <v>A</v>
      </c>
      <c r="T504" s="84">
        <v>78553</v>
      </c>
      <c r="U504" s="84">
        <v>16675</v>
      </c>
      <c r="V504" s="32"/>
      <c r="W504" s="3" t="str">
        <f t="shared" si="177"/>
        <v>A</v>
      </c>
      <c r="X504" s="84">
        <v>78485</v>
      </c>
      <c r="Y504" s="84">
        <v>13659</v>
      </c>
      <c r="Z504" s="32"/>
      <c r="AA504" s="3" t="str">
        <f t="shared" si="178"/>
        <v>A</v>
      </c>
      <c r="AB504" s="84">
        <v>82826</v>
      </c>
      <c r="AC504" s="84">
        <v>14046</v>
      </c>
      <c r="AD504" s="36"/>
      <c r="AE504" s="82"/>
      <c r="AF504" s="3" t="str">
        <f t="shared" si="179"/>
        <v>A</v>
      </c>
      <c r="AG504" s="84">
        <v>0</v>
      </c>
      <c r="AH504" s="84">
        <v>0</v>
      </c>
      <c r="AI504" s="39"/>
      <c r="AJ504" s="79" t="s">
        <v>1801</v>
      </c>
      <c r="AK504" s="39"/>
      <c r="AL504" s="4">
        <f t="shared" si="184"/>
        <v>329505</v>
      </c>
      <c r="AM504" s="4">
        <f t="shared" si="185"/>
        <v>59103</v>
      </c>
      <c r="AN504" s="4">
        <f t="shared" si="180"/>
        <v>388608</v>
      </c>
      <c r="AO504" s="39"/>
      <c r="AP504" s="8">
        <f t="shared" si="186"/>
        <v>0</v>
      </c>
      <c r="AQ504" s="8">
        <f t="shared" si="187"/>
        <v>0</v>
      </c>
      <c r="AR504" s="8">
        <f t="shared" si="181"/>
        <v>0</v>
      </c>
      <c r="AS504" s="42"/>
      <c r="AT504" s="84">
        <v>329505</v>
      </c>
      <c r="AU504" s="84">
        <v>59103</v>
      </c>
      <c r="AV504" s="4">
        <f t="shared" si="182"/>
        <v>388608</v>
      </c>
      <c r="AW504" s="50" t="str">
        <f t="shared" si="183"/>
        <v/>
      </c>
      <c r="AX504" s="1" t="s">
        <v>1760</v>
      </c>
      <c r="AY504" s="2" t="s">
        <v>1761</v>
      </c>
      <c r="AZ504" s="2">
        <v>91303.12</v>
      </c>
      <c r="BA504" s="73">
        <v>79890.23</v>
      </c>
      <c r="BB504" s="73">
        <v>79890.23</v>
      </c>
      <c r="BC504" s="73">
        <v>91303.12</v>
      </c>
      <c r="BD504" s="73"/>
      <c r="BE504" s="66">
        <v>0</v>
      </c>
      <c r="BF504" s="66">
        <v>0.05</v>
      </c>
      <c r="BG504" s="63">
        <v>44774</v>
      </c>
      <c r="BH504" s="2"/>
      <c r="BI504" s="2"/>
      <c r="BJ504" s="2">
        <v>324530.27</v>
      </c>
      <c r="BK504" s="2">
        <v>42880.33</v>
      </c>
      <c r="BL504" s="1" t="s">
        <v>104</v>
      </c>
    </row>
    <row r="505" spans="1:64" x14ac:dyDescent="0.25">
      <c r="A505" s="81" t="s">
        <v>1120</v>
      </c>
      <c r="B505" s="82" t="s">
        <v>1124</v>
      </c>
      <c r="C505" s="81" t="s">
        <v>1125</v>
      </c>
      <c r="D505" s="16">
        <v>0</v>
      </c>
      <c r="E505" s="17"/>
      <c r="F505" s="2" t="s">
        <v>1118</v>
      </c>
      <c r="G505" s="2" t="s">
        <v>1119</v>
      </c>
      <c r="H505" s="10" t="s">
        <v>105</v>
      </c>
      <c r="I505" s="11" t="s">
        <v>53</v>
      </c>
      <c r="J505" s="11" t="s">
        <v>145</v>
      </c>
      <c r="K505" s="61"/>
      <c r="L505" s="11" t="s">
        <v>67</v>
      </c>
      <c r="M505" s="25"/>
      <c r="N505" s="82"/>
      <c r="O505" s="3" t="str">
        <f t="shared" si="194"/>
        <v>E</v>
      </c>
      <c r="P505" s="84">
        <v>77927.839999999997</v>
      </c>
      <c r="Q505" s="84">
        <v>8270.16</v>
      </c>
      <c r="R505" s="32"/>
      <c r="S505" s="3" t="str">
        <f t="shared" si="193"/>
        <v>E</v>
      </c>
      <c r="T505" s="84">
        <v>68186.86</v>
      </c>
      <c r="U505" s="84">
        <v>7236.39</v>
      </c>
      <c r="V505" s="32"/>
      <c r="W505" s="3" t="str">
        <f t="shared" si="177"/>
        <v>E</v>
      </c>
      <c r="X505" s="84">
        <v>68186.86</v>
      </c>
      <c r="Y505" s="84">
        <v>7236.39</v>
      </c>
      <c r="Z505" s="32"/>
      <c r="AA505" s="3" t="str">
        <f t="shared" si="178"/>
        <v>E</v>
      </c>
      <c r="AB505" s="84">
        <v>77927.839999999997</v>
      </c>
      <c r="AC505" s="84">
        <v>8270.16</v>
      </c>
      <c r="AD505" s="36"/>
      <c r="AE505" s="82"/>
      <c r="AF505" s="3" t="str">
        <f t="shared" si="179"/>
        <v>A</v>
      </c>
      <c r="AG505" s="84"/>
      <c r="AH505" s="84"/>
      <c r="AI505" s="39"/>
      <c r="AJ505" s="79" t="s">
        <v>38</v>
      </c>
      <c r="AK505" s="39"/>
      <c r="AL505" s="4">
        <f t="shared" si="184"/>
        <v>0</v>
      </c>
      <c r="AM505" s="4">
        <f t="shared" si="185"/>
        <v>0</v>
      </c>
      <c r="AN505" s="4">
        <f t="shared" si="180"/>
        <v>0</v>
      </c>
      <c r="AO505" s="39"/>
      <c r="AP505" s="8">
        <f t="shared" si="186"/>
        <v>292229.40000000002</v>
      </c>
      <c r="AQ505" s="8">
        <f t="shared" si="187"/>
        <v>31013.1</v>
      </c>
      <c r="AR505" s="8">
        <f t="shared" si="181"/>
        <v>323242.5</v>
      </c>
      <c r="AS505" s="42"/>
      <c r="AT505" s="84"/>
      <c r="AU505" s="84"/>
      <c r="AV505" s="4">
        <f t="shared" si="182"/>
        <v>0</v>
      </c>
      <c r="AW505" s="50" t="str">
        <f t="shared" si="183"/>
        <v/>
      </c>
      <c r="AX505" s="1" t="s">
        <v>1760</v>
      </c>
      <c r="AY505" s="2" t="s">
        <v>1761</v>
      </c>
      <c r="AZ505" s="2">
        <v>77927.839999999997</v>
      </c>
      <c r="BA505" s="73">
        <v>68186.86</v>
      </c>
      <c r="BB505" s="73">
        <v>68186.86</v>
      </c>
      <c r="BC505" s="73">
        <v>77927.839999999997</v>
      </c>
      <c r="BD505" s="73"/>
      <c r="BE505" s="66">
        <v>0</v>
      </c>
      <c r="BF505" s="66">
        <v>0.05</v>
      </c>
      <c r="BG505" s="63">
        <v>44774</v>
      </c>
      <c r="BH505" s="2"/>
      <c r="BI505" s="2"/>
      <c r="BJ505" s="2">
        <v>276989.37</v>
      </c>
      <c r="BK505" s="2">
        <v>33469.67</v>
      </c>
      <c r="BL505" s="1" t="s">
        <v>104</v>
      </c>
    </row>
    <row r="506" spans="1:64" x14ac:dyDescent="0.25">
      <c r="A506" s="81" t="s">
        <v>1128</v>
      </c>
      <c r="B506" s="82" t="s">
        <v>1128</v>
      </c>
      <c r="C506" s="81" t="s">
        <v>1129</v>
      </c>
      <c r="D506" s="16">
        <v>44646</v>
      </c>
      <c r="E506" s="17"/>
      <c r="F506" s="2" t="s">
        <v>835</v>
      </c>
      <c r="G506" s="2" t="s">
        <v>836</v>
      </c>
      <c r="H506" s="10" t="s">
        <v>57</v>
      </c>
      <c r="I506" s="11" t="s">
        <v>53</v>
      </c>
      <c r="J506" s="11" t="s">
        <v>384</v>
      </c>
      <c r="K506" s="61"/>
      <c r="L506" s="11" t="s">
        <v>67</v>
      </c>
      <c r="M506" s="25"/>
      <c r="N506" s="82"/>
      <c r="O506" s="3" t="str">
        <f t="shared" si="194"/>
        <v>A</v>
      </c>
      <c r="P506" s="84">
        <v>66547</v>
      </c>
      <c r="Q506" s="84">
        <v>3123</v>
      </c>
      <c r="R506" s="32"/>
      <c r="S506" s="3" t="str">
        <f t="shared" si="193"/>
        <v>A</v>
      </c>
      <c r="T506" s="84">
        <v>53165</v>
      </c>
      <c r="U506" s="84">
        <v>2645</v>
      </c>
      <c r="V506" s="32"/>
      <c r="W506" s="3" t="str">
        <f t="shared" si="177"/>
        <v>A</v>
      </c>
      <c r="X506" s="84">
        <v>47696</v>
      </c>
      <c r="Y506" s="84">
        <v>4744</v>
      </c>
      <c r="Z506" s="32"/>
      <c r="AA506" s="3" t="str">
        <f t="shared" si="178"/>
        <v>A</v>
      </c>
      <c r="AB506" s="84">
        <v>49827</v>
      </c>
      <c r="AC506" s="84">
        <v>5399</v>
      </c>
      <c r="AD506" s="36"/>
      <c r="AE506" s="82"/>
      <c r="AF506" s="3" t="str">
        <f t="shared" si="179"/>
        <v>A</v>
      </c>
      <c r="AG506" s="84">
        <v>0</v>
      </c>
      <c r="AH506" s="84">
        <v>0</v>
      </c>
      <c r="AI506" s="39"/>
      <c r="AJ506" s="79" t="s">
        <v>1801</v>
      </c>
      <c r="AK506" s="39"/>
      <c r="AL506" s="4">
        <f t="shared" si="184"/>
        <v>217235</v>
      </c>
      <c r="AM506" s="4">
        <f t="shared" si="185"/>
        <v>15911</v>
      </c>
      <c r="AN506" s="4">
        <f t="shared" si="180"/>
        <v>233146</v>
      </c>
      <c r="AO506" s="39"/>
      <c r="AP506" s="8">
        <f t="shared" si="186"/>
        <v>0</v>
      </c>
      <c r="AQ506" s="8">
        <f t="shared" si="187"/>
        <v>0</v>
      </c>
      <c r="AR506" s="8">
        <f t="shared" si="181"/>
        <v>0</v>
      </c>
      <c r="AS506" s="42"/>
      <c r="AT506" s="84">
        <v>217235</v>
      </c>
      <c r="AU506" s="84">
        <v>15911</v>
      </c>
      <c r="AV506" s="4">
        <f t="shared" si="182"/>
        <v>233146</v>
      </c>
      <c r="AW506" s="50" t="str">
        <f t="shared" si="183"/>
        <v/>
      </c>
      <c r="AX506" s="1" t="s">
        <v>1734</v>
      </c>
      <c r="AY506" s="2" t="s">
        <v>1735</v>
      </c>
      <c r="AZ506" s="2">
        <v>141774.96</v>
      </c>
      <c r="BA506" s="73">
        <v>124053.09</v>
      </c>
      <c r="BB506" s="73">
        <v>124053.09</v>
      </c>
      <c r="BC506" s="73">
        <v>141774.96</v>
      </c>
      <c r="BD506" s="73"/>
      <c r="BE506" s="66">
        <v>0</v>
      </c>
      <c r="BF506" s="66">
        <v>0.05</v>
      </c>
      <c r="BG506" s="63">
        <v>44638</v>
      </c>
      <c r="BH506" s="2"/>
      <c r="BI506" s="2"/>
      <c r="BJ506" s="2">
        <v>524400</v>
      </c>
      <c r="BK506" s="2">
        <v>58266.67</v>
      </c>
      <c r="BL506" s="1" t="s">
        <v>56</v>
      </c>
    </row>
    <row r="507" spans="1:64" x14ac:dyDescent="0.25">
      <c r="A507" s="81" t="s">
        <v>1130</v>
      </c>
      <c r="B507" s="82" t="s">
        <v>1130</v>
      </c>
      <c r="C507" s="81" t="s">
        <v>1131</v>
      </c>
      <c r="D507" s="16">
        <v>44873</v>
      </c>
      <c r="E507" s="17"/>
      <c r="F507" s="2" t="s">
        <v>52</v>
      </c>
      <c r="G507" s="2" t="s">
        <v>55</v>
      </c>
      <c r="H507" s="10" t="s">
        <v>57</v>
      </c>
      <c r="I507" s="11" t="s">
        <v>54</v>
      </c>
      <c r="J507" s="11" t="s">
        <v>636</v>
      </c>
      <c r="K507" s="61" t="s">
        <v>637</v>
      </c>
      <c r="L507" s="11" t="s">
        <v>67</v>
      </c>
      <c r="M507" s="25"/>
      <c r="N507" s="82"/>
      <c r="O507" s="3" t="str">
        <f t="shared" si="194"/>
        <v>A</v>
      </c>
      <c r="P507" s="84">
        <v>61120</v>
      </c>
      <c r="Q507" s="84">
        <v>6838</v>
      </c>
      <c r="R507" s="32"/>
      <c r="S507" s="3" t="str">
        <f t="shared" si="193"/>
        <v>A</v>
      </c>
      <c r="T507" s="84">
        <v>54780.6</v>
      </c>
      <c r="U507" s="84">
        <v>6877</v>
      </c>
      <c r="V507" s="32"/>
      <c r="W507" s="3" t="str">
        <f t="shared" si="177"/>
        <v>A</v>
      </c>
      <c r="X507" s="84">
        <v>58555.6</v>
      </c>
      <c r="Y507" s="84">
        <v>6444</v>
      </c>
      <c r="Z507" s="32"/>
      <c r="AA507" s="3" t="str">
        <f t="shared" si="178"/>
        <v>A</v>
      </c>
      <c r="AB507" s="84">
        <v>80387</v>
      </c>
      <c r="AC507" s="84">
        <v>7185</v>
      </c>
      <c r="AD507" s="36"/>
      <c r="AE507" s="82"/>
      <c r="AF507" s="3" t="str">
        <f t="shared" si="179"/>
        <v>A</v>
      </c>
      <c r="AG507" s="84">
        <v>0</v>
      </c>
      <c r="AH507" s="84">
        <v>0</v>
      </c>
      <c r="AI507" s="39"/>
      <c r="AJ507" s="79" t="s">
        <v>1801</v>
      </c>
      <c r="AK507" s="39"/>
      <c r="AL507" s="4">
        <f t="shared" si="184"/>
        <v>254843.2</v>
      </c>
      <c r="AM507" s="4">
        <f t="shared" si="185"/>
        <v>27344</v>
      </c>
      <c r="AN507" s="4">
        <f t="shared" si="180"/>
        <v>282187.2</v>
      </c>
      <c r="AO507" s="39"/>
      <c r="AP507" s="8">
        <f t="shared" si="186"/>
        <v>0</v>
      </c>
      <c r="AQ507" s="8">
        <f t="shared" si="187"/>
        <v>0</v>
      </c>
      <c r="AR507" s="8">
        <f t="shared" si="181"/>
        <v>0</v>
      </c>
      <c r="AS507" s="42"/>
      <c r="AT507" s="84">
        <v>254843.2</v>
      </c>
      <c r="AU507" s="84">
        <v>27344</v>
      </c>
      <c r="AV507" s="4">
        <f t="shared" si="182"/>
        <v>282187.2</v>
      </c>
      <c r="AW507" s="50" t="str">
        <f t="shared" si="183"/>
        <v/>
      </c>
      <c r="AX507" s="1" t="s">
        <v>1639</v>
      </c>
      <c r="AY507" s="2" t="s">
        <v>1640</v>
      </c>
      <c r="AZ507" s="2">
        <v>111803.76</v>
      </c>
      <c r="BA507" s="73">
        <v>97828.29</v>
      </c>
      <c r="BB507" s="73">
        <v>97828.29</v>
      </c>
      <c r="BC507" s="73">
        <v>111803.76</v>
      </c>
      <c r="BD507" s="73"/>
      <c r="BE507" s="66">
        <v>0</v>
      </c>
      <c r="BF507" s="66">
        <v>0.02</v>
      </c>
      <c r="BG507" s="63">
        <v>44873</v>
      </c>
      <c r="BH507" s="2"/>
      <c r="BI507" s="2"/>
      <c r="BJ507" s="2">
        <v>413540.6</v>
      </c>
      <c r="BK507" s="2">
        <v>46787.91</v>
      </c>
      <c r="BL507" s="1" t="s">
        <v>56</v>
      </c>
    </row>
    <row r="508" spans="1:64" x14ac:dyDescent="0.25">
      <c r="A508" s="81" t="s">
        <v>1132</v>
      </c>
      <c r="B508" s="82" t="s">
        <v>1132</v>
      </c>
      <c r="C508" s="81" t="s">
        <v>1133</v>
      </c>
      <c r="D508" s="16">
        <v>44901</v>
      </c>
      <c r="E508" s="17"/>
      <c r="F508" s="2" t="s">
        <v>109</v>
      </c>
      <c r="G508" s="2" t="s">
        <v>111</v>
      </c>
      <c r="H508" s="10" t="s">
        <v>98</v>
      </c>
      <c r="I508" s="11" t="s">
        <v>110</v>
      </c>
      <c r="J508" s="11" t="s">
        <v>286</v>
      </c>
      <c r="K508" s="61" t="s">
        <v>287</v>
      </c>
      <c r="L508" s="11" t="s">
        <v>67</v>
      </c>
      <c r="M508" s="25"/>
      <c r="N508" s="82"/>
      <c r="O508" s="3" t="str">
        <f t="shared" si="194"/>
        <v>A</v>
      </c>
      <c r="P508" s="84">
        <v>179879.5</v>
      </c>
      <c r="Q508" s="84">
        <v>12254</v>
      </c>
      <c r="R508" s="32"/>
      <c r="S508" s="3" t="str">
        <f t="shared" si="193"/>
        <v>A</v>
      </c>
      <c r="T508" s="84">
        <v>167123.99</v>
      </c>
      <c r="U508" s="84">
        <v>11951</v>
      </c>
      <c r="V508" s="32"/>
      <c r="W508" s="3" t="str">
        <f t="shared" si="177"/>
        <v>A</v>
      </c>
      <c r="X508" s="84">
        <v>147682.34</v>
      </c>
      <c r="Y508" s="84">
        <v>9151</v>
      </c>
      <c r="Z508" s="32"/>
      <c r="AA508" s="3" t="str">
        <f t="shared" si="178"/>
        <v>A</v>
      </c>
      <c r="AB508" s="84">
        <v>159504.20000000001</v>
      </c>
      <c r="AC508" s="84">
        <v>8247</v>
      </c>
      <c r="AD508" s="36"/>
      <c r="AE508" s="82"/>
      <c r="AF508" s="3" t="str">
        <f t="shared" si="179"/>
        <v>A</v>
      </c>
      <c r="AG508" s="84">
        <v>0</v>
      </c>
      <c r="AH508" s="84">
        <v>0</v>
      </c>
      <c r="AI508" s="39"/>
      <c r="AJ508" s="79" t="s">
        <v>1801</v>
      </c>
      <c r="AK508" s="39"/>
      <c r="AL508" s="4">
        <f t="shared" si="184"/>
        <v>654190.03</v>
      </c>
      <c r="AM508" s="4">
        <f t="shared" si="185"/>
        <v>41603</v>
      </c>
      <c r="AN508" s="4">
        <f t="shared" si="180"/>
        <v>695793.03</v>
      </c>
      <c r="AO508" s="39"/>
      <c r="AP508" s="8">
        <f t="shared" si="186"/>
        <v>0</v>
      </c>
      <c r="AQ508" s="8">
        <f t="shared" si="187"/>
        <v>0</v>
      </c>
      <c r="AR508" s="8">
        <f t="shared" si="181"/>
        <v>0</v>
      </c>
      <c r="AS508" s="42"/>
      <c r="AT508" s="84">
        <v>654190.03</v>
      </c>
      <c r="AU508" s="84">
        <v>41603</v>
      </c>
      <c r="AV508" s="4">
        <f t="shared" si="182"/>
        <v>695793.03</v>
      </c>
      <c r="AW508" s="50" t="str">
        <f t="shared" si="183"/>
        <v/>
      </c>
      <c r="AX508" s="1" t="s">
        <v>1647</v>
      </c>
      <c r="AY508" s="2" t="s">
        <v>1640</v>
      </c>
      <c r="AZ508" s="2">
        <v>97734.399999999994</v>
      </c>
      <c r="BA508" s="73">
        <v>85517.6</v>
      </c>
      <c r="BB508" s="73">
        <v>85517.6</v>
      </c>
      <c r="BC508" s="73">
        <v>97734.399999999994</v>
      </c>
      <c r="BD508" s="73"/>
      <c r="BE508" s="66">
        <v>0</v>
      </c>
      <c r="BF508" s="66">
        <v>0.02</v>
      </c>
      <c r="BG508" s="63">
        <v>44897</v>
      </c>
      <c r="BH508" s="2"/>
      <c r="BI508" s="2"/>
      <c r="BJ508" s="2">
        <v>368592</v>
      </c>
      <c r="BK508" s="2">
        <v>19351.080000000002</v>
      </c>
      <c r="BL508" s="1" t="s">
        <v>237</v>
      </c>
    </row>
    <row r="509" spans="1:64" x14ac:dyDescent="0.25">
      <c r="A509" s="81" t="s">
        <v>1136</v>
      </c>
      <c r="B509" s="82" t="s">
        <v>1136</v>
      </c>
      <c r="C509" s="81" t="s">
        <v>1137</v>
      </c>
      <c r="D509" s="16">
        <v>44944</v>
      </c>
      <c r="E509" s="17"/>
      <c r="F509" s="2" t="s">
        <v>423</v>
      </c>
      <c r="G509" s="2" t="s">
        <v>424</v>
      </c>
      <c r="H509" s="10" t="s">
        <v>105</v>
      </c>
      <c r="I509" s="11" t="s">
        <v>53</v>
      </c>
      <c r="J509" s="11" t="s">
        <v>312</v>
      </c>
      <c r="K509" s="61"/>
      <c r="L509" s="11" t="s">
        <v>67</v>
      </c>
      <c r="M509" s="25"/>
      <c r="N509" s="82"/>
      <c r="O509" s="3" t="str">
        <f t="shared" si="194"/>
        <v>E</v>
      </c>
      <c r="P509" s="84">
        <v>127333.04</v>
      </c>
      <c r="Q509" s="84">
        <v>13445.68</v>
      </c>
      <c r="R509" s="32"/>
      <c r="S509" s="3" t="str">
        <f t="shared" si="193"/>
        <v>E</v>
      </c>
      <c r="T509" s="84">
        <v>111416.41</v>
      </c>
      <c r="U509" s="84">
        <v>11764.97</v>
      </c>
      <c r="V509" s="32"/>
      <c r="W509" s="3" t="str">
        <f t="shared" si="177"/>
        <v>E</v>
      </c>
      <c r="X509" s="84">
        <v>111416.41</v>
      </c>
      <c r="Y509" s="84">
        <v>11764.97</v>
      </c>
      <c r="Z509" s="32"/>
      <c r="AA509" s="3" t="str">
        <f t="shared" si="178"/>
        <v>E</v>
      </c>
      <c r="AB509" s="84">
        <v>127333.04</v>
      </c>
      <c r="AC509" s="84">
        <v>13445.68</v>
      </c>
      <c r="AD509" s="36"/>
      <c r="AE509" s="82"/>
      <c r="AF509" s="3" t="str">
        <f t="shared" si="179"/>
        <v>A</v>
      </c>
      <c r="AG509" s="84"/>
      <c r="AH509" s="84"/>
      <c r="AI509" s="39"/>
      <c r="AJ509" s="79" t="s">
        <v>38</v>
      </c>
      <c r="AK509" s="39"/>
      <c r="AL509" s="4">
        <f t="shared" si="184"/>
        <v>0</v>
      </c>
      <c r="AM509" s="4">
        <f t="shared" si="185"/>
        <v>0</v>
      </c>
      <c r="AN509" s="4">
        <f t="shared" si="180"/>
        <v>0</v>
      </c>
      <c r="AO509" s="39"/>
      <c r="AP509" s="8">
        <f t="shared" si="186"/>
        <v>477498.89999999997</v>
      </c>
      <c r="AQ509" s="8">
        <f t="shared" si="187"/>
        <v>50421.3</v>
      </c>
      <c r="AR509" s="8">
        <f t="shared" si="181"/>
        <v>527920.19999999995</v>
      </c>
      <c r="AS509" s="42"/>
      <c r="AT509" s="84"/>
      <c r="AU509" s="84"/>
      <c r="AV509" s="4">
        <f t="shared" si="182"/>
        <v>0</v>
      </c>
      <c r="AW509" s="50" t="str">
        <f t="shared" si="183"/>
        <v/>
      </c>
      <c r="AX509" s="1" t="s">
        <v>1705</v>
      </c>
      <c r="AY509" s="2" t="s">
        <v>1706</v>
      </c>
      <c r="AZ509" s="2">
        <v>127333.04</v>
      </c>
      <c r="BA509" s="73">
        <v>111416.41</v>
      </c>
      <c r="BB509" s="73">
        <v>111416.41</v>
      </c>
      <c r="BC509" s="73">
        <v>127333.04</v>
      </c>
      <c r="BD509" s="73"/>
      <c r="BE509" s="66">
        <v>0</v>
      </c>
      <c r="BF509" s="66">
        <v>0.05</v>
      </c>
      <c r="BG509" s="63">
        <v>44942</v>
      </c>
      <c r="BH509" s="2"/>
      <c r="BI509" s="2"/>
      <c r="BJ509" s="2">
        <v>483095.34</v>
      </c>
      <c r="BK509" s="2">
        <v>53677.26</v>
      </c>
      <c r="BL509" s="1" t="s">
        <v>104</v>
      </c>
    </row>
    <row r="510" spans="1:64" x14ac:dyDescent="0.25">
      <c r="A510" s="81" t="s">
        <v>1138</v>
      </c>
      <c r="B510" s="82" t="s">
        <v>1138</v>
      </c>
      <c r="C510" s="81" t="s">
        <v>1139</v>
      </c>
      <c r="D510" s="16">
        <v>44950</v>
      </c>
      <c r="E510" s="17"/>
      <c r="F510" s="2" t="s">
        <v>328</v>
      </c>
      <c r="G510" s="2" t="s">
        <v>329</v>
      </c>
      <c r="H510" s="10" t="s">
        <v>105</v>
      </c>
      <c r="I510" s="11" t="s">
        <v>53</v>
      </c>
      <c r="J510" s="11" t="s">
        <v>145</v>
      </c>
      <c r="K510" s="61"/>
      <c r="L510" s="11" t="s">
        <v>67</v>
      </c>
      <c r="M510" s="25"/>
      <c r="N510" s="82"/>
      <c r="O510" s="3" t="str">
        <f t="shared" si="194"/>
        <v>E</v>
      </c>
      <c r="P510" s="84">
        <v>119080.16</v>
      </c>
      <c r="Q510" s="84">
        <v>12574.24</v>
      </c>
      <c r="R510" s="32"/>
      <c r="S510" s="3" t="str">
        <f t="shared" si="193"/>
        <v>E</v>
      </c>
      <c r="T510" s="84">
        <v>104195.14</v>
      </c>
      <c r="U510" s="84">
        <v>11002.46</v>
      </c>
      <c r="V510" s="32"/>
      <c r="W510" s="3" t="str">
        <f t="shared" si="177"/>
        <v>E</v>
      </c>
      <c r="X510" s="84">
        <v>104195.14</v>
      </c>
      <c r="Y510" s="84">
        <v>11002.46</v>
      </c>
      <c r="Z510" s="32"/>
      <c r="AA510" s="3" t="str">
        <f t="shared" si="178"/>
        <v>E</v>
      </c>
      <c r="AB510" s="84">
        <v>119080.16</v>
      </c>
      <c r="AC510" s="84">
        <v>12574.24</v>
      </c>
      <c r="AD510" s="36"/>
      <c r="AE510" s="82"/>
      <c r="AF510" s="3" t="str">
        <f t="shared" si="179"/>
        <v>A</v>
      </c>
      <c r="AG510" s="84"/>
      <c r="AH510" s="84"/>
      <c r="AI510" s="39"/>
      <c r="AJ510" s="79" t="s">
        <v>38</v>
      </c>
      <c r="AK510" s="39"/>
      <c r="AL510" s="4">
        <f t="shared" si="184"/>
        <v>0</v>
      </c>
      <c r="AM510" s="4">
        <f t="shared" si="185"/>
        <v>0</v>
      </c>
      <c r="AN510" s="4">
        <f t="shared" si="180"/>
        <v>0</v>
      </c>
      <c r="AO510" s="39"/>
      <c r="AP510" s="8">
        <f t="shared" si="186"/>
        <v>446550.6</v>
      </c>
      <c r="AQ510" s="8">
        <f t="shared" si="187"/>
        <v>47153.399999999994</v>
      </c>
      <c r="AR510" s="8">
        <f t="shared" si="181"/>
        <v>493704</v>
      </c>
      <c r="AS510" s="42"/>
      <c r="AT510" s="84"/>
      <c r="AU510" s="84"/>
      <c r="AV510" s="4">
        <f t="shared" si="182"/>
        <v>0</v>
      </c>
      <c r="AW510" s="50" t="str">
        <f t="shared" si="183"/>
        <v/>
      </c>
      <c r="AX510" s="1" t="s">
        <v>1684</v>
      </c>
      <c r="AY510" s="2" t="s">
        <v>1685</v>
      </c>
      <c r="AZ510" s="2">
        <v>119080.16</v>
      </c>
      <c r="BA510" s="73">
        <v>104195.14</v>
      </c>
      <c r="BB510" s="73">
        <v>104195.14</v>
      </c>
      <c r="BC510" s="73">
        <v>119080.16</v>
      </c>
      <c r="BD510" s="73"/>
      <c r="BE510" s="66">
        <v>0</v>
      </c>
      <c r="BF510" s="66">
        <v>0.05</v>
      </c>
      <c r="BG510" s="63">
        <v>44948</v>
      </c>
      <c r="BH510" s="2"/>
      <c r="BI510" s="2"/>
      <c r="BJ510" s="2">
        <v>451785.6</v>
      </c>
      <c r="BK510" s="2">
        <v>50198.400000000001</v>
      </c>
      <c r="BL510" s="1" t="s">
        <v>104</v>
      </c>
    </row>
    <row r="511" spans="1:64" x14ac:dyDescent="0.25">
      <c r="A511" s="81" t="s">
        <v>1140</v>
      </c>
      <c r="B511" s="82" t="s">
        <v>1140</v>
      </c>
      <c r="C511" s="81" t="s">
        <v>1141</v>
      </c>
      <c r="D511" s="16">
        <v>0</v>
      </c>
      <c r="E511" s="17"/>
      <c r="F511" s="2" t="s">
        <v>171</v>
      </c>
      <c r="G511" s="2" t="s">
        <v>172</v>
      </c>
      <c r="H511" s="10" t="s">
        <v>105</v>
      </c>
      <c r="I511" s="11" t="s">
        <v>53</v>
      </c>
      <c r="J511" s="11" t="s">
        <v>312</v>
      </c>
      <c r="K511" s="61"/>
      <c r="L511" s="11" t="s">
        <v>67</v>
      </c>
      <c r="M511" s="25"/>
      <c r="N511" s="82"/>
      <c r="O511" s="3" t="str">
        <f t="shared" si="194"/>
        <v>A</v>
      </c>
      <c r="P511" s="84">
        <v>300278</v>
      </c>
      <c r="Q511" s="84">
        <v>32676</v>
      </c>
      <c r="R511" s="32"/>
      <c r="S511" s="3" t="str">
        <f t="shared" si="193"/>
        <v>A</v>
      </c>
      <c r="T511" s="84">
        <v>239564</v>
      </c>
      <c r="U511" s="84">
        <v>24230</v>
      </c>
      <c r="V511" s="32"/>
      <c r="W511" s="3" t="str">
        <f t="shared" si="177"/>
        <v>A</v>
      </c>
      <c r="X511" s="84">
        <v>197686</v>
      </c>
      <c r="Y511" s="84">
        <v>20094</v>
      </c>
      <c r="Z511" s="32"/>
      <c r="AA511" s="3" t="str">
        <f t="shared" si="178"/>
        <v>A</v>
      </c>
      <c r="AB511" s="84">
        <v>208528</v>
      </c>
      <c r="AC511" s="84">
        <v>18876</v>
      </c>
      <c r="AD511" s="36"/>
      <c r="AE511" s="82"/>
      <c r="AF511" s="3" t="str">
        <f t="shared" si="179"/>
        <v>A</v>
      </c>
      <c r="AG511" s="84">
        <v>0</v>
      </c>
      <c r="AH511" s="84">
        <v>0</v>
      </c>
      <c r="AI511" s="39"/>
      <c r="AJ511" s="79" t="s">
        <v>1801</v>
      </c>
      <c r="AK511" s="39"/>
      <c r="AL511" s="4">
        <f t="shared" si="184"/>
        <v>946056</v>
      </c>
      <c r="AM511" s="4">
        <f t="shared" si="185"/>
        <v>95876</v>
      </c>
      <c r="AN511" s="4">
        <f t="shared" si="180"/>
        <v>1041932</v>
      </c>
      <c r="AO511" s="39"/>
      <c r="AP511" s="8">
        <f t="shared" si="186"/>
        <v>0</v>
      </c>
      <c r="AQ511" s="8">
        <f t="shared" si="187"/>
        <v>0</v>
      </c>
      <c r="AR511" s="8">
        <f t="shared" si="181"/>
        <v>0</v>
      </c>
      <c r="AS511" s="42"/>
      <c r="AT511" s="84">
        <v>946056</v>
      </c>
      <c r="AU511" s="84">
        <v>95876</v>
      </c>
      <c r="AV511" s="4">
        <f t="shared" si="182"/>
        <v>1041932</v>
      </c>
      <c r="AW511" s="50" t="str">
        <f t="shared" si="183"/>
        <v/>
      </c>
      <c r="AX511" s="1" t="s">
        <v>1654</v>
      </c>
      <c r="AY511" s="2" t="s">
        <v>1655</v>
      </c>
      <c r="AZ511" s="2">
        <v>208991.28</v>
      </c>
      <c r="BA511" s="73">
        <v>182867.37</v>
      </c>
      <c r="BB511" s="73">
        <v>182867.37</v>
      </c>
      <c r="BC511" s="73">
        <v>208991.28</v>
      </c>
      <c r="BD511" s="73"/>
      <c r="BE511" s="66">
        <v>0</v>
      </c>
      <c r="BF511" s="66">
        <v>0.05</v>
      </c>
      <c r="BG511" s="63">
        <v>44040</v>
      </c>
      <c r="BH511" s="2"/>
      <c r="BI511" s="2"/>
      <c r="BJ511" s="2">
        <v>788184</v>
      </c>
      <c r="BK511" s="2">
        <v>87576</v>
      </c>
      <c r="BL511" s="1" t="s">
        <v>219</v>
      </c>
    </row>
    <row r="512" spans="1:64" x14ac:dyDescent="0.25">
      <c r="A512" s="81" t="s">
        <v>1156</v>
      </c>
      <c r="B512" s="82" t="s">
        <v>1156</v>
      </c>
      <c r="C512" s="81" t="s">
        <v>1157</v>
      </c>
      <c r="D512" s="16">
        <v>44880</v>
      </c>
      <c r="E512" s="17"/>
      <c r="F512" s="2" t="s">
        <v>217</v>
      </c>
      <c r="G512" s="2" t="s">
        <v>218</v>
      </c>
      <c r="H512" s="10" t="s">
        <v>105</v>
      </c>
      <c r="I512" s="11" t="s">
        <v>53</v>
      </c>
      <c r="J512" s="11" t="s">
        <v>106</v>
      </c>
      <c r="K512" s="61"/>
      <c r="L512" s="11" t="s">
        <v>67</v>
      </c>
      <c r="M512" s="25"/>
      <c r="N512" s="82"/>
      <c r="O512" s="3" t="str">
        <f t="shared" si="194"/>
        <v>A</v>
      </c>
      <c r="P512" s="84">
        <v>334804</v>
      </c>
      <c r="Q512" s="84">
        <v>39762</v>
      </c>
      <c r="R512" s="32"/>
      <c r="S512" s="3" t="str">
        <f t="shared" si="193"/>
        <v>A</v>
      </c>
      <c r="T512" s="84">
        <v>311891</v>
      </c>
      <c r="U512" s="84">
        <v>35296</v>
      </c>
      <c r="V512" s="32"/>
      <c r="W512" s="3" t="str">
        <f t="shared" si="177"/>
        <v>A</v>
      </c>
      <c r="X512" s="84">
        <v>278116</v>
      </c>
      <c r="Y512" s="84">
        <v>30463</v>
      </c>
      <c r="Z512" s="32"/>
      <c r="AA512" s="3" t="str">
        <f t="shared" si="178"/>
        <v>A</v>
      </c>
      <c r="AB512" s="84">
        <v>287667</v>
      </c>
      <c r="AC512" s="84">
        <v>30087</v>
      </c>
      <c r="AD512" s="36"/>
      <c r="AE512" s="82"/>
      <c r="AF512" s="3" t="str">
        <f t="shared" si="179"/>
        <v>A</v>
      </c>
      <c r="AG512" s="84">
        <v>0</v>
      </c>
      <c r="AH512" s="84">
        <v>0</v>
      </c>
      <c r="AI512" s="39"/>
      <c r="AJ512" s="79" t="s">
        <v>1801</v>
      </c>
      <c r="AK512" s="39"/>
      <c r="AL512" s="4">
        <f t="shared" si="184"/>
        <v>1212478</v>
      </c>
      <c r="AM512" s="4">
        <f t="shared" si="185"/>
        <v>135608</v>
      </c>
      <c r="AN512" s="4">
        <f t="shared" si="180"/>
        <v>1348086</v>
      </c>
      <c r="AO512" s="39"/>
      <c r="AP512" s="8">
        <f t="shared" si="186"/>
        <v>0</v>
      </c>
      <c r="AQ512" s="8">
        <f t="shared" si="187"/>
        <v>0</v>
      </c>
      <c r="AR512" s="8">
        <f t="shared" si="181"/>
        <v>0</v>
      </c>
      <c r="AS512" s="42"/>
      <c r="AT512" s="84">
        <v>1212478</v>
      </c>
      <c r="AU512" s="84">
        <v>135608</v>
      </c>
      <c r="AV512" s="4">
        <f t="shared" si="182"/>
        <v>1348086</v>
      </c>
      <c r="AW512" s="50" t="str">
        <f t="shared" si="183"/>
        <v/>
      </c>
      <c r="AX512" s="1" t="s">
        <v>1658</v>
      </c>
      <c r="AY512" s="2" t="s">
        <v>1659</v>
      </c>
      <c r="AZ512" s="2">
        <v>202267.04</v>
      </c>
      <c r="BA512" s="73">
        <v>176983.66</v>
      </c>
      <c r="BB512" s="73">
        <v>176983.66</v>
      </c>
      <c r="BC512" s="73">
        <v>202267.04</v>
      </c>
      <c r="BD512" s="73"/>
      <c r="BE512" s="66">
        <v>0</v>
      </c>
      <c r="BF512" s="66">
        <v>0.05</v>
      </c>
      <c r="BG512" s="63">
        <v>44878</v>
      </c>
      <c r="BH512" s="2"/>
      <c r="BI512" s="2"/>
      <c r="BJ512" s="2">
        <v>748148.4</v>
      </c>
      <c r="BK512" s="2">
        <v>83127.600000000006</v>
      </c>
      <c r="BL512" s="1" t="s">
        <v>219</v>
      </c>
    </row>
    <row r="513" spans="1:64" x14ac:dyDescent="0.25">
      <c r="A513" s="81" t="s">
        <v>1158</v>
      </c>
      <c r="B513" s="82" t="s">
        <v>1158</v>
      </c>
      <c r="C513" s="81" t="s">
        <v>1159</v>
      </c>
      <c r="D513" s="16">
        <v>45009</v>
      </c>
      <c r="E513" s="17"/>
      <c r="F513" s="2" t="s">
        <v>143</v>
      </c>
      <c r="G513" s="2" t="s">
        <v>144</v>
      </c>
      <c r="H513" s="10" t="s">
        <v>105</v>
      </c>
      <c r="I513" s="11" t="s">
        <v>53</v>
      </c>
      <c r="J513" s="11" t="s">
        <v>145</v>
      </c>
      <c r="K513" s="61"/>
      <c r="L513" s="11" t="s">
        <v>67</v>
      </c>
      <c r="M513" s="25"/>
      <c r="N513" s="82"/>
      <c r="O513" s="3" t="str">
        <f t="shared" si="194"/>
        <v>E</v>
      </c>
      <c r="P513" s="84">
        <v>123751.76</v>
      </c>
      <c r="Q513" s="84">
        <v>15842.4</v>
      </c>
      <c r="R513" s="32"/>
      <c r="S513" s="3" t="str">
        <f t="shared" si="193"/>
        <v>E</v>
      </c>
      <c r="T513" s="84">
        <v>108282.79</v>
      </c>
      <c r="U513" s="84">
        <v>13862.1</v>
      </c>
      <c r="V513" s="32"/>
      <c r="W513" s="3" t="str">
        <f t="shared" si="177"/>
        <v>E</v>
      </c>
      <c r="X513" s="84">
        <v>108282.79</v>
      </c>
      <c r="Y513" s="84">
        <v>13862.1</v>
      </c>
      <c r="Z513" s="32"/>
      <c r="AA513" s="3" t="str">
        <f t="shared" si="178"/>
        <v>E</v>
      </c>
      <c r="AB513" s="84">
        <v>123751.76</v>
      </c>
      <c r="AC513" s="84">
        <v>15842.4</v>
      </c>
      <c r="AD513" s="36"/>
      <c r="AE513" s="82"/>
      <c r="AF513" s="3" t="str">
        <f t="shared" si="179"/>
        <v>A</v>
      </c>
      <c r="AG513" s="84"/>
      <c r="AH513" s="84"/>
      <c r="AI513" s="39"/>
      <c r="AJ513" s="79" t="s">
        <v>38</v>
      </c>
      <c r="AK513" s="39"/>
      <c r="AL513" s="4">
        <f t="shared" si="184"/>
        <v>0</v>
      </c>
      <c r="AM513" s="4">
        <f t="shared" si="185"/>
        <v>0</v>
      </c>
      <c r="AN513" s="4">
        <f t="shared" si="180"/>
        <v>0</v>
      </c>
      <c r="AO513" s="39"/>
      <c r="AP513" s="8">
        <f t="shared" si="186"/>
        <v>464069.1</v>
      </c>
      <c r="AQ513" s="8">
        <f t="shared" si="187"/>
        <v>59409</v>
      </c>
      <c r="AR513" s="8">
        <f t="shared" si="181"/>
        <v>523478.1</v>
      </c>
      <c r="AS513" s="42"/>
      <c r="AT513" s="84"/>
      <c r="AU513" s="84"/>
      <c r="AV513" s="4">
        <f t="shared" si="182"/>
        <v>0</v>
      </c>
      <c r="AW513" s="50" t="str">
        <f t="shared" si="183"/>
        <v/>
      </c>
      <c r="AX513" s="1" t="s">
        <v>1650</v>
      </c>
      <c r="AY513" s="2" t="s">
        <v>1651</v>
      </c>
      <c r="AZ513" s="2">
        <v>123751.76</v>
      </c>
      <c r="BA513" s="73">
        <v>108282.79</v>
      </c>
      <c r="BB513" s="73">
        <v>108282.79</v>
      </c>
      <c r="BC513" s="73">
        <v>123751.76</v>
      </c>
      <c r="BD513" s="73"/>
      <c r="BE513" s="66">
        <v>0</v>
      </c>
      <c r="BF513" s="66">
        <v>0.05</v>
      </c>
      <c r="BG513" s="63">
        <v>45000</v>
      </c>
      <c r="BH513" s="2"/>
      <c r="BI513" s="2"/>
      <c r="BJ513" s="2">
        <v>440194.5</v>
      </c>
      <c r="BK513" s="2">
        <v>48910.5</v>
      </c>
      <c r="BL513" s="1" t="s">
        <v>104</v>
      </c>
    </row>
    <row r="514" spans="1:64" x14ac:dyDescent="0.25">
      <c r="A514" s="81" t="s">
        <v>1160</v>
      </c>
      <c r="B514" s="82" t="s">
        <v>1160</v>
      </c>
      <c r="C514" s="81" t="s">
        <v>1161</v>
      </c>
      <c r="D514" s="16">
        <v>0</v>
      </c>
      <c r="E514" s="17"/>
      <c r="F514" s="2" t="s">
        <v>52</v>
      </c>
      <c r="G514" s="2" t="s">
        <v>55</v>
      </c>
      <c r="H514" s="10" t="s">
        <v>57</v>
      </c>
      <c r="I514" s="11" t="s">
        <v>54</v>
      </c>
      <c r="J514" s="11" t="s">
        <v>620</v>
      </c>
      <c r="K514" s="61" t="s">
        <v>621</v>
      </c>
      <c r="L514" s="11" t="s">
        <v>67</v>
      </c>
      <c r="M514" s="25"/>
      <c r="N514" s="82"/>
      <c r="O514" s="3" t="str">
        <f t="shared" si="194"/>
        <v>A</v>
      </c>
      <c r="P514" s="84">
        <v>22755</v>
      </c>
      <c r="Q514" s="84">
        <v>5715</v>
      </c>
      <c r="R514" s="32"/>
      <c r="S514" s="3" t="str">
        <f t="shared" si="193"/>
        <v>A</v>
      </c>
      <c r="T514" s="84">
        <v>21578</v>
      </c>
      <c r="U514" s="84">
        <v>3559</v>
      </c>
      <c r="V514" s="32"/>
      <c r="W514" s="3" t="str">
        <f t="shared" si="177"/>
        <v>A</v>
      </c>
      <c r="X514" s="84">
        <v>14337</v>
      </c>
      <c r="Y514" s="84">
        <v>3623</v>
      </c>
      <c r="Z514" s="32"/>
      <c r="AA514" s="3" t="str">
        <f t="shared" si="178"/>
        <v>A</v>
      </c>
      <c r="AB514" s="84">
        <v>19329</v>
      </c>
      <c r="AC514" s="84">
        <v>3225</v>
      </c>
      <c r="AD514" s="36"/>
      <c r="AE514" s="82"/>
      <c r="AF514" s="3" t="str">
        <f t="shared" si="179"/>
        <v>A</v>
      </c>
      <c r="AG514" s="84">
        <v>0</v>
      </c>
      <c r="AH514" s="84">
        <v>0</v>
      </c>
      <c r="AI514" s="39"/>
      <c r="AJ514" s="79" t="s">
        <v>1801</v>
      </c>
      <c r="AK514" s="39"/>
      <c r="AL514" s="4">
        <f t="shared" si="184"/>
        <v>77999</v>
      </c>
      <c r="AM514" s="4">
        <f t="shared" si="185"/>
        <v>16122</v>
      </c>
      <c r="AN514" s="4">
        <f t="shared" si="180"/>
        <v>94121</v>
      </c>
      <c r="AO514" s="39"/>
      <c r="AP514" s="8">
        <f t="shared" si="186"/>
        <v>0</v>
      </c>
      <c r="AQ514" s="8">
        <f t="shared" si="187"/>
        <v>0</v>
      </c>
      <c r="AR514" s="8">
        <f t="shared" si="181"/>
        <v>0</v>
      </c>
      <c r="AS514" s="42"/>
      <c r="AT514" s="84">
        <v>77999</v>
      </c>
      <c r="AU514" s="84">
        <v>16122</v>
      </c>
      <c r="AV514" s="4">
        <f t="shared" si="182"/>
        <v>94121</v>
      </c>
      <c r="AW514" s="50" t="str">
        <f t="shared" si="183"/>
        <v/>
      </c>
      <c r="AX514" s="1" t="s">
        <v>1639</v>
      </c>
      <c r="AY514" s="2" t="s">
        <v>1640</v>
      </c>
      <c r="AZ514" s="2">
        <v>65442</v>
      </c>
      <c r="BA514" s="73">
        <v>57261.75</v>
      </c>
      <c r="BB514" s="73">
        <v>57261.75</v>
      </c>
      <c r="BC514" s="73">
        <v>65442</v>
      </c>
      <c r="BD514" s="73"/>
      <c r="BE514" s="66">
        <v>0</v>
      </c>
      <c r="BF514" s="66">
        <v>0.02</v>
      </c>
      <c r="BG514" s="63">
        <v>45036</v>
      </c>
      <c r="BH514" s="2"/>
      <c r="BI514" s="2"/>
      <c r="BJ514" s="2">
        <v>236284.7</v>
      </c>
      <c r="BK514" s="2">
        <v>41697.300000000003</v>
      </c>
      <c r="BL514" s="1" t="s">
        <v>56</v>
      </c>
    </row>
    <row r="515" spans="1:64" x14ac:dyDescent="0.25">
      <c r="A515" s="81" t="s">
        <v>1162</v>
      </c>
      <c r="B515" s="82" t="s">
        <v>1162</v>
      </c>
      <c r="C515" s="81" t="s">
        <v>1163</v>
      </c>
      <c r="D515" s="16">
        <v>0</v>
      </c>
      <c r="E515" s="17"/>
      <c r="F515" s="2" t="s">
        <v>1164</v>
      </c>
      <c r="G515" s="2" t="s">
        <v>1165</v>
      </c>
      <c r="H515" s="10" t="s">
        <v>57</v>
      </c>
      <c r="I515" s="11" t="s">
        <v>53</v>
      </c>
      <c r="J515" s="11" t="s">
        <v>1166</v>
      </c>
      <c r="K515" s="61"/>
      <c r="L515" s="11" t="s">
        <v>67</v>
      </c>
      <c r="M515" s="25"/>
      <c r="N515" s="82"/>
      <c r="O515" s="3" t="str">
        <f t="shared" si="194"/>
        <v>A</v>
      </c>
      <c r="P515" s="84">
        <v>165127</v>
      </c>
      <c r="Q515" s="84">
        <v>14913</v>
      </c>
      <c r="R515" s="32"/>
      <c r="S515" s="3" t="str">
        <f t="shared" si="193"/>
        <v>A</v>
      </c>
      <c r="T515" s="84">
        <v>140568</v>
      </c>
      <c r="U515" s="84">
        <v>12362</v>
      </c>
      <c r="V515" s="32"/>
      <c r="W515" s="3" t="str">
        <f t="shared" si="177"/>
        <v>A</v>
      </c>
      <c r="X515" s="84">
        <v>127662</v>
      </c>
      <c r="Y515" s="84">
        <v>12074</v>
      </c>
      <c r="Z515" s="32"/>
      <c r="AA515" s="3" t="str">
        <f t="shared" si="178"/>
        <v>A</v>
      </c>
      <c r="AB515" s="84">
        <v>139074</v>
      </c>
      <c r="AC515" s="84">
        <v>12741</v>
      </c>
      <c r="AD515" s="36"/>
      <c r="AE515" s="82"/>
      <c r="AF515" s="3" t="str">
        <f t="shared" si="179"/>
        <v>A</v>
      </c>
      <c r="AG515" s="84">
        <v>0</v>
      </c>
      <c r="AH515" s="84">
        <v>0</v>
      </c>
      <c r="AI515" s="39"/>
      <c r="AJ515" s="79" t="s">
        <v>1801</v>
      </c>
      <c r="AK515" s="39"/>
      <c r="AL515" s="4">
        <f t="shared" si="184"/>
        <v>572431</v>
      </c>
      <c r="AM515" s="4">
        <f t="shared" si="185"/>
        <v>52090</v>
      </c>
      <c r="AN515" s="4">
        <f t="shared" si="180"/>
        <v>624521</v>
      </c>
      <c r="AO515" s="39"/>
      <c r="AP515" s="8">
        <f t="shared" si="186"/>
        <v>0</v>
      </c>
      <c r="AQ515" s="8">
        <f t="shared" si="187"/>
        <v>0</v>
      </c>
      <c r="AR515" s="8">
        <f t="shared" si="181"/>
        <v>0</v>
      </c>
      <c r="AS515" s="42"/>
      <c r="AT515" s="84">
        <v>572431</v>
      </c>
      <c r="AU515" s="84">
        <v>52090</v>
      </c>
      <c r="AV515" s="4">
        <f t="shared" si="182"/>
        <v>624521</v>
      </c>
      <c r="AW515" s="50" t="str">
        <f t="shared" si="183"/>
        <v/>
      </c>
      <c r="AX515" s="1" t="s">
        <v>1762</v>
      </c>
      <c r="AY515" s="2" t="s">
        <v>1763</v>
      </c>
      <c r="AZ515" s="2">
        <v>158273.28</v>
      </c>
      <c r="BA515" s="73">
        <v>138489.12</v>
      </c>
      <c r="BB515" s="73">
        <v>138489.12</v>
      </c>
      <c r="BC515" s="73">
        <v>158273.28</v>
      </c>
      <c r="BD515" s="73"/>
      <c r="BE515" s="66">
        <v>0</v>
      </c>
      <c r="BF515" s="66">
        <v>0.05</v>
      </c>
      <c r="BG515" s="63">
        <v>44915</v>
      </c>
      <c r="BH515" s="2"/>
      <c r="BI515" s="2"/>
      <c r="BJ515" s="2">
        <v>627813.75</v>
      </c>
      <c r="BK515" s="2">
        <v>69757.08</v>
      </c>
      <c r="BL515" s="1" t="s">
        <v>56</v>
      </c>
    </row>
    <row r="516" spans="1:64" x14ac:dyDescent="0.25">
      <c r="A516" s="81" t="s">
        <v>1162</v>
      </c>
      <c r="B516" s="82" t="s">
        <v>1167</v>
      </c>
      <c r="C516" s="81" t="s">
        <v>1168</v>
      </c>
      <c r="D516" s="16">
        <v>0</v>
      </c>
      <c r="E516" s="17"/>
      <c r="F516" s="2" t="s">
        <v>1164</v>
      </c>
      <c r="G516" s="2" t="s">
        <v>1165</v>
      </c>
      <c r="H516" s="10" t="s">
        <v>57</v>
      </c>
      <c r="I516" s="11" t="s">
        <v>53</v>
      </c>
      <c r="J516" s="11" t="s">
        <v>1166</v>
      </c>
      <c r="K516" s="61"/>
      <c r="L516" s="11" t="s">
        <v>67</v>
      </c>
      <c r="M516" s="25"/>
      <c r="N516" s="82"/>
      <c r="O516" s="3" t="str">
        <f t="shared" si="194"/>
        <v>A</v>
      </c>
      <c r="P516" s="84">
        <v>92788</v>
      </c>
      <c r="Q516" s="84">
        <v>25315</v>
      </c>
      <c r="R516" s="32"/>
      <c r="S516" s="3" t="str">
        <f t="shared" si="193"/>
        <v>A</v>
      </c>
      <c r="T516" s="84">
        <v>93876</v>
      </c>
      <c r="U516" s="84">
        <v>18725</v>
      </c>
      <c r="V516" s="32"/>
      <c r="W516" s="3" t="str">
        <f t="shared" si="177"/>
        <v>A</v>
      </c>
      <c r="X516" s="84">
        <v>77210</v>
      </c>
      <c r="Y516" s="84">
        <v>14745</v>
      </c>
      <c r="Z516" s="32"/>
      <c r="AA516" s="3" t="str">
        <f t="shared" si="178"/>
        <v>A</v>
      </c>
      <c r="AB516" s="84">
        <v>86518</v>
      </c>
      <c r="AC516" s="84">
        <v>22505</v>
      </c>
      <c r="AD516" s="36"/>
      <c r="AE516" s="82"/>
      <c r="AF516" s="3" t="str">
        <f t="shared" si="179"/>
        <v>A</v>
      </c>
      <c r="AG516" s="84">
        <v>0</v>
      </c>
      <c r="AH516" s="84">
        <v>0</v>
      </c>
      <c r="AI516" s="39"/>
      <c r="AJ516" s="79" t="s">
        <v>1801</v>
      </c>
      <c r="AK516" s="39"/>
      <c r="AL516" s="4">
        <f t="shared" si="184"/>
        <v>350392</v>
      </c>
      <c r="AM516" s="4">
        <f t="shared" si="185"/>
        <v>81290</v>
      </c>
      <c r="AN516" s="4">
        <f t="shared" si="180"/>
        <v>431682</v>
      </c>
      <c r="AO516" s="39"/>
      <c r="AP516" s="8">
        <f t="shared" si="186"/>
        <v>0</v>
      </c>
      <c r="AQ516" s="8">
        <f t="shared" si="187"/>
        <v>0</v>
      </c>
      <c r="AR516" s="8">
        <f t="shared" si="181"/>
        <v>0</v>
      </c>
      <c r="AS516" s="42"/>
      <c r="AT516" s="84">
        <v>350392</v>
      </c>
      <c r="AU516" s="84">
        <v>81290</v>
      </c>
      <c r="AV516" s="4">
        <f t="shared" si="182"/>
        <v>431682</v>
      </c>
      <c r="AW516" s="50" t="str">
        <f t="shared" si="183"/>
        <v/>
      </c>
      <c r="AX516" s="1" t="s">
        <v>1762</v>
      </c>
      <c r="AY516" s="2" t="s">
        <v>1763</v>
      </c>
      <c r="AZ516" s="2">
        <v>135972.56</v>
      </c>
      <c r="BA516" s="73">
        <v>118975.99</v>
      </c>
      <c r="BB516" s="73">
        <v>118975.99</v>
      </c>
      <c r="BC516" s="73">
        <v>135972.56</v>
      </c>
      <c r="BD516" s="73"/>
      <c r="BE516" s="66">
        <v>0</v>
      </c>
      <c r="BF516" s="66">
        <v>0.05</v>
      </c>
      <c r="BG516" s="63">
        <v>44952</v>
      </c>
      <c r="BH516" s="2"/>
      <c r="BI516" s="2"/>
      <c r="BJ516" s="2">
        <v>515873.75</v>
      </c>
      <c r="BK516" s="2">
        <v>57319.31</v>
      </c>
      <c r="BL516" s="1" t="s">
        <v>56</v>
      </c>
    </row>
    <row r="517" spans="1:64" x14ac:dyDescent="0.25">
      <c r="A517" s="81" t="s">
        <v>1171</v>
      </c>
      <c r="B517" s="82" t="s">
        <v>1171</v>
      </c>
      <c r="C517" s="81" t="s">
        <v>1172</v>
      </c>
      <c r="D517" s="16">
        <v>0</v>
      </c>
      <c r="E517" s="17"/>
      <c r="F517" s="2" t="s">
        <v>243</v>
      </c>
      <c r="G517" s="2" t="s">
        <v>245</v>
      </c>
      <c r="H517" s="10" t="s">
        <v>98</v>
      </c>
      <c r="I517" s="11" t="s">
        <v>244</v>
      </c>
      <c r="J517" s="11" t="s">
        <v>278</v>
      </c>
      <c r="K517" s="61" t="s">
        <v>279</v>
      </c>
      <c r="L517" s="11" t="s">
        <v>67</v>
      </c>
      <c r="M517" s="25"/>
      <c r="N517" s="82"/>
      <c r="O517" s="3" t="str">
        <f t="shared" si="194"/>
        <v>A</v>
      </c>
      <c r="P517" s="84">
        <v>81238.399999999994</v>
      </c>
      <c r="Q517" s="84">
        <v>3540</v>
      </c>
      <c r="R517" s="32"/>
      <c r="S517" s="3" t="str">
        <f t="shared" si="193"/>
        <v>A</v>
      </c>
      <c r="T517" s="84">
        <v>74056.149999999994</v>
      </c>
      <c r="U517" s="84">
        <v>2866</v>
      </c>
      <c r="V517" s="32"/>
      <c r="W517" s="3" t="str">
        <f t="shared" si="177"/>
        <v>A</v>
      </c>
      <c r="X517" s="84">
        <v>62504.960000000006</v>
      </c>
      <c r="Y517" s="84">
        <v>1963</v>
      </c>
      <c r="Z517" s="32"/>
      <c r="AA517" s="3" t="str">
        <f t="shared" si="178"/>
        <v>A</v>
      </c>
      <c r="AB517" s="84">
        <v>70592.5</v>
      </c>
      <c r="AC517" s="84">
        <v>4227</v>
      </c>
      <c r="AD517" s="36"/>
      <c r="AE517" s="82"/>
      <c r="AF517" s="3" t="str">
        <f t="shared" si="179"/>
        <v>A</v>
      </c>
      <c r="AG517" s="84">
        <v>0</v>
      </c>
      <c r="AH517" s="84">
        <v>0</v>
      </c>
      <c r="AI517" s="39"/>
      <c r="AJ517" s="79" t="s">
        <v>1801</v>
      </c>
      <c r="AK517" s="39"/>
      <c r="AL517" s="4">
        <f t="shared" si="184"/>
        <v>288392.01</v>
      </c>
      <c r="AM517" s="4">
        <f t="shared" si="185"/>
        <v>12596</v>
      </c>
      <c r="AN517" s="4">
        <f t="shared" si="180"/>
        <v>300988.01</v>
      </c>
      <c r="AO517" s="39"/>
      <c r="AP517" s="8">
        <f t="shared" si="186"/>
        <v>0</v>
      </c>
      <c r="AQ517" s="8">
        <f t="shared" si="187"/>
        <v>0</v>
      </c>
      <c r="AR517" s="8">
        <f t="shared" si="181"/>
        <v>0</v>
      </c>
      <c r="AS517" s="42"/>
      <c r="AT517" s="84">
        <v>288392.01</v>
      </c>
      <c r="AU517" s="84">
        <v>12596</v>
      </c>
      <c r="AV517" s="4">
        <f t="shared" si="182"/>
        <v>300988.01</v>
      </c>
      <c r="AW517" s="50" t="str">
        <f t="shared" si="183"/>
        <v/>
      </c>
      <c r="AX517" s="1" t="s">
        <v>1639</v>
      </c>
      <c r="AY517" s="2" t="s">
        <v>1640</v>
      </c>
      <c r="AZ517" s="2">
        <v>154882.07999999999</v>
      </c>
      <c r="BA517" s="73">
        <v>135521.82</v>
      </c>
      <c r="BB517" s="73">
        <v>135521.82</v>
      </c>
      <c r="BC517" s="73">
        <v>154882.07999999999</v>
      </c>
      <c r="BD517" s="73"/>
      <c r="BE517" s="66">
        <v>0</v>
      </c>
      <c r="BF517" s="66">
        <v>0.02</v>
      </c>
      <c r="BG517" s="63">
        <v>45077</v>
      </c>
      <c r="BH517" s="2"/>
      <c r="BI517" s="2"/>
      <c r="BJ517" s="2">
        <v>569016</v>
      </c>
      <c r="BK517" s="2">
        <v>29873.34</v>
      </c>
      <c r="BL517" s="1" t="s">
        <v>97</v>
      </c>
    </row>
    <row r="518" spans="1:64" x14ac:dyDescent="0.25">
      <c r="A518" s="81" t="s">
        <v>1179</v>
      </c>
      <c r="B518" s="82" t="s">
        <v>1179</v>
      </c>
      <c r="C518" s="81" t="s">
        <v>1180</v>
      </c>
      <c r="D518" s="16">
        <v>54788</v>
      </c>
      <c r="E518" s="17"/>
      <c r="F518" s="2" t="s">
        <v>1181</v>
      </c>
      <c r="G518" s="2" t="s">
        <v>1182</v>
      </c>
      <c r="H518" s="10" t="s">
        <v>105</v>
      </c>
      <c r="I518" s="11" t="s">
        <v>53</v>
      </c>
      <c r="J518" s="11" t="s">
        <v>350</v>
      </c>
      <c r="K518" s="61"/>
      <c r="L518" s="11" t="s">
        <v>67</v>
      </c>
      <c r="M518" s="25"/>
      <c r="N518" s="82"/>
      <c r="O518" s="3" t="str">
        <f t="shared" si="194"/>
        <v>A</v>
      </c>
      <c r="P518" s="84"/>
      <c r="Q518" s="84"/>
      <c r="R518" s="32"/>
      <c r="S518" s="3" t="str">
        <f t="shared" si="193"/>
        <v>A</v>
      </c>
      <c r="T518" s="84"/>
      <c r="U518" s="84"/>
      <c r="V518" s="32"/>
      <c r="W518" s="3" t="str">
        <f t="shared" si="177"/>
        <v>A</v>
      </c>
      <c r="X518" s="84"/>
      <c r="Y518" s="84"/>
      <c r="Z518" s="32"/>
      <c r="AA518" s="3" t="str">
        <f t="shared" si="178"/>
        <v>A</v>
      </c>
      <c r="AB518" s="84"/>
      <c r="AC518" s="84"/>
      <c r="AD518" s="36"/>
      <c r="AE518" s="82"/>
      <c r="AF518" s="3" t="str">
        <f t="shared" si="179"/>
        <v>A</v>
      </c>
      <c r="AG518" s="84"/>
      <c r="AH518" s="84"/>
      <c r="AI518" s="39"/>
      <c r="AJ518" s="79" t="s">
        <v>1801</v>
      </c>
      <c r="AK518" s="39"/>
      <c r="AL518" s="4">
        <f t="shared" si="184"/>
        <v>0</v>
      </c>
      <c r="AM518" s="4">
        <f t="shared" si="185"/>
        <v>0</v>
      </c>
      <c r="AN518" s="4">
        <f t="shared" si="180"/>
        <v>0</v>
      </c>
      <c r="AO518" s="39"/>
      <c r="AP518" s="8">
        <f t="shared" si="186"/>
        <v>0</v>
      </c>
      <c r="AQ518" s="8">
        <f t="shared" si="187"/>
        <v>0</v>
      </c>
      <c r="AR518" s="8">
        <f t="shared" si="181"/>
        <v>0</v>
      </c>
      <c r="AS518" s="42"/>
      <c r="AT518" s="84"/>
      <c r="AU518" s="84"/>
      <c r="AV518" s="4">
        <f t="shared" si="182"/>
        <v>0</v>
      </c>
      <c r="AW518" s="50" t="str">
        <f t="shared" si="183"/>
        <v/>
      </c>
      <c r="AX518" s="1" t="s">
        <v>1764</v>
      </c>
      <c r="AY518" s="2" t="s">
        <v>1765</v>
      </c>
      <c r="AZ518" s="2"/>
      <c r="BA518" s="73"/>
      <c r="BB518" s="73"/>
      <c r="BC518" s="73"/>
      <c r="BD518" s="73"/>
      <c r="BE518" s="66">
        <v>0</v>
      </c>
      <c r="BF518" s="66">
        <v>0.05</v>
      </c>
      <c r="BG518" s="63">
        <v>0</v>
      </c>
      <c r="BH518" s="2"/>
      <c r="BI518" s="2"/>
      <c r="BJ518" s="2">
        <v>460598.4</v>
      </c>
      <c r="BK518" s="2">
        <v>51177.599999999999</v>
      </c>
      <c r="BL518" s="1" t="s">
        <v>219</v>
      </c>
    </row>
    <row r="519" spans="1:64" x14ac:dyDescent="0.25">
      <c r="A519" s="81" t="s">
        <v>1183</v>
      </c>
      <c r="B519" s="82" t="s">
        <v>1183</v>
      </c>
      <c r="C519" s="81" t="s">
        <v>1184</v>
      </c>
      <c r="D519" s="16">
        <v>44952</v>
      </c>
      <c r="E519" s="17"/>
      <c r="F519" s="2" t="s">
        <v>414</v>
      </c>
      <c r="G519" s="2" t="s">
        <v>415</v>
      </c>
      <c r="H519" s="10" t="s">
        <v>105</v>
      </c>
      <c r="I519" s="11" t="s">
        <v>53</v>
      </c>
      <c r="J519" s="11" t="s">
        <v>312</v>
      </c>
      <c r="K519" s="61"/>
      <c r="L519" s="11" t="s">
        <v>67</v>
      </c>
      <c r="M519" s="25"/>
      <c r="N519" s="82"/>
      <c r="O519" s="3" t="str">
        <f t="shared" si="194"/>
        <v>E</v>
      </c>
      <c r="P519" s="84">
        <v>166826.72</v>
      </c>
      <c r="Q519" s="84">
        <v>17616.16</v>
      </c>
      <c r="R519" s="32"/>
      <c r="S519" s="3" t="str">
        <f t="shared" si="193"/>
        <v>E</v>
      </c>
      <c r="T519" s="84">
        <v>145973.38</v>
      </c>
      <c r="U519" s="84">
        <v>15414.14</v>
      </c>
      <c r="V519" s="32"/>
      <c r="W519" s="3" t="str">
        <f t="shared" si="177"/>
        <v>E</v>
      </c>
      <c r="X519" s="84">
        <v>145973.38</v>
      </c>
      <c r="Y519" s="84">
        <v>15414.14</v>
      </c>
      <c r="Z519" s="32"/>
      <c r="AA519" s="3" t="str">
        <f t="shared" si="178"/>
        <v>E</v>
      </c>
      <c r="AB519" s="84">
        <v>166826.72</v>
      </c>
      <c r="AC519" s="84">
        <v>17616.16</v>
      </c>
      <c r="AD519" s="36"/>
      <c r="AE519" s="82"/>
      <c r="AF519" s="3" t="str">
        <f t="shared" si="179"/>
        <v>A</v>
      </c>
      <c r="AG519" s="84"/>
      <c r="AH519" s="84"/>
      <c r="AI519" s="39"/>
      <c r="AJ519" s="79" t="s">
        <v>38</v>
      </c>
      <c r="AK519" s="39"/>
      <c r="AL519" s="4">
        <f t="shared" si="184"/>
        <v>0</v>
      </c>
      <c r="AM519" s="4">
        <f t="shared" si="185"/>
        <v>0</v>
      </c>
      <c r="AN519" s="4">
        <f t="shared" si="180"/>
        <v>0</v>
      </c>
      <c r="AO519" s="39"/>
      <c r="AP519" s="8">
        <f t="shared" si="186"/>
        <v>625600.19999999995</v>
      </c>
      <c r="AQ519" s="8">
        <f t="shared" si="187"/>
        <v>66060.600000000006</v>
      </c>
      <c r="AR519" s="8">
        <f t="shared" si="181"/>
        <v>691660.79999999993</v>
      </c>
      <c r="AS519" s="42"/>
      <c r="AT519" s="84"/>
      <c r="AU519" s="84"/>
      <c r="AV519" s="4">
        <f t="shared" si="182"/>
        <v>0</v>
      </c>
      <c r="AW519" s="50" t="str">
        <f t="shared" si="183"/>
        <v/>
      </c>
      <c r="AX519" s="1" t="s">
        <v>1703</v>
      </c>
      <c r="AY519" s="2" t="s">
        <v>1704</v>
      </c>
      <c r="AZ519" s="2">
        <v>166826.72</v>
      </c>
      <c r="BA519" s="73">
        <v>145973.38</v>
      </c>
      <c r="BB519" s="73">
        <v>145973.38</v>
      </c>
      <c r="BC519" s="73">
        <v>166826.72</v>
      </c>
      <c r="BD519" s="73"/>
      <c r="BE519" s="66">
        <v>0</v>
      </c>
      <c r="BF519" s="66">
        <v>0.05</v>
      </c>
      <c r="BG519" s="63">
        <v>44948</v>
      </c>
      <c r="BH519" s="2"/>
      <c r="BI519" s="2"/>
      <c r="BJ519" s="2">
        <v>632934</v>
      </c>
      <c r="BK519" s="2">
        <v>70326</v>
      </c>
      <c r="BL519" s="1" t="s">
        <v>104</v>
      </c>
    </row>
    <row r="520" spans="1:64" x14ac:dyDescent="0.25">
      <c r="A520" s="81" t="s">
        <v>1185</v>
      </c>
      <c r="B520" s="82" t="s">
        <v>1185</v>
      </c>
      <c r="C520" s="81" t="s">
        <v>1186</v>
      </c>
      <c r="D520" s="16">
        <v>45013</v>
      </c>
      <c r="E520" s="17"/>
      <c r="F520" s="2" t="s">
        <v>414</v>
      </c>
      <c r="G520" s="2" t="s">
        <v>415</v>
      </c>
      <c r="H520" s="10" t="s">
        <v>105</v>
      </c>
      <c r="I520" s="11" t="s">
        <v>53</v>
      </c>
      <c r="J520" s="11" t="s">
        <v>312</v>
      </c>
      <c r="K520" s="61"/>
      <c r="L520" s="11" t="s">
        <v>67</v>
      </c>
      <c r="M520" s="25"/>
      <c r="N520" s="82"/>
      <c r="O520" s="3" t="str">
        <f t="shared" si="194"/>
        <v>E</v>
      </c>
      <c r="P520" s="84">
        <v>165377.84</v>
      </c>
      <c r="Q520" s="84">
        <v>21171.52</v>
      </c>
      <c r="R520" s="32"/>
      <c r="S520" s="3" t="str">
        <f t="shared" si="193"/>
        <v>E</v>
      </c>
      <c r="T520" s="84">
        <v>144705.60999999999</v>
      </c>
      <c r="U520" s="84">
        <v>18525.080000000002</v>
      </c>
      <c r="V520" s="32"/>
      <c r="W520" s="3" t="str">
        <f t="shared" ref="W520:W583" si="195">IF($A520="","",IF(X520=0,"A",IF(X520=BB520,"E","A")))</f>
        <v>E</v>
      </c>
      <c r="X520" s="84">
        <v>144705.60999999999</v>
      </c>
      <c r="Y520" s="84">
        <v>18525.080000000002</v>
      </c>
      <c r="Z520" s="32"/>
      <c r="AA520" s="3" t="str">
        <f t="shared" ref="AA520:AA583" si="196">IF($A520="","",IF(AB520=0,"A",IF(AB520=BC520,"E","A")))</f>
        <v>E</v>
      </c>
      <c r="AB520" s="84">
        <v>165377.84</v>
      </c>
      <c r="AC520" s="84">
        <v>21171.52</v>
      </c>
      <c r="AD520" s="36"/>
      <c r="AE520" s="82"/>
      <c r="AF520" s="3" t="str">
        <f t="shared" ref="AF520:AF583" si="197">IF($A520="","",IF(AG520=0,"A",IF(AG520=BD520,"E","A")))</f>
        <v>A</v>
      </c>
      <c r="AG520" s="84"/>
      <c r="AH520" s="84"/>
      <c r="AI520" s="39"/>
      <c r="AJ520" s="79" t="s">
        <v>38</v>
      </c>
      <c r="AK520" s="39"/>
      <c r="AL520" s="4">
        <f t="shared" si="184"/>
        <v>0</v>
      </c>
      <c r="AM520" s="4">
        <f t="shared" si="185"/>
        <v>0</v>
      </c>
      <c r="AN520" s="4">
        <f t="shared" ref="AN520:AN583" si="198">SUM(AL520:AM520)</f>
        <v>0</v>
      </c>
      <c r="AO520" s="39"/>
      <c r="AP520" s="8">
        <f t="shared" si="186"/>
        <v>620166.89999999991</v>
      </c>
      <c r="AQ520" s="8">
        <f t="shared" si="187"/>
        <v>79393.200000000012</v>
      </c>
      <c r="AR520" s="8">
        <f t="shared" ref="AR520:AR583" si="199">SUM(AP520:AQ520)</f>
        <v>699560.09999999986</v>
      </c>
      <c r="AS520" s="42"/>
      <c r="AT520" s="84"/>
      <c r="AU520" s="84"/>
      <c r="AV520" s="4">
        <f t="shared" ref="AV520:AV583" si="200">SUM(AT520:AU520)</f>
        <v>0</v>
      </c>
      <c r="AW520" s="50" t="str">
        <f t="shared" ref="AW520:AW583" si="201">IF(AV520=0,"",IF(AN520=AV520,"","W"))</f>
        <v/>
      </c>
      <c r="AX520" s="1" t="s">
        <v>1703</v>
      </c>
      <c r="AY520" s="2" t="s">
        <v>1704</v>
      </c>
      <c r="AZ520" s="2">
        <v>165377.84</v>
      </c>
      <c r="BA520" s="73">
        <v>144705.60999999999</v>
      </c>
      <c r="BB520" s="73">
        <v>144705.60999999999</v>
      </c>
      <c r="BC520" s="73">
        <v>165377.84</v>
      </c>
      <c r="BD520" s="73"/>
      <c r="BE520" s="66">
        <v>0</v>
      </c>
      <c r="BF520" s="66">
        <v>0.05</v>
      </c>
      <c r="BG520" s="63">
        <v>45007</v>
      </c>
      <c r="BH520" s="2"/>
      <c r="BI520" s="2"/>
      <c r="BJ520" s="2">
        <v>588262.5</v>
      </c>
      <c r="BK520" s="2">
        <v>65362.5</v>
      </c>
      <c r="BL520" s="1" t="s">
        <v>104</v>
      </c>
    </row>
    <row r="521" spans="1:64" x14ac:dyDescent="0.25">
      <c r="A521" s="81" t="s">
        <v>1187</v>
      </c>
      <c r="B521" s="82" t="s">
        <v>1187</v>
      </c>
      <c r="C521" s="81" t="s">
        <v>1188</v>
      </c>
      <c r="D521" s="16">
        <v>45098</v>
      </c>
      <c r="E521" s="17"/>
      <c r="F521" s="2" t="s">
        <v>953</v>
      </c>
      <c r="G521" s="2" t="s">
        <v>954</v>
      </c>
      <c r="H521" s="10" t="s">
        <v>98</v>
      </c>
      <c r="I521" s="11" t="s">
        <v>53</v>
      </c>
      <c r="J521" s="11" t="s">
        <v>224</v>
      </c>
      <c r="K521" s="61"/>
      <c r="L521" s="11" t="s">
        <v>67</v>
      </c>
      <c r="M521" s="25"/>
      <c r="N521" s="82"/>
      <c r="O521" s="3" t="str">
        <f t="shared" si="194"/>
        <v>A</v>
      </c>
      <c r="P521" s="84">
        <v>84099</v>
      </c>
      <c r="Q521" s="84">
        <v>1855</v>
      </c>
      <c r="R521" s="32"/>
      <c r="S521" s="3" t="str">
        <f t="shared" si="193"/>
        <v>A</v>
      </c>
      <c r="T521" s="84">
        <v>81311</v>
      </c>
      <c r="U521" s="84">
        <v>2055</v>
      </c>
      <c r="V521" s="32"/>
      <c r="W521" s="3" t="str">
        <f t="shared" si="195"/>
        <v>A</v>
      </c>
      <c r="X521" s="84">
        <v>69408</v>
      </c>
      <c r="Y521" s="84">
        <v>1070</v>
      </c>
      <c r="Z521" s="32"/>
      <c r="AA521" s="3" t="str">
        <f t="shared" si="196"/>
        <v>A</v>
      </c>
      <c r="AB521" s="84">
        <v>83438</v>
      </c>
      <c r="AC521" s="84">
        <v>2690</v>
      </c>
      <c r="AD521" s="36"/>
      <c r="AE521" s="82"/>
      <c r="AF521" s="3" t="str">
        <f t="shared" si="197"/>
        <v>A</v>
      </c>
      <c r="AG521" s="84">
        <v>0</v>
      </c>
      <c r="AH521" s="84">
        <v>0</v>
      </c>
      <c r="AI521" s="39"/>
      <c r="AJ521" s="79" t="s">
        <v>1801</v>
      </c>
      <c r="AK521" s="39"/>
      <c r="AL521" s="4">
        <f t="shared" ref="AL521:AL584" si="202">IF($O521="A",P521,0)+IF($S521="A",T521,0)+IF($W521="A",X521,0)+IF($AA521="A",AB521,0)+IF($AF521="A",AG521,0)</f>
        <v>318256</v>
      </c>
      <c r="AM521" s="4">
        <f t="shared" ref="AM521:AM584" si="203">IF($O521="A",Q521,0)+IF($S521="A",U521,0)+IF($W521="A",Y521,0)+IF($AA521="A",AC521,0)+IF($AF521="A",AH521,0)</f>
        <v>7670</v>
      </c>
      <c r="AN521" s="4">
        <f t="shared" si="198"/>
        <v>325926</v>
      </c>
      <c r="AO521" s="39"/>
      <c r="AP521" s="8">
        <f t="shared" ref="AP521:AP584" si="204">IF($O521="E",P521,0)+IF($S521="E",T521,0)+IF($W521="E",X521,0)+IF($AA521="E",AB521,0)+IF($AF521="E",AG521,0)</f>
        <v>0</v>
      </c>
      <c r="AQ521" s="8">
        <f t="shared" ref="AQ521:AQ584" si="205">IF($O521="E",Q521,0)+IF($S521="E",U521,0)+IF($W521="E",Y521,0)+IF($AA521="E",AC521,0)+IF($AF521="E",AH521,0)</f>
        <v>0</v>
      </c>
      <c r="AR521" s="8">
        <f t="shared" si="199"/>
        <v>0</v>
      </c>
      <c r="AS521" s="42"/>
      <c r="AT521" s="84">
        <v>318256</v>
      </c>
      <c r="AU521" s="84">
        <v>7670</v>
      </c>
      <c r="AV521" s="4">
        <f t="shared" si="200"/>
        <v>325926</v>
      </c>
      <c r="AW521" s="50" t="str">
        <f t="shared" si="201"/>
        <v/>
      </c>
      <c r="AX521" s="1" t="s">
        <v>1744</v>
      </c>
      <c r="AY521" s="2" t="s">
        <v>1745</v>
      </c>
      <c r="AZ521" s="2">
        <v>135366.24</v>
      </c>
      <c r="BA521" s="73">
        <v>118445.46</v>
      </c>
      <c r="BB521" s="73">
        <v>118445.46</v>
      </c>
      <c r="BC521" s="73">
        <v>135366.24</v>
      </c>
      <c r="BD521" s="73"/>
      <c r="BE521" s="66">
        <v>0</v>
      </c>
      <c r="BF521" s="66">
        <v>0.05</v>
      </c>
      <c r="BG521" s="63">
        <v>45092</v>
      </c>
      <c r="BH521" s="2"/>
      <c r="BI521" s="2"/>
      <c r="BJ521" s="2">
        <v>436327.5</v>
      </c>
      <c r="BK521" s="2">
        <v>22907.19</v>
      </c>
      <c r="BL521" s="1" t="s">
        <v>97</v>
      </c>
    </row>
    <row r="522" spans="1:64" x14ac:dyDescent="0.25">
      <c r="A522" s="81" t="s">
        <v>1193</v>
      </c>
      <c r="B522" s="82" t="s">
        <v>1193</v>
      </c>
      <c r="C522" s="81" t="s">
        <v>1194</v>
      </c>
      <c r="D522" s="16">
        <v>44947</v>
      </c>
      <c r="E522" s="17"/>
      <c r="F522" s="2" t="s">
        <v>551</v>
      </c>
      <c r="G522" s="2" t="s">
        <v>552</v>
      </c>
      <c r="H522" s="10" t="s">
        <v>105</v>
      </c>
      <c r="I522" s="11" t="s">
        <v>53</v>
      </c>
      <c r="J522" s="11" t="s">
        <v>106</v>
      </c>
      <c r="K522" s="61"/>
      <c r="L522" s="11" t="s">
        <v>67</v>
      </c>
      <c r="M522" s="25"/>
      <c r="N522" s="82"/>
      <c r="O522" s="3" t="str">
        <f t="shared" si="194"/>
        <v>A</v>
      </c>
      <c r="P522" s="84">
        <v>214680</v>
      </c>
      <c r="Q522" s="84">
        <v>26812</v>
      </c>
      <c r="R522" s="32"/>
      <c r="S522" s="3" t="str">
        <f t="shared" si="193"/>
        <v>A</v>
      </c>
      <c r="T522" s="84">
        <v>201987</v>
      </c>
      <c r="U522" s="84">
        <v>26090</v>
      </c>
      <c r="V522" s="32"/>
      <c r="W522" s="3" t="str">
        <f t="shared" si="195"/>
        <v>A</v>
      </c>
      <c r="X522" s="84">
        <v>168742</v>
      </c>
      <c r="Y522" s="84">
        <v>19019</v>
      </c>
      <c r="Z522" s="32"/>
      <c r="AA522" s="3" t="str">
        <f t="shared" si="196"/>
        <v>A</v>
      </c>
      <c r="AB522" s="84">
        <v>184837</v>
      </c>
      <c r="AC522" s="84">
        <v>18220</v>
      </c>
      <c r="AD522" s="36"/>
      <c r="AE522" s="82"/>
      <c r="AF522" s="3" t="str">
        <f t="shared" si="197"/>
        <v>A</v>
      </c>
      <c r="AG522" s="84">
        <v>0</v>
      </c>
      <c r="AH522" s="84">
        <v>0</v>
      </c>
      <c r="AI522" s="39"/>
      <c r="AJ522" s="79" t="s">
        <v>1801</v>
      </c>
      <c r="AK522" s="39"/>
      <c r="AL522" s="4">
        <f t="shared" si="202"/>
        <v>770246</v>
      </c>
      <c r="AM522" s="4">
        <f t="shared" si="203"/>
        <v>90141</v>
      </c>
      <c r="AN522" s="4">
        <f t="shared" si="198"/>
        <v>860387</v>
      </c>
      <c r="AO522" s="39"/>
      <c r="AP522" s="8">
        <f t="shared" si="204"/>
        <v>0</v>
      </c>
      <c r="AQ522" s="8">
        <f t="shared" si="205"/>
        <v>0</v>
      </c>
      <c r="AR522" s="8">
        <f t="shared" si="199"/>
        <v>0</v>
      </c>
      <c r="AS522" s="42"/>
      <c r="AT522" s="84">
        <v>770246</v>
      </c>
      <c r="AU522" s="84">
        <v>90141</v>
      </c>
      <c r="AV522" s="4">
        <f t="shared" si="200"/>
        <v>860387</v>
      </c>
      <c r="AW522" s="50" t="str">
        <f t="shared" si="201"/>
        <v/>
      </c>
      <c r="AX522" s="1" t="s">
        <v>1725</v>
      </c>
      <c r="AY522" s="2" t="s">
        <v>1659</v>
      </c>
      <c r="AZ522" s="2">
        <v>158347.68</v>
      </c>
      <c r="BA522" s="73">
        <v>138554.22</v>
      </c>
      <c r="BB522" s="73">
        <v>138554.22</v>
      </c>
      <c r="BC522" s="73">
        <v>158347.68</v>
      </c>
      <c r="BD522" s="73"/>
      <c r="BE522" s="66">
        <v>0</v>
      </c>
      <c r="BF522" s="66">
        <v>0.05</v>
      </c>
      <c r="BG522" s="63">
        <v>44944</v>
      </c>
      <c r="BH522" s="2"/>
      <c r="BI522" s="2"/>
      <c r="BJ522" s="2">
        <v>600763.5</v>
      </c>
      <c r="BK522" s="2">
        <v>66763.5</v>
      </c>
      <c r="BL522" s="1" t="s">
        <v>104</v>
      </c>
    </row>
    <row r="523" spans="1:64" x14ac:dyDescent="0.25">
      <c r="A523" s="81" t="s">
        <v>988</v>
      </c>
      <c r="B523" s="82" t="s">
        <v>989</v>
      </c>
      <c r="C523" s="81" t="s">
        <v>990</v>
      </c>
      <c r="D523" s="16">
        <v>0</v>
      </c>
      <c r="E523" s="17"/>
      <c r="F523" s="2" t="s">
        <v>243</v>
      </c>
      <c r="G523" s="2" t="s">
        <v>245</v>
      </c>
      <c r="H523" s="10" t="s">
        <v>98</v>
      </c>
      <c r="I523" s="11" t="s">
        <v>244</v>
      </c>
      <c r="J523" s="11" t="s">
        <v>278</v>
      </c>
      <c r="K523" s="61" t="s">
        <v>279</v>
      </c>
      <c r="L523" s="11" t="s">
        <v>67</v>
      </c>
      <c r="M523" s="25"/>
      <c r="N523" s="82"/>
      <c r="O523" s="3" t="str">
        <f t="shared" si="194"/>
        <v>A</v>
      </c>
      <c r="P523" s="84">
        <v>62539</v>
      </c>
      <c r="Q523" s="84">
        <v>870</v>
      </c>
      <c r="R523" s="32"/>
      <c r="S523" s="3" t="str">
        <f t="shared" si="193"/>
        <v>A</v>
      </c>
      <c r="T523" s="84">
        <v>52096</v>
      </c>
      <c r="U523" s="84">
        <v>1160</v>
      </c>
      <c r="V523" s="32"/>
      <c r="W523" s="3" t="str">
        <f t="shared" si="195"/>
        <v>A</v>
      </c>
      <c r="X523" s="84">
        <v>49617</v>
      </c>
      <c r="Y523" s="84">
        <v>890</v>
      </c>
      <c r="Z523" s="32"/>
      <c r="AA523" s="3" t="str">
        <f t="shared" si="196"/>
        <v>A</v>
      </c>
      <c r="AB523" s="84">
        <v>60609</v>
      </c>
      <c r="AC523" s="84">
        <v>1110</v>
      </c>
      <c r="AD523" s="36"/>
      <c r="AE523" s="82"/>
      <c r="AF523" s="3" t="str">
        <f t="shared" si="197"/>
        <v>A</v>
      </c>
      <c r="AG523" s="84">
        <v>0</v>
      </c>
      <c r="AH523" s="84">
        <v>0</v>
      </c>
      <c r="AI523" s="39"/>
      <c r="AJ523" s="79" t="s">
        <v>1801</v>
      </c>
      <c r="AK523" s="39"/>
      <c r="AL523" s="4">
        <f t="shared" si="202"/>
        <v>224861</v>
      </c>
      <c r="AM523" s="4">
        <f t="shared" si="203"/>
        <v>4030</v>
      </c>
      <c r="AN523" s="4">
        <f t="shared" si="198"/>
        <v>228891</v>
      </c>
      <c r="AO523" s="39"/>
      <c r="AP523" s="8">
        <f t="shared" si="204"/>
        <v>0</v>
      </c>
      <c r="AQ523" s="8">
        <f t="shared" si="205"/>
        <v>0</v>
      </c>
      <c r="AR523" s="8">
        <f t="shared" si="199"/>
        <v>0</v>
      </c>
      <c r="AS523" s="42"/>
      <c r="AT523" s="84">
        <v>224861</v>
      </c>
      <c r="AU523" s="84">
        <v>4030</v>
      </c>
      <c r="AV523" s="4">
        <f t="shared" si="200"/>
        <v>228891</v>
      </c>
      <c r="AW523" s="50" t="str">
        <f t="shared" si="201"/>
        <v/>
      </c>
      <c r="AX523" s="1" t="s">
        <v>1639</v>
      </c>
      <c r="AY523" s="2" t="s">
        <v>1640</v>
      </c>
      <c r="AZ523" s="2">
        <v>35342.160000000003</v>
      </c>
      <c r="BA523" s="73">
        <v>30924.39</v>
      </c>
      <c r="BB523" s="73">
        <v>30924.39</v>
      </c>
      <c r="BC523" s="73">
        <v>35342.160000000003</v>
      </c>
      <c r="BD523" s="73"/>
      <c r="BE523" s="66">
        <v>0</v>
      </c>
      <c r="BF523" s="66">
        <v>0.02</v>
      </c>
      <c r="BG523" s="63">
        <v>44527</v>
      </c>
      <c r="BH523" s="2"/>
      <c r="BI523" s="2"/>
      <c r="BJ523" s="2">
        <v>129600</v>
      </c>
      <c r="BK523" s="2"/>
      <c r="BL523" s="1" t="s">
        <v>97</v>
      </c>
    </row>
    <row r="524" spans="1:64" x14ac:dyDescent="0.25">
      <c r="A524" s="81" t="s">
        <v>988</v>
      </c>
      <c r="B524" s="82" t="s">
        <v>1146</v>
      </c>
      <c r="C524" s="81" t="s">
        <v>1147</v>
      </c>
      <c r="D524" s="16">
        <v>0</v>
      </c>
      <c r="E524" s="17"/>
      <c r="F524" s="2" t="s">
        <v>243</v>
      </c>
      <c r="G524" s="2" t="s">
        <v>245</v>
      </c>
      <c r="H524" s="10" t="s">
        <v>98</v>
      </c>
      <c r="I524" s="11" t="s">
        <v>244</v>
      </c>
      <c r="J524" s="11" t="s">
        <v>278</v>
      </c>
      <c r="K524" s="61" t="s">
        <v>279</v>
      </c>
      <c r="L524" s="11" t="s">
        <v>67</v>
      </c>
      <c r="M524" s="25"/>
      <c r="N524" s="82"/>
      <c r="O524" s="3" t="str">
        <f t="shared" si="194"/>
        <v>A</v>
      </c>
      <c r="P524" s="84">
        <v>102773</v>
      </c>
      <c r="Q524" s="84">
        <v>0</v>
      </c>
      <c r="R524" s="32"/>
      <c r="S524" s="3" t="str">
        <f t="shared" si="193"/>
        <v>A</v>
      </c>
      <c r="T524" s="84">
        <v>88723</v>
      </c>
      <c r="U524" s="84"/>
      <c r="V524" s="32"/>
      <c r="W524" s="3" t="str">
        <f t="shared" si="195"/>
        <v>A</v>
      </c>
      <c r="X524" s="84">
        <v>90864</v>
      </c>
      <c r="Y524" s="84"/>
      <c r="Z524" s="32"/>
      <c r="AA524" s="3" t="str">
        <f t="shared" si="196"/>
        <v>A</v>
      </c>
      <c r="AB524" s="84">
        <v>104265</v>
      </c>
      <c r="AC524" s="84"/>
      <c r="AD524" s="36"/>
      <c r="AE524" s="82"/>
      <c r="AF524" s="3" t="str">
        <f t="shared" si="197"/>
        <v>A</v>
      </c>
      <c r="AG524" s="84">
        <v>0</v>
      </c>
      <c r="AH524" s="84">
        <v>0</v>
      </c>
      <c r="AI524" s="39"/>
      <c r="AJ524" s="79" t="s">
        <v>1801</v>
      </c>
      <c r="AK524" s="39"/>
      <c r="AL524" s="4">
        <f t="shared" si="202"/>
        <v>386625</v>
      </c>
      <c r="AM524" s="4">
        <f t="shared" si="203"/>
        <v>0</v>
      </c>
      <c r="AN524" s="4">
        <f t="shared" si="198"/>
        <v>386625</v>
      </c>
      <c r="AO524" s="39"/>
      <c r="AP524" s="8">
        <f t="shared" si="204"/>
        <v>0</v>
      </c>
      <c r="AQ524" s="8">
        <f t="shared" si="205"/>
        <v>0</v>
      </c>
      <c r="AR524" s="8">
        <f t="shared" si="199"/>
        <v>0</v>
      </c>
      <c r="AS524" s="42"/>
      <c r="AT524" s="84">
        <v>386625</v>
      </c>
      <c r="AU524" s="84"/>
      <c r="AV524" s="4">
        <f t="shared" si="200"/>
        <v>386625</v>
      </c>
      <c r="AW524" s="50" t="str">
        <f t="shared" si="201"/>
        <v/>
      </c>
      <c r="AX524" s="1" t="s">
        <v>1639</v>
      </c>
      <c r="AY524" s="2" t="s">
        <v>1640</v>
      </c>
      <c r="AZ524" s="2">
        <v>61859.360000000001</v>
      </c>
      <c r="BA524" s="73">
        <v>54126.94</v>
      </c>
      <c r="BB524" s="73">
        <v>54126.94</v>
      </c>
      <c r="BC524" s="73">
        <v>61859.360000000001</v>
      </c>
      <c r="BD524" s="73"/>
      <c r="BE524" s="66">
        <v>0</v>
      </c>
      <c r="BF524" s="66">
        <v>0.02</v>
      </c>
      <c r="BG524" s="63">
        <v>44862</v>
      </c>
      <c r="BH524" s="2"/>
      <c r="BI524" s="2"/>
      <c r="BJ524" s="2">
        <v>225000</v>
      </c>
      <c r="BK524" s="2"/>
      <c r="BL524" s="1" t="s">
        <v>97</v>
      </c>
    </row>
    <row r="525" spans="1:64" x14ac:dyDescent="0.25">
      <c r="A525" s="81" t="s">
        <v>988</v>
      </c>
      <c r="B525" s="82" t="s">
        <v>988</v>
      </c>
      <c r="C525" s="81" t="s">
        <v>1197</v>
      </c>
      <c r="D525" s="16">
        <v>0</v>
      </c>
      <c r="E525" s="17"/>
      <c r="F525" s="2" t="s">
        <v>243</v>
      </c>
      <c r="G525" s="2" t="s">
        <v>245</v>
      </c>
      <c r="H525" s="10" t="s">
        <v>98</v>
      </c>
      <c r="I525" s="11" t="s">
        <v>244</v>
      </c>
      <c r="J525" s="11" t="s">
        <v>278</v>
      </c>
      <c r="K525" s="61" t="s">
        <v>279</v>
      </c>
      <c r="L525" s="11" t="s">
        <v>67</v>
      </c>
      <c r="M525" s="25"/>
      <c r="N525" s="82"/>
      <c r="O525" s="3" t="str">
        <f t="shared" si="194"/>
        <v>A</v>
      </c>
      <c r="P525" s="84">
        <v>154908.31</v>
      </c>
      <c r="Q525" s="84">
        <v>5754</v>
      </c>
      <c r="R525" s="32"/>
      <c r="S525" s="3" t="str">
        <f t="shared" si="193"/>
        <v>A</v>
      </c>
      <c r="T525" s="84">
        <v>141438</v>
      </c>
      <c r="U525" s="84">
        <v>6921</v>
      </c>
      <c r="V525" s="32"/>
      <c r="W525" s="3" t="str">
        <f t="shared" si="195"/>
        <v>A</v>
      </c>
      <c r="X525" s="84">
        <v>119331</v>
      </c>
      <c r="Y525" s="84">
        <v>4686</v>
      </c>
      <c r="Z525" s="32"/>
      <c r="AA525" s="3" t="str">
        <f t="shared" si="196"/>
        <v>A</v>
      </c>
      <c r="AB525" s="84">
        <v>101862.15</v>
      </c>
      <c r="AC525" s="84">
        <v>3556</v>
      </c>
      <c r="AD525" s="36"/>
      <c r="AE525" s="82"/>
      <c r="AF525" s="3" t="str">
        <f t="shared" si="197"/>
        <v>A</v>
      </c>
      <c r="AG525" s="84">
        <v>0</v>
      </c>
      <c r="AH525" s="84">
        <v>0</v>
      </c>
      <c r="AI525" s="39"/>
      <c r="AJ525" s="79" t="s">
        <v>1801</v>
      </c>
      <c r="AK525" s="39"/>
      <c r="AL525" s="4">
        <f t="shared" si="202"/>
        <v>517539.45999999996</v>
      </c>
      <c r="AM525" s="4">
        <f t="shared" si="203"/>
        <v>20917</v>
      </c>
      <c r="AN525" s="4">
        <f t="shared" si="198"/>
        <v>538456.46</v>
      </c>
      <c r="AO525" s="39"/>
      <c r="AP525" s="8">
        <f t="shared" si="204"/>
        <v>0</v>
      </c>
      <c r="AQ525" s="8">
        <f t="shared" si="205"/>
        <v>0</v>
      </c>
      <c r="AR525" s="8">
        <f t="shared" si="199"/>
        <v>0</v>
      </c>
      <c r="AS525" s="42"/>
      <c r="AT525" s="84">
        <v>517539.46</v>
      </c>
      <c r="AU525" s="84">
        <v>20917</v>
      </c>
      <c r="AV525" s="4">
        <f t="shared" si="200"/>
        <v>538456.46</v>
      </c>
      <c r="AW525" s="50" t="str">
        <f t="shared" si="201"/>
        <v/>
      </c>
      <c r="AX525" s="1" t="s">
        <v>1639</v>
      </c>
      <c r="AY525" s="2" t="s">
        <v>1640</v>
      </c>
      <c r="AZ525" s="2">
        <v>182748.48</v>
      </c>
      <c r="BA525" s="73">
        <v>159904.92000000001</v>
      </c>
      <c r="BB525" s="73">
        <v>159904.92000000001</v>
      </c>
      <c r="BC525" s="73">
        <v>182748.48</v>
      </c>
      <c r="BD525" s="73"/>
      <c r="BE525" s="66">
        <v>0</v>
      </c>
      <c r="BF525" s="66">
        <v>0.02</v>
      </c>
      <c r="BG525" s="63">
        <v>44967</v>
      </c>
      <c r="BH525" s="2"/>
      <c r="BI525" s="2"/>
      <c r="BJ525" s="2">
        <v>654645.6</v>
      </c>
      <c r="BK525" s="2">
        <v>34368.89</v>
      </c>
      <c r="BL525" s="1" t="s">
        <v>97</v>
      </c>
    </row>
    <row r="526" spans="1:64" x14ac:dyDescent="0.25">
      <c r="A526" s="81" t="s">
        <v>988</v>
      </c>
      <c r="B526" s="82" t="s">
        <v>1334</v>
      </c>
      <c r="C526" s="81" t="s">
        <v>1335</v>
      </c>
      <c r="D526" s="16">
        <v>45238</v>
      </c>
      <c r="E526" s="17"/>
      <c r="F526" s="2" t="s">
        <v>243</v>
      </c>
      <c r="G526" s="2" t="s">
        <v>245</v>
      </c>
      <c r="H526" s="10" t="s">
        <v>98</v>
      </c>
      <c r="I526" s="11" t="s">
        <v>244</v>
      </c>
      <c r="J526" s="11" t="s">
        <v>278</v>
      </c>
      <c r="K526" s="61" t="s">
        <v>279</v>
      </c>
      <c r="L526" s="11" t="s">
        <v>67</v>
      </c>
      <c r="M526" s="25"/>
      <c r="N526" s="82"/>
      <c r="O526" s="3" t="str">
        <f>IF($A526="","",IF(P526=AZ526,"E","A"))</f>
        <v>A</v>
      </c>
      <c r="P526" s="84">
        <v>87280.81</v>
      </c>
      <c r="Q526" s="84">
        <v>700</v>
      </c>
      <c r="R526" s="32"/>
      <c r="S526" s="3" t="str">
        <f t="shared" si="193"/>
        <v>A</v>
      </c>
      <c r="T526" s="84">
        <v>71170.350000000006</v>
      </c>
      <c r="U526" s="84">
        <v>860</v>
      </c>
      <c r="V526" s="32"/>
      <c r="W526" s="3" t="str">
        <f t="shared" si="195"/>
        <v>A</v>
      </c>
      <c r="X526" s="84">
        <v>74692.509999999995</v>
      </c>
      <c r="Y526" s="84">
        <v>1115</v>
      </c>
      <c r="Z526" s="32"/>
      <c r="AA526" s="3" t="str">
        <f t="shared" si="196"/>
        <v>A</v>
      </c>
      <c r="AB526" s="84">
        <v>80786.75</v>
      </c>
      <c r="AC526" s="84">
        <v>805</v>
      </c>
      <c r="AD526" s="36"/>
      <c r="AE526" s="82"/>
      <c r="AF526" s="3" t="str">
        <f t="shared" si="197"/>
        <v>A</v>
      </c>
      <c r="AG526" s="84">
        <v>0</v>
      </c>
      <c r="AH526" s="84">
        <v>0</v>
      </c>
      <c r="AI526" s="39"/>
      <c r="AJ526" s="79" t="s">
        <v>1801</v>
      </c>
      <c r="AK526" s="39"/>
      <c r="AL526" s="4">
        <f t="shared" si="202"/>
        <v>313930.42</v>
      </c>
      <c r="AM526" s="4">
        <f t="shared" si="203"/>
        <v>3480</v>
      </c>
      <c r="AN526" s="4">
        <f t="shared" si="198"/>
        <v>317410.42</v>
      </c>
      <c r="AO526" s="39"/>
      <c r="AP526" s="8">
        <f t="shared" si="204"/>
        <v>0</v>
      </c>
      <c r="AQ526" s="8">
        <f t="shared" si="205"/>
        <v>0</v>
      </c>
      <c r="AR526" s="8">
        <f t="shared" si="199"/>
        <v>0</v>
      </c>
      <c r="AS526" s="42"/>
      <c r="AT526" s="84">
        <v>313930.42</v>
      </c>
      <c r="AU526" s="84">
        <v>3480</v>
      </c>
      <c r="AV526" s="4">
        <f t="shared" si="200"/>
        <v>317410.42</v>
      </c>
      <c r="AW526" s="50" t="str">
        <f t="shared" si="201"/>
        <v/>
      </c>
      <c r="AX526" s="1" t="s">
        <v>1639</v>
      </c>
      <c r="AY526" s="2" t="s">
        <v>1640</v>
      </c>
      <c r="AZ526" s="2">
        <v>96492</v>
      </c>
      <c r="BA526" s="73">
        <v>84430.5</v>
      </c>
      <c r="BB526" s="73">
        <v>84430.5</v>
      </c>
      <c r="BC526" s="73">
        <v>96492</v>
      </c>
      <c r="BD526" s="73"/>
      <c r="BE526" s="66">
        <v>0</v>
      </c>
      <c r="BF526" s="66">
        <v>0.02</v>
      </c>
      <c r="BG526" s="63">
        <v>45238</v>
      </c>
      <c r="BH526" s="2"/>
      <c r="BI526" s="2"/>
      <c r="BJ526" s="2">
        <v>360000</v>
      </c>
      <c r="BK526" s="2"/>
      <c r="BL526" s="1" t="s">
        <v>97</v>
      </c>
    </row>
    <row r="527" spans="1:64" x14ac:dyDescent="0.25">
      <c r="A527" s="81" t="s">
        <v>1198</v>
      </c>
      <c r="B527" s="82" t="s">
        <v>1198</v>
      </c>
      <c r="C527" s="81" t="s">
        <v>1199</v>
      </c>
      <c r="D527" s="16">
        <v>0</v>
      </c>
      <c r="E527" s="17"/>
      <c r="F527" s="2" t="s">
        <v>243</v>
      </c>
      <c r="G527" s="2" t="s">
        <v>245</v>
      </c>
      <c r="H527" s="10" t="s">
        <v>98</v>
      </c>
      <c r="I527" s="11" t="s">
        <v>244</v>
      </c>
      <c r="J527" s="11" t="s">
        <v>246</v>
      </c>
      <c r="K527" s="61" t="s">
        <v>247</v>
      </c>
      <c r="L527" s="11" t="s">
        <v>67</v>
      </c>
      <c r="M527" s="25"/>
      <c r="N527" s="82"/>
      <c r="O527" s="3" t="str">
        <f t="shared" ref="O527:O532" si="206">IF($A527="","",IF(P527=0,"A",IF(P527=AZ527,"E","A")))</f>
        <v>A</v>
      </c>
      <c r="P527" s="84">
        <v>56891</v>
      </c>
      <c r="Q527" s="84">
        <v>3867</v>
      </c>
      <c r="R527" s="32"/>
      <c r="S527" s="3" t="str">
        <f t="shared" si="193"/>
        <v>A</v>
      </c>
      <c r="T527" s="84">
        <v>56046</v>
      </c>
      <c r="U527" s="84">
        <v>4513</v>
      </c>
      <c r="V527" s="32"/>
      <c r="W527" s="3" t="str">
        <f t="shared" si="195"/>
        <v>A</v>
      </c>
      <c r="X527" s="84">
        <v>49815</v>
      </c>
      <c r="Y527" s="84">
        <v>2555</v>
      </c>
      <c r="Z527" s="32"/>
      <c r="AA527" s="3" t="str">
        <f t="shared" si="196"/>
        <v>A</v>
      </c>
      <c r="AB527" s="84">
        <v>74628</v>
      </c>
      <c r="AC527" s="84">
        <v>4768</v>
      </c>
      <c r="AD527" s="36"/>
      <c r="AE527" s="82"/>
      <c r="AF527" s="3" t="str">
        <f t="shared" si="197"/>
        <v>A</v>
      </c>
      <c r="AG527" s="84">
        <v>0</v>
      </c>
      <c r="AH527" s="84">
        <v>0</v>
      </c>
      <c r="AI527" s="39"/>
      <c r="AJ527" s="79" t="s">
        <v>1801</v>
      </c>
      <c r="AK527" s="39"/>
      <c r="AL527" s="4">
        <f t="shared" si="202"/>
        <v>237380</v>
      </c>
      <c r="AM527" s="4">
        <f t="shared" si="203"/>
        <v>15703</v>
      </c>
      <c r="AN527" s="4">
        <f t="shared" si="198"/>
        <v>253083</v>
      </c>
      <c r="AO527" s="39"/>
      <c r="AP527" s="8">
        <f t="shared" si="204"/>
        <v>0</v>
      </c>
      <c r="AQ527" s="8">
        <f t="shared" si="205"/>
        <v>0</v>
      </c>
      <c r="AR527" s="8">
        <f t="shared" si="199"/>
        <v>0</v>
      </c>
      <c r="AS527" s="42"/>
      <c r="AT527" s="84">
        <v>237380</v>
      </c>
      <c r="AU527" s="84">
        <v>15703</v>
      </c>
      <c r="AV527" s="4">
        <f t="shared" si="200"/>
        <v>253083</v>
      </c>
      <c r="AW527" s="50" t="str">
        <f t="shared" si="201"/>
        <v/>
      </c>
      <c r="AX527" s="1" t="s">
        <v>1639</v>
      </c>
      <c r="AY527" s="2" t="s">
        <v>1640</v>
      </c>
      <c r="AZ527" s="2">
        <v>132933.44</v>
      </c>
      <c r="BA527" s="73">
        <v>116316.76</v>
      </c>
      <c r="BB527" s="73">
        <v>116316.76</v>
      </c>
      <c r="BC527" s="73">
        <v>132933.44</v>
      </c>
      <c r="BD527" s="73"/>
      <c r="BE527" s="66">
        <v>0</v>
      </c>
      <c r="BF527" s="66">
        <v>0.02</v>
      </c>
      <c r="BG527" s="63">
        <v>45034</v>
      </c>
      <c r="BH527" s="2"/>
      <c r="BI527" s="2"/>
      <c r="BJ527" s="2">
        <v>479970</v>
      </c>
      <c r="BK527" s="2">
        <v>24725.93</v>
      </c>
      <c r="BL527" s="1" t="s">
        <v>97</v>
      </c>
    </row>
    <row r="528" spans="1:64" x14ac:dyDescent="0.25">
      <c r="A528" s="81" t="s">
        <v>1198</v>
      </c>
      <c r="B528" s="82" t="s">
        <v>1235</v>
      </c>
      <c r="C528" s="81" t="s">
        <v>1236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246</v>
      </c>
      <c r="K528" s="61" t="s">
        <v>247</v>
      </c>
      <c r="L528" s="11" t="s">
        <v>67</v>
      </c>
      <c r="M528" s="25"/>
      <c r="N528" s="82"/>
      <c r="O528" s="3" t="str">
        <f t="shared" si="206"/>
        <v>A</v>
      </c>
      <c r="P528" s="84">
        <v>52919</v>
      </c>
      <c r="Q528" s="84">
        <v>2345</v>
      </c>
      <c r="R528" s="32"/>
      <c r="S528" s="3" t="str">
        <f t="shared" si="193"/>
        <v>A</v>
      </c>
      <c r="T528" s="84">
        <v>40659</v>
      </c>
      <c r="U528" s="84">
        <v>4045</v>
      </c>
      <c r="V528" s="32"/>
      <c r="W528" s="3" t="str">
        <f t="shared" si="195"/>
        <v>A</v>
      </c>
      <c r="X528" s="84">
        <v>41157</v>
      </c>
      <c r="Y528" s="84">
        <v>3280</v>
      </c>
      <c r="Z528" s="32"/>
      <c r="AA528" s="3" t="str">
        <f t="shared" si="196"/>
        <v>A</v>
      </c>
      <c r="AB528" s="84">
        <v>47475</v>
      </c>
      <c r="AC528" s="84">
        <v>4645</v>
      </c>
      <c r="AD528" s="36"/>
      <c r="AE528" s="82"/>
      <c r="AF528" s="3" t="str">
        <f t="shared" si="197"/>
        <v>A</v>
      </c>
      <c r="AG528" s="84">
        <v>0</v>
      </c>
      <c r="AH528" s="84">
        <v>0</v>
      </c>
      <c r="AI528" s="39"/>
      <c r="AJ528" s="79" t="s">
        <v>1801</v>
      </c>
      <c r="AK528" s="39"/>
      <c r="AL528" s="4">
        <f t="shared" si="202"/>
        <v>182210</v>
      </c>
      <c r="AM528" s="4">
        <f t="shared" si="203"/>
        <v>14315</v>
      </c>
      <c r="AN528" s="4">
        <f t="shared" si="198"/>
        <v>196525</v>
      </c>
      <c r="AO528" s="39"/>
      <c r="AP528" s="8">
        <f t="shared" si="204"/>
        <v>0</v>
      </c>
      <c r="AQ528" s="8">
        <f t="shared" si="205"/>
        <v>0</v>
      </c>
      <c r="AR528" s="8">
        <f t="shared" si="199"/>
        <v>0</v>
      </c>
      <c r="AS528" s="42"/>
      <c r="AT528" s="84">
        <v>182210</v>
      </c>
      <c r="AU528" s="84">
        <v>14315</v>
      </c>
      <c r="AV528" s="4">
        <f t="shared" si="200"/>
        <v>196525</v>
      </c>
      <c r="AW528" s="50" t="str">
        <f t="shared" si="201"/>
        <v/>
      </c>
      <c r="AX528" s="1" t="s">
        <v>1639</v>
      </c>
      <c r="AY528" s="2" t="s">
        <v>1640</v>
      </c>
      <c r="AZ528" s="2">
        <v>93474.880000000005</v>
      </c>
      <c r="BA528" s="73">
        <v>81790.52</v>
      </c>
      <c r="BB528" s="73">
        <v>81790.52</v>
      </c>
      <c r="BC528" s="73">
        <v>93474.880000000005</v>
      </c>
      <c r="BD528" s="73"/>
      <c r="BE528" s="66">
        <v>0</v>
      </c>
      <c r="BF528" s="66">
        <v>0.02</v>
      </c>
      <c r="BG528" s="63">
        <v>45034</v>
      </c>
      <c r="BH528" s="2"/>
      <c r="BI528" s="2"/>
      <c r="BJ528" s="2">
        <v>337500</v>
      </c>
      <c r="BK528" s="2"/>
      <c r="BL528" s="1" t="s">
        <v>97</v>
      </c>
    </row>
    <row r="529" spans="1:64" x14ac:dyDescent="0.25">
      <c r="A529" s="81" t="s">
        <v>1198</v>
      </c>
      <c r="B529" s="82" t="s">
        <v>1243</v>
      </c>
      <c r="C529" s="81" t="s">
        <v>1244</v>
      </c>
      <c r="D529" s="16">
        <v>0</v>
      </c>
      <c r="E529" s="17"/>
      <c r="F529" s="2" t="s">
        <v>243</v>
      </c>
      <c r="G529" s="2" t="s">
        <v>245</v>
      </c>
      <c r="H529" s="10" t="s">
        <v>98</v>
      </c>
      <c r="I529" s="11" t="s">
        <v>244</v>
      </c>
      <c r="J529" s="11" t="s">
        <v>246</v>
      </c>
      <c r="K529" s="61" t="s">
        <v>247</v>
      </c>
      <c r="L529" s="11" t="s">
        <v>67</v>
      </c>
      <c r="M529" s="25"/>
      <c r="N529" s="82"/>
      <c r="O529" s="3" t="str">
        <f t="shared" si="206"/>
        <v>A</v>
      </c>
      <c r="P529" s="84">
        <v>43857</v>
      </c>
      <c r="Q529" s="84">
        <v>2492</v>
      </c>
      <c r="R529" s="32"/>
      <c r="S529" s="3" t="str">
        <f t="shared" si="193"/>
        <v>A</v>
      </c>
      <c r="T529" s="84">
        <v>38312</v>
      </c>
      <c r="U529" s="84">
        <v>3402</v>
      </c>
      <c r="V529" s="32"/>
      <c r="W529" s="3" t="str">
        <f t="shared" si="195"/>
        <v>A</v>
      </c>
      <c r="X529" s="84">
        <v>37997</v>
      </c>
      <c r="Y529" s="84">
        <v>2799</v>
      </c>
      <c r="Z529" s="32"/>
      <c r="AA529" s="3" t="str">
        <f t="shared" si="196"/>
        <v>A</v>
      </c>
      <c r="AB529" s="84">
        <v>43371</v>
      </c>
      <c r="AC529" s="84">
        <v>4038</v>
      </c>
      <c r="AD529" s="36"/>
      <c r="AE529" s="82"/>
      <c r="AF529" s="3" t="str">
        <f t="shared" si="197"/>
        <v>A</v>
      </c>
      <c r="AG529" s="84">
        <v>0</v>
      </c>
      <c r="AH529" s="84">
        <v>0</v>
      </c>
      <c r="AI529" s="39"/>
      <c r="AJ529" s="79" t="s">
        <v>1801</v>
      </c>
      <c r="AK529" s="39"/>
      <c r="AL529" s="4">
        <f t="shared" si="202"/>
        <v>163537</v>
      </c>
      <c r="AM529" s="4">
        <f t="shared" si="203"/>
        <v>12731</v>
      </c>
      <c r="AN529" s="4">
        <f t="shared" si="198"/>
        <v>176268</v>
      </c>
      <c r="AO529" s="39"/>
      <c r="AP529" s="8">
        <f t="shared" si="204"/>
        <v>0</v>
      </c>
      <c r="AQ529" s="8">
        <f t="shared" si="205"/>
        <v>0</v>
      </c>
      <c r="AR529" s="8">
        <f t="shared" si="199"/>
        <v>0</v>
      </c>
      <c r="AS529" s="42"/>
      <c r="AT529" s="84">
        <v>163537</v>
      </c>
      <c r="AU529" s="84">
        <v>12731</v>
      </c>
      <c r="AV529" s="4">
        <f t="shared" si="200"/>
        <v>176268</v>
      </c>
      <c r="AW529" s="50" t="str">
        <f t="shared" si="201"/>
        <v/>
      </c>
      <c r="AX529" s="1" t="s">
        <v>1639</v>
      </c>
      <c r="AY529" s="2" t="s">
        <v>1640</v>
      </c>
      <c r="AZ529" s="2">
        <v>62316.639999999999</v>
      </c>
      <c r="BA529" s="73">
        <v>54527.06</v>
      </c>
      <c r="BB529" s="73">
        <v>54527.06</v>
      </c>
      <c r="BC529" s="73">
        <v>62316.639999999999</v>
      </c>
      <c r="BD529" s="73"/>
      <c r="BE529" s="66">
        <v>0</v>
      </c>
      <c r="BF529" s="66">
        <v>0.02</v>
      </c>
      <c r="BG529" s="63">
        <v>45035</v>
      </c>
      <c r="BH529" s="2"/>
      <c r="BI529" s="2"/>
      <c r="BJ529" s="2">
        <v>225000</v>
      </c>
      <c r="BK529" s="2"/>
      <c r="BL529" s="1" t="s">
        <v>97</v>
      </c>
    </row>
    <row r="530" spans="1:64" x14ac:dyDescent="0.25">
      <c r="A530" s="81" t="s">
        <v>1200</v>
      </c>
      <c r="B530" s="82" t="s">
        <v>1200</v>
      </c>
      <c r="C530" s="81" t="s">
        <v>1201</v>
      </c>
      <c r="D530" s="16">
        <v>45077</v>
      </c>
      <c r="E530" s="17"/>
      <c r="F530" s="2" t="s">
        <v>243</v>
      </c>
      <c r="G530" s="2" t="s">
        <v>245</v>
      </c>
      <c r="H530" s="10" t="s">
        <v>105</v>
      </c>
      <c r="I530" s="11" t="s">
        <v>244</v>
      </c>
      <c r="J530" s="11" t="s">
        <v>1202</v>
      </c>
      <c r="K530" s="61" t="s">
        <v>335</v>
      </c>
      <c r="L530" s="11" t="s">
        <v>67</v>
      </c>
      <c r="M530" s="25"/>
      <c r="N530" s="82"/>
      <c r="O530" s="3" t="str">
        <f t="shared" si="206"/>
        <v>A</v>
      </c>
      <c r="P530" s="84">
        <v>97240.8</v>
      </c>
      <c r="Q530" s="84">
        <v>29171</v>
      </c>
      <c r="R530" s="32"/>
      <c r="S530" s="3" t="str">
        <f t="shared" si="193"/>
        <v>A</v>
      </c>
      <c r="T530" s="84">
        <v>69756.800000000003</v>
      </c>
      <c r="U530" s="84">
        <v>20895</v>
      </c>
      <c r="V530" s="32"/>
      <c r="W530" s="3" t="str">
        <f t="shared" si="195"/>
        <v>A</v>
      </c>
      <c r="X530" s="84">
        <v>88327.6</v>
      </c>
      <c r="Y530" s="84">
        <v>20462</v>
      </c>
      <c r="Z530" s="32"/>
      <c r="AA530" s="3" t="str">
        <f t="shared" si="196"/>
        <v>A</v>
      </c>
      <c r="AB530" s="84">
        <v>94705.06</v>
      </c>
      <c r="AC530" s="84">
        <v>26542</v>
      </c>
      <c r="AD530" s="36"/>
      <c r="AE530" s="82"/>
      <c r="AF530" s="3" t="str">
        <f t="shared" si="197"/>
        <v>A</v>
      </c>
      <c r="AG530" s="84">
        <v>0</v>
      </c>
      <c r="AH530" s="84">
        <v>0</v>
      </c>
      <c r="AI530" s="39"/>
      <c r="AJ530" s="79" t="s">
        <v>1801</v>
      </c>
      <c r="AK530" s="39"/>
      <c r="AL530" s="4">
        <f t="shared" si="202"/>
        <v>350030.26</v>
      </c>
      <c r="AM530" s="4">
        <f t="shared" si="203"/>
        <v>97070</v>
      </c>
      <c r="AN530" s="4">
        <f t="shared" si="198"/>
        <v>447100.26</v>
      </c>
      <c r="AO530" s="39"/>
      <c r="AP530" s="8">
        <f t="shared" si="204"/>
        <v>0</v>
      </c>
      <c r="AQ530" s="8">
        <f t="shared" si="205"/>
        <v>0</v>
      </c>
      <c r="AR530" s="8">
        <f t="shared" si="199"/>
        <v>0</v>
      </c>
      <c r="AS530" s="42"/>
      <c r="AT530" s="84">
        <v>350030.26</v>
      </c>
      <c r="AU530" s="84">
        <v>97070</v>
      </c>
      <c r="AV530" s="4">
        <f t="shared" si="200"/>
        <v>447100.26</v>
      </c>
      <c r="AW530" s="50" t="str">
        <f t="shared" si="201"/>
        <v/>
      </c>
      <c r="AX530" s="1" t="s">
        <v>1639</v>
      </c>
      <c r="AY530" s="2" t="s">
        <v>1640</v>
      </c>
      <c r="AZ530" s="2">
        <v>182392.4</v>
      </c>
      <c r="BA530" s="73">
        <v>159593.35</v>
      </c>
      <c r="BB530" s="73">
        <v>159593.35</v>
      </c>
      <c r="BC530" s="73">
        <v>182392.4</v>
      </c>
      <c r="BD530" s="73"/>
      <c r="BE530" s="66">
        <v>0</v>
      </c>
      <c r="BF530" s="66">
        <v>0.02</v>
      </c>
      <c r="BG530" s="63">
        <v>45066</v>
      </c>
      <c r="BH530" s="2"/>
      <c r="BI530" s="2"/>
      <c r="BJ530" s="2">
        <v>670086</v>
      </c>
      <c r="BK530" s="2">
        <v>74454</v>
      </c>
      <c r="BL530" s="1" t="s">
        <v>219</v>
      </c>
    </row>
    <row r="531" spans="1:64" x14ac:dyDescent="0.25">
      <c r="A531" s="81" t="s">
        <v>1205</v>
      </c>
      <c r="B531" s="82" t="s">
        <v>1205</v>
      </c>
      <c r="C531" s="81" t="s">
        <v>1206</v>
      </c>
      <c r="D531" s="16">
        <v>0</v>
      </c>
      <c r="E531" s="17"/>
      <c r="F531" s="2" t="s">
        <v>243</v>
      </c>
      <c r="G531" s="2" t="s">
        <v>245</v>
      </c>
      <c r="H531" s="10" t="s">
        <v>98</v>
      </c>
      <c r="I531" s="11" t="s">
        <v>244</v>
      </c>
      <c r="J531" s="11" t="s">
        <v>278</v>
      </c>
      <c r="K531" s="61" t="s">
        <v>279</v>
      </c>
      <c r="L531" s="11" t="s">
        <v>67</v>
      </c>
      <c r="M531" s="25"/>
      <c r="N531" s="82"/>
      <c r="O531" s="3" t="str">
        <f t="shared" si="206"/>
        <v>A</v>
      </c>
      <c r="P531" s="84">
        <v>167490.15</v>
      </c>
      <c r="Q531" s="84">
        <v>3302</v>
      </c>
      <c r="R531" s="32"/>
      <c r="S531" s="3" t="str">
        <f t="shared" si="193"/>
        <v>A</v>
      </c>
      <c r="T531" s="84">
        <v>133211.76</v>
      </c>
      <c r="U531" s="84">
        <v>3648</v>
      </c>
      <c r="V531" s="32"/>
      <c r="W531" s="3" t="str">
        <f t="shared" si="195"/>
        <v>A</v>
      </c>
      <c r="X531" s="84">
        <v>132249.22</v>
      </c>
      <c r="Y531" s="84">
        <v>5042</v>
      </c>
      <c r="Z531" s="32"/>
      <c r="AA531" s="3" t="str">
        <f t="shared" si="196"/>
        <v>A</v>
      </c>
      <c r="AB531" s="84">
        <v>173797.53</v>
      </c>
      <c r="AC531" s="84">
        <v>4452.8</v>
      </c>
      <c r="AD531" s="36"/>
      <c r="AE531" s="82"/>
      <c r="AF531" s="3" t="str">
        <f t="shared" si="197"/>
        <v>A</v>
      </c>
      <c r="AG531" s="84">
        <v>0</v>
      </c>
      <c r="AH531" s="84">
        <v>0</v>
      </c>
      <c r="AI531" s="39"/>
      <c r="AJ531" s="79" t="s">
        <v>1801</v>
      </c>
      <c r="AK531" s="39"/>
      <c r="AL531" s="4">
        <f t="shared" si="202"/>
        <v>606748.66</v>
      </c>
      <c r="AM531" s="4">
        <f t="shared" si="203"/>
        <v>16444.8</v>
      </c>
      <c r="AN531" s="4">
        <f t="shared" si="198"/>
        <v>623193.46000000008</v>
      </c>
      <c r="AO531" s="39"/>
      <c r="AP531" s="8">
        <f t="shared" si="204"/>
        <v>0</v>
      </c>
      <c r="AQ531" s="8">
        <f t="shared" si="205"/>
        <v>0</v>
      </c>
      <c r="AR531" s="8">
        <f t="shared" si="199"/>
        <v>0</v>
      </c>
      <c r="AS531" s="42"/>
      <c r="AT531" s="84">
        <v>606748.65999999992</v>
      </c>
      <c r="AU531" s="84">
        <v>16444.8</v>
      </c>
      <c r="AV531" s="4">
        <f t="shared" si="200"/>
        <v>623193.46</v>
      </c>
      <c r="AW531" s="50" t="str">
        <f t="shared" si="201"/>
        <v/>
      </c>
      <c r="AX531" s="1" t="s">
        <v>1639</v>
      </c>
      <c r="AY531" s="2" t="s">
        <v>1640</v>
      </c>
      <c r="AZ531" s="2">
        <v>217556.88</v>
      </c>
      <c r="BA531" s="73">
        <v>190362.27</v>
      </c>
      <c r="BB531" s="73">
        <v>190362.27</v>
      </c>
      <c r="BC531" s="73">
        <v>217556.88</v>
      </c>
      <c r="BD531" s="73"/>
      <c r="BE531" s="66">
        <v>0</v>
      </c>
      <c r="BF531" s="66">
        <v>0.02</v>
      </c>
      <c r="BG531" s="63">
        <v>45056</v>
      </c>
      <c r="BH531" s="2"/>
      <c r="BI531" s="2"/>
      <c r="BJ531" s="2">
        <v>799275</v>
      </c>
      <c r="BK531" s="2">
        <v>41961.94</v>
      </c>
      <c r="BL531" s="1" t="s">
        <v>97</v>
      </c>
    </row>
    <row r="532" spans="1:64" x14ac:dyDescent="0.25">
      <c r="A532" s="81" t="s">
        <v>1209</v>
      </c>
      <c r="B532" s="82" t="s">
        <v>1209</v>
      </c>
      <c r="C532" s="81" t="s">
        <v>1210</v>
      </c>
      <c r="D532" s="16">
        <v>45167</v>
      </c>
      <c r="E532" s="17"/>
      <c r="F532" s="2" t="s">
        <v>243</v>
      </c>
      <c r="G532" s="2" t="s">
        <v>245</v>
      </c>
      <c r="H532" s="10" t="s">
        <v>57</v>
      </c>
      <c r="I532" s="11" t="s">
        <v>244</v>
      </c>
      <c r="J532" s="11" t="s">
        <v>486</v>
      </c>
      <c r="K532" s="61" t="s">
        <v>487</v>
      </c>
      <c r="L532" s="11" t="s">
        <v>67</v>
      </c>
      <c r="M532" s="25"/>
      <c r="N532" s="82"/>
      <c r="O532" s="3" t="str">
        <f t="shared" si="206"/>
        <v>A</v>
      </c>
      <c r="P532" s="84">
        <v>35019</v>
      </c>
      <c r="Q532" s="84">
        <v>4638</v>
      </c>
      <c r="R532" s="32"/>
      <c r="S532" s="3" t="str">
        <f t="shared" si="193"/>
        <v>A</v>
      </c>
      <c r="T532" s="84">
        <v>32075</v>
      </c>
      <c r="U532" s="84">
        <v>4243</v>
      </c>
      <c r="V532" s="32"/>
      <c r="W532" s="3" t="str">
        <f t="shared" si="195"/>
        <v>A</v>
      </c>
      <c r="X532" s="84">
        <v>31586</v>
      </c>
      <c r="Y532" s="84">
        <v>4620</v>
      </c>
      <c r="Z532" s="32"/>
      <c r="AA532" s="3" t="str">
        <f t="shared" si="196"/>
        <v>A</v>
      </c>
      <c r="AB532" s="84">
        <v>35365</v>
      </c>
      <c r="AC532" s="84">
        <v>4534</v>
      </c>
      <c r="AD532" s="36"/>
      <c r="AE532" s="82"/>
      <c r="AF532" s="3" t="str">
        <f t="shared" si="197"/>
        <v>A</v>
      </c>
      <c r="AG532" s="84">
        <v>0</v>
      </c>
      <c r="AH532" s="84">
        <v>0</v>
      </c>
      <c r="AI532" s="39"/>
      <c r="AJ532" s="79" t="s">
        <v>1801</v>
      </c>
      <c r="AK532" s="39"/>
      <c r="AL532" s="4">
        <f t="shared" si="202"/>
        <v>134045</v>
      </c>
      <c r="AM532" s="4">
        <f t="shared" si="203"/>
        <v>18035</v>
      </c>
      <c r="AN532" s="4">
        <f t="shared" si="198"/>
        <v>152080</v>
      </c>
      <c r="AO532" s="39"/>
      <c r="AP532" s="8">
        <f t="shared" si="204"/>
        <v>0</v>
      </c>
      <c r="AQ532" s="8">
        <f t="shared" si="205"/>
        <v>0</v>
      </c>
      <c r="AR532" s="8">
        <f t="shared" si="199"/>
        <v>0</v>
      </c>
      <c r="AS532" s="42"/>
      <c r="AT532" s="84">
        <v>134045</v>
      </c>
      <c r="AU532" s="84">
        <v>18035</v>
      </c>
      <c r="AV532" s="4">
        <f t="shared" si="200"/>
        <v>152080</v>
      </c>
      <c r="AW532" s="50" t="str">
        <f t="shared" si="201"/>
        <v/>
      </c>
      <c r="AX532" s="1" t="s">
        <v>1639</v>
      </c>
      <c r="AY532" s="2" t="s">
        <v>1640</v>
      </c>
      <c r="AZ532" s="2">
        <v>165428.79999999999</v>
      </c>
      <c r="BA532" s="73">
        <v>144750.20000000001</v>
      </c>
      <c r="BB532" s="73">
        <v>144750.20000000001</v>
      </c>
      <c r="BC532" s="73">
        <v>165428.79999999999</v>
      </c>
      <c r="BD532" s="73"/>
      <c r="BE532" s="66">
        <v>0</v>
      </c>
      <c r="BF532" s="66">
        <v>0.02</v>
      </c>
      <c r="BG532" s="63">
        <v>45161</v>
      </c>
      <c r="BH532" s="2"/>
      <c r="BI532" s="2"/>
      <c r="BJ532" s="2">
        <v>593103.42000000004</v>
      </c>
      <c r="BK532" s="2">
        <v>58658.58</v>
      </c>
      <c r="BL532" s="1" t="s">
        <v>56</v>
      </c>
    </row>
    <row r="533" spans="1:64" x14ac:dyDescent="0.25">
      <c r="A533" s="81" t="s">
        <v>1209</v>
      </c>
      <c r="B533" s="82" t="s">
        <v>1505</v>
      </c>
      <c r="C533" s="81" t="s">
        <v>1506</v>
      </c>
      <c r="D533" s="16">
        <v>0</v>
      </c>
      <c r="E533" s="17"/>
      <c r="F533" s="2" t="s">
        <v>243</v>
      </c>
      <c r="G533" s="2" t="s">
        <v>245</v>
      </c>
      <c r="H533" s="10" t="s">
        <v>57</v>
      </c>
      <c r="I533" s="11" t="s">
        <v>244</v>
      </c>
      <c r="J533" s="11" t="s">
        <v>486</v>
      </c>
      <c r="K533" s="61" t="s">
        <v>487</v>
      </c>
      <c r="L533" s="11" t="s">
        <v>67</v>
      </c>
      <c r="M533" s="25"/>
      <c r="N533" s="82"/>
      <c r="O533" s="3" t="str">
        <f>IF($A533="","",IF(P533=AZ533,"E","A"))</f>
        <v>A</v>
      </c>
      <c r="P533" s="84">
        <v>27666</v>
      </c>
      <c r="Q533" s="84">
        <v>16630</v>
      </c>
      <c r="R533" s="32"/>
      <c r="S533" s="3" t="str">
        <f>IF($A533="","",IF(T533=BA533,"E","A"))</f>
        <v>A</v>
      </c>
      <c r="T533" s="84">
        <v>25161</v>
      </c>
      <c r="U533" s="84">
        <v>15317</v>
      </c>
      <c r="V533" s="32"/>
      <c r="W533" s="3" t="str">
        <f t="shared" si="195"/>
        <v>A</v>
      </c>
      <c r="X533" s="84">
        <v>25714</v>
      </c>
      <c r="Y533" s="84">
        <v>17694</v>
      </c>
      <c r="Z533" s="32"/>
      <c r="AA533" s="3" t="str">
        <f t="shared" si="196"/>
        <v>A</v>
      </c>
      <c r="AB533" s="84">
        <v>26110</v>
      </c>
      <c r="AC533" s="84">
        <v>17756</v>
      </c>
      <c r="AD533" s="36"/>
      <c r="AE533" s="82"/>
      <c r="AF533" s="3" t="str">
        <f t="shared" si="197"/>
        <v>A</v>
      </c>
      <c r="AG533" s="84">
        <v>0</v>
      </c>
      <c r="AH533" s="84">
        <v>0</v>
      </c>
      <c r="AI533" s="39"/>
      <c r="AJ533" s="79" t="s">
        <v>1801</v>
      </c>
      <c r="AK533" s="39"/>
      <c r="AL533" s="4">
        <f t="shared" si="202"/>
        <v>104651</v>
      </c>
      <c r="AM533" s="4">
        <f t="shared" si="203"/>
        <v>67397</v>
      </c>
      <c r="AN533" s="4">
        <f t="shared" si="198"/>
        <v>172048</v>
      </c>
      <c r="AO533" s="39"/>
      <c r="AP533" s="8">
        <f t="shared" si="204"/>
        <v>0</v>
      </c>
      <c r="AQ533" s="8">
        <f t="shared" si="205"/>
        <v>0</v>
      </c>
      <c r="AR533" s="8">
        <f t="shared" si="199"/>
        <v>0</v>
      </c>
      <c r="AS533" s="42"/>
      <c r="AT533" s="84">
        <v>104651</v>
      </c>
      <c r="AU533" s="84">
        <v>67397</v>
      </c>
      <c r="AV533" s="4">
        <f t="shared" si="200"/>
        <v>172048</v>
      </c>
      <c r="AW533" s="50" t="str">
        <f t="shared" si="201"/>
        <v/>
      </c>
      <c r="AX533" s="1" t="s">
        <v>1639</v>
      </c>
      <c r="AY533" s="2" t="s">
        <v>1640</v>
      </c>
      <c r="AZ533" s="2">
        <v>56087.76</v>
      </c>
      <c r="BA533" s="73">
        <v>49076.79</v>
      </c>
      <c r="BB533" s="73">
        <v>49076.79</v>
      </c>
      <c r="BC533" s="73">
        <v>56087.76</v>
      </c>
      <c r="BD533" s="73"/>
      <c r="BE533" s="66">
        <v>0</v>
      </c>
      <c r="BF533" s="66">
        <v>0.02</v>
      </c>
      <c r="BG533" s="63">
        <v>45474</v>
      </c>
      <c r="BH533" s="2"/>
      <c r="BI533" s="2"/>
      <c r="BJ533" s="2">
        <v>204048</v>
      </c>
      <c r="BK533" s="2">
        <v>10712.52</v>
      </c>
      <c r="BL533" s="1" t="s">
        <v>56</v>
      </c>
    </row>
    <row r="534" spans="1:64" x14ac:dyDescent="0.25">
      <c r="A534" s="81" t="s">
        <v>800</v>
      </c>
      <c r="B534" s="82" t="s">
        <v>801</v>
      </c>
      <c r="C534" s="81" t="s">
        <v>802</v>
      </c>
      <c r="D534" s="16">
        <v>43391</v>
      </c>
      <c r="E534" s="17"/>
      <c r="F534" s="2" t="s">
        <v>803</v>
      </c>
      <c r="G534" s="2" t="s">
        <v>804</v>
      </c>
      <c r="H534" s="10" t="s">
        <v>105</v>
      </c>
      <c r="I534" s="11" t="s">
        <v>53</v>
      </c>
      <c r="J534" s="11" t="s">
        <v>106</v>
      </c>
      <c r="K534" s="61"/>
      <c r="L534" s="11" t="s">
        <v>67</v>
      </c>
      <c r="M534" s="25"/>
      <c r="N534" s="82"/>
      <c r="O534" s="3" t="str">
        <f>IF($A534="","",IF(P534=0,"A",IF(P534=AZ534,"E","A")))</f>
        <v>A</v>
      </c>
      <c r="P534" s="84">
        <v>44022</v>
      </c>
      <c r="Q534" s="84">
        <v>6873</v>
      </c>
      <c r="R534" s="32"/>
      <c r="S534" s="3" t="str">
        <f>IF($A534="","",IF(T534=0,"A",IF(T534=BA534,"E","A")))</f>
        <v>A</v>
      </c>
      <c r="T534" s="84">
        <v>34277</v>
      </c>
      <c r="U534" s="84">
        <v>4389</v>
      </c>
      <c r="V534" s="32"/>
      <c r="W534" s="3" t="str">
        <f t="shared" si="195"/>
        <v>A</v>
      </c>
      <c r="X534" s="84">
        <v>36717</v>
      </c>
      <c r="Y534" s="84">
        <v>6773</v>
      </c>
      <c r="Z534" s="32"/>
      <c r="AA534" s="3" t="str">
        <f t="shared" si="196"/>
        <v>A</v>
      </c>
      <c r="AB534" s="84">
        <v>39844</v>
      </c>
      <c r="AC534" s="84">
        <v>4929</v>
      </c>
      <c r="AD534" s="36"/>
      <c r="AE534" s="82"/>
      <c r="AF534" s="3" t="str">
        <f t="shared" si="197"/>
        <v>A</v>
      </c>
      <c r="AG534" s="84">
        <v>0</v>
      </c>
      <c r="AH534" s="84">
        <v>0</v>
      </c>
      <c r="AI534" s="39"/>
      <c r="AJ534" s="79" t="s">
        <v>1801</v>
      </c>
      <c r="AK534" s="39"/>
      <c r="AL534" s="4">
        <f t="shared" si="202"/>
        <v>154860</v>
      </c>
      <c r="AM534" s="4">
        <f t="shared" si="203"/>
        <v>22964</v>
      </c>
      <c r="AN534" s="4">
        <f t="shared" si="198"/>
        <v>177824</v>
      </c>
      <c r="AO534" s="39"/>
      <c r="AP534" s="8">
        <f t="shared" si="204"/>
        <v>0</v>
      </c>
      <c r="AQ534" s="8">
        <f t="shared" si="205"/>
        <v>0</v>
      </c>
      <c r="AR534" s="8">
        <f t="shared" si="199"/>
        <v>0</v>
      </c>
      <c r="AS534" s="42"/>
      <c r="AT534" s="84">
        <v>154860</v>
      </c>
      <c r="AU534" s="84">
        <v>22964</v>
      </c>
      <c r="AV534" s="4">
        <f t="shared" si="200"/>
        <v>177824</v>
      </c>
      <c r="AW534" s="50" t="str">
        <f t="shared" si="201"/>
        <v/>
      </c>
      <c r="AX534" s="1" t="s">
        <v>1730</v>
      </c>
      <c r="AY534" s="2" t="s">
        <v>1731</v>
      </c>
      <c r="AZ534" s="2">
        <v>102240.72</v>
      </c>
      <c r="BA534" s="73">
        <v>89460.63</v>
      </c>
      <c r="BB534" s="73">
        <v>89460.63</v>
      </c>
      <c r="BC534" s="73">
        <v>102240.72</v>
      </c>
      <c r="BD534" s="73"/>
      <c r="BE534" s="66">
        <v>4.4999999999999998E-2</v>
      </c>
      <c r="BF534" s="66">
        <v>0.05</v>
      </c>
      <c r="BG534" s="63">
        <v>44441</v>
      </c>
      <c r="BH534" s="74">
        <v>44896</v>
      </c>
      <c r="BI534" s="74">
        <v>44956</v>
      </c>
      <c r="BJ534" s="2"/>
      <c r="BK534" s="2"/>
      <c r="BL534" s="1" t="s">
        <v>104</v>
      </c>
    </row>
    <row r="535" spans="1:64" x14ac:dyDescent="0.25">
      <c r="A535" s="81" t="s">
        <v>800</v>
      </c>
      <c r="B535" s="82" t="s">
        <v>800</v>
      </c>
      <c r="C535" s="81" t="s">
        <v>1211</v>
      </c>
      <c r="D535" s="16">
        <v>42934</v>
      </c>
      <c r="E535" s="17"/>
      <c r="F535" s="2" t="s">
        <v>803</v>
      </c>
      <c r="G535" s="2" t="s">
        <v>804</v>
      </c>
      <c r="H535" s="10" t="s">
        <v>105</v>
      </c>
      <c r="I535" s="11" t="s">
        <v>53</v>
      </c>
      <c r="J535" s="11" t="s">
        <v>106</v>
      </c>
      <c r="K535" s="61"/>
      <c r="L535" s="11" t="s">
        <v>67</v>
      </c>
      <c r="M535" s="25"/>
      <c r="N535" s="82"/>
      <c r="O535" s="3" t="str">
        <f>IF($A535="","",IF(P535=0,"A",IF(P535=AZ535,"E","A")))</f>
        <v>A</v>
      </c>
      <c r="P535" s="84">
        <v>131824</v>
      </c>
      <c r="Q535" s="84">
        <v>30997</v>
      </c>
      <c r="R535" s="32"/>
      <c r="S535" s="3" t="str">
        <f>IF($A535="","",IF(T535=0,"A",IF(T535=BA535,"E","A")))</f>
        <v>A</v>
      </c>
      <c r="T535" s="84">
        <v>121189</v>
      </c>
      <c r="U535" s="84">
        <v>33325</v>
      </c>
      <c r="V535" s="32"/>
      <c r="W535" s="3" t="str">
        <f t="shared" si="195"/>
        <v>A</v>
      </c>
      <c r="X535" s="84">
        <v>125879</v>
      </c>
      <c r="Y535" s="84">
        <v>31579</v>
      </c>
      <c r="Z535" s="32"/>
      <c r="AA535" s="3" t="str">
        <f t="shared" si="196"/>
        <v>A</v>
      </c>
      <c r="AB535" s="84">
        <v>105285</v>
      </c>
      <c r="AC535" s="84">
        <v>24606</v>
      </c>
      <c r="AD535" s="36"/>
      <c r="AE535" s="82"/>
      <c r="AF535" s="3" t="str">
        <f t="shared" si="197"/>
        <v>A</v>
      </c>
      <c r="AG535" s="84">
        <v>0</v>
      </c>
      <c r="AH535" s="84">
        <v>0</v>
      </c>
      <c r="AI535" s="39"/>
      <c r="AJ535" s="79" t="s">
        <v>1801</v>
      </c>
      <c r="AK535" s="39"/>
      <c r="AL535" s="4">
        <f t="shared" si="202"/>
        <v>484177</v>
      </c>
      <c r="AM535" s="4">
        <f t="shared" si="203"/>
        <v>120507</v>
      </c>
      <c r="AN535" s="4">
        <f t="shared" si="198"/>
        <v>604684</v>
      </c>
      <c r="AO535" s="39"/>
      <c r="AP535" s="8">
        <f t="shared" si="204"/>
        <v>0</v>
      </c>
      <c r="AQ535" s="8">
        <f t="shared" si="205"/>
        <v>0</v>
      </c>
      <c r="AR535" s="8">
        <f t="shared" si="199"/>
        <v>0</v>
      </c>
      <c r="AS535" s="42"/>
      <c r="AT535" s="84">
        <v>484177</v>
      </c>
      <c r="AU535" s="84">
        <v>120507</v>
      </c>
      <c r="AV535" s="4">
        <f t="shared" si="200"/>
        <v>604684</v>
      </c>
      <c r="AW535" s="50" t="str">
        <f t="shared" si="201"/>
        <v/>
      </c>
      <c r="AX535" s="1" t="s">
        <v>1730</v>
      </c>
      <c r="AY535" s="2" t="s">
        <v>1731</v>
      </c>
      <c r="AZ535" s="2">
        <v>127981.75999999999</v>
      </c>
      <c r="BA535" s="73">
        <v>111984.04</v>
      </c>
      <c r="BB535" s="73">
        <v>111984.04</v>
      </c>
      <c r="BC535" s="73">
        <v>127981.75999999999</v>
      </c>
      <c r="BD535" s="73"/>
      <c r="BE535" s="66">
        <v>0.04</v>
      </c>
      <c r="BF535" s="66">
        <v>0.05</v>
      </c>
      <c r="BG535" s="63">
        <v>44441</v>
      </c>
      <c r="BH535" s="2"/>
      <c r="BI535" s="2"/>
      <c r="BJ535" s="2">
        <v>458460</v>
      </c>
      <c r="BK535" s="2">
        <v>50940</v>
      </c>
      <c r="BL535" s="1" t="s">
        <v>104</v>
      </c>
    </row>
    <row r="536" spans="1:64" x14ac:dyDescent="0.25">
      <c r="A536" s="81" t="s">
        <v>1212</v>
      </c>
      <c r="B536" s="82" t="s">
        <v>1212</v>
      </c>
      <c r="C536" s="81" t="s">
        <v>1213</v>
      </c>
      <c r="D536" s="16">
        <v>41321</v>
      </c>
      <c r="E536" s="17"/>
      <c r="F536" s="2" t="s">
        <v>1214</v>
      </c>
      <c r="G536" s="2" t="s">
        <v>1215</v>
      </c>
      <c r="H536" s="10" t="s">
        <v>98</v>
      </c>
      <c r="I536" s="11" t="s">
        <v>53</v>
      </c>
      <c r="J536" s="11" t="s">
        <v>830</v>
      </c>
      <c r="K536" s="61"/>
      <c r="L536" s="11" t="s">
        <v>67</v>
      </c>
      <c r="M536" s="25"/>
      <c r="N536" s="82"/>
      <c r="O536" s="3" t="str">
        <f>IF($A536="","",IF(P536=0,"A",IF(P536=AZ536,"E","A")))</f>
        <v>A</v>
      </c>
      <c r="P536" s="84">
        <v>25494</v>
      </c>
      <c r="Q536" s="84">
        <v>7770</v>
      </c>
      <c r="R536" s="32"/>
      <c r="S536" s="3" t="str">
        <f>IF($A536="","",IF(T536=0,"A",IF(T536=BA536,"E","A")))</f>
        <v>A</v>
      </c>
      <c r="T536" s="84">
        <v>0</v>
      </c>
      <c r="U536" s="84">
        <v>0</v>
      </c>
      <c r="V536" s="32"/>
      <c r="W536" s="3" t="str">
        <f t="shared" si="195"/>
        <v>A</v>
      </c>
      <c r="X536" s="84">
        <v>24363</v>
      </c>
      <c r="Y536" s="84">
        <v>6595</v>
      </c>
      <c r="Z536" s="32"/>
      <c r="AA536" s="3" t="str">
        <f t="shared" si="196"/>
        <v>A</v>
      </c>
      <c r="AB536" s="84">
        <v>28562</v>
      </c>
      <c r="AC536" s="84">
        <v>5840</v>
      </c>
      <c r="AD536" s="36"/>
      <c r="AE536" s="82"/>
      <c r="AF536" s="3" t="str">
        <f t="shared" si="197"/>
        <v>A</v>
      </c>
      <c r="AG536" s="84">
        <v>0</v>
      </c>
      <c r="AH536" s="84">
        <v>0</v>
      </c>
      <c r="AI536" s="39"/>
      <c r="AJ536" s="79" t="s">
        <v>1801</v>
      </c>
      <c r="AK536" s="39"/>
      <c r="AL536" s="4">
        <f t="shared" si="202"/>
        <v>78419</v>
      </c>
      <c r="AM536" s="4">
        <f t="shared" si="203"/>
        <v>20205</v>
      </c>
      <c r="AN536" s="4">
        <f t="shared" si="198"/>
        <v>98624</v>
      </c>
      <c r="AO536" s="39"/>
      <c r="AP536" s="8">
        <f t="shared" si="204"/>
        <v>0</v>
      </c>
      <c r="AQ536" s="8">
        <f t="shared" si="205"/>
        <v>0</v>
      </c>
      <c r="AR536" s="8">
        <f t="shared" si="199"/>
        <v>0</v>
      </c>
      <c r="AS536" s="42"/>
      <c r="AT536" s="84">
        <v>78419</v>
      </c>
      <c r="AU536" s="84">
        <v>20205</v>
      </c>
      <c r="AV536" s="4">
        <f t="shared" si="200"/>
        <v>98624</v>
      </c>
      <c r="AW536" s="50" t="str">
        <f t="shared" si="201"/>
        <v/>
      </c>
      <c r="AX536" s="1" t="s">
        <v>1766</v>
      </c>
      <c r="AY536" s="2" t="s">
        <v>1767</v>
      </c>
      <c r="AZ536" s="2">
        <v>83494.16</v>
      </c>
      <c r="BA536" s="73"/>
      <c r="BB536" s="73">
        <v>73057.39</v>
      </c>
      <c r="BC536" s="73">
        <v>83494.16</v>
      </c>
      <c r="BD536" s="73"/>
      <c r="BE536" s="66">
        <v>4.4999999999999998E-2</v>
      </c>
      <c r="BF536" s="66">
        <v>0.05</v>
      </c>
      <c r="BG536" s="63">
        <v>44956</v>
      </c>
      <c r="BH536" s="74">
        <v>45817</v>
      </c>
      <c r="BI536" s="74">
        <v>45824</v>
      </c>
      <c r="BJ536" s="2">
        <v>300672</v>
      </c>
      <c r="BK536" s="2">
        <v>15033.6</v>
      </c>
      <c r="BL536" s="1" t="s">
        <v>97</v>
      </c>
    </row>
    <row r="537" spans="1:64" x14ac:dyDescent="0.25">
      <c r="A537" s="81" t="s">
        <v>1212</v>
      </c>
      <c r="B537" s="82" t="s">
        <v>1310</v>
      </c>
      <c r="C537" s="81" t="s">
        <v>1311</v>
      </c>
      <c r="D537" s="16">
        <v>0</v>
      </c>
      <c r="E537" s="17">
        <v>45803</v>
      </c>
      <c r="F537" s="2" t="s">
        <v>1214</v>
      </c>
      <c r="G537" s="2" t="s">
        <v>1215</v>
      </c>
      <c r="H537" s="10" t="s">
        <v>98</v>
      </c>
      <c r="I537" s="11" t="s">
        <v>53</v>
      </c>
      <c r="J537" s="11" t="s">
        <v>830</v>
      </c>
      <c r="K537" s="61"/>
      <c r="L537" s="11" t="s">
        <v>67</v>
      </c>
      <c r="M537" s="25"/>
      <c r="N537" s="82"/>
      <c r="O537" s="3" t="str">
        <f>IF($A537="","",IF(P537=AZ537,"E","A"))</f>
        <v>E</v>
      </c>
      <c r="P537" s="84"/>
      <c r="Q537" s="84"/>
      <c r="R537" s="32"/>
      <c r="S537" s="3" t="str">
        <f>IF($A537="","",IF(T537=0,"A",IF(T537=BA537,"E","A")))</f>
        <v>A</v>
      </c>
      <c r="T537" s="84"/>
      <c r="U537" s="84"/>
      <c r="V537" s="32"/>
      <c r="W537" s="3" t="str">
        <f t="shared" si="195"/>
        <v>A</v>
      </c>
      <c r="X537" s="84"/>
      <c r="Y537" s="84"/>
      <c r="Z537" s="32"/>
      <c r="AA537" s="3" t="str">
        <f t="shared" si="196"/>
        <v>A</v>
      </c>
      <c r="AB537" s="84"/>
      <c r="AC537" s="84"/>
      <c r="AD537" s="36"/>
      <c r="AE537" s="82"/>
      <c r="AF537" s="3" t="str">
        <f t="shared" si="197"/>
        <v>A</v>
      </c>
      <c r="AG537" s="84"/>
      <c r="AH537" s="84"/>
      <c r="AI537" s="39"/>
      <c r="AJ537" s="79" t="s">
        <v>38</v>
      </c>
      <c r="AK537" s="39"/>
      <c r="AL537" s="4">
        <f t="shared" si="202"/>
        <v>0</v>
      </c>
      <c r="AM537" s="4">
        <f t="shared" si="203"/>
        <v>0</v>
      </c>
      <c r="AN537" s="4">
        <f t="shared" si="198"/>
        <v>0</v>
      </c>
      <c r="AO537" s="39"/>
      <c r="AP537" s="8">
        <f t="shared" si="204"/>
        <v>0</v>
      </c>
      <c r="AQ537" s="8">
        <f t="shared" si="205"/>
        <v>0</v>
      </c>
      <c r="AR537" s="8">
        <f t="shared" si="199"/>
        <v>0</v>
      </c>
      <c r="AS537" s="42"/>
      <c r="AT537" s="84"/>
      <c r="AU537" s="84"/>
      <c r="AV537" s="4">
        <f t="shared" si="200"/>
        <v>0</v>
      </c>
      <c r="AW537" s="50" t="str">
        <f t="shared" si="201"/>
        <v/>
      </c>
      <c r="AX537" s="1" t="s">
        <v>1766</v>
      </c>
      <c r="AY537" s="2" t="s">
        <v>1767</v>
      </c>
      <c r="AZ537" s="2"/>
      <c r="BA537" s="73"/>
      <c r="BB537" s="73"/>
      <c r="BC537" s="73"/>
      <c r="BD537" s="73"/>
      <c r="BE537" s="66">
        <v>0</v>
      </c>
      <c r="BF537" s="66">
        <v>0.05</v>
      </c>
      <c r="BG537" s="63">
        <v>45147</v>
      </c>
      <c r="BH537" s="74">
        <v>45803</v>
      </c>
      <c r="BI537" s="74">
        <v>45673</v>
      </c>
      <c r="BJ537" s="2">
        <v>200448</v>
      </c>
      <c r="BK537" s="2">
        <v>10523.52</v>
      </c>
      <c r="BL537" s="1" t="s">
        <v>97</v>
      </c>
    </row>
    <row r="538" spans="1:64" x14ac:dyDescent="0.25">
      <c r="A538" s="81" t="s">
        <v>1212</v>
      </c>
      <c r="B538" s="82" t="s">
        <v>1521</v>
      </c>
      <c r="C538" s="81" t="s">
        <v>1522</v>
      </c>
      <c r="D538" s="16">
        <v>0</v>
      </c>
      <c r="E538" s="17"/>
      <c r="F538" s="2" t="s">
        <v>1214</v>
      </c>
      <c r="G538" s="2" t="s">
        <v>1215</v>
      </c>
      <c r="H538" s="10" t="s">
        <v>98</v>
      </c>
      <c r="I538" s="11" t="s">
        <v>53</v>
      </c>
      <c r="J538" s="11" t="s">
        <v>830</v>
      </c>
      <c r="K538" s="61"/>
      <c r="L538" s="11" t="s">
        <v>67</v>
      </c>
      <c r="M538" s="25"/>
      <c r="N538" s="82"/>
      <c r="O538" s="3" t="str">
        <f>IF($A538="","",IF(P538=AZ538,"E","A"))</f>
        <v>A</v>
      </c>
      <c r="P538" s="84">
        <v>24377</v>
      </c>
      <c r="Q538" s="84">
        <v>0</v>
      </c>
      <c r="R538" s="32"/>
      <c r="S538" s="3" t="str">
        <f>IF($A538="","",IF(T538=BA538,"E","A"))</f>
        <v>E</v>
      </c>
      <c r="T538" s="84">
        <v>61783.75</v>
      </c>
      <c r="U538" s="84">
        <v>3253.32</v>
      </c>
      <c r="V538" s="32"/>
      <c r="W538" s="3" t="str">
        <f t="shared" si="195"/>
        <v>A</v>
      </c>
      <c r="X538" s="84">
        <v>20858</v>
      </c>
      <c r="Y538" s="84"/>
      <c r="Z538" s="32"/>
      <c r="AA538" s="3" t="str">
        <f t="shared" si="196"/>
        <v>A</v>
      </c>
      <c r="AB538" s="84">
        <v>25889</v>
      </c>
      <c r="AC538" s="84"/>
      <c r="AD538" s="36"/>
      <c r="AE538" s="82"/>
      <c r="AF538" s="3" t="str">
        <f t="shared" si="197"/>
        <v>A</v>
      </c>
      <c r="AG538" s="84">
        <v>0</v>
      </c>
      <c r="AH538" s="84">
        <v>0</v>
      </c>
      <c r="AI538" s="39"/>
      <c r="AJ538" s="79" t="s">
        <v>38</v>
      </c>
      <c r="AK538" s="39"/>
      <c r="AL538" s="4">
        <f t="shared" si="202"/>
        <v>71124</v>
      </c>
      <c r="AM538" s="4">
        <f t="shared" si="203"/>
        <v>0</v>
      </c>
      <c r="AN538" s="4">
        <f t="shared" si="198"/>
        <v>71124</v>
      </c>
      <c r="AO538" s="39"/>
      <c r="AP538" s="8">
        <f t="shared" si="204"/>
        <v>61783.75</v>
      </c>
      <c r="AQ538" s="8">
        <f t="shared" si="205"/>
        <v>3253.32</v>
      </c>
      <c r="AR538" s="8">
        <f t="shared" si="199"/>
        <v>65037.07</v>
      </c>
      <c r="AS538" s="42"/>
      <c r="AT538" s="84">
        <v>71124</v>
      </c>
      <c r="AU538" s="84"/>
      <c r="AV538" s="4">
        <f t="shared" si="200"/>
        <v>71124</v>
      </c>
      <c r="AW538" s="50" t="str">
        <f t="shared" si="201"/>
        <v/>
      </c>
      <c r="AX538" s="1" t="s">
        <v>1766</v>
      </c>
      <c r="AY538" s="2" t="s">
        <v>1767</v>
      </c>
      <c r="AZ538" s="2">
        <v>70610</v>
      </c>
      <c r="BA538" s="73">
        <v>61783.75</v>
      </c>
      <c r="BB538" s="73">
        <v>61783.75</v>
      </c>
      <c r="BC538" s="73">
        <v>70610</v>
      </c>
      <c r="BD538" s="73"/>
      <c r="BE538" s="66">
        <v>0</v>
      </c>
      <c r="BF538" s="66">
        <v>0.05</v>
      </c>
      <c r="BG538" s="63">
        <v>45549</v>
      </c>
      <c r="BH538" s="74">
        <v>45659</v>
      </c>
      <c r="BI538" s="74">
        <v>45667</v>
      </c>
      <c r="BJ538" s="2">
        <v>258288</v>
      </c>
      <c r="BK538" s="2">
        <v>13560.12</v>
      </c>
      <c r="BL538" s="1" t="s">
        <v>97</v>
      </c>
    </row>
    <row r="539" spans="1:64" x14ac:dyDescent="0.25">
      <c r="A539" s="81" t="s">
        <v>1218</v>
      </c>
      <c r="B539" s="82" t="s">
        <v>1218</v>
      </c>
      <c r="C539" s="81" t="s">
        <v>1219</v>
      </c>
      <c r="D539" s="16">
        <v>0</v>
      </c>
      <c r="E539" s="17"/>
      <c r="F539" s="2" t="s">
        <v>243</v>
      </c>
      <c r="G539" s="2" t="s">
        <v>245</v>
      </c>
      <c r="H539" s="10" t="s">
        <v>57</v>
      </c>
      <c r="I539" s="11" t="s">
        <v>244</v>
      </c>
      <c r="J539" s="11" t="s">
        <v>486</v>
      </c>
      <c r="K539" s="61" t="s">
        <v>487</v>
      </c>
      <c r="L539" s="11" t="s">
        <v>67</v>
      </c>
      <c r="M539" s="25"/>
      <c r="N539" s="82"/>
      <c r="O539" s="3" t="str">
        <f>IF($A539="","",IF(P539=0,"A",IF(P539=AZ539,"E","A")))</f>
        <v>A</v>
      </c>
      <c r="P539" s="84">
        <v>55382</v>
      </c>
      <c r="Q539" s="84">
        <v>14743</v>
      </c>
      <c r="R539" s="32"/>
      <c r="S539" s="3" t="str">
        <f t="shared" ref="S539:S563" si="207">IF($A539="","",IF(T539=0,"A",IF(T539=BA539,"E","A")))</f>
        <v>A</v>
      </c>
      <c r="T539" s="84">
        <v>45741</v>
      </c>
      <c r="U539" s="84">
        <v>12916</v>
      </c>
      <c r="V539" s="32"/>
      <c r="W539" s="3" t="str">
        <f t="shared" si="195"/>
        <v>A</v>
      </c>
      <c r="X539" s="84">
        <v>42174</v>
      </c>
      <c r="Y539" s="84">
        <v>13889</v>
      </c>
      <c r="Z539" s="32"/>
      <c r="AA539" s="3" t="str">
        <f t="shared" si="196"/>
        <v>A</v>
      </c>
      <c r="AB539" s="84">
        <v>38777</v>
      </c>
      <c r="AC539" s="84">
        <v>12203</v>
      </c>
      <c r="AD539" s="36"/>
      <c r="AE539" s="82"/>
      <c r="AF539" s="3" t="str">
        <f t="shared" si="197"/>
        <v>A</v>
      </c>
      <c r="AG539" s="84">
        <v>0</v>
      </c>
      <c r="AH539" s="84">
        <v>0</v>
      </c>
      <c r="AI539" s="39"/>
      <c r="AJ539" s="79" t="s">
        <v>1801</v>
      </c>
      <c r="AK539" s="39"/>
      <c r="AL539" s="4">
        <f t="shared" si="202"/>
        <v>182074</v>
      </c>
      <c r="AM539" s="4">
        <f t="shared" si="203"/>
        <v>53751</v>
      </c>
      <c r="AN539" s="4">
        <f t="shared" si="198"/>
        <v>235825</v>
      </c>
      <c r="AO539" s="39"/>
      <c r="AP539" s="8">
        <f t="shared" si="204"/>
        <v>0</v>
      </c>
      <c r="AQ539" s="8">
        <f t="shared" si="205"/>
        <v>0</v>
      </c>
      <c r="AR539" s="8">
        <f t="shared" si="199"/>
        <v>0</v>
      </c>
      <c r="AS539" s="42"/>
      <c r="AT539" s="84">
        <v>182074</v>
      </c>
      <c r="AU539" s="84">
        <v>53751</v>
      </c>
      <c r="AV539" s="4">
        <f t="shared" si="200"/>
        <v>235825</v>
      </c>
      <c r="AW539" s="50" t="str">
        <f t="shared" si="201"/>
        <v/>
      </c>
      <c r="AX539" s="1" t="s">
        <v>1639</v>
      </c>
      <c r="AY539" s="2" t="s">
        <v>1640</v>
      </c>
      <c r="AZ539" s="2">
        <v>180792.4</v>
      </c>
      <c r="BA539" s="73">
        <v>158193.35</v>
      </c>
      <c r="BB539" s="73">
        <v>158193.35</v>
      </c>
      <c r="BC539" s="73">
        <v>180792.4</v>
      </c>
      <c r="BD539" s="73"/>
      <c r="BE539" s="66">
        <v>0</v>
      </c>
      <c r="BF539" s="66">
        <v>0.02</v>
      </c>
      <c r="BG539" s="63">
        <v>45135</v>
      </c>
      <c r="BH539" s="2"/>
      <c r="BI539" s="2"/>
      <c r="BJ539" s="2">
        <v>652072.78</v>
      </c>
      <c r="BK539" s="2">
        <v>64490.71</v>
      </c>
      <c r="BL539" s="1" t="s">
        <v>56</v>
      </c>
    </row>
    <row r="540" spans="1:64" x14ac:dyDescent="0.25">
      <c r="A540" s="81" t="s">
        <v>1220</v>
      </c>
      <c r="B540" s="82" t="s">
        <v>1220</v>
      </c>
      <c r="C540" s="81" t="s">
        <v>1221</v>
      </c>
      <c r="D540" s="16">
        <v>45104</v>
      </c>
      <c r="E540" s="17"/>
      <c r="F540" s="2" t="s">
        <v>243</v>
      </c>
      <c r="G540" s="2" t="s">
        <v>245</v>
      </c>
      <c r="H540" s="10" t="s">
        <v>57</v>
      </c>
      <c r="I540" s="11" t="s">
        <v>244</v>
      </c>
      <c r="J540" s="11" t="s">
        <v>486</v>
      </c>
      <c r="K540" s="61" t="s">
        <v>487</v>
      </c>
      <c r="L540" s="11" t="s">
        <v>67</v>
      </c>
      <c r="M540" s="25"/>
      <c r="N540" s="82"/>
      <c r="O540" s="3" t="str">
        <f>IF($A540="","",IF(P540=0,"A",IF(P540=AZ540,"E","A")))</f>
        <v>A</v>
      </c>
      <c r="P540" s="84">
        <v>19763</v>
      </c>
      <c r="Q540" s="84">
        <v>4566</v>
      </c>
      <c r="R540" s="32"/>
      <c r="S540" s="3" t="str">
        <f t="shared" si="207"/>
        <v>A</v>
      </c>
      <c r="T540" s="84">
        <v>19228</v>
      </c>
      <c r="U540" s="84">
        <v>4376</v>
      </c>
      <c r="V540" s="32"/>
      <c r="W540" s="3" t="str">
        <f t="shared" si="195"/>
        <v>A</v>
      </c>
      <c r="X540" s="84">
        <v>23478</v>
      </c>
      <c r="Y540" s="84">
        <v>4127</v>
      </c>
      <c r="Z540" s="32"/>
      <c r="AA540" s="3" t="str">
        <f t="shared" si="196"/>
        <v>A</v>
      </c>
      <c r="AB540" s="84">
        <v>26895</v>
      </c>
      <c r="AC540" s="84">
        <v>4588</v>
      </c>
      <c r="AD540" s="36"/>
      <c r="AE540" s="82"/>
      <c r="AF540" s="3" t="str">
        <f t="shared" si="197"/>
        <v>A</v>
      </c>
      <c r="AG540" s="84">
        <v>0</v>
      </c>
      <c r="AH540" s="84">
        <v>0</v>
      </c>
      <c r="AI540" s="39"/>
      <c r="AJ540" s="79" t="s">
        <v>1801</v>
      </c>
      <c r="AK540" s="39"/>
      <c r="AL540" s="4">
        <f t="shared" si="202"/>
        <v>89364</v>
      </c>
      <c r="AM540" s="4">
        <f t="shared" si="203"/>
        <v>17657</v>
      </c>
      <c r="AN540" s="4">
        <f t="shared" si="198"/>
        <v>107021</v>
      </c>
      <c r="AO540" s="39"/>
      <c r="AP540" s="8">
        <f t="shared" si="204"/>
        <v>0</v>
      </c>
      <c r="AQ540" s="8">
        <f t="shared" si="205"/>
        <v>0</v>
      </c>
      <c r="AR540" s="8">
        <f t="shared" si="199"/>
        <v>0</v>
      </c>
      <c r="AS540" s="42"/>
      <c r="AT540" s="84">
        <v>89364</v>
      </c>
      <c r="AU540" s="84">
        <v>17657</v>
      </c>
      <c r="AV540" s="4">
        <f t="shared" si="200"/>
        <v>107021</v>
      </c>
      <c r="AW540" s="50" t="str">
        <f t="shared" si="201"/>
        <v/>
      </c>
      <c r="AX540" s="1" t="s">
        <v>1639</v>
      </c>
      <c r="AY540" s="2" t="s">
        <v>1640</v>
      </c>
      <c r="AZ540" s="2">
        <v>162113.84</v>
      </c>
      <c r="BA540" s="73">
        <v>141849.60999999999</v>
      </c>
      <c r="BB540" s="73">
        <v>141849.60999999999</v>
      </c>
      <c r="BC540" s="73">
        <v>162113.84</v>
      </c>
      <c r="BD540" s="73"/>
      <c r="BE540" s="66">
        <v>0</v>
      </c>
      <c r="BF540" s="66">
        <v>0.02</v>
      </c>
      <c r="BG540" s="63">
        <v>45093</v>
      </c>
      <c r="BH540" s="2"/>
      <c r="BI540" s="2"/>
      <c r="BJ540" s="2">
        <v>597193.15</v>
      </c>
      <c r="BK540" s="2">
        <v>66354.789999999994</v>
      </c>
      <c r="BL540" s="1" t="s">
        <v>56</v>
      </c>
    </row>
    <row r="541" spans="1:64" x14ac:dyDescent="0.25">
      <c r="A541" s="81" t="s">
        <v>825</v>
      </c>
      <c r="B541" s="82" t="s">
        <v>826</v>
      </c>
      <c r="C541" s="81" t="s">
        <v>827</v>
      </c>
      <c r="D541" s="16">
        <v>43532</v>
      </c>
      <c r="E541" s="17"/>
      <c r="F541" s="2" t="s">
        <v>828</v>
      </c>
      <c r="G541" s="2" t="s">
        <v>829</v>
      </c>
      <c r="H541" s="10" t="s">
        <v>98</v>
      </c>
      <c r="I541" s="11" t="s">
        <v>53</v>
      </c>
      <c r="J541" s="11" t="s">
        <v>830</v>
      </c>
      <c r="K541" s="61"/>
      <c r="L541" s="11" t="s">
        <v>67</v>
      </c>
      <c r="M541" s="25"/>
      <c r="N541" s="82"/>
      <c r="O541" s="3" t="str">
        <f>IF($A541="","",IF(P541=0,"A",IF(P541=AZ541,"E","A")))</f>
        <v>E</v>
      </c>
      <c r="P541" s="84">
        <v>44360.480000000003</v>
      </c>
      <c r="Q541" s="84">
        <v>3238.32</v>
      </c>
      <c r="R541" s="32"/>
      <c r="S541" s="3" t="str">
        <f t="shared" si="207"/>
        <v>E</v>
      </c>
      <c r="T541" s="84">
        <v>38815.42</v>
      </c>
      <c r="U541" s="84">
        <v>2833.53</v>
      </c>
      <c r="V541" s="32"/>
      <c r="W541" s="3" t="str">
        <f t="shared" si="195"/>
        <v>E</v>
      </c>
      <c r="X541" s="84">
        <v>38815.42</v>
      </c>
      <c r="Y541" s="84">
        <v>2833.53</v>
      </c>
      <c r="Z541" s="32"/>
      <c r="AA541" s="3" t="str">
        <f t="shared" si="196"/>
        <v>E</v>
      </c>
      <c r="AB541" s="84">
        <v>44360.480000000003</v>
      </c>
      <c r="AC541" s="84">
        <v>3238.32</v>
      </c>
      <c r="AD541" s="36"/>
      <c r="AE541" s="82"/>
      <c r="AF541" s="3" t="str">
        <f t="shared" si="197"/>
        <v>A</v>
      </c>
      <c r="AG541" s="84"/>
      <c r="AH541" s="84"/>
      <c r="AI541" s="39"/>
      <c r="AJ541" s="79" t="s">
        <v>38</v>
      </c>
      <c r="AK541" s="39"/>
      <c r="AL541" s="4">
        <f t="shared" si="202"/>
        <v>0</v>
      </c>
      <c r="AM541" s="4">
        <f t="shared" si="203"/>
        <v>0</v>
      </c>
      <c r="AN541" s="4">
        <f t="shared" si="198"/>
        <v>0</v>
      </c>
      <c r="AO541" s="39"/>
      <c r="AP541" s="8">
        <f t="shared" si="204"/>
        <v>166351.79999999999</v>
      </c>
      <c r="AQ541" s="8">
        <f t="shared" si="205"/>
        <v>12143.7</v>
      </c>
      <c r="AR541" s="8">
        <f t="shared" si="199"/>
        <v>178495.5</v>
      </c>
      <c r="AS541" s="42"/>
      <c r="AT541" s="84"/>
      <c r="AU541" s="84"/>
      <c r="AV541" s="4">
        <f t="shared" si="200"/>
        <v>0</v>
      </c>
      <c r="AW541" s="50" t="str">
        <f t="shared" si="201"/>
        <v/>
      </c>
      <c r="AX541" s="1" t="s">
        <v>1732</v>
      </c>
      <c r="AY541" s="2" t="s">
        <v>1733</v>
      </c>
      <c r="AZ541" s="2">
        <v>44360.480000000003</v>
      </c>
      <c r="BA541" s="73">
        <v>38815.42</v>
      </c>
      <c r="BB541" s="73">
        <v>38815.42</v>
      </c>
      <c r="BC541" s="73">
        <v>44360.480000000003</v>
      </c>
      <c r="BD541" s="73"/>
      <c r="BE541" s="66">
        <v>0</v>
      </c>
      <c r="BF541" s="66">
        <v>0.05</v>
      </c>
      <c r="BG541" s="63">
        <v>45798</v>
      </c>
      <c r="BH541" s="74">
        <v>45588</v>
      </c>
      <c r="BI541" s="74">
        <v>45604</v>
      </c>
      <c r="BJ541" s="2"/>
      <c r="BK541" s="2"/>
      <c r="BL541" s="1" t="s">
        <v>97</v>
      </c>
    </row>
    <row r="542" spans="1:64" x14ac:dyDescent="0.25">
      <c r="A542" s="81" t="s">
        <v>825</v>
      </c>
      <c r="B542" s="82" t="s">
        <v>825</v>
      </c>
      <c r="C542" s="81" t="s">
        <v>1222</v>
      </c>
      <c r="D542" s="16">
        <v>42203</v>
      </c>
      <c r="E542" s="17"/>
      <c r="F542" s="2" t="s">
        <v>828</v>
      </c>
      <c r="G542" s="2" t="s">
        <v>829</v>
      </c>
      <c r="H542" s="10" t="s">
        <v>98</v>
      </c>
      <c r="I542" s="11" t="s">
        <v>53</v>
      </c>
      <c r="J542" s="11" t="s">
        <v>830</v>
      </c>
      <c r="K542" s="61"/>
      <c r="L542" s="11" t="s">
        <v>67</v>
      </c>
      <c r="M542" s="25"/>
      <c r="N542" s="82"/>
      <c r="O542" s="3" t="str">
        <f>IF($A542="","",IF(P542=0,"A",IF(P542=AZ542,"E","A")))</f>
        <v>E</v>
      </c>
      <c r="P542" s="84">
        <v>50083.68</v>
      </c>
      <c r="Q542" s="84">
        <v>2655.84</v>
      </c>
      <c r="R542" s="32"/>
      <c r="S542" s="3" t="str">
        <f t="shared" si="207"/>
        <v>E</v>
      </c>
      <c r="T542" s="84">
        <v>43823.22</v>
      </c>
      <c r="U542" s="84">
        <v>2323.86</v>
      </c>
      <c r="V542" s="32"/>
      <c r="W542" s="3" t="str">
        <f t="shared" si="195"/>
        <v>E</v>
      </c>
      <c r="X542" s="84">
        <v>43823.22</v>
      </c>
      <c r="Y542" s="84">
        <v>2323.86</v>
      </c>
      <c r="Z542" s="32"/>
      <c r="AA542" s="3" t="str">
        <f t="shared" si="196"/>
        <v>E</v>
      </c>
      <c r="AB542" s="84">
        <v>50083.68</v>
      </c>
      <c r="AC542" s="84">
        <v>2655.84</v>
      </c>
      <c r="AD542" s="36"/>
      <c r="AE542" s="82"/>
      <c r="AF542" s="3" t="str">
        <f t="shared" si="197"/>
        <v>A</v>
      </c>
      <c r="AG542" s="84"/>
      <c r="AH542" s="84"/>
      <c r="AI542" s="39"/>
      <c r="AJ542" s="79" t="s">
        <v>38</v>
      </c>
      <c r="AK542" s="39"/>
      <c r="AL542" s="4">
        <f t="shared" si="202"/>
        <v>0</v>
      </c>
      <c r="AM542" s="4">
        <f t="shared" si="203"/>
        <v>0</v>
      </c>
      <c r="AN542" s="4">
        <f t="shared" si="198"/>
        <v>0</v>
      </c>
      <c r="AO542" s="39"/>
      <c r="AP542" s="8">
        <f t="shared" si="204"/>
        <v>187813.8</v>
      </c>
      <c r="AQ542" s="8">
        <f t="shared" si="205"/>
        <v>9959.4000000000015</v>
      </c>
      <c r="AR542" s="8">
        <f t="shared" si="199"/>
        <v>197773.19999999998</v>
      </c>
      <c r="AS542" s="42"/>
      <c r="AT542" s="84"/>
      <c r="AU542" s="84"/>
      <c r="AV542" s="4">
        <f t="shared" si="200"/>
        <v>0</v>
      </c>
      <c r="AW542" s="50" t="str">
        <f t="shared" si="201"/>
        <v/>
      </c>
      <c r="AX542" s="1" t="s">
        <v>1732</v>
      </c>
      <c r="AY542" s="2" t="s">
        <v>1733</v>
      </c>
      <c r="AZ542" s="2">
        <v>50083.68</v>
      </c>
      <c r="BA542" s="73">
        <v>43823.22</v>
      </c>
      <c r="BB542" s="73">
        <v>43823.22</v>
      </c>
      <c r="BC542" s="73">
        <v>50083.68</v>
      </c>
      <c r="BD542" s="73"/>
      <c r="BE542" s="66">
        <v>3.5000000000000003E-2</v>
      </c>
      <c r="BF542" s="66">
        <v>0.05</v>
      </c>
      <c r="BG542" s="63">
        <v>45798</v>
      </c>
      <c r="BH542" s="74">
        <v>45588</v>
      </c>
      <c r="BI542" s="74">
        <v>45660</v>
      </c>
      <c r="BJ542" s="2">
        <v>190908</v>
      </c>
      <c r="BK542" s="2">
        <v>10022.67</v>
      </c>
      <c r="BL542" s="1" t="s">
        <v>97</v>
      </c>
    </row>
    <row r="543" spans="1:64" x14ac:dyDescent="0.25">
      <c r="A543" s="81" t="s">
        <v>825</v>
      </c>
      <c r="B543" s="82" t="s">
        <v>1356</v>
      </c>
      <c r="C543" s="81" t="s">
        <v>1357</v>
      </c>
      <c r="D543" s="16">
        <v>45316</v>
      </c>
      <c r="E543" s="17"/>
      <c r="F543" s="2" t="s">
        <v>828</v>
      </c>
      <c r="G543" s="2" t="s">
        <v>829</v>
      </c>
      <c r="H543" s="10" t="s">
        <v>98</v>
      </c>
      <c r="I543" s="11" t="s">
        <v>53</v>
      </c>
      <c r="J543" s="11" t="s">
        <v>830</v>
      </c>
      <c r="K543" s="61"/>
      <c r="L543" s="11" t="s">
        <v>67</v>
      </c>
      <c r="M543" s="25"/>
      <c r="N543" s="82"/>
      <c r="O543" s="3" t="str">
        <f>IF($A543="","",IF(P543=AZ543,"E","A"))</f>
        <v>E</v>
      </c>
      <c r="P543" s="84">
        <v>49062.400000000001</v>
      </c>
      <c r="Q543" s="84">
        <v>0</v>
      </c>
      <c r="R543" s="32"/>
      <c r="S543" s="3" t="str">
        <f t="shared" si="207"/>
        <v>E</v>
      </c>
      <c r="T543" s="84">
        <v>42929.599999999999</v>
      </c>
      <c r="U543" s="84">
        <v>0</v>
      </c>
      <c r="V543" s="32"/>
      <c r="W543" s="3" t="str">
        <f t="shared" si="195"/>
        <v>E</v>
      </c>
      <c r="X543" s="84">
        <v>42929.599999999999</v>
      </c>
      <c r="Y543" s="84">
        <v>0</v>
      </c>
      <c r="Z543" s="32"/>
      <c r="AA543" s="3" t="str">
        <f t="shared" si="196"/>
        <v>E</v>
      </c>
      <c r="AB543" s="84">
        <v>49062.400000000001</v>
      </c>
      <c r="AC543" s="84">
        <v>0</v>
      </c>
      <c r="AD543" s="36"/>
      <c r="AE543" s="82"/>
      <c r="AF543" s="3" t="str">
        <f t="shared" si="197"/>
        <v>A</v>
      </c>
      <c r="AG543" s="84"/>
      <c r="AH543" s="84"/>
      <c r="AI543" s="39"/>
      <c r="AJ543" s="79" t="s">
        <v>38</v>
      </c>
      <c r="AK543" s="39"/>
      <c r="AL543" s="4">
        <f t="shared" si="202"/>
        <v>0</v>
      </c>
      <c r="AM543" s="4">
        <f t="shared" si="203"/>
        <v>0</v>
      </c>
      <c r="AN543" s="4">
        <f t="shared" si="198"/>
        <v>0</v>
      </c>
      <c r="AO543" s="39"/>
      <c r="AP543" s="8">
        <f t="shared" si="204"/>
        <v>183984</v>
      </c>
      <c r="AQ543" s="8">
        <f t="shared" si="205"/>
        <v>0</v>
      </c>
      <c r="AR543" s="8">
        <f t="shared" si="199"/>
        <v>183984</v>
      </c>
      <c r="AS543" s="42"/>
      <c r="AT543" s="84"/>
      <c r="AU543" s="84"/>
      <c r="AV543" s="4">
        <f t="shared" si="200"/>
        <v>0</v>
      </c>
      <c r="AW543" s="50" t="str">
        <f t="shared" si="201"/>
        <v/>
      </c>
      <c r="AX543" s="1" t="s">
        <v>1732</v>
      </c>
      <c r="AY543" s="2" t="s">
        <v>1733</v>
      </c>
      <c r="AZ543" s="2">
        <v>49062.400000000001</v>
      </c>
      <c r="BA543" s="73">
        <v>42929.599999999999</v>
      </c>
      <c r="BB543" s="73">
        <v>42929.599999999999</v>
      </c>
      <c r="BC543" s="73">
        <v>49062.400000000001</v>
      </c>
      <c r="BD543" s="73"/>
      <c r="BE543" s="66">
        <v>0</v>
      </c>
      <c r="BF543" s="66">
        <v>0.05</v>
      </c>
      <c r="BG543" s="63">
        <v>45209</v>
      </c>
      <c r="BH543" s="74">
        <v>45588</v>
      </c>
      <c r="BI543" s="74">
        <v>45604</v>
      </c>
      <c r="BJ543" s="2">
        <v>180000</v>
      </c>
      <c r="BK543" s="2"/>
      <c r="BL543" s="1" t="s">
        <v>97</v>
      </c>
    </row>
    <row r="544" spans="1:64" x14ac:dyDescent="0.25">
      <c r="A544" s="81" t="s">
        <v>1225</v>
      </c>
      <c r="B544" s="82" t="s">
        <v>1225</v>
      </c>
      <c r="C544" s="81" t="s">
        <v>1226</v>
      </c>
      <c r="D544" s="16">
        <v>45648</v>
      </c>
      <c r="E544" s="17"/>
      <c r="F544" s="2" t="s">
        <v>76</v>
      </c>
      <c r="G544" s="2" t="s">
        <v>78</v>
      </c>
      <c r="H544" s="10" t="s">
        <v>57</v>
      </c>
      <c r="I544" s="11" t="s">
        <v>77</v>
      </c>
      <c r="J544" s="11" t="s">
        <v>87</v>
      </c>
      <c r="K544" s="61" t="s">
        <v>88</v>
      </c>
      <c r="L544" s="11" t="s">
        <v>67</v>
      </c>
      <c r="M544" s="25"/>
      <c r="N544" s="82"/>
      <c r="O544" s="3" t="str">
        <f t="shared" ref="O544:O558" si="208">IF($A544="","",IF(P544=0,"A",IF(P544=AZ544,"E","A")))</f>
        <v>A</v>
      </c>
      <c r="P544" s="84">
        <v>56056.800000000003</v>
      </c>
      <c r="Q544" s="84">
        <v>9210</v>
      </c>
      <c r="R544" s="32"/>
      <c r="S544" s="3" t="str">
        <f t="shared" si="207"/>
        <v>A</v>
      </c>
      <c r="T544" s="84">
        <v>88572.4</v>
      </c>
      <c r="U544" s="84">
        <v>7244</v>
      </c>
      <c r="V544" s="32"/>
      <c r="W544" s="3" t="str">
        <f t="shared" si="195"/>
        <v>A</v>
      </c>
      <c r="X544" s="84">
        <v>112680.8</v>
      </c>
      <c r="Y544" s="84">
        <v>7850</v>
      </c>
      <c r="Z544" s="32"/>
      <c r="AA544" s="3" t="str">
        <f t="shared" si="196"/>
        <v>A</v>
      </c>
      <c r="AB544" s="84">
        <v>78978.8</v>
      </c>
      <c r="AC544" s="84">
        <v>7675</v>
      </c>
      <c r="AD544" s="36"/>
      <c r="AE544" s="82"/>
      <c r="AF544" s="3" t="str">
        <f t="shared" si="197"/>
        <v>A</v>
      </c>
      <c r="AG544" s="84">
        <v>0</v>
      </c>
      <c r="AH544" s="84">
        <v>0</v>
      </c>
      <c r="AI544" s="39"/>
      <c r="AJ544" s="79" t="s">
        <v>1801</v>
      </c>
      <c r="AK544" s="39"/>
      <c r="AL544" s="4">
        <f t="shared" si="202"/>
        <v>336288.8</v>
      </c>
      <c r="AM544" s="4">
        <f t="shared" si="203"/>
        <v>31979</v>
      </c>
      <c r="AN544" s="4">
        <f t="shared" si="198"/>
        <v>368267.8</v>
      </c>
      <c r="AO544" s="39"/>
      <c r="AP544" s="8">
        <f t="shared" si="204"/>
        <v>0</v>
      </c>
      <c r="AQ544" s="8">
        <f t="shared" si="205"/>
        <v>0</v>
      </c>
      <c r="AR544" s="8">
        <f t="shared" si="199"/>
        <v>0</v>
      </c>
      <c r="AS544" s="42"/>
      <c r="AT544" s="84">
        <v>336288.8</v>
      </c>
      <c r="AU544" s="84">
        <v>31979</v>
      </c>
      <c r="AV544" s="4">
        <f t="shared" si="200"/>
        <v>368267.8</v>
      </c>
      <c r="AW544" s="50" t="str">
        <f t="shared" si="201"/>
        <v/>
      </c>
      <c r="AX544" s="1" t="s">
        <v>1639</v>
      </c>
      <c r="AY544" s="2" t="s">
        <v>1640</v>
      </c>
      <c r="AZ544" s="2">
        <v>104246.96</v>
      </c>
      <c r="BA544" s="73">
        <v>91216.09</v>
      </c>
      <c r="BB544" s="73">
        <v>91216.09</v>
      </c>
      <c r="BC544" s="73">
        <v>104246.96</v>
      </c>
      <c r="BD544" s="73"/>
      <c r="BE544" s="66">
        <v>0</v>
      </c>
      <c r="BF544" s="66">
        <v>0.02</v>
      </c>
      <c r="BG544" s="63">
        <v>45646</v>
      </c>
      <c r="BH544" s="2"/>
      <c r="BI544" s="2"/>
      <c r="BJ544" s="2">
        <v>400000</v>
      </c>
      <c r="BK544" s="2">
        <v>125000</v>
      </c>
      <c r="BL544" s="1" t="s">
        <v>56</v>
      </c>
    </row>
    <row r="545" spans="1:64" x14ac:dyDescent="0.25">
      <c r="A545" s="81" t="s">
        <v>1227</v>
      </c>
      <c r="B545" s="82" t="s">
        <v>1227</v>
      </c>
      <c r="C545" s="81" t="s">
        <v>1228</v>
      </c>
      <c r="D545" s="16">
        <v>0</v>
      </c>
      <c r="E545" s="17"/>
      <c r="F545" s="2" t="s">
        <v>217</v>
      </c>
      <c r="G545" s="2" t="s">
        <v>218</v>
      </c>
      <c r="H545" s="10" t="s">
        <v>105</v>
      </c>
      <c r="I545" s="11" t="s">
        <v>53</v>
      </c>
      <c r="J545" s="11" t="s">
        <v>258</v>
      </c>
      <c r="K545" s="61"/>
      <c r="L545" s="11" t="s">
        <v>67</v>
      </c>
      <c r="M545" s="25"/>
      <c r="N545" s="82"/>
      <c r="O545" s="3" t="str">
        <f t="shared" si="208"/>
        <v>A</v>
      </c>
      <c r="P545" s="84">
        <v>259126</v>
      </c>
      <c r="Q545" s="84">
        <v>25577</v>
      </c>
      <c r="R545" s="32"/>
      <c r="S545" s="3" t="str">
        <f t="shared" si="207"/>
        <v>A</v>
      </c>
      <c r="T545" s="84">
        <v>237577</v>
      </c>
      <c r="U545" s="84">
        <v>24093</v>
      </c>
      <c r="V545" s="32"/>
      <c r="W545" s="3" t="str">
        <f t="shared" si="195"/>
        <v>A</v>
      </c>
      <c r="X545" s="84">
        <v>199578</v>
      </c>
      <c r="Y545" s="84">
        <v>20466</v>
      </c>
      <c r="Z545" s="32"/>
      <c r="AA545" s="3" t="str">
        <f t="shared" si="196"/>
        <v>A</v>
      </c>
      <c r="AB545" s="84">
        <v>200376</v>
      </c>
      <c r="AC545" s="84">
        <v>26560</v>
      </c>
      <c r="AD545" s="36"/>
      <c r="AE545" s="82"/>
      <c r="AF545" s="3" t="str">
        <f t="shared" si="197"/>
        <v>A</v>
      </c>
      <c r="AG545" s="84">
        <v>0</v>
      </c>
      <c r="AH545" s="84">
        <v>0</v>
      </c>
      <c r="AI545" s="39"/>
      <c r="AJ545" s="79" t="s">
        <v>1801</v>
      </c>
      <c r="AK545" s="39"/>
      <c r="AL545" s="4">
        <f t="shared" si="202"/>
        <v>896657</v>
      </c>
      <c r="AM545" s="4">
        <f t="shared" si="203"/>
        <v>96696</v>
      </c>
      <c r="AN545" s="4">
        <f t="shared" si="198"/>
        <v>993353</v>
      </c>
      <c r="AO545" s="39"/>
      <c r="AP545" s="8">
        <f t="shared" si="204"/>
        <v>0</v>
      </c>
      <c r="AQ545" s="8">
        <f t="shared" si="205"/>
        <v>0</v>
      </c>
      <c r="AR545" s="8">
        <f t="shared" si="199"/>
        <v>0</v>
      </c>
      <c r="AS545" s="42"/>
      <c r="AT545" s="84">
        <v>896657</v>
      </c>
      <c r="AU545" s="84">
        <v>96696</v>
      </c>
      <c r="AV545" s="4">
        <f t="shared" si="200"/>
        <v>993353</v>
      </c>
      <c r="AW545" s="50" t="str">
        <f t="shared" si="201"/>
        <v/>
      </c>
      <c r="AX545" s="1" t="s">
        <v>1658</v>
      </c>
      <c r="AY545" s="2" t="s">
        <v>1659</v>
      </c>
      <c r="AZ545" s="2">
        <v>190802.48</v>
      </c>
      <c r="BA545" s="73">
        <v>166952.17000000001</v>
      </c>
      <c r="BB545" s="73">
        <v>166952.17000000001</v>
      </c>
      <c r="BC545" s="73">
        <v>190802.48</v>
      </c>
      <c r="BD545" s="73"/>
      <c r="BE545" s="66">
        <v>0</v>
      </c>
      <c r="BF545" s="66">
        <v>0.05</v>
      </c>
      <c r="BG545" s="63">
        <v>44958</v>
      </c>
      <c r="BH545" s="2"/>
      <c r="BI545" s="2"/>
      <c r="BJ545" s="2">
        <v>692343.33</v>
      </c>
      <c r="BK545" s="2">
        <v>99581</v>
      </c>
      <c r="BL545" s="1" t="s">
        <v>219</v>
      </c>
    </row>
    <row r="546" spans="1:64" x14ac:dyDescent="0.25">
      <c r="A546" s="81" t="s">
        <v>1229</v>
      </c>
      <c r="B546" s="82" t="s">
        <v>1229</v>
      </c>
      <c r="C546" s="81" t="s">
        <v>1230</v>
      </c>
      <c r="D546" s="16">
        <v>0</v>
      </c>
      <c r="E546" s="17"/>
      <c r="F546" s="2" t="s">
        <v>217</v>
      </c>
      <c r="G546" s="2" t="s">
        <v>218</v>
      </c>
      <c r="H546" s="10" t="s">
        <v>105</v>
      </c>
      <c r="I546" s="11" t="s">
        <v>53</v>
      </c>
      <c r="J546" s="11" t="s">
        <v>258</v>
      </c>
      <c r="K546" s="61"/>
      <c r="L546" s="11" t="s">
        <v>67</v>
      </c>
      <c r="M546" s="25"/>
      <c r="N546" s="82"/>
      <c r="O546" s="3" t="str">
        <f t="shared" si="208"/>
        <v>A</v>
      </c>
      <c r="P546" s="84">
        <v>272712</v>
      </c>
      <c r="Q546" s="84">
        <v>33211</v>
      </c>
      <c r="R546" s="32"/>
      <c r="S546" s="3" t="str">
        <f t="shared" si="207"/>
        <v>A</v>
      </c>
      <c r="T546" s="84">
        <v>237509</v>
      </c>
      <c r="U546" s="84">
        <v>26340</v>
      </c>
      <c r="V546" s="32"/>
      <c r="W546" s="3" t="str">
        <f t="shared" si="195"/>
        <v>A</v>
      </c>
      <c r="X546" s="84">
        <v>209565</v>
      </c>
      <c r="Y546" s="84">
        <v>23577</v>
      </c>
      <c r="Z546" s="32"/>
      <c r="AA546" s="3" t="str">
        <f t="shared" si="196"/>
        <v>A</v>
      </c>
      <c r="AB546" s="84">
        <v>239257</v>
      </c>
      <c r="AC546" s="84">
        <v>21935</v>
      </c>
      <c r="AD546" s="36"/>
      <c r="AE546" s="82"/>
      <c r="AF546" s="3" t="str">
        <f t="shared" si="197"/>
        <v>A</v>
      </c>
      <c r="AG546" s="84">
        <v>0</v>
      </c>
      <c r="AH546" s="84">
        <v>0</v>
      </c>
      <c r="AI546" s="39"/>
      <c r="AJ546" s="79" t="s">
        <v>1801</v>
      </c>
      <c r="AK546" s="39"/>
      <c r="AL546" s="4">
        <f t="shared" si="202"/>
        <v>959043</v>
      </c>
      <c r="AM546" s="4">
        <f t="shared" si="203"/>
        <v>105063</v>
      </c>
      <c r="AN546" s="4">
        <f t="shared" si="198"/>
        <v>1064106</v>
      </c>
      <c r="AO546" s="39"/>
      <c r="AP546" s="8">
        <f t="shared" si="204"/>
        <v>0</v>
      </c>
      <c r="AQ546" s="8">
        <f t="shared" si="205"/>
        <v>0</v>
      </c>
      <c r="AR546" s="8">
        <f t="shared" si="199"/>
        <v>0</v>
      </c>
      <c r="AS546" s="42"/>
      <c r="AT546" s="84">
        <v>959043</v>
      </c>
      <c r="AU546" s="84">
        <v>105063</v>
      </c>
      <c r="AV546" s="4">
        <f t="shared" si="200"/>
        <v>1064106</v>
      </c>
      <c r="AW546" s="50" t="str">
        <f t="shared" si="201"/>
        <v/>
      </c>
      <c r="AX546" s="1" t="s">
        <v>1658</v>
      </c>
      <c r="AY546" s="2" t="s">
        <v>1659</v>
      </c>
      <c r="AZ546" s="2">
        <v>249917.36</v>
      </c>
      <c r="BA546" s="73">
        <v>218677.69</v>
      </c>
      <c r="BB546" s="73">
        <v>218677.69</v>
      </c>
      <c r="BC546" s="73">
        <v>249917.36</v>
      </c>
      <c r="BD546" s="73"/>
      <c r="BE546" s="66">
        <v>0</v>
      </c>
      <c r="BF546" s="66">
        <v>0.05</v>
      </c>
      <c r="BG546" s="63">
        <v>44958</v>
      </c>
      <c r="BH546" s="2"/>
      <c r="BI546" s="2"/>
      <c r="BJ546" s="2">
        <v>906847</v>
      </c>
      <c r="BK546" s="2">
        <v>117920.67</v>
      </c>
      <c r="BL546" s="1" t="s">
        <v>219</v>
      </c>
    </row>
    <row r="547" spans="1:64" x14ac:dyDescent="0.25">
      <c r="A547" s="81" t="s">
        <v>1231</v>
      </c>
      <c r="B547" s="82" t="s">
        <v>1232</v>
      </c>
      <c r="C547" s="81" t="s">
        <v>1233</v>
      </c>
      <c r="D547" s="16">
        <v>0</v>
      </c>
      <c r="E547" s="17"/>
      <c r="F547" s="2" t="s">
        <v>109</v>
      </c>
      <c r="G547" s="2" t="s">
        <v>111</v>
      </c>
      <c r="H547" s="10" t="s">
        <v>98</v>
      </c>
      <c r="I547" s="11" t="s">
        <v>110</v>
      </c>
      <c r="J547" s="11" t="s">
        <v>286</v>
      </c>
      <c r="K547" s="61" t="s">
        <v>287</v>
      </c>
      <c r="L547" s="11" t="s">
        <v>67</v>
      </c>
      <c r="M547" s="25"/>
      <c r="N547" s="82"/>
      <c r="O547" s="3" t="str">
        <f t="shared" si="208"/>
        <v>A</v>
      </c>
      <c r="P547" s="84">
        <v>51002</v>
      </c>
      <c r="Q547" s="84">
        <v>0</v>
      </c>
      <c r="R547" s="32"/>
      <c r="S547" s="3" t="str">
        <f t="shared" si="207"/>
        <v>A</v>
      </c>
      <c r="T547" s="84">
        <v>39951</v>
      </c>
      <c r="U547" s="84">
        <v>0</v>
      </c>
      <c r="V547" s="32"/>
      <c r="W547" s="3" t="str">
        <f t="shared" si="195"/>
        <v>A</v>
      </c>
      <c r="X547" s="84">
        <v>37823</v>
      </c>
      <c r="Y547" s="84">
        <v>0</v>
      </c>
      <c r="Z547" s="32"/>
      <c r="AA547" s="3" t="str">
        <f t="shared" si="196"/>
        <v>A</v>
      </c>
      <c r="AB547" s="84">
        <v>44251</v>
      </c>
      <c r="AC547" s="84">
        <v>0</v>
      </c>
      <c r="AD547" s="36"/>
      <c r="AE547" s="82"/>
      <c r="AF547" s="3" t="str">
        <f t="shared" si="197"/>
        <v>A</v>
      </c>
      <c r="AG547" s="84">
        <v>0</v>
      </c>
      <c r="AH547" s="84">
        <v>0</v>
      </c>
      <c r="AI547" s="39"/>
      <c r="AJ547" s="79" t="s">
        <v>1801</v>
      </c>
      <c r="AK547" s="39"/>
      <c r="AL547" s="4">
        <f t="shared" si="202"/>
        <v>173027</v>
      </c>
      <c r="AM547" s="4">
        <f t="shared" si="203"/>
        <v>0</v>
      </c>
      <c r="AN547" s="4">
        <f t="shared" si="198"/>
        <v>173027</v>
      </c>
      <c r="AO547" s="39"/>
      <c r="AP547" s="8">
        <f t="shared" si="204"/>
        <v>0</v>
      </c>
      <c r="AQ547" s="8">
        <f t="shared" si="205"/>
        <v>0</v>
      </c>
      <c r="AR547" s="8">
        <f t="shared" si="199"/>
        <v>0</v>
      </c>
      <c r="AS547" s="42"/>
      <c r="AT547" s="84">
        <v>173027</v>
      </c>
      <c r="AU547" s="84"/>
      <c r="AV547" s="4">
        <f t="shared" si="200"/>
        <v>173027</v>
      </c>
      <c r="AW547" s="50" t="str">
        <f t="shared" si="201"/>
        <v/>
      </c>
      <c r="AX547" s="1" t="s">
        <v>1647</v>
      </c>
      <c r="AY547" s="2" t="s">
        <v>1640</v>
      </c>
      <c r="AZ547" s="2">
        <v>66470.960000000006</v>
      </c>
      <c r="BA547" s="73">
        <v>58162.09</v>
      </c>
      <c r="BB547" s="73">
        <v>58162.09</v>
      </c>
      <c r="BC547" s="73">
        <v>66470.960000000006</v>
      </c>
      <c r="BD547" s="73"/>
      <c r="BE547" s="66">
        <v>0</v>
      </c>
      <c r="BF547" s="66">
        <v>0.02</v>
      </c>
      <c r="BG547" s="63">
        <v>45036</v>
      </c>
      <c r="BH547" s="74">
        <v>45566</v>
      </c>
      <c r="BI547" s="74">
        <v>45580</v>
      </c>
      <c r="BJ547" s="2">
        <v>240000</v>
      </c>
      <c r="BK547" s="2"/>
      <c r="BL547" s="1" t="s">
        <v>237</v>
      </c>
    </row>
    <row r="548" spans="1:64" x14ac:dyDescent="0.25">
      <c r="A548" s="81" t="s">
        <v>1231</v>
      </c>
      <c r="B548" s="82" t="s">
        <v>1231</v>
      </c>
      <c r="C548" s="81" t="s">
        <v>1234</v>
      </c>
      <c r="D548" s="16">
        <v>0</v>
      </c>
      <c r="E548" s="17"/>
      <c r="F548" s="2" t="s">
        <v>109</v>
      </c>
      <c r="G548" s="2" t="s">
        <v>111</v>
      </c>
      <c r="H548" s="10" t="s">
        <v>98</v>
      </c>
      <c r="I548" s="11" t="s">
        <v>110</v>
      </c>
      <c r="J548" s="11" t="s">
        <v>286</v>
      </c>
      <c r="K548" s="61" t="s">
        <v>287</v>
      </c>
      <c r="L548" s="11" t="s">
        <v>67</v>
      </c>
      <c r="M548" s="25"/>
      <c r="N548" s="82"/>
      <c r="O548" s="3" t="str">
        <f t="shared" si="208"/>
        <v>A</v>
      </c>
      <c r="P548" s="84">
        <v>42024.25</v>
      </c>
      <c r="Q548" s="84">
        <v>1809</v>
      </c>
      <c r="R548" s="32"/>
      <c r="S548" s="3" t="str">
        <f t="shared" si="207"/>
        <v>A</v>
      </c>
      <c r="T548" s="84">
        <v>34043.5</v>
      </c>
      <c r="U548" s="84">
        <v>1545</v>
      </c>
      <c r="V548" s="32"/>
      <c r="W548" s="3" t="str">
        <f t="shared" si="195"/>
        <v>A</v>
      </c>
      <c r="X548" s="84">
        <v>29673</v>
      </c>
      <c r="Y548" s="84">
        <v>1352</v>
      </c>
      <c r="Z548" s="32"/>
      <c r="AA548" s="3" t="str">
        <f t="shared" si="196"/>
        <v>A</v>
      </c>
      <c r="AB548" s="84">
        <v>37261.5</v>
      </c>
      <c r="AC548" s="84">
        <v>1283</v>
      </c>
      <c r="AD548" s="36"/>
      <c r="AE548" s="82"/>
      <c r="AF548" s="3" t="str">
        <f t="shared" si="197"/>
        <v>A</v>
      </c>
      <c r="AG548" s="84">
        <v>0</v>
      </c>
      <c r="AH548" s="84">
        <v>0</v>
      </c>
      <c r="AI548" s="39"/>
      <c r="AJ548" s="79" t="s">
        <v>1801</v>
      </c>
      <c r="AK548" s="39"/>
      <c r="AL548" s="4">
        <f t="shared" si="202"/>
        <v>143002.25</v>
      </c>
      <c r="AM548" s="4">
        <f t="shared" si="203"/>
        <v>5989</v>
      </c>
      <c r="AN548" s="4">
        <f t="shared" si="198"/>
        <v>148991.25</v>
      </c>
      <c r="AO548" s="39"/>
      <c r="AP548" s="8">
        <f t="shared" si="204"/>
        <v>0</v>
      </c>
      <c r="AQ548" s="8">
        <f t="shared" si="205"/>
        <v>0</v>
      </c>
      <c r="AR548" s="8">
        <f t="shared" si="199"/>
        <v>0</v>
      </c>
      <c r="AS548" s="42"/>
      <c r="AT548" s="84">
        <v>143002.25</v>
      </c>
      <c r="AU548" s="84">
        <v>5989</v>
      </c>
      <c r="AV548" s="4">
        <f t="shared" si="200"/>
        <v>148991.25</v>
      </c>
      <c r="AW548" s="50" t="str">
        <f t="shared" si="201"/>
        <v/>
      </c>
      <c r="AX548" s="1" t="s">
        <v>1647</v>
      </c>
      <c r="AY548" s="2" t="s">
        <v>1640</v>
      </c>
      <c r="AZ548" s="2">
        <v>0</v>
      </c>
      <c r="BA548" s="73">
        <v>0</v>
      </c>
      <c r="BB548" s="73">
        <v>0</v>
      </c>
      <c r="BC548" s="73">
        <v>0</v>
      </c>
      <c r="BD548" s="73"/>
      <c r="BE548" s="66">
        <v>0</v>
      </c>
      <c r="BF548" s="66">
        <v>0.02</v>
      </c>
      <c r="BG548" s="63">
        <v>45031</v>
      </c>
      <c r="BH548" s="2"/>
      <c r="BI548" s="2"/>
      <c r="BJ548" s="2">
        <v>263760</v>
      </c>
      <c r="BK548" s="2">
        <v>13847.4</v>
      </c>
      <c r="BL548" s="1" t="s">
        <v>237</v>
      </c>
    </row>
    <row r="549" spans="1:64" x14ac:dyDescent="0.25">
      <c r="A549" s="81" t="s">
        <v>1231</v>
      </c>
      <c r="B549" s="82" t="s">
        <v>1245</v>
      </c>
      <c r="C549" s="81" t="s">
        <v>1246</v>
      </c>
      <c r="D549" s="16">
        <v>0</v>
      </c>
      <c r="E549" s="17">
        <v>45809</v>
      </c>
      <c r="F549" s="2" t="s">
        <v>109</v>
      </c>
      <c r="G549" s="2" t="s">
        <v>111</v>
      </c>
      <c r="H549" s="10" t="s">
        <v>98</v>
      </c>
      <c r="I549" s="11" t="s">
        <v>110</v>
      </c>
      <c r="J549" s="11" t="s">
        <v>286</v>
      </c>
      <c r="K549" s="61" t="s">
        <v>287</v>
      </c>
      <c r="L549" s="11" t="s">
        <v>67</v>
      </c>
      <c r="M549" s="25"/>
      <c r="N549" s="82"/>
      <c r="O549" s="3" t="str">
        <f t="shared" si="208"/>
        <v>A</v>
      </c>
      <c r="P549" s="84"/>
      <c r="Q549" s="84"/>
      <c r="R549" s="32"/>
      <c r="S549" s="3" t="str">
        <f t="shared" si="207"/>
        <v>A</v>
      </c>
      <c r="T549" s="84"/>
      <c r="U549" s="84"/>
      <c r="V549" s="32"/>
      <c r="W549" s="3" t="str">
        <f t="shared" si="195"/>
        <v>A</v>
      </c>
      <c r="X549" s="84"/>
      <c r="Y549" s="84"/>
      <c r="Z549" s="32"/>
      <c r="AA549" s="3" t="str">
        <f t="shared" si="196"/>
        <v>A</v>
      </c>
      <c r="AB549" s="84"/>
      <c r="AC549" s="84"/>
      <c r="AD549" s="36"/>
      <c r="AE549" s="82"/>
      <c r="AF549" s="3" t="str">
        <f t="shared" si="197"/>
        <v>A</v>
      </c>
      <c r="AG549" s="84"/>
      <c r="AH549" s="84"/>
      <c r="AI549" s="39"/>
      <c r="AJ549" s="79" t="s">
        <v>1801</v>
      </c>
      <c r="AK549" s="39"/>
      <c r="AL549" s="4">
        <f t="shared" si="202"/>
        <v>0</v>
      </c>
      <c r="AM549" s="4">
        <f t="shared" si="203"/>
        <v>0</v>
      </c>
      <c r="AN549" s="4">
        <f t="shared" si="198"/>
        <v>0</v>
      </c>
      <c r="AO549" s="39"/>
      <c r="AP549" s="8">
        <f t="shared" si="204"/>
        <v>0</v>
      </c>
      <c r="AQ549" s="8">
        <f t="shared" si="205"/>
        <v>0</v>
      </c>
      <c r="AR549" s="8">
        <f t="shared" si="199"/>
        <v>0</v>
      </c>
      <c r="AS549" s="42"/>
      <c r="AT549" s="84"/>
      <c r="AU549" s="84"/>
      <c r="AV549" s="4">
        <f t="shared" si="200"/>
        <v>0</v>
      </c>
      <c r="AW549" s="50" t="str">
        <f t="shared" si="201"/>
        <v/>
      </c>
      <c r="AX549" s="1" t="s">
        <v>1647</v>
      </c>
      <c r="AY549" s="2" t="s">
        <v>1640</v>
      </c>
      <c r="AZ549" s="2"/>
      <c r="BA549" s="73"/>
      <c r="BB549" s="73"/>
      <c r="BC549" s="73"/>
      <c r="BD549" s="73"/>
      <c r="BE549" s="66">
        <v>0</v>
      </c>
      <c r="BF549" s="66">
        <v>0.02</v>
      </c>
      <c r="BG549" s="63">
        <v>45034</v>
      </c>
      <c r="BH549" s="2"/>
      <c r="BI549" s="2"/>
      <c r="BJ549" s="2">
        <v>480000</v>
      </c>
      <c r="BK549" s="2"/>
      <c r="BL549" s="1" t="s">
        <v>1247</v>
      </c>
    </row>
    <row r="550" spans="1:64" x14ac:dyDescent="0.25">
      <c r="A550" s="81" t="s">
        <v>1231</v>
      </c>
      <c r="B550" s="82" t="s">
        <v>1252</v>
      </c>
      <c r="C550" s="81" t="s">
        <v>1253</v>
      </c>
      <c r="D550" s="16">
        <v>0</v>
      </c>
      <c r="E550" s="17"/>
      <c r="F550" s="2" t="s">
        <v>109</v>
      </c>
      <c r="G550" s="2" t="s">
        <v>111</v>
      </c>
      <c r="H550" s="10" t="s">
        <v>98</v>
      </c>
      <c r="I550" s="11" t="s">
        <v>110</v>
      </c>
      <c r="J550" s="11" t="s">
        <v>286</v>
      </c>
      <c r="K550" s="61" t="s">
        <v>287</v>
      </c>
      <c r="L550" s="11" t="s">
        <v>67</v>
      </c>
      <c r="M550" s="25"/>
      <c r="N550" s="82"/>
      <c r="O550" s="3" t="str">
        <f t="shared" si="208"/>
        <v>A</v>
      </c>
      <c r="P550" s="84">
        <v>54936</v>
      </c>
      <c r="Q550" s="84">
        <v>0</v>
      </c>
      <c r="R550" s="32"/>
      <c r="S550" s="3" t="str">
        <f t="shared" si="207"/>
        <v>A</v>
      </c>
      <c r="T550" s="84">
        <v>44438</v>
      </c>
      <c r="U550" s="84">
        <v>0</v>
      </c>
      <c r="V550" s="32"/>
      <c r="W550" s="3" t="str">
        <f t="shared" si="195"/>
        <v>A</v>
      </c>
      <c r="X550" s="84">
        <v>47147</v>
      </c>
      <c r="Y550" s="84">
        <v>0</v>
      </c>
      <c r="Z550" s="32"/>
      <c r="AA550" s="3" t="str">
        <f t="shared" si="196"/>
        <v>A</v>
      </c>
      <c r="AB550" s="84">
        <v>62584</v>
      </c>
      <c r="AC550" s="84">
        <v>0</v>
      </c>
      <c r="AD550" s="36"/>
      <c r="AE550" s="82"/>
      <c r="AF550" s="3" t="str">
        <f t="shared" si="197"/>
        <v>A</v>
      </c>
      <c r="AG550" s="84">
        <v>0</v>
      </c>
      <c r="AH550" s="84">
        <v>0</v>
      </c>
      <c r="AI550" s="39"/>
      <c r="AJ550" s="79" t="s">
        <v>1801</v>
      </c>
      <c r="AK550" s="39"/>
      <c r="AL550" s="4">
        <f t="shared" si="202"/>
        <v>209105</v>
      </c>
      <c r="AM550" s="4">
        <f t="shared" si="203"/>
        <v>0</v>
      </c>
      <c r="AN550" s="4">
        <f t="shared" si="198"/>
        <v>209105</v>
      </c>
      <c r="AO550" s="39"/>
      <c r="AP550" s="8">
        <f t="shared" si="204"/>
        <v>0</v>
      </c>
      <c r="AQ550" s="8">
        <f t="shared" si="205"/>
        <v>0</v>
      </c>
      <c r="AR550" s="8">
        <f t="shared" si="199"/>
        <v>0</v>
      </c>
      <c r="AS550" s="42"/>
      <c r="AT550" s="84">
        <v>209105</v>
      </c>
      <c r="AU550" s="84"/>
      <c r="AV550" s="4">
        <f t="shared" si="200"/>
        <v>209105</v>
      </c>
      <c r="AW550" s="50" t="str">
        <f t="shared" si="201"/>
        <v/>
      </c>
      <c r="AX550" s="1" t="s">
        <v>1647</v>
      </c>
      <c r="AY550" s="2" t="s">
        <v>1640</v>
      </c>
      <c r="AZ550" s="2">
        <v>66470.960000000006</v>
      </c>
      <c r="BA550" s="73">
        <v>58162.09</v>
      </c>
      <c r="BB550" s="73">
        <v>58162.09</v>
      </c>
      <c r="BC550" s="73">
        <v>66470.960000000006</v>
      </c>
      <c r="BD550" s="73"/>
      <c r="BE550" s="66">
        <v>0</v>
      </c>
      <c r="BF550" s="66">
        <v>0.02</v>
      </c>
      <c r="BG550" s="63">
        <v>45035</v>
      </c>
      <c r="BH550" s="2"/>
      <c r="BI550" s="2"/>
      <c r="BJ550" s="2">
        <v>240000</v>
      </c>
      <c r="BK550" s="2"/>
      <c r="BL550" s="1" t="s">
        <v>237</v>
      </c>
    </row>
    <row r="551" spans="1:64" x14ac:dyDescent="0.25">
      <c r="A551" s="81" t="s">
        <v>1231</v>
      </c>
      <c r="B551" s="82" t="s">
        <v>1280</v>
      </c>
      <c r="C551" s="81" t="s">
        <v>1281</v>
      </c>
      <c r="D551" s="16">
        <v>0</v>
      </c>
      <c r="E551" s="17"/>
      <c r="F551" s="2" t="s">
        <v>109</v>
      </c>
      <c r="G551" s="2" t="s">
        <v>111</v>
      </c>
      <c r="H551" s="10" t="s">
        <v>98</v>
      </c>
      <c r="I551" s="11" t="s">
        <v>110</v>
      </c>
      <c r="J551" s="11" t="s">
        <v>286</v>
      </c>
      <c r="K551" s="61" t="s">
        <v>287</v>
      </c>
      <c r="L551" s="11" t="s">
        <v>67</v>
      </c>
      <c r="M551" s="25"/>
      <c r="N551" s="82"/>
      <c r="O551" s="3" t="str">
        <f t="shared" si="208"/>
        <v>A</v>
      </c>
      <c r="P551" s="84">
        <v>33645</v>
      </c>
      <c r="Q551" s="84">
        <v>0</v>
      </c>
      <c r="R551" s="32"/>
      <c r="S551" s="3" t="str">
        <f t="shared" si="207"/>
        <v>A</v>
      </c>
      <c r="T551" s="84">
        <v>27442</v>
      </c>
      <c r="U551" s="84">
        <v>80</v>
      </c>
      <c r="V551" s="32"/>
      <c r="W551" s="3" t="str">
        <f t="shared" si="195"/>
        <v>A</v>
      </c>
      <c r="X551" s="84">
        <v>25111</v>
      </c>
      <c r="Y551" s="84">
        <v>0</v>
      </c>
      <c r="Z551" s="32"/>
      <c r="AA551" s="3" t="str">
        <f t="shared" si="196"/>
        <v>A</v>
      </c>
      <c r="AB551" s="84">
        <v>25060</v>
      </c>
      <c r="AC551" s="84">
        <v>160</v>
      </c>
      <c r="AD551" s="36"/>
      <c r="AE551" s="82"/>
      <c r="AF551" s="3" t="str">
        <f t="shared" si="197"/>
        <v>A</v>
      </c>
      <c r="AG551" s="84">
        <v>0</v>
      </c>
      <c r="AH551" s="84">
        <v>0</v>
      </c>
      <c r="AI551" s="39"/>
      <c r="AJ551" s="79" t="s">
        <v>1801</v>
      </c>
      <c r="AK551" s="39"/>
      <c r="AL551" s="4">
        <f t="shared" si="202"/>
        <v>111258</v>
      </c>
      <c r="AM551" s="4">
        <f t="shared" si="203"/>
        <v>240</v>
      </c>
      <c r="AN551" s="4">
        <f t="shared" si="198"/>
        <v>111498</v>
      </c>
      <c r="AO551" s="39"/>
      <c r="AP551" s="8">
        <f t="shared" si="204"/>
        <v>0</v>
      </c>
      <c r="AQ551" s="8">
        <f t="shared" si="205"/>
        <v>0</v>
      </c>
      <c r="AR551" s="8">
        <f t="shared" si="199"/>
        <v>0</v>
      </c>
      <c r="AS551" s="42"/>
      <c r="AT551" s="84">
        <v>111258</v>
      </c>
      <c r="AU551" s="84">
        <v>240</v>
      </c>
      <c r="AV551" s="4">
        <f t="shared" si="200"/>
        <v>111498</v>
      </c>
      <c r="AW551" s="50" t="str">
        <f t="shared" si="201"/>
        <v/>
      </c>
      <c r="AX551" s="1" t="s">
        <v>1647</v>
      </c>
      <c r="AY551" s="2" t="s">
        <v>1640</v>
      </c>
      <c r="AZ551" s="2">
        <v>89831.679999999993</v>
      </c>
      <c r="BA551" s="73">
        <v>78602.720000000001</v>
      </c>
      <c r="BB551" s="73">
        <v>78602.720000000001</v>
      </c>
      <c r="BC551" s="73">
        <v>89831.679999999993</v>
      </c>
      <c r="BD551" s="73"/>
      <c r="BE551" s="66">
        <v>0</v>
      </c>
      <c r="BF551" s="66">
        <v>0.02</v>
      </c>
      <c r="BG551" s="63">
        <v>45112</v>
      </c>
      <c r="BH551" s="2"/>
      <c r="BI551" s="2"/>
      <c r="BJ551" s="2">
        <v>324000</v>
      </c>
      <c r="BK551" s="2"/>
      <c r="BL551" s="1" t="s">
        <v>237</v>
      </c>
    </row>
    <row r="552" spans="1:64" x14ac:dyDescent="0.25">
      <c r="A552" s="81" t="s">
        <v>1239</v>
      </c>
      <c r="B552" s="82" t="s">
        <v>1239</v>
      </c>
      <c r="C552" s="81" t="s">
        <v>1240</v>
      </c>
      <c r="D552" s="16">
        <v>0</v>
      </c>
      <c r="E552" s="17"/>
      <c r="F552" s="2" t="s">
        <v>1164</v>
      </c>
      <c r="G552" s="2" t="s">
        <v>1165</v>
      </c>
      <c r="H552" s="10" t="s">
        <v>57</v>
      </c>
      <c r="I552" s="11" t="s">
        <v>53</v>
      </c>
      <c r="J552" s="11" t="s">
        <v>1166</v>
      </c>
      <c r="K552" s="61"/>
      <c r="L552" s="11" t="s">
        <v>67</v>
      </c>
      <c r="M552" s="25"/>
      <c r="N552" s="82"/>
      <c r="O552" s="3" t="str">
        <f t="shared" si="208"/>
        <v>A</v>
      </c>
      <c r="P552" s="84">
        <v>14776</v>
      </c>
      <c r="Q552" s="84">
        <v>1661</v>
      </c>
      <c r="R552" s="32"/>
      <c r="S552" s="3" t="str">
        <f t="shared" si="207"/>
        <v>A</v>
      </c>
      <c r="T552" s="84">
        <v>20280</v>
      </c>
      <c r="U552" s="84">
        <v>1823</v>
      </c>
      <c r="V552" s="32"/>
      <c r="W552" s="3" t="str">
        <f t="shared" si="195"/>
        <v>A</v>
      </c>
      <c r="X552" s="84">
        <v>20616</v>
      </c>
      <c r="Y552" s="84">
        <v>2171</v>
      </c>
      <c r="Z552" s="32"/>
      <c r="AA552" s="3" t="str">
        <f t="shared" si="196"/>
        <v>A</v>
      </c>
      <c r="AB552" s="84">
        <v>28140</v>
      </c>
      <c r="AC552" s="84">
        <v>1855</v>
      </c>
      <c r="AD552" s="36"/>
      <c r="AE552" s="82"/>
      <c r="AF552" s="3" t="str">
        <f t="shared" si="197"/>
        <v>A</v>
      </c>
      <c r="AG552" s="84">
        <v>0</v>
      </c>
      <c r="AH552" s="84">
        <v>0</v>
      </c>
      <c r="AI552" s="39"/>
      <c r="AJ552" s="79" t="s">
        <v>1801</v>
      </c>
      <c r="AK552" s="39"/>
      <c r="AL552" s="4">
        <f t="shared" si="202"/>
        <v>83812</v>
      </c>
      <c r="AM552" s="4">
        <f t="shared" si="203"/>
        <v>7510</v>
      </c>
      <c r="AN552" s="4">
        <f t="shared" si="198"/>
        <v>91322</v>
      </c>
      <c r="AO552" s="39"/>
      <c r="AP552" s="8">
        <f t="shared" si="204"/>
        <v>0</v>
      </c>
      <c r="AQ552" s="8">
        <f t="shared" si="205"/>
        <v>0</v>
      </c>
      <c r="AR552" s="8">
        <f t="shared" si="199"/>
        <v>0</v>
      </c>
      <c r="AS552" s="42"/>
      <c r="AT552" s="84">
        <v>83812</v>
      </c>
      <c r="AU552" s="84">
        <v>7510</v>
      </c>
      <c r="AV552" s="4">
        <f t="shared" si="200"/>
        <v>91322</v>
      </c>
      <c r="AW552" s="50" t="str">
        <f t="shared" si="201"/>
        <v/>
      </c>
      <c r="AX552" s="1" t="s">
        <v>1762</v>
      </c>
      <c r="AY552" s="2" t="s">
        <v>1763</v>
      </c>
      <c r="AZ552" s="2">
        <v>172300.32</v>
      </c>
      <c r="BA552" s="73">
        <v>150762.78</v>
      </c>
      <c r="BB552" s="73">
        <v>150762.78</v>
      </c>
      <c r="BC552" s="73">
        <v>172300.32</v>
      </c>
      <c r="BD552" s="73"/>
      <c r="BE552" s="66">
        <v>0</v>
      </c>
      <c r="BF552" s="66">
        <v>0.05</v>
      </c>
      <c r="BG552" s="63">
        <v>45036</v>
      </c>
      <c r="BH552" s="2"/>
      <c r="BI552" s="2"/>
      <c r="BJ552" s="2">
        <v>622106.88</v>
      </c>
      <c r="BK552" s="2">
        <v>69122.990000000005</v>
      </c>
      <c r="BL552" s="1" t="s">
        <v>56</v>
      </c>
    </row>
    <row r="553" spans="1:64" x14ac:dyDescent="0.25">
      <c r="A553" s="81" t="s">
        <v>1241</v>
      </c>
      <c r="B553" s="82" t="s">
        <v>1241</v>
      </c>
      <c r="C553" s="81" t="s">
        <v>1242</v>
      </c>
      <c r="D553" s="16">
        <v>0</v>
      </c>
      <c r="E553" s="17"/>
      <c r="F553" s="2" t="s">
        <v>109</v>
      </c>
      <c r="G553" s="2" t="s">
        <v>111</v>
      </c>
      <c r="H553" s="10" t="s">
        <v>98</v>
      </c>
      <c r="I553" s="11" t="s">
        <v>110</v>
      </c>
      <c r="J553" s="11" t="s">
        <v>286</v>
      </c>
      <c r="K553" s="61" t="s">
        <v>287</v>
      </c>
      <c r="L553" s="11" t="s">
        <v>67</v>
      </c>
      <c r="M553" s="25"/>
      <c r="N553" s="82"/>
      <c r="O553" s="3" t="str">
        <f t="shared" si="208"/>
        <v>A</v>
      </c>
      <c r="P553" s="84">
        <v>157438</v>
      </c>
      <c r="Q553" s="84">
        <v>3422</v>
      </c>
      <c r="R553" s="32"/>
      <c r="S553" s="3" t="str">
        <f t="shared" si="207"/>
        <v>A</v>
      </c>
      <c r="T553" s="84">
        <v>86046</v>
      </c>
      <c r="U553" s="84">
        <v>3399</v>
      </c>
      <c r="V553" s="32"/>
      <c r="W553" s="3" t="str">
        <f t="shared" si="195"/>
        <v>A</v>
      </c>
      <c r="X553" s="84">
        <v>102990.6</v>
      </c>
      <c r="Y553" s="84">
        <v>2810</v>
      </c>
      <c r="Z553" s="32"/>
      <c r="AA553" s="3" t="str">
        <f t="shared" si="196"/>
        <v>A</v>
      </c>
      <c r="AB553" s="84">
        <v>125786</v>
      </c>
      <c r="AC553" s="84">
        <v>3858.38</v>
      </c>
      <c r="AD553" s="36"/>
      <c r="AE553" s="82"/>
      <c r="AF553" s="3" t="str">
        <f t="shared" si="197"/>
        <v>A</v>
      </c>
      <c r="AG553" s="84">
        <v>0</v>
      </c>
      <c r="AH553" s="84">
        <v>0</v>
      </c>
      <c r="AI553" s="39"/>
      <c r="AJ553" s="79" t="s">
        <v>1801</v>
      </c>
      <c r="AK553" s="39"/>
      <c r="AL553" s="4">
        <f t="shared" si="202"/>
        <v>472260.6</v>
      </c>
      <c r="AM553" s="4">
        <f t="shared" si="203"/>
        <v>13489.380000000001</v>
      </c>
      <c r="AN553" s="4">
        <f t="shared" si="198"/>
        <v>485749.98</v>
      </c>
      <c r="AO553" s="39"/>
      <c r="AP553" s="8">
        <f t="shared" si="204"/>
        <v>0</v>
      </c>
      <c r="AQ553" s="8">
        <f t="shared" si="205"/>
        <v>0</v>
      </c>
      <c r="AR553" s="8">
        <f t="shared" si="199"/>
        <v>0</v>
      </c>
      <c r="AS553" s="42"/>
      <c r="AT553" s="84">
        <v>472260.6</v>
      </c>
      <c r="AU553" s="84">
        <v>13489.38</v>
      </c>
      <c r="AV553" s="4">
        <f t="shared" si="200"/>
        <v>485749.98</v>
      </c>
      <c r="AW553" s="50" t="str">
        <f t="shared" si="201"/>
        <v/>
      </c>
      <c r="AX553" s="1" t="s">
        <v>1647</v>
      </c>
      <c r="AY553" s="2" t="s">
        <v>1640</v>
      </c>
      <c r="AZ553" s="2">
        <v>129611.2</v>
      </c>
      <c r="BA553" s="73">
        <v>113409.8</v>
      </c>
      <c r="BB553" s="73">
        <v>113409.8</v>
      </c>
      <c r="BC553" s="73">
        <v>129611.2</v>
      </c>
      <c r="BD553" s="73"/>
      <c r="BE553" s="66">
        <v>0</v>
      </c>
      <c r="BF553" s="66">
        <v>0.02</v>
      </c>
      <c r="BG553" s="63">
        <v>45152</v>
      </c>
      <c r="BH553" s="2"/>
      <c r="BI553" s="2"/>
      <c r="BJ553" s="2">
        <v>464688</v>
      </c>
      <c r="BK553" s="2">
        <v>24396.12</v>
      </c>
      <c r="BL553" s="1" t="s">
        <v>237</v>
      </c>
    </row>
    <row r="554" spans="1:64" x14ac:dyDescent="0.25">
      <c r="A554" s="81" t="s">
        <v>1241</v>
      </c>
      <c r="B554" s="82" t="s">
        <v>1248</v>
      </c>
      <c r="C554" s="81" t="s">
        <v>1249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286</v>
      </c>
      <c r="K554" s="61" t="s">
        <v>287</v>
      </c>
      <c r="L554" s="11" t="s">
        <v>67</v>
      </c>
      <c r="M554" s="25"/>
      <c r="N554" s="82"/>
      <c r="O554" s="3" t="str">
        <f t="shared" si="208"/>
        <v>A</v>
      </c>
      <c r="P554" s="84">
        <v>34455</v>
      </c>
      <c r="Q554" s="84">
        <v>3010</v>
      </c>
      <c r="R554" s="32"/>
      <c r="S554" s="3" t="str">
        <f t="shared" si="207"/>
        <v>A</v>
      </c>
      <c r="T554" s="84">
        <v>37763</v>
      </c>
      <c r="U554" s="84">
        <v>3690</v>
      </c>
      <c r="V554" s="32"/>
      <c r="W554" s="3" t="str">
        <f t="shared" si="195"/>
        <v>A</v>
      </c>
      <c r="X554" s="84">
        <v>38176</v>
      </c>
      <c r="Y554" s="84">
        <v>2485</v>
      </c>
      <c r="Z554" s="32"/>
      <c r="AA554" s="3" t="str">
        <f t="shared" si="196"/>
        <v>A</v>
      </c>
      <c r="AB554" s="84">
        <v>46676</v>
      </c>
      <c r="AC554" s="84">
        <v>3380</v>
      </c>
      <c r="AD554" s="36"/>
      <c r="AE554" s="82"/>
      <c r="AF554" s="3" t="str">
        <f t="shared" si="197"/>
        <v>A</v>
      </c>
      <c r="AG554" s="84">
        <v>0</v>
      </c>
      <c r="AH554" s="84">
        <v>0</v>
      </c>
      <c r="AI554" s="39"/>
      <c r="AJ554" s="79" t="s">
        <v>1801</v>
      </c>
      <c r="AK554" s="39"/>
      <c r="AL554" s="4">
        <f t="shared" si="202"/>
        <v>157070</v>
      </c>
      <c r="AM554" s="4">
        <f t="shared" si="203"/>
        <v>12565</v>
      </c>
      <c r="AN554" s="4">
        <f t="shared" si="198"/>
        <v>169635</v>
      </c>
      <c r="AO554" s="39"/>
      <c r="AP554" s="8">
        <f t="shared" si="204"/>
        <v>0</v>
      </c>
      <c r="AQ554" s="8">
        <f t="shared" si="205"/>
        <v>0</v>
      </c>
      <c r="AR554" s="8">
        <f t="shared" si="199"/>
        <v>0</v>
      </c>
      <c r="AS554" s="42"/>
      <c r="AT554" s="84">
        <v>157070</v>
      </c>
      <c r="AU554" s="84">
        <v>12565</v>
      </c>
      <c r="AV554" s="4">
        <f t="shared" si="200"/>
        <v>169635</v>
      </c>
      <c r="AW554" s="50" t="str">
        <f t="shared" si="201"/>
        <v/>
      </c>
      <c r="AX554" s="1" t="s">
        <v>1647</v>
      </c>
      <c r="AY554" s="2" t="s">
        <v>1640</v>
      </c>
      <c r="AZ554" s="2">
        <v>66989.84</v>
      </c>
      <c r="BA554" s="73">
        <v>58616.11</v>
      </c>
      <c r="BB554" s="73">
        <v>58616.11</v>
      </c>
      <c r="BC554" s="73">
        <v>66989.84</v>
      </c>
      <c r="BD554" s="73"/>
      <c r="BE554" s="66">
        <v>0</v>
      </c>
      <c r="BF554" s="66">
        <v>0.02</v>
      </c>
      <c r="BG554" s="63">
        <v>45173</v>
      </c>
      <c r="BH554" s="2"/>
      <c r="BI554" s="2"/>
      <c r="BJ554" s="2">
        <v>242940</v>
      </c>
      <c r="BK554" s="2">
        <v>12754</v>
      </c>
      <c r="BL554" s="1" t="s">
        <v>1247</v>
      </c>
    </row>
    <row r="555" spans="1:64" x14ac:dyDescent="0.25">
      <c r="A555" s="81" t="s">
        <v>1241</v>
      </c>
      <c r="B555" s="82" t="s">
        <v>1250</v>
      </c>
      <c r="C555" s="81" t="s">
        <v>1251</v>
      </c>
      <c r="D555" s="16">
        <v>45250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286</v>
      </c>
      <c r="K555" s="61" t="s">
        <v>287</v>
      </c>
      <c r="L555" s="11" t="s">
        <v>67</v>
      </c>
      <c r="M555" s="25"/>
      <c r="N555" s="82"/>
      <c r="O555" s="3" t="str">
        <f t="shared" si="208"/>
        <v>A</v>
      </c>
      <c r="P555" s="84">
        <v>34910</v>
      </c>
      <c r="Q555" s="84">
        <v>3780</v>
      </c>
      <c r="R555" s="32"/>
      <c r="S555" s="3" t="str">
        <f t="shared" si="207"/>
        <v>A</v>
      </c>
      <c r="T555" s="84">
        <v>30539</v>
      </c>
      <c r="U555" s="84">
        <v>2815</v>
      </c>
      <c r="V555" s="32"/>
      <c r="W555" s="3" t="str">
        <f t="shared" si="195"/>
        <v>A</v>
      </c>
      <c r="X555" s="84">
        <v>25501</v>
      </c>
      <c r="Y555" s="84">
        <v>2925</v>
      </c>
      <c r="Z555" s="32"/>
      <c r="AA555" s="3" t="str">
        <f t="shared" si="196"/>
        <v>A</v>
      </c>
      <c r="AB555" s="84">
        <v>31746</v>
      </c>
      <c r="AC555" s="84">
        <v>2015</v>
      </c>
      <c r="AD555" s="36"/>
      <c r="AE555" s="82"/>
      <c r="AF555" s="3" t="str">
        <f t="shared" si="197"/>
        <v>A</v>
      </c>
      <c r="AG555" s="84">
        <v>0</v>
      </c>
      <c r="AH555" s="84">
        <v>0</v>
      </c>
      <c r="AI555" s="39"/>
      <c r="AJ555" s="79" t="s">
        <v>1801</v>
      </c>
      <c r="AK555" s="39"/>
      <c r="AL555" s="4">
        <f t="shared" si="202"/>
        <v>122696</v>
      </c>
      <c r="AM555" s="4">
        <f t="shared" si="203"/>
        <v>11535</v>
      </c>
      <c r="AN555" s="4">
        <f t="shared" si="198"/>
        <v>134231</v>
      </c>
      <c r="AO555" s="39"/>
      <c r="AP555" s="8">
        <f t="shared" si="204"/>
        <v>0</v>
      </c>
      <c r="AQ555" s="8">
        <f t="shared" si="205"/>
        <v>0</v>
      </c>
      <c r="AR555" s="8">
        <f t="shared" si="199"/>
        <v>0</v>
      </c>
      <c r="AS555" s="42"/>
      <c r="AT555" s="84">
        <v>122696</v>
      </c>
      <c r="AU555" s="84">
        <v>11535</v>
      </c>
      <c r="AV555" s="4">
        <f t="shared" si="200"/>
        <v>134231</v>
      </c>
      <c r="AW555" s="50" t="str">
        <f t="shared" si="201"/>
        <v/>
      </c>
      <c r="AX555" s="1" t="s">
        <v>1647</v>
      </c>
      <c r="AY555" s="2" t="s">
        <v>1640</v>
      </c>
      <c r="AZ555" s="2">
        <v>98800.639999999999</v>
      </c>
      <c r="BA555" s="73">
        <v>86450.559999999998</v>
      </c>
      <c r="BB555" s="73">
        <v>86450.559999999998</v>
      </c>
      <c r="BC555" s="73">
        <v>98800.639999999999</v>
      </c>
      <c r="BD555" s="73"/>
      <c r="BE555" s="66">
        <v>0</v>
      </c>
      <c r="BF555" s="66">
        <v>0.02</v>
      </c>
      <c r="BG555" s="63">
        <v>45250</v>
      </c>
      <c r="BH555" s="2"/>
      <c r="BI555" s="2"/>
      <c r="BJ555" s="2">
        <v>368613</v>
      </c>
      <c r="BK555" s="2">
        <v>19352</v>
      </c>
      <c r="BL555" s="1" t="s">
        <v>1247</v>
      </c>
    </row>
    <row r="556" spans="1:64" x14ac:dyDescent="0.25">
      <c r="A556" s="81" t="s">
        <v>1254</v>
      </c>
      <c r="B556" s="82" t="s">
        <v>1254</v>
      </c>
      <c r="C556" s="81" t="s">
        <v>1255</v>
      </c>
      <c r="D556" s="16">
        <v>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286</v>
      </c>
      <c r="K556" s="61" t="s">
        <v>287</v>
      </c>
      <c r="L556" s="11" t="s">
        <v>67</v>
      </c>
      <c r="M556" s="25"/>
      <c r="N556" s="82"/>
      <c r="O556" s="3" t="str">
        <f t="shared" si="208"/>
        <v>A</v>
      </c>
      <c r="P556" s="84">
        <v>33738</v>
      </c>
      <c r="Q556" s="84">
        <v>1967</v>
      </c>
      <c r="R556" s="32"/>
      <c r="S556" s="3" t="str">
        <f t="shared" si="207"/>
        <v>A</v>
      </c>
      <c r="T556" s="84">
        <v>24801</v>
      </c>
      <c r="U556" s="84">
        <v>1326</v>
      </c>
      <c r="V556" s="32"/>
      <c r="W556" s="3" t="str">
        <f t="shared" si="195"/>
        <v>A</v>
      </c>
      <c r="X556" s="84">
        <v>40323.75</v>
      </c>
      <c r="Y556" s="84">
        <v>548</v>
      </c>
      <c r="Z556" s="32"/>
      <c r="AA556" s="3" t="str">
        <f t="shared" si="196"/>
        <v>A</v>
      </c>
      <c r="AB556" s="84">
        <v>32614</v>
      </c>
      <c r="AC556" s="84">
        <v>756</v>
      </c>
      <c r="AD556" s="36"/>
      <c r="AE556" s="82"/>
      <c r="AF556" s="3" t="str">
        <f t="shared" si="197"/>
        <v>A</v>
      </c>
      <c r="AG556" s="84">
        <v>0</v>
      </c>
      <c r="AH556" s="84">
        <v>0</v>
      </c>
      <c r="AI556" s="39"/>
      <c r="AJ556" s="79" t="s">
        <v>1801</v>
      </c>
      <c r="AK556" s="39"/>
      <c r="AL556" s="4">
        <f t="shared" si="202"/>
        <v>131476.75</v>
      </c>
      <c r="AM556" s="4">
        <f t="shared" si="203"/>
        <v>4597</v>
      </c>
      <c r="AN556" s="4">
        <f t="shared" si="198"/>
        <v>136073.75</v>
      </c>
      <c r="AO556" s="39"/>
      <c r="AP556" s="8">
        <f t="shared" si="204"/>
        <v>0</v>
      </c>
      <c r="AQ556" s="8">
        <f t="shared" si="205"/>
        <v>0</v>
      </c>
      <c r="AR556" s="8">
        <f t="shared" si="199"/>
        <v>0</v>
      </c>
      <c r="AS556" s="42"/>
      <c r="AT556" s="84">
        <v>131476.75</v>
      </c>
      <c r="AU556" s="84">
        <v>4597</v>
      </c>
      <c r="AV556" s="4">
        <f t="shared" si="200"/>
        <v>136073.75</v>
      </c>
      <c r="AW556" s="50" t="str">
        <f t="shared" si="201"/>
        <v/>
      </c>
      <c r="AX556" s="1" t="s">
        <v>1647</v>
      </c>
      <c r="AY556" s="2" t="s">
        <v>1640</v>
      </c>
      <c r="AZ556" s="2">
        <v>106824.64</v>
      </c>
      <c r="BA556" s="73">
        <v>93471.56</v>
      </c>
      <c r="BB556" s="73">
        <v>93471.56</v>
      </c>
      <c r="BC556" s="73">
        <v>106824.64</v>
      </c>
      <c r="BD556" s="73"/>
      <c r="BE556" s="66">
        <v>0</v>
      </c>
      <c r="BF556" s="66">
        <v>0.02</v>
      </c>
      <c r="BG556" s="63">
        <v>45131</v>
      </c>
      <c r="BH556" s="2"/>
      <c r="BI556" s="2"/>
      <c r="BJ556" s="2">
        <v>385290</v>
      </c>
      <c r="BK556" s="2">
        <v>20227.73</v>
      </c>
      <c r="BL556" s="1" t="s">
        <v>237</v>
      </c>
    </row>
    <row r="557" spans="1:64" x14ac:dyDescent="0.25">
      <c r="A557" s="81" t="s">
        <v>1256</v>
      </c>
      <c r="B557" s="82" t="s">
        <v>1256</v>
      </c>
      <c r="C557" s="81" t="s">
        <v>1257</v>
      </c>
      <c r="D557" s="16">
        <v>45278</v>
      </c>
      <c r="E557" s="17"/>
      <c r="F557" s="2" t="s">
        <v>52</v>
      </c>
      <c r="G557" s="2" t="s">
        <v>55</v>
      </c>
      <c r="H557" s="10" t="s">
        <v>57</v>
      </c>
      <c r="I557" s="11" t="s">
        <v>54</v>
      </c>
      <c r="J557" s="11" t="s">
        <v>83</v>
      </c>
      <c r="K557" s="61" t="s">
        <v>84</v>
      </c>
      <c r="L557" s="11" t="s">
        <v>67</v>
      </c>
      <c r="M557" s="25"/>
      <c r="N557" s="82"/>
      <c r="O557" s="3" t="str">
        <f t="shared" si="208"/>
        <v>A</v>
      </c>
      <c r="P557" s="84">
        <v>101904.75000000001</v>
      </c>
      <c r="Q557" s="84">
        <v>15986</v>
      </c>
      <c r="R557" s="32"/>
      <c r="S557" s="3" t="str">
        <f t="shared" si="207"/>
        <v>A</v>
      </c>
      <c r="T557" s="84">
        <v>93498.400000000009</v>
      </c>
      <c r="U557" s="84">
        <v>15137</v>
      </c>
      <c r="V557" s="32"/>
      <c r="W557" s="3" t="str">
        <f t="shared" si="195"/>
        <v>A</v>
      </c>
      <c r="X557" s="84">
        <v>87216.75</v>
      </c>
      <c r="Y557" s="84">
        <v>15734</v>
      </c>
      <c r="Z557" s="32"/>
      <c r="AA557" s="3" t="str">
        <f t="shared" si="196"/>
        <v>A</v>
      </c>
      <c r="AB557" s="84">
        <v>92150</v>
      </c>
      <c r="AC557" s="84">
        <v>16444</v>
      </c>
      <c r="AD557" s="36"/>
      <c r="AE557" s="82"/>
      <c r="AF557" s="3" t="str">
        <f t="shared" si="197"/>
        <v>A</v>
      </c>
      <c r="AG557" s="84">
        <v>0</v>
      </c>
      <c r="AH557" s="84">
        <v>0</v>
      </c>
      <c r="AI557" s="39"/>
      <c r="AJ557" s="79" t="s">
        <v>1801</v>
      </c>
      <c r="AK557" s="39"/>
      <c r="AL557" s="4">
        <f t="shared" si="202"/>
        <v>374769.9</v>
      </c>
      <c r="AM557" s="4">
        <f t="shared" si="203"/>
        <v>63301</v>
      </c>
      <c r="AN557" s="4">
        <f t="shared" si="198"/>
        <v>438070.9</v>
      </c>
      <c r="AO557" s="39"/>
      <c r="AP557" s="8">
        <f t="shared" si="204"/>
        <v>0</v>
      </c>
      <c r="AQ557" s="8">
        <f t="shared" si="205"/>
        <v>0</v>
      </c>
      <c r="AR557" s="8">
        <f t="shared" si="199"/>
        <v>0</v>
      </c>
      <c r="AS557" s="42"/>
      <c r="AT557" s="84">
        <v>374769.9</v>
      </c>
      <c r="AU557" s="84">
        <v>63301</v>
      </c>
      <c r="AV557" s="4">
        <f t="shared" si="200"/>
        <v>438070.9</v>
      </c>
      <c r="AW557" s="50" t="str">
        <f t="shared" si="201"/>
        <v/>
      </c>
      <c r="AX557" s="1" t="s">
        <v>1639</v>
      </c>
      <c r="AY557" s="2" t="s">
        <v>1640</v>
      </c>
      <c r="AZ557" s="2">
        <v>215358.48</v>
      </c>
      <c r="BA557" s="73">
        <v>188438.67</v>
      </c>
      <c r="BB557" s="73">
        <v>188438.67</v>
      </c>
      <c r="BC557" s="73">
        <v>215358.48</v>
      </c>
      <c r="BD557" s="73"/>
      <c r="BE557" s="66">
        <v>0</v>
      </c>
      <c r="BF557" s="66">
        <v>0.02</v>
      </c>
      <c r="BG557" s="63">
        <v>45271</v>
      </c>
      <c r="BH557" s="2"/>
      <c r="BI557" s="2"/>
      <c r="BJ557" s="2">
        <v>819238.22</v>
      </c>
      <c r="BK557" s="2">
        <v>144571.45000000001</v>
      </c>
      <c r="BL557" s="1" t="s">
        <v>56</v>
      </c>
    </row>
    <row r="558" spans="1:64" x14ac:dyDescent="0.25">
      <c r="A558" s="81" t="s">
        <v>1264</v>
      </c>
      <c r="B558" s="82" t="s">
        <v>1264</v>
      </c>
      <c r="C558" s="81" t="s">
        <v>1265</v>
      </c>
      <c r="D558" s="16">
        <v>45064</v>
      </c>
      <c r="E558" s="17">
        <v>45832</v>
      </c>
      <c r="F558" s="2" t="s">
        <v>1266</v>
      </c>
      <c r="G558" s="2" t="s">
        <v>1267</v>
      </c>
      <c r="H558" s="10" t="s">
        <v>98</v>
      </c>
      <c r="I558" s="11" t="s">
        <v>53</v>
      </c>
      <c r="J558" s="11" t="s">
        <v>99</v>
      </c>
      <c r="K558" s="61"/>
      <c r="L558" s="11" t="s">
        <v>67</v>
      </c>
      <c r="M558" s="25"/>
      <c r="N558" s="82"/>
      <c r="O558" s="3" t="str">
        <f t="shared" si="208"/>
        <v>E</v>
      </c>
      <c r="P558" s="84">
        <v>111574.64</v>
      </c>
      <c r="Q558" s="84">
        <v>5584.64</v>
      </c>
      <c r="R558" s="32"/>
      <c r="S558" s="3" t="str">
        <f t="shared" si="207"/>
        <v>E</v>
      </c>
      <c r="T558" s="84">
        <v>97627.81</v>
      </c>
      <c r="U558" s="84">
        <v>4886.5600000000004</v>
      </c>
      <c r="V558" s="32"/>
      <c r="W558" s="3" t="str">
        <f t="shared" si="195"/>
        <v>E</v>
      </c>
      <c r="X558" s="84">
        <v>97627.81</v>
      </c>
      <c r="Y558" s="84">
        <v>4886.5600000000004</v>
      </c>
      <c r="Z558" s="32"/>
      <c r="AA558" s="3" t="str">
        <f t="shared" si="196"/>
        <v>E</v>
      </c>
      <c r="AB558" s="84">
        <v>111574.64</v>
      </c>
      <c r="AC558" s="84">
        <v>5584.64</v>
      </c>
      <c r="AD558" s="36"/>
      <c r="AE558" s="82"/>
      <c r="AF558" s="3" t="str">
        <f t="shared" si="197"/>
        <v>A</v>
      </c>
      <c r="AG558" s="84"/>
      <c r="AH558" s="84"/>
      <c r="AI558" s="39"/>
      <c r="AJ558" s="79" t="s">
        <v>38</v>
      </c>
      <c r="AK558" s="39"/>
      <c r="AL558" s="4">
        <f t="shared" si="202"/>
        <v>0</v>
      </c>
      <c r="AM558" s="4">
        <f t="shared" si="203"/>
        <v>0</v>
      </c>
      <c r="AN558" s="4">
        <f t="shared" si="198"/>
        <v>0</v>
      </c>
      <c r="AO558" s="39"/>
      <c r="AP558" s="8">
        <f t="shared" si="204"/>
        <v>418404.9</v>
      </c>
      <c r="AQ558" s="8">
        <f t="shared" si="205"/>
        <v>20942.400000000001</v>
      </c>
      <c r="AR558" s="8">
        <f t="shared" si="199"/>
        <v>439347.30000000005</v>
      </c>
      <c r="AS558" s="42"/>
      <c r="AT558" s="84"/>
      <c r="AU558" s="84"/>
      <c r="AV558" s="4">
        <f t="shared" si="200"/>
        <v>0</v>
      </c>
      <c r="AW558" s="50" t="str">
        <f t="shared" si="201"/>
        <v/>
      </c>
      <c r="AX558" s="1" t="s">
        <v>1768</v>
      </c>
      <c r="AY558" s="2" t="s">
        <v>1769</v>
      </c>
      <c r="AZ558" s="2">
        <v>111574.64</v>
      </c>
      <c r="BA558" s="73">
        <v>97627.81</v>
      </c>
      <c r="BB558" s="73">
        <v>97627.81</v>
      </c>
      <c r="BC558" s="73">
        <v>111574.64</v>
      </c>
      <c r="BD558" s="73"/>
      <c r="BE558" s="66">
        <v>0</v>
      </c>
      <c r="BF558" s="66">
        <v>0.05</v>
      </c>
      <c r="BG558" s="63">
        <v>45062</v>
      </c>
      <c r="BH558" s="74">
        <v>45832</v>
      </c>
      <c r="BI558" s="2"/>
      <c r="BJ558" s="2">
        <v>409910.4</v>
      </c>
      <c r="BK558" s="2">
        <v>21520.3</v>
      </c>
      <c r="BL558" s="1" t="s">
        <v>97</v>
      </c>
    </row>
    <row r="559" spans="1:64" x14ac:dyDescent="0.25">
      <c r="A559" s="81" t="s">
        <v>1264</v>
      </c>
      <c r="B559" s="82" t="s">
        <v>1346</v>
      </c>
      <c r="C559" s="81" t="s">
        <v>1347</v>
      </c>
      <c r="D559" s="16">
        <v>0</v>
      </c>
      <c r="E559" s="17"/>
      <c r="F559" s="2" t="s">
        <v>1266</v>
      </c>
      <c r="G559" s="2" t="s">
        <v>1267</v>
      </c>
      <c r="H559" s="10" t="s">
        <v>98</v>
      </c>
      <c r="I559" s="11" t="s">
        <v>53</v>
      </c>
      <c r="J559" s="11" t="s">
        <v>99</v>
      </c>
      <c r="K559" s="61"/>
      <c r="L559" s="11" t="s">
        <v>67</v>
      </c>
      <c r="M559" s="25"/>
      <c r="N559" s="82"/>
      <c r="O559" s="3" t="str">
        <f>IF($A559="","",IF(P559=AZ559,"E","A"))</f>
        <v>E</v>
      </c>
      <c r="P559" s="84">
        <v>94063.679999999993</v>
      </c>
      <c r="Q559" s="84">
        <v>4583.5200000000004</v>
      </c>
      <c r="R559" s="32"/>
      <c r="S559" s="3" t="str">
        <f t="shared" si="207"/>
        <v>E</v>
      </c>
      <c r="T559" s="84">
        <v>82305.72</v>
      </c>
      <c r="U559" s="84">
        <v>4010.58</v>
      </c>
      <c r="V559" s="32"/>
      <c r="W559" s="3" t="str">
        <f t="shared" si="195"/>
        <v>E</v>
      </c>
      <c r="X559" s="84">
        <v>82305.72</v>
      </c>
      <c r="Y559" s="84">
        <v>4010.58</v>
      </c>
      <c r="Z559" s="32"/>
      <c r="AA559" s="3" t="str">
        <f t="shared" si="196"/>
        <v>E</v>
      </c>
      <c r="AB559" s="84">
        <v>94063.679999999993</v>
      </c>
      <c r="AC559" s="84">
        <v>4583.5200000000004</v>
      </c>
      <c r="AD559" s="36"/>
      <c r="AE559" s="82"/>
      <c r="AF559" s="3" t="str">
        <f t="shared" si="197"/>
        <v>A</v>
      </c>
      <c r="AG559" s="84"/>
      <c r="AH559" s="84"/>
      <c r="AI559" s="39"/>
      <c r="AJ559" s="79" t="s">
        <v>38</v>
      </c>
      <c r="AK559" s="39"/>
      <c r="AL559" s="4">
        <f t="shared" si="202"/>
        <v>0</v>
      </c>
      <c r="AM559" s="4">
        <f t="shared" si="203"/>
        <v>0</v>
      </c>
      <c r="AN559" s="4">
        <f t="shared" si="198"/>
        <v>0</v>
      </c>
      <c r="AO559" s="39"/>
      <c r="AP559" s="8">
        <f t="shared" si="204"/>
        <v>352738.8</v>
      </c>
      <c r="AQ559" s="8">
        <f t="shared" si="205"/>
        <v>17188.2</v>
      </c>
      <c r="AR559" s="8">
        <f t="shared" si="199"/>
        <v>369927</v>
      </c>
      <c r="AS559" s="42"/>
      <c r="AT559" s="84"/>
      <c r="AU559" s="84"/>
      <c r="AV559" s="4">
        <f t="shared" si="200"/>
        <v>0</v>
      </c>
      <c r="AW559" s="50" t="str">
        <f t="shared" si="201"/>
        <v/>
      </c>
      <c r="AX559" s="1" t="s">
        <v>1768</v>
      </c>
      <c r="AY559" s="2" t="s">
        <v>1769</v>
      </c>
      <c r="AZ559" s="2">
        <v>94063.679999999993</v>
      </c>
      <c r="BA559" s="73">
        <v>82305.72</v>
      </c>
      <c r="BB559" s="73">
        <v>82305.72</v>
      </c>
      <c r="BC559" s="73">
        <v>94063.679999999993</v>
      </c>
      <c r="BD559" s="73"/>
      <c r="BE559" s="66">
        <v>0</v>
      </c>
      <c r="BF559" s="66">
        <v>0.05</v>
      </c>
      <c r="BG559" s="63">
        <v>45138</v>
      </c>
      <c r="BH559" s="2"/>
      <c r="BI559" s="74">
        <v>45809</v>
      </c>
      <c r="BJ559" s="2">
        <v>339264</v>
      </c>
      <c r="BK559" s="2">
        <v>17811.36</v>
      </c>
      <c r="BL559" s="1" t="s">
        <v>97</v>
      </c>
    </row>
    <row r="560" spans="1:64" x14ac:dyDescent="0.25">
      <c r="A560" s="81" t="s">
        <v>1268</v>
      </c>
      <c r="B560" s="82" t="s">
        <v>1268</v>
      </c>
      <c r="C560" s="81" t="s">
        <v>1269</v>
      </c>
      <c r="D560" s="16">
        <v>45092</v>
      </c>
      <c r="E560" s="17"/>
      <c r="F560" s="2" t="s">
        <v>1270</v>
      </c>
      <c r="G560" s="2" t="s">
        <v>1271</v>
      </c>
      <c r="H560" s="10" t="s">
        <v>98</v>
      </c>
      <c r="I560" s="11" t="s">
        <v>53</v>
      </c>
      <c r="J560" s="11" t="s">
        <v>99</v>
      </c>
      <c r="K560" s="61"/>
      <c r="L560" s="11" t="s">
        <v>67</v>
      </c>
      <c r="M560" s="25"/>
      <c r="N560" s="82"/>
      <c r="O560" s="3" t="str">
        <f>IF($A560="","",IF(P560=0,"A",IF(P560=AZ560,"E","A")))</f>
        <v>A</v>
      </c>
      <c r="P560" s="84">
        <v>81052</v>
      </c>
      <c r="Q560" s="84">
        <v>0</v>
      </c>
      <c r="R560" s="32"/>
      <c r="S560" s="3" t="str">
        <f t="shared" si="207"/>
        <v>A</v>
      </c>
      <c r="T560" s="84">
        <v>72860</v>
      </c>
      <c r="U560" s="84">
        <v>261</v>
      </c>
      <c r="V560" s="32"/>
      <c r="W560" s="3" t="str">
        <f t="shared" si="195"/>
        <v>A</v>
      </c>
      <c r="X560" s="84">
        <v>68641</v>
      </c>
      <c r="Y560" s="84">
        <v>189</v>
      </c>
      <c r="Z560" s="32"/>
      <c r="AA560" s="3" t="str">
        <f t="shared" si="196"/>
        <v>A</v>
      </c>
      <c r="AB560" s="84">
        <v>69596</v>
      </c>
      <c r="AC560" s="84">
        <v>108</v>
      </c>
      <c r="AD560" s="36"/>
      <c r="AE560" s="82"/>
      <c r="AF560" s="3" t="str">
        <f t="shared" si="197"/>
        <v>A</v>
      </c>
      <c r="AG560" s="84">
        <v>0</v>
      </c>
      <c r="AH560" s="84">
        <v>0</v>
      </c>
      <c r="AI560" s="39"/>
      <c r="AJ560" s="79" t="s">
        <v>1801</v>
      </c>
      <c r="AK560" s="39"/>
      <c r="AL560" s="4">
        <f t="shared" si="202"/>
        <v>292149</v>
      </c>
      <c r="AM560" s="4">
        <f t="shared" si="203"/>
        <v>558</v>
      </c>
      <c r="AN560" s="4">
        <f t="shared" si="198"/>
        <v>292707</v>
      </c>
      <c r="AO560" s="39"/>
      <c r="AP560" s="8">
        <f t="shared" si="204"/>
        <v>0</v>
      </c>
      <c r="AQ560" s="8">
        <f t="shared" si="205"/>
        <v>0</v>
      </c>
      <c r="AR560" s="8">
        <f t="shared" si="199"/>
        <v>0</v>
      </c>
      <c r="AS560" s="42"/>
      <c r="AT560" s="84">
        <v>292149</v>
      </c>
      <c r="AU560" s="84">
        <v>558</v>
      </c>
      <c r="AV560" s="4">
        <f t="shared" si="200"/>
        <v>292707</v>
      </c>
      <c r="AW560" s="50" t="str">
        <f t="shared" si="201"/>
        <v/>
      </c>
      <c r="AX560" s="1" t="s">
        <v>1770</v>
      </c>
      <c r="AY560" s="2" t="s">
        <v>1771</v>
      </c>
      <c r="AZ560" s="2">
        <v>145906.88</v>
      </c>
      <c r="BA560" s="73">
        <v>127668.52</v>
      </c>
      <c r="BB560" s="73">
        <v>127668.52</v>
      </c>
      <c r="BC560" s="73">
        <v>145906.88</v>
      </c>
      <c r="BD560" s="73"/>
      <c r="BE560" s="66">
        <v>0</v>
      </c>
      <c r="BF560" s="66">
        <v>0.05</v>
      </c>
      <c r="BG560" s="63">
        <v>45085</v>
      </c>
      <c r="BH560" s="2"/>
      <c r="BI560" s="2"/>
      <c r="BJ560" s="2">
        <v>537489</v>
      </c>
      <c r="BK560" s="2">
        <v>28218.17</v>
      </c>
      <c r="BL560" s="1" t="s">
        <v>97</v>
      </c>
    </row>
    <row r="561" spans="1:64" x14ac:dyDescent="0.25">
      <c r="A561" s="81" t="s">
        <v>1274</v>
      </c>
      <c r="B561" s="82" t="s">
        <v>1274</v>
      </c>
      <c r="C561" s="81" t="s">
        <v>1275</v>
      </c>
      <c r="D561" s="16">
        <v>0</v>
      </c>
      <c r="E561" s="17"/>
      <c r="F561" s="2" t="s">
        <v>522</v>
      </c>
      <c r="G561" s="2" t="s">
        <v>523</v>
      </c>
      <c r="H561" s="10" t="s">
        <v>105</v>
      </c>
      <c r="I561" s="11" t="s">
        <v>53</v>
      </c>
      <c r="J561" s="11" t="s">
        <v>312</v>
      </c>
      <c r="K561" s="61"/>
      <c r="L561" s="11" t="s">
        <v>67</v>
      </c>
      <c r="M561" s="25"/>
      <c r="N561" s="82"/>
      <c r="O561" s="3" t="str">
        <f>IF($A561="","",IF(P561=0,"A",IF(P561=AZ561,"E","A")))</f>
        <v>A</v>
      </c>
      <c r="P561" s="84">
        <v>181235</v>
      </c>
      <c r="Q561" s="84">
        <v>21443</v>
      </c>
      <c r="R561" s="32"/>
      <c r="S561" s="3" t="str">
        <f t="shared" si="207"/>
        <v>A</v>
      </c>
      <c r="T561" s="84">
        <v>125226</v>
      </c>
      <c r="U561" s="84">
        <v>18628</v>
      </c>
      <c r="V561" s="32"/>
      <c r="W561" s="3" t="str">
        <f t="shared" si="195"/>
        <v>A</v>
      </c>
      <c r="X561" s="84">
        <v>122981</v>
      </c>
      <c r="Y561" s="84">
        <v>18348</v>
      </c>
      <c r="Z561" s="32"/>
      <c r="AA561" s="3" t="str">
        <f t="shared" si="196"/>
        <v>A</v>
      </c>
      <c r="AB561" s="84">
        <v>162312</v>
      </c>
      <c r="AC561" s="84">
        <v>21667</v>
      </c>
      <c r="AD561" s="36"/>
      <c r="AE561" s="82"/>
      <c r="AF561" s="3" t="str">
        <f t="shared" si="197"/>
        <v>A</v>
      </c>
      <c r="AG561" s="84">
        <v>0</v>
      </c>
      <c r="AH561" s="84">
        <v>0</v>
      </c>
      <c r="AI561" s="39"/>
      <c r="AJ561" s="79" t="s">
        <v>1801</v>
      </c>
      <c r="AK561" s="39"/>
      <c r="AL561" s="4">
        <f t="shared" si="202"/>
        <v>591754</v>
      </c>
      <c r="AM561" s="4">
        <f t="shared" si="203"/>
        <v>80086</v>
      </c>
      <c r="AN561" s="4">
        <f t="shared" si="198"/>
        <v>671840</v>
      </c>
      <c r="AO561" s="39"/>
      <c r="AP561" s="8">
        <f t="shared" si="204"/>
        <v>0</v>
      </c>
      <c r="AQ561" s="8">
        <f t="shared" si="205"/>
        <v>0</v>
      </c>
      <c r="AR561" s="8">
        <f t="shared" si="199"/>
        <v>0</v>
      </c>
      <c r="AS561" s="42"/>
      <c r="AT561" s="84">
        <v>591754</v>
      </c>
      <c r="AU561" s="84">
        <v>80086</v>
      </c>
      <c r="AV561" s="4">
        <f t="shared" si="200"/>
        <v>671840</v>
      </c>
      <c r="AW561" s="50" t="str">
        <f t="shared" si="201"/>
        <v/>
      </c>
      <c r="AX561" s="1" t="s">
        <v>1719</v>
      </c>
      <c r="AY561" s="2" t="s">
        <v>1720</v>
      </c>
      <c r="AZ561" s="2">
        <v>125550.48</v>
      </c>
      <c r="BA561" s="73">
        <v>109856.67</v>
      </c>
      <c r="BB561" s="73">
        <v>109856.67</v>
      </c>
      <c r="BC561" s="73">
        <v>125550.48</v>
      </c>
      <c r="BD561" s="73"/>
      <c r="BE561" s="66">
        <v>0</v>
      </c>
      <c r="BF561" s="66">
        <v>0.05</v>
      </c>
      <c r="BG561" s="63">
        <v>45066</v>
      </c>
      <c r="BH561" s="2"/>
      <c r="BI561" s="2"/>
      <c r="BJ561" s="2">
        <v>461256</v>
      </c>
      <c r="BK561" s="2">
        <v>24215.94</v>
      </c>
      <c r="BL561" s="1" t="s">
        <v>104</v>
      </c>
    </row>
    <row r="562" spans="1:64" x14ac:dyDescent="0.25">
      <c r="A562" s="81" t="s">
        <v>1278</v>
      </c>
      <c r="B562" s="82" t="s">
        <v>1278</v>
      </c>
      <c r="C562" s="81" t="s">
        <v>1279</v>
      </c>
      <c r="D562" s="16">
        <v>45120</v>
      </c>
      <c r="E562" s="17"/>
      <c r="F562" s="2" t="s">
        <v>1017</v>
      </c>
      <c r="G562" s="2" t="s">
        <v>1018</v>
      </c>
      <c r="H562" s="10" t="s">
        <v>98</v>
      </c>
      <c r="I562" s="11" t="s">
        <v>53</v>
      </c>
      <c r="J562" s="11" t="s">
        <v>99</v>
      </c>
      <c r="K562" s="61"/>
      <c r="L562" s="11" t="s">
        <v>67</v>
      </c>
      <c r="M562" s="25"/>
      <c r="N562" s="82"/>
      <c r="O562" s="3" t="str">
        <f>IF($A562="","",IF(P562=0,"A",IF(P562=AZ562,"E","A")))</f>
        <v>A</v>
      </c>
      <c r="P562" s="84">
        <v>169112</v>
      </c>
      <c r="Q562" s="84">
        <v>2378</v>
      </c>
      <c r="R562" s="32"/>
      <c r="S562" s="3" t="str">
        <f t="shared" si="207"/>
        <v>A</v>
      </c>
      <c r="T562" s="84">
        <v>145927</v>
      </c>
      <c r="U562" s="84">
        <v>2291</v>
      </c>
      <c r="V562" s="32"/>
      <c r="W562" s="3" t="str">
        <f t="shared" si="195"/>
        <v>A</v>
      </c>
      <c r="X562" s="84">
        <v>153495</v>
      </c>
      <c r="Y562" s="84">
        <v>2327</v>
      </c>
      <c r="Z562" s="32"/>
      <c r="AA562" s="3" t="str">
        <f t="shared" si="196"/>
        <v>A</v>
      </c>
      <c r="AB562" s="84">
        <v>172192</v>
      </c>
      <c r="AC562" s="84">
        <v>2777</v>
      </c>
      <c r="AD562" s="36"/>
      <c r="AE562" s="82"/>
      <c r="AF562" s="3" t="str">
        <f t="shared" si="197"/>
        <v>A</v>
      </c>
      <c r="AG562" s="84">
        <v>0</v>
      </c>
      <c r="AH562" s="84">
        <v>0</v>
      </c>
      <c r="AI562" s="39"/>
      <c r="AJ562" s="79" t="s">
        <v>1801</v>
      </c>
      <c r="AK562" s="39"/>
      <c r="AL562" s="4">
        <f t="shared" si="202"/>
        <v>640726</v>
      </c>
      <c r="AM562" s="4">
        <f t="shared" si="203"/>
        <v>9773</v>
      </c>
      <c r="AN562" s="4">
        <f t="shared" si="198"/>
        <v>650499</v>
      </c>
      <c r="AO562" s="39"/>
      <c r="AP562" s="8">
        <f t="shared" si="204"/>
        <v>0</v>
      </c>
      <c r="AQ562" s="8">
        <f t="shared" si="205"/>
        <v>0</v>
      </c>
      <c r="AR562" s="8">
        <f t="shared" si="199"/>
        <v>0</v>
      </c>
      <c r="AS562" s="42"/>
      <c r="AT562" s="84">
        <v>640726</v>
      </c>
      <c r="AU562" s="84">
        <v>9773</v>
      </c>
      <c r="AV562" s="4">
        <f t="shared" si="200"/>
        <v>650499</v>
      </c>
      <c r="AW562" s="50" t="str">
        <f t="shared" si="201"/>
        <v/>
      </c>
      <c r="AX562" s="1" t="s">
        <v>1748</v>
      </c>
      <c r="AY562" s="2" t="s">
        <v>1749</v>
      </c>
      <c r="AZ562" s="2">
        <v>151659.51999999999</v>
      </c>
      <c r="BA562" s="73">
        <v>132702.07999999999</v>
      </c>
      <c r="BB562" s="73">
        <v>132702.07999999999</v>
      </c>
      <c r="BC562" s="73">
        <v>151659.51999999999</v>
      </c>
      <c r="BD562" s="73"/>
      <c r="BE562" s="66">
        <v>0</v>
      </c>
      <c r="BF562" s="66">
        <v>0.05</v>
      </c>
      <c r="BG562" s="63">
        <v>45091</v>
      </c>
      <c r="BH562" s="74">
        <v>45498</v>
      </c>
      <c r="BI562" s="74">
        <v>45499</v>
      </c>
      <c r="BJ562" s="2">
        <v>546998.4</v>
      </c>
      <c r="BK562" s="2">
        <v>32819.9</v>
      </c>
      <c r="BL562" s="1" t="s">
        <v>97</v>
      </c>
    </row>
    <row r="563" spans="1:64" x14ac:dyDescent="0.25">
      <c r="A563" s="81" t="s">
        <v>1282</v>
      </c>
      <c r="B563" s="82" t="s">
        <v>1282</v>
      </c>
      <c r="C563" s="81" t="s">
        <v>1283</v>
      </c>
      <c r="D563" s="16">
        <v>0</v>
      </c>
      <c r="E563" s="17"/>
      <c r="F563" s="2" t="s">
        <v>243</v>
      </c>
      <c r="G563" s="2" t="s">
        <v>245</v>
      </c>
      <c r="H563" s="10" t="s">
        <v>105</v>
      </c>
      <c r="I563" s="11" t="s">
        <v>244</v>
      </c>
      <c r="J563" s="11" t="s">
        <v>544</v>
      </c>
      <c r="K563" s="61" t="s">
        <v>230</v>
      </c>
      <c r="L563" s="11" t="s">
        <v>67</v>
      </c>
      <c r="M563" s="25"/>
      <c r="N563" s="82"/>
      <c r="O563" s="3" t="str">
        <f>IF($A563="","",IF(P563=0,"A",IF(P563=AZ563,"E","A")))</f>
        <v>A</v>
      </c>
      <c r="P563" s="84">
        <v>54276</v>
      </c>
      <c r="Q563" s="84">
        <v>11330</v>
      </c>
      <c r="R563" s="32"/>
      <c r="S563" s="3" t="str">
        <f t="shared" si="207"/>
        <v>A</v>
      </c>
      <c r="T563" s="84">
        <v>48156</v>
      </c>
      <c r="U563" s="84">
        <v>12508</v>
      </c>
      <c r="V563" s="32"/>
      <c r="W563" s="3" t="str">
        <f t="shared" si="195"/>
        <v>A</v>
      </c>
      <c r="X563" s="84">
        <v>52221</v>
      </c>
      <c r="Y563" s="84">
        <v>9651</v>
      </c>
      <c r="Z563" s="32"/>
      <c r="AA563" s="3" t="str">
        <f t="shared" si="196"/>
        <v>A</v>
      </c>
      <c r="AB563" s="84">
        <v>57929</v>
      </c>
      <c r="AC563" s="84">
        <v>11023</v>
      </c>
      <c r="AD563" s="36"/>
      <c r="AE563" s="82"/>
      <c r="AF563" s="3" t="str">
        <f t="shared" si="197"/>
        <v>A</v>
      </c>
      <c r="AG563" s="84">
        <v>0</v>
      </c>
      <c r="AH563" s="84">
        <v>0</v>
      </c>
      <c r="AI563" s="39"/>
      <c r="AJ563" s="79" t="s">
        <v>1801</v>
      </c>
      <c r="AK563" s="39"/>
      <c r="AL563" s="4">
        <f t="shared" si="202"/>
        <v>212582</v>
      </c>
      <c r="AM563" s="4">
        <f t="shared" si="203"/>
        <v>44512</v>
      </c>
      <c r="AN563" s="4">
        <f t="shared" si="198"/>
        <v>257094</v>
      </c>
      <c r="AO563" s="39"/>
      <c r="AP563" s="8">
        <f t="shared" si="204"/>
        <v>0</v>
      </c>
      <c r="AQ563" s="8">
        <f t="shared" si="205"/>
        <v>0</v>
      </c>
      <c r="AR563" s="8">
        <f t="shared" si="199"/>
        <v>0</v>
      </c>
      <c r="AS563" s="42"/>
      <c r="AT563" s="84">
        <v>212582</v>
      </c>
      <c r="AU563" s="84">
        <v>44512</v>
      </c>
      <c r="AV563" s="4">
        <f t="shared" si="200"/>
        <v>257094</v>
      </c>
      <c r="AW563" s="50" t="str">
        <f t="shared" si="201"/>
        <v/>
      </c>
      <c r="AX563" s="1" t="s">
        <v>1639</v>
      </c>
      <c r="AY563" s="2" t="s">
        <v>1640</v>
      </c>
      <c r="AZ563" s="2">
        <v>178602.56</v>
      </c>
      <c r="BA563" s="73">
        <v>156277.24</v>
      </c>
      <c r="BB563" s="73">
        <v>156277.24</v>
      </c>
      <c r="BC563" s="73">
        <v>178602.56</v>
      </c>
      <c r="BD563" s="73"/>
      <c r="BE563" s="66">
        <v>0</v>
      </c>
      <c r="BF563" s="66">
        <v>0.02</v>
      </c>
      <c r="BG563" s="63">
        <v>45118</v>
      </c>
      <c r="BH563" s="2"/>
      <c r="BI563" s="2"/>
      <c r="BJ563" s="2">
        <v>644175</v>
      </c>
      <c r="BK563" s="2">
        <v>33819.19</v>
      </c>
      <c r="BL563" s="1" t="s">
        <v>219</v>
      </c>
    </row>
    <row r="564" spans="1:64" x14ac:dyDescent="0.25">
      <c r="A564" s="81" t="s">
        <v>1282</v>
      </c>
      <c r="B564" s="82" t="s">
        <v>1417</v>
      </c>
      <c r="C564" s="81" t="s">
        <v>1418</v>
      </c>
      <c r="D564" s="16">
        <v>0</v>
      </c>
      <c r="E564" s="17"/>
      <c r="F564" s="2" t="s">
        <v>243</v>
      </c>
      <c r="G564" s="2" t="s">
        <v>245</v>
      </c>
      <c r="H564" s="10" t="s">
        <v>105</v>
      </c>
      <c r="I564" s="11" t="s">
        <v>244</v>
      </c>
      <c r="J564" s="11" t="s">
        <v>544</v>
      </c>
      <c r="K564" s="61" t="s">
        <v>230</v>
      </c>
      <c r="L564" s="11" t="s">
        <v>67</v>
      </c>
      <c r="M564" s="25"/>
      <c r="N564" s="82"/>
      <c r="O564" s="3" t="str">
        <f>IF($A564="","",IF(P564=AZ564,"E","A"))</f>
        <v>A</v>
      </c>
      <c r="P564" s="84">
        <v>65013</v>
      </c>
      <c r="Q564" s="84">
        <v>6683</v>
      </c>
      <c r="R564" s="32"/>
      <c r="S564" s="3" t="str">
        <f>IF($A564="","",IF(T564=BA564,"E","A"))</f>
        <v>A</v>
      </c>
      <c r="T564" s="84">
        <v>54382</v>
      </c>
      <c r="U564" s="84">
        <v>4162</v>
      </c>
      <c r="V564" s="32"/>
      <c r="W564" s="3" t="str">
        <f t="shared" si="195"/>
        <v>A</v>
      </c>
      <c r="X564" s="84">
        <v>52565</v>
      </c>
      <c r="Y564" s="84">
        <v>4519</v>
      </c>
      <c r="Z564" s="32"/>
      <c r="AA564" s="3" t="str">
        <f t="shared" si="196"/>
        <v>A</v>
      </c>
      <c r="AB564" s="84">
        <v>55325</v>
      </c>
      <c r="AC564" s="84">
        <v>4690</v>
      </c>
      <c r="AD564" s="36"/>
      <c r="AE564" s="82"/>
      <c r="AF564" s="3" t="str">
        <f t="shared" si="197"/>
        <v>A</v>
      </c>
      <c r="AG564" s="84">
        <v>0</v>
      </c>
      <c r="AH564" s="84">
        <v>0</v>
      </c>
      <c r="AI564" s="39"/>
      <c r="AJ564" s="79" t="s">
        <v>1801</v>
      </c>
      <c r="AK564" s="39"/>
      <c r="AL564" s="4">
        <f t="shared" si="202"/>
        <v>227285</v>
      </c>
      <c r="AM564" s="4">
        <f t="shared" si="203"/>
        <v>20054</v>
      </c>
      <c r="AN564" s="4">
        <f t="shared" si="198"/>
        <v>247339</v>
      </c>
      <c r="AO564" s="39"/>
      <c r="AP564" s="8">
        <f t="shared" si="204"/>
        <v>0</v>
      </c>
      <c r="AQ564" s="8">
        <f t="shared" si="205"/>
        <v>0</v>
      </c>
      <c r="AR564" s="8">
        <f t="shared" si="199"/>
        <v>0</v>
      </c>
      <c r="AS564" s="42"/>
      <c r="AT564" s="84">
        <v>227285</v>
      </c>
      <c r="AU564" s="84">
        <v>20054</v>
      </c>
      <c r="AV564" s="4">
        <f t="shared" si="200"/>
        <v>247339</v>
      </c>
      <c r="AW564" s="50" t="str">
        <f t="shared" si="201"/>
        <v/>
      </c>
      <c r="AX564" s="1" t="s">
        <v>1639</v>
      </c>
      <c r="AY564" s="2" t="s">
        <v>1640</v>
      </c>
      <c r="AZ564" s="2">
        <v>49598.559999999998</v>
      </c>
      <c r="BA564" s="73">
        <v>43398.74</v>
      </c>
      <c r="BB564" s="73">
        <v>43398.74</v>
      </c>
      <c r="BC564" s="73">
        <v>49598.559999999998</v>
      </c>
      <c r="BD564" s="73"/>
      <c r="BE564" s="66">
        <v>0</v>
      </c>
      <c r="BF564" s="66">
        <v>0.02</v>
      </c>
      <c r="BG564" s="63">
        <v>45264</v>
      </c>
      <c r="BH564" s="2"/>
      <c r="BI564" s="2"/>
      <c r="BJ564" s="2">
        <v>188676</v>
      </c>
      <c r="BK564" s="2"/>
      <c r="BL564" s="1" t="s">
        <v>219</v>
      </c>
    </row>
    <row r="565" spans="1:64" x14ac:dyDescent="0.25">
      <c r="A565" s="81" t="s">
        <v>1284</v>
      </c>
      <c r="B565" s="82" t="s">
        <v>1284</v>
      </c>
      <c r="C565" s="81" t="s">
        <v>1285</v>
      </c>
      <c r="D565" s="16">
        <v>45149</v>
      </c>
      <c r="E565" s="17"/>
      <c r="F565" s="2" t="s">
        <v>187</v>
      </c>
      <c r="G565" s="2" t="s">
        <v>189</v>
      </c>
      <c r="H565" s="10" t="s">
        <v>57</v>
      </c>
      <c r="I565" s="11" t="s">
        <v>188</v>
      </c>
      <c r="J565" s="11" t="s">
        <v>338</v>
      </c>
      <c r="K565" s="61" t="s">
        <v>339</v>
      </c>
      <c r="L565" s="11" t="s">
        <v>67</v>
      </c>
      <c r="M565" s="25"/>
      <c r="N565" s="82"/>
      <c r="O565" s="3" t="str">
        <f>IF($A565="","",IF(P565=0,"A",IF(P565=AZ565,"E","A")))</f>
        <v>A</v>
      </c>
      <c r="P565" s="84">
        <v>160830</v>
      </c>
      <c r="Q565" s="84">
        <v>31269</v>
      </c>
      <c r="R565" s="32"/>
      <c r="S565" s="3" t="str">
        <f t="shared" ref="S565:S575" si="209">IF($A565="","",IF(T565=0,"A",IF(T565=BA565,"E","A")))</f>
        <v>A</v>
      </c>
      <c r="T565" s="84">
        <v>155636</v>
      </c>
      <c r="U565" s="84">
        <v>32041</v>
      </c>
      <c r="V565" s="32"/>
      <c r="W565" s="3" t="str">
        <f t="shared" si="195"/>
        <v>A</v>
      </c>
      <c r="X565" s="84">
        <v>119541</v>
      </c>
      <c r="Y565" s="84">
        <v>21350</v>
      </c>
      <c r="Z565" s="32"/>
      <c r="AA565" s="3" t="str">
        <f t="shared" si="196"/>
        <v>A</v>
      </c>
      <c r="AB565" s="84">
        <v>121899</v>
      </c>
      <c r="AC565" s="84">
        <v>24447</v>
      </c>
      <c r="AD565" s="36"/>
      <c r="AE565" s="82"/>
      <c r="AF565" s="3" t="str">
        <f t="shared" si="197"/>
        <v>A</v>
      </c>
      <c r="AG565" s="84">
        <v>0</v>
      </c>
      <c r="AH565" s="84">
        <v>0</v>
      </c>
      <c r="AI565" s="39"/>
      <c r="AJ565" s="79" t="s">
        <v>1801</v>
      </c>
      <c r="AK565" s="39"/>
      <c r="AL565" s="4">
        <f t="shared" si="202"/>
        <v>557906</v>
      </c>
      <c r="AM565" s="4">
        <f t="shared" si="203"/>
        <v>109107</v>
      </c>
      <c r="AN565" s="4">
        <f t="shared" si="198"/>
        <v>667013</v>
      </c>
      <c r="AO565" s="39"/>
      <c r="AP565" s="8">
        <f t="shared" si="204"/>
        <v>0</v>
      </c>
      <c r="AQ565" s="8">
        <f t="shared" si="205"/>
        <v>0</v>
      </c>
      <c r="AR565" s="8">
        <f t="shared" si="199"/>
        <v>0</v>
      </c>
      <c r="AS565" s="42"/>
      <c r="AT565" s="84">
        <v>557906</v>
      </c>
      <c r="AU565" s="84">
        <v>109107</v>
      </c>
      <c r="AV565" s="4">
        <f t="shared" si="200"/>
        <v>667013</v>
      </c>
      <c r="AW565" s="50" t="str">
        <f t="shared" si="201"/>
        <v/>
      </c>
      <c r="AX565" s="1" t="s">
        <v>1639</v>
      </c>
      <c r="AY565" s="2" t="s">
        <v>1640</v>
      </c>
      <c r="AZ565" s="2">
        <v>323989.52</v>
      </c>
      <c r="BA565" s="73">
        <v>283490.83</v>
      </c>
      <c r="BB565" s="73">
        <v>283490.83</v>
      </c>
      <c r="BC565" s="73">
        <v>323989.52</v>
      </c>
      <c r="BD565" s="73"/>
      <c r="BE565" s="66">
        <v>0</v>
      </c>
      <c r="BF565" s="66">
        <v>0.02</v>
      </c>
      <c r="BG565" s="63">
        <v>45143</v>
      </c>
      <c r="BH565" s="2"/>
      <c r="BI565" s="2"/>
      <c r="BJ565" s="2">
        <v>1161582.25</v>
      </c>
      <c r="BK565" s="2">
        <v>129064.69</v>
      </c>
      <c r="BL565" s="1" t="s">
        <v>56</v>
      </c>
    </row>
    <row r="566" spans="1:64" x14ac:dyDescent="0.25">
      <c r="A566" s="81" t="s">
        <v>1288</v>
      </c>
      <c r="B566" s="82" t="s">
        <v>1288</v>
      </c>
      <c r="C566" s="81" t="s">
        <v>1289</v>
      </c>
      <c r="D566" s="16">
        <v>0</v>
      </c>
      <c r="E566" s="17"/>
      <c r="F566" s="2" t="s">
        <v>109</v>
      </c>
      <c r="G566" s="2" t="s">
        <v>111</v>
      </c>
      <c r="H566" s="10" t="s">
        <v>98</v>
      </c>
      <c r="I566" s="11" t="s">
        <v>110</v>
      </c>
      <c r="J566" s="11" t="s">
        <v>286</v>
      </c>
      <c r="K566" s="61" t="s">
        <v>287</v>
      </c>
      <c r="L566" s="11" t="s">
        <v>67</v>
      </c>
      <c r="M566" s="25"/>
      <c r="N566" s="82"/>
      <c r="O566" s="3" t="str">
        <f t="shared" ref="O566:O572" si="210">IF($A566="","",IF(P566=AZ566,"E","A"))</f>
        <v>A</v>
      </c>
      <c r="P566" s="84">
        <v>19415</v>
      </c>
      <c r="Q566" s="84">
        <v>657</v>
      </c>
      <c r="R566" s="32"/>
      <c r="S566" s="3" t="str">
        <f t="shared" si="209"/>
        <v>A</v>
      </c>
      <c r="T566" s="84">
        <v>14567</v>
      </c>
      <c r="U566" s="84">
        <v>480</v>
      </c>
      <c r="V566" s="32"/>
      <c r="W566" s="3" t="str">
        <f t="shared" si="195"/>
        <v>A</v>
      </c>
      <c r="X566" s="84">
        <v>13970</v>
      </c>
      <c r="Y566" s="84">
        <v>680</v>
      </c>
      <c r="Z566" s="32"/>
      <c r="AA566" s="3" t="str">
        <f t="shared" si="196"/>
        <v>A</v>
      </c>
      <c r="AB566" s="84">
        <v>16320</v>
      </c>
      <c r="AC566" s="84">
        <v>380</v>
      </c>
      <c r="AD566" s="36"/>
      <c r="AE566" s="82"/>
      <c r="AF566" s="3" t="str">
        <f t="shared" si="197"/>
        <v>A</v>
      </c>
      <c r="AG566" s="84">
        <v>0</v>
      </c>
      <c r="AH566" s="84">
        <v>0</v>
      </c>
      <c r="AI566" s="39"/>
      <c r="AJ566" s="79" t="s">
        <v>1801</v>
      </c>
      <c r="AK566" s="39"/>
      <c r="AL566" s="4">
        <f t="shared" si="202"/>
        <v>64272</v>
      </c>
      <c r="AM566" s="4">
        <f t="shared" si="203"/>
        <v>2197</v>
      </c>
      <c r="AN566" s="4">
        <f t="shared" si="198"/>
        <v>66469</v>
      </c>
      <c r="AO566" s="39"/>
      <c r="AP566" s="8">
        <f t="shared" si="204"/>
        <v>0</v>
      </c>
      <c r="AQ566" s="8">
        <f t="shared" si="205"/>
        <v>0</v>
      </c>
      <c r="AR566" s="8">
        <f t="shared" si="199"/>
        <v>0</v>
      </c>
      <c r="AS566" s="42"/>
      <c r="AT566" s="84">
        <v>64272</v>
      </c>
      <c r="AU566" s="84">
        <v>2197</v>
      </c>
      <c r="AV566" s="4">
        <f t="shared" si="200"/>
        <v>66469</v>
      </c>
      <c r="AW566" s="50" t="str">
        <f t="shared" si="201"/>
        <v/>
      </c>
      <c r="AX566" s="1" t="s">
        <v>1647</v>
      </c>
      <c r="AY566" s="2" t="s">
        <v>1640</v>
      </c>
      <c r="AZ566" s="2">
        <v>185241.12</v>
      </c>
      <c r="BA566" s="73">
        <v>162085.98000000001</v>
      </c>
      <c r="BB566" s="73">
        <v>162085.98000000001</v>
      </c>
      <c r="BC566" s="73">
        <v>185241.12</v>
      </c>
      <c r="BD566" s="73"/>
      <c r="BE566" s="66">
        <v>0</v>
      </c>
      <c r="BF566" s="66">
        <v>0.02</v>
      </c>
      <c r="BG566" s="63">
        <v>45283</v>
      </c>
      <c r="BH566" s="2"/>
      <c r="BI566" s="2"/>
      <c r="BJ566" s="2">
        <v>704670</v>
      </c>
      <c r="BK566" s="2">
        <v>36995.18</v>
      </c>
      <c r="BL566" s="1" t="s">
        <v>237</v>
      </c>
    </row>
    <row r="567" spans="1:64" x14ac:dyDescent="0.25">
      <c r="A567" s="81" t="s">
        <v>1288</v>
      </c>
      <c r="B567" s="82" t="s">
        <v>1296</v>
      </c>
      <c r="C567" s="81" t="s">
        <v>1297</v>
      </c>
      <c r="D567" s="16">
        <v>0</v>
      </c>
      <c r="E567" s="17"/>
      <c r="F567" s="2" t="s">
        <v>109</v>
      </c>
      <c r="G567" s="2" t="s">
        <v>111</v>
      </c>
      <c r="H567" s="10" t="s">
        <v>98</v>
      </c>
      <c r="I567" s="11" t="s">
        <v>110</v>
      </c>
      <c r="J567" s="11" t="s">
        <v>286</v>
      </c>
      <c r="K567" s="61" t="s">
        <v>287</v>
      </c>
      <c r="L567" s="11" t="s">
        <v>67</v>
      </c>
      <c r="M567" s="25"/>
      <c r="N567" s="82"/>
      <c r="O567" s="3" t="str">
        <f t="shared" si="210"/>
        <v>A</v>
      </c>
      <c r="P567" s="84">
        <v>90696</v>
      </c>
      <c r="Q567" s="84">
        <v>3020</v>
      </c>
      <c r="R567" s="32"/>
      <c r="S567" s="3" t="str">
        <f t="shared" si="209"/>
        <v>A</v>
      </c>
      <c r="T567" s="84">
        <v>75646</v>
      </c>
      <c r="U567" s="84">
        <v>2895</v>
      </c>
      <c r="V567" s="32"/>
      <c r="W567" s="3" t="str">
        <f t="shared" si="195"/>
        <v>A</v>
      </c>
      <c r="X567" s="84">
        <v>79609</v>
      </c>
      <c r="Y567" s="84">
        <v>1765</v>
      </c>
      <c r="Z567" s="32"/>
      <c r="AA567" s="3" t="str">
        <f t="shared" si="196"/>
        <v>A</v>
      </c>
      <c r="AB567" s="84">
        <v>96439</v>
      </c>
      <c r="AC567" s="84">
        <v>2525</v>
      </c>
      <c r="AD567" s="36"/>
      <c r="AE567" s="82"/>
      <c r="AF567" s="3" t="str">
        <f t="shared" si="197"/>
        <v>A</v>
      </c>
      <c r="AG567" s="84">
        <v>0</v>
      </c>
      <c r="AH567" s="84">
        <v>0</v>
      </c>
      <c r="AI567" s="39"/>
      <c r="AJ567" s="79" t="s">
        <v>1801</v>
      </c>
      <c r="AK567" s="39"/>
      <c r="AL567" s="4">
        <f t="shared" si="202"/>
        <v>342390</v>
      </c>
      <c r="AM567" s="4">
        <f t="shared" si="203"/>
        <v>10205</v>
      </c>
      <c r="AN567" s="4">
        <f t="shared" si="198"/>
        <v>352595</v>
      </c>
      <c r="AO567" s="39"/>
      <c r="AP567" s="8">
        <f t="shared" si="204"/>
        <v>0</v>
      </c>
      <c r="AQ567" s="8">
        <f t="shared" si="205"/>
        <v>0</v>
      </c>
      <c r="AR567" s="8">
        <f t="shared" si="199"/>
        <v>0</v>
      </c>
      <c r="AS567" s="42"/>
      <c r="AT567" s="84">
        <v>342390</v>
      </c>
      <c r="AU567" s="84">
        <v>10205</v>
      </c>
      <c r="AV567" s="4">
        <f t="shared" si="200"/>
        <v>352595</v>
      </c>
      <c r="AW567" s="50" t="str">
        <f t="shared" si="201"/>
        <v/>
      </c>
      <c r="AX567" s="1" t="s">
        <v>1647</v>
      </c>
      <c r="AY567" s="2" t="s">
        <v>1640</v>
      </c>
      <c r="AZ567" s="2">
        <v>70554.240000000005</v>
      </c>
      <c r="BA567" s="73">
        <v>61734.96</v>
      </c>
      <c r="BB567" s="73">
        <v>61734.96</v>
      </c>
      <c r="BC567" s="73">
        <v>70554.240000000005</v>
      </c>
      <c r="BD567" s="73"/>
      <c r="BE567" s="66">
        <v>0</v>
      </c>
      <c r="BF567" s="66">
        <v>0.02</v>
      </c>
      <c r="BG567" s="63">
        <v>45296</v>
      </c>
      <c r="BH567" s="2"/>
      <c r="BI567" s="2"/>
      <c r="BJ567" s="2">
        <v>270000</v>
      </c>
      <c r="BK567" s="2"/>
      <c r="BL567" s="1" t="s">
        <v>237</v>
      </c>
    </row>
    <row r="568" spans="1:64" x14ac:dyDescent="0.25">
      <c r="A568" s="81" t="s">
        <v>1290</v>
      </c>
      <c r="B568" s="82" t="s">
        <v>1290</v>
      </c>
      <c r="C568" s="81" t="s">
        <v>1291</v>
      </c>
      <c r="D568" s="16">
        <v>0</v>
      </c>
      <c r="E568" s="17"/>
      <c r="F568" s="2" t="s">
        <v>143</v>
      </c>
      <c r="G568" s="2" t="s">
        <v>144</v>
      </c>
      <c r="H568" s="10" t="s">
        <v>105</v>
      </c>
      <c r="I568" s="11" t="s">
        <v>53</v>
      </c>
      <c r="J568" s="11" t="s">
        <v>145</v>
      </c>
      <c r="K568" s="61"/>
      <c r="L568" s="11" t="s">
        <v>67</v>
      </c>
      <c r="M568" s="25"/>
      <c r="N568" s="82"/>
      <c r="O568" s="3" t="str">
        <f t="shared" si="210"/>
        <v>E</v>
      </c>
      <c r="P568" s="84">
        <v>165115.6</v>
      </c>
      <c r="Q568" s="84">
        <v>7848.48</v>
      </c>
      <c r="R568" s="32"/>
      <c r="S568" s="3" t="str">
        <f t="shared" si="209"/>
        <v>E</v>
      </c>
      <c r="T568" s="84">
        <v>144476.15</v>
      </c>
      <c r="U568" s="84">
        <v>6867.42</v>
      </c>
      <c r="V568" s="32"/>
      <c r="W568" s="3" t="str">
        <f t="shared" si="195"/>
        <v>E</v>
      </c>
      <c r="X568" s="84">
        <v>144476.15</v>
      </c>
      <c r="Y568" s="84">
        <v>6867.42</v>
      </c>
      <c r="Z568" s="32"/>
      <c r="AA568" s="3" t="str">
        <f t="shared" si="196"/>
        <v>E</v>
      </c>
      <c r="AB568" s="84">
        <v>165115.6</v>
      </c>
      <c r="AC568" s="84">
        <v>7848.48</v>
      </c>
      <c r="AD568" s="36"/>
      <c r="AE568" s="82"/>
      <c r="AF568" s="3" t="str">
        <f t="shared" si="197"/>
        <v>A</v>
      </c>
      <c r="AG568" s="84"/>
      <c r="AH568" s="84"/>
      <c r="AI568" s="39"/>
      <c r="AJ568" s="79" t="s">
        <v>38</v>
      </c>
      <c r="AK568" s="39"/>
      <c r="AL568" s="4">
        <f t="shared" si="202"/>
        <v>0</v>
      </c>
      <c r="AM568" s="4">
        <f t="shared" si="203"/>
        <v>0</v>
      </c>
      <c r="AN568" s="4">
        <f t="shared" si="198"/>
        <v>0</v>
      </c>
      <c r="AO568" s="39"/>
      <c r="AP568" s="8">
        <f t="shared" si="204"/>
        <v>619183.5</v>
      </c>
      <c r="AQ568" s="8">
        <f t="shared" si="205"/>
        <v>29431.8</v>
      </c>
      <c r="AR568" s="8">
        <f t="shared" si="199"/>
        <v>648615.30000000005</v>
      </c>
      <c r="AS568" s="42"/>
      <c r="AT568" s="84"/>
      <c r="AU568" s="84"/>
      <c r="AV568" s="4">
        <f t="shared" si="200"/>
        <v>0</v>
      </c>
      <c r="AW568" s="50" t="str">
        <f t="shared" si="201"/>
        <v/>
      </c>
      <c r="AX568" s="1" t="s">
        <v>1650</v>
      </c>
      <c r="AY568" s="2" t="s">
        <v>1651</v>
      </c>
      <c r="AZ568" s="2">
        <v>165115.6</v>
      </c>
      <c r="BA568" s="73">
        <v>144476.15</v>
      </c>
      <c r="BB568" s="73">
        <v>144476.15</v>
      </c>
      <c r="BC568" s="73">
        <v>165115.6</v>
      </c>
      <c r="BD568" s="73"/>
      <c r="BE568" s="66">
        <v>0</v>
      </c>
      <c r="BF568" s="66">
        <v>0.05</v>
      </c>
      <c r="BG568" s="63">
        <v>45107</v>
      </c>
      <c r="BH568" s="2"/>
      <c r="BI568" s="2"/>
      <c r="BJ568" s="2">
        <v>608250</v>
      </c>
      <c r="BK568" s="2">
        <v>31933.13</v>
      </c>
      <c r="BL568" s="1" t="s">
        <v>104</v>
      </c>
    </row>
    <row r="569" spans="1:64" x14ac:dyDescent="0.25">
      <c r="A569" s="81" t="s">
        <v>1300</v>
      </c>
      <c r="B569" s="82" t="s">
        <v>1300</v>
      </c>
      <c r="C569" s="81" t="s">
        <v>1301</v>
      </c>
      <c r="D569" s="16">
        <v>0</v>
      </c>
      <c r="E569" s="17"/>
      <c r="F569" s="2" t="s">
        <v>1164</v>
      </c>
      <c r="G569" s="2" t="s">
        <v>1165</v>
      </c>
      <c r="H569" s="10" t="s">
        <v>57</v>
      </c>
      <c r="I569" s="11" t="s">
        <v>53</v>
      </c>
      <c r="J569" s="11" t="s">
        <v>1166</v>
      </c>
      <c r="K569" s="61"/>
      <c r="L569" s="11" t="s">
        <v>67</v>
      </c>
      <c r="M569" s="25"/>
      <c r="N569" s="82"/>
      <c r="O569" s="3" t="str">
        <f t="shared" si="210"/>
        <v>A</v>
      </c>
      <c r="P569" s="84">
        <v>33679</v>
      </c>
      <c r="Q569" s="84">
        <v>6648</v>
      </c>
      <c r="R569" s="32"/>
      <c r="S569" s="3" t="str">
        <f t="shared" si="209"/>
        <v>A</v>
      </c>
      <c r="T569" s="84">
        <v>34977</v>
      </c>
      <c r="U569" s="84">
        <v>4215</v>
      </c>
      <c r="V569" s="32"/>
      <c r="W569" s="3" t="str">
        <f t="shared" si="195"/>
        <v>A</v>
      </c>
      <c r="X569" s="84">
        <v>32181</v>
      </c>
      <c r="Y569" s="84">
        <v>5462</v>
      </c>
      <c r="Z569" s="32"/>
      <c r="AA569" s="3" t="str">
        <f t="shared" si="196"/>
        <v>A</v>
      </c>
      <c r="AB569" s="84">
        <v>35506</v>
      </c>
      <c r="AC569" s="84">
        <v>5675</v>
      </c>
      <c r="AD569" s="36"/>
      <c r="AE569" s="82"/>
      <c r="AF569" s="3" t="str">
        <f t="shared" si="197"/>
        <v>A</v>
      </c>
      <c r="AG569" s="84">
        <v>0</v>
      </c>
      <c r="AH569" s="84">
        <v>0</v>
      </c>
      <c r="AI569" s="39"/>
      <c r="AJ569" s="79" t="s">
        <v>1801</v>
      </c>
      <c r="AK569" s="39"/>
      <c r="AL569" s="4">
        <f t="shared" si="202"/>
        <v>136343</v>
      </c>
      <c r="AM569" s="4">
        <f t="shared" si="203"/>
        <v>22000</v>
      </c>
      <c r="AN569" s="4">
        <f t="shared" si="198"/>
        <v>158343</v>
      </c>
      <c r="AO569" s="39"/>
      <c r="AP569" s="8">
        <f t="shared" si="204"/>
        <v>0</v>
      </c>
      <c r="AQ569" s="8">
        <f t="shared" si="205"/>
        <v>0</v>
      </c>
      <c r="AR569" s="8">
        <f t="shared" si="199"/>
        <v>0</v>
      </c>
      <c r="AS569" s="42"/>
      <c r="AT569" s="84">
        <v>136343</v>
      </c>
      <c r="AU569" s="84">
        <v>22000</v>
      </c>
      <c r="AV569" s="4">
        <f t="shared" si="200"/>
        <v>158343</v>
      </c>
      <c r="AW569" s="50" t="str">
        <f t="shared" si="201"/>
        <v/>
      </c>
      <c r="AX569" s="1" t="s">
        <v>1762</v>
      </c>
      <c r="AY569" s="2" t="s">
        <v>1763</v>
      </c>
      <c r="AZ569" s="2">
        <v>159454.79999999999</v>
      </c>
      <c r="BA569" s="73">
        <v>139522.95000000001</v>
      </c>
      <c r="BB569" s="73">
        <v>139522.95000000001</v>
      </c>
      <c r="BC569" s="73">
        <v>159454.79999999999</v>
      </c>
      <c r="BD569" s="73"/>
      <c r="BE569" s="66">
        <v>0</v>
      </c>
      <c r="BF569" s="66">
        <v>0.05</v>
      </c>
      <c r="BG569" s="63">
        <v>45135</v>
      </c>
      <c r="BH569" s="2"/>
      <c r="BI569" s="2"/>
      <c r="BJ569" s="2">
        <v>575113.48</v>
      </c>
      <c r="BK569" s="2">
        <v>63901.5</v>
      </c>
      <c r="BL569" s="1" t="s">
        <v>56</v>
      </c>
    </row>
    <row r="570" spans="1:64" x14ac:dyDescent="0.25">
      <c r="A570" s="81" t="s">
        <v>1302</v>
      </c>
      <c r="B570" s="82" t="s">
        <v>1302</v>
      </c>
      <c r="C570" s="81" t="s">
        <v>1303</v>
      </c>
      <c r="D570" s="16">
        <v>0</v>
      </c>
      <c r="E570" s="17"/>
      <c r="F570" s="2" t="s">
        <v>243</v>
      </c>
      <c r="G570" s="2" t="s">
        <v>245</v>
      </c>
      <c r="H570" s="10" t="s">
        <v>57</v>
      </c>
      <c r="I570" s="11" t="s">
        <v>244</v>
      </c>
      <c r="J570" s="11" t="s">
        <v>486</v>
      </c>
      <c r="K570" s="61" t="s">
        <v>487</v>
      </c>
      <c r="L570" s="11" t="s">
        <v>67</v>
      </c>
      <c r="M570" s="25"/>
      <c r="N570" s="82"/>
      <c r="O570" s="3" t="str">
        <f t="shared" si="210"/>
        <v>A</v>
      </c>
      <c r="P570" s="84">
        <v>93240</v>
      </c>
      <c r="Q570" s="84">
        <v>17631</v>
      </c>
      <c r="R570" s="32"/>
      <c r="S570" s="3" t="str">
        <f t="shared" si="209"/>
        <v>A</v>
      </c>
      <c r="T570" s="84">
        <v>87646</v>
      </c>
      <c r="U570" s="84">
        <v>16525</v>
      </c>
      <c r="V570" s="32"/>
      <c r="W570" s="3" t="str">
        <f t="shared" si="195"/>
        <v>A</v>
      </c>
      <c r="X570" s="84">
        <v>75264</v>
      </c>
      <c r="Y570" s="84">
        <v>14339</v>
      </c>
      <c r="Z570" s="32"/>
      <c r="AA570" s="3" t="str">
        <f t="shared" si="196"/>
        <v>A</v>
      </c>
      <c r="AB570" s="84">
        <v>88550</v>
      </c>
      <c r="AC570" s="84">
        <v>15736</v>
      </c>
      <c r="AD570" s="36"/>
      <c r="AE570" s="82"/>
      <c r="AF570" s="3" t="str">
        <f t="shared" si="197"/>
        <v>A</v>
      </c>
      <c r="AG570" s="84">
        <v>0</v>
      </c>
      <c r="AH570" s="84">
        <v>0</v>
      </c>
      <c r="AI570" s="39"/>
      <c r="AJ570" s="79" t="s">
        <v>1801</v>
      </c>
      <c r="AK570" s="39"/>
      <c r="AL570" s="4">
        <f t="shared" si="202"/>
        <v>344700</v>
      </c>
      <c r="AM570" s="4">
        <f t="shared" si="203"/>
        <v>64231</v>
      </c>
      <c r="AN570" s="4">
        <f t="shared" si="198"/>
        <v>408931</v>
      </c>
      <c r="AO570" s="39"/>
      <c r="AP570" s="8">
        <f t="shared" si="204"/>
        <v>0</v>
      </c>
      <c r="AQ570" s="8">
        <f t="shared" si="205"/>
        <v>0</v>
      </c>
      <c r="AR570" s="8">
        <f t="shared" si="199"/>
        <v>0</v>
      </c>
      <c r="AS570" s="42"/>
      <c r="AT570" s="84">
        <v>344700</v>
      </c>
      <c r="AU570" s="84">
        <v>64231</v>
      </c>
      <c r="AV570" s="4">
        <f t="shared" si="200"/>
        <v>408931</v>
      </c>
      <c r="AW570" s="50" t="str">
        <f t="shared" si="201"/>
        <v/>
      </c>
      <c r="AX570" s="1" t="s">
        <v>1639</v>
      </c>
      <c r="AY570" s="2" t="s">
        <v>1640</v>
      </c>
      <c r="AZ570" s="2">
        <v>181629.28</v>
      </c>
      <c r="BA570" s="73">
        <v>158925.62</v>
      </c>
      <c r="BB570" s="73">
        <v>158925.62</v>
      </c>
      <c r="BC570" s="73">
        <v>181629.28</v>
      </c>
      <c r="BD570" s="73"/>
      <c r="BE570" s="66">
        <v>0</v>
      </c>
      <c r="BF570" s="66">
        <v>0.02</v>
      </c>
      <c r="BG570" s="63">
        <v>45230</v>
      </c>
      <c r="BH570" s="2"/>
      <c r="BI570" s="2"/>
      <c r="BJ570" s="2">
        <v>666362.57999999996</v>
      </c>
      <c r="BK570" s="2">
        <v>74040.289999999994</v>
      </c>
      <c r="BL570" s="1" t="s">
        <v>56</v>
      </c>
    </row>
    <row r="571" spans="1:64" x14ac:dyDescent="0.25">
      <c r="A571" s="81" t="s">
        <v>1304</v>
      </c>
      <c r="B571" s="82" t="s">
        <v>1304</v>
      </c>
      <c r="C571" s="81" t="s">
        <v>1305</v>
      </c>
      <c r="D571" s="16">
        <v>0</v>
      </c>
      <c r="E571" s="17"/>
      <c r="F571" s="2" t="s">
        <v>803</v>
      </c>
      <c r="G571" s="2" t="s">
        <v>804</v>
      </c>
      <c r="H571" s="10" t="s">
        <v>105</v>
      </c>
      <c r="I571" s="11" t="s">
        <v>53</v>
      </c>
      <c r="J571" s="11" t="s">
        <v>258</v>
      </c>
      <c r="K571" s="61"/>
      <c r="L571" s="11" t="s">
        <v>67</v>
      </c>
      <c r="M571" s="25"/>
      <c r="N571" s="82"/>
      <c r="O571" s="3" t="str">
        <f t="shared" si="210"/>
        <v>A</v>
      </c>
      <c r="P571" s="84">
        <v>248802</v>
      </c>
      <c r="Q571" s="84">
        <v>24511</v>
      </c>
      <c r="R571" s="32"/>
      <c r="S571" s="3" t="str">
        <f t="shared" si="209"/>
        <v>A</v>
      </c>
      <c r="T571" s="84">
        <v>213962</v>
      </c>
      <c r="U571" s="84">
        <v>34225</v>
      </c>
      <c r="V571" s="32"/>
      <c r="W571" s="3" t="str">
        <f t="shared" si="195"/>
        <v>A</v>
      </c>
      <c r="X571" s="84">
        <v>200716</v>
      </c>
      <c r="Y571" s="84">
        <v>26280</v>
      </c>
      <c r="Z571" s="32"/>
      <c r="AA571" s="3" t="str">
        <f t="shared" si="196"/>
        <v>A</v>
      </c>
      <c r="AB571" s="84">
        <v>224330</v>
      </c>
      <c r="AC571" s="84">
        <v>20543</v>
      </c>
      <c r="AD571" s="36"/>
      <c r="AE571" s="82"/>
      <c r="AF571" s="3" t="str">
        <f t="shared" si="197"/>
        <v>A</v>
      </c>
      <c r="AG571" s="84">
        <v>0</v>
      </c>
      <c r="AH571" s="84">
        <v>0</v>
      </c>
      <c r="AI571" s="39"/>
      <c r="AJ571" s="79" t="s">
        <v>1801</v>
      </c>
      <c r="AK571" s="39"/>
      <c r="AL571" s="4">
        <f t="shared" si="202"/>
        <v>887810</v>
      </c>
      <c r="AM571" s="4">
        <f t="shared" si="203"/>
        <v>105559</v>
      </c>
      <c r="AN571" s="4">
        <f t="shared" si="198"/>
        <v>993369</v>
      </c>
      <c r="AO571" s="39"/>
      <c r="AP571" s="8">
        <f t="shared" si="204"/>
        <v>0</v>
      </c>
      <c r="AQ571" s="8">
        <f t="shared" si="205"/>
        <v>0</v>
      </c>
      <c r="AR571" s="8">
        <f t="shared" si="199"/>
        <v>0</v>
      </c>
      <c r="AS571" s="42"/>
      <c r="AT571" s="84">
        <v>887810</v>
      </c>
      <c r="AU571" s="84">
        <v>105559</v>
      </c>
      <c r="AV571" s="4">
        <f t="shared" si="200"/>
        <v>993369</v>
      </c>
      <c r="AW571" s="50" t="str">
        <f t="shared" si="201"/>
        <v/>
      </c>
      <c r="AX571" s="1" t="s">
        <v>1730</v>
      </c>
      <c r="AY571" s="2" t="s">
        <v>1731</v>
      </c>
      <c r="AZ571" s="2">
        <v>172387.92</v>
      </c>
      <c r="BA571" s="73">
        <v>150839.43</v>
      </c>
      <c r="BB571" s="73">
        <v>150839.43</v>
      </c>
      <c r="BC571" s="73">
        <v>172387.92</v>
      </c>
      <c r="BD571" s="73"/>
      <c r="BE571" s="66">
        <v>0</v>
      </c>
      <c r="BF571" s="66">
        <v>0.05</v>
      </c>
      <c r="BG571" s="63">
        <v>45107</v>
      </c>
      <c r="BH571" s="2"/>
      <c r="BI571" s="2"/>
      <c r="BJ571" s="2">
        <v>635040</v>
      </c>
      <c r="BK571" s="2">
        <v>33339.89</v>
      </c>
      <c r="BL571" s="1" t="s">
        <v>104</v>
      </c>
    </row>
    <row r="572" spans="1:64" x14ac:dyDescent="0.25">
      <c r="A572" s="81" t="s">
        <v>1308</v>
      </c>
      <c r="B572" s="82" t="s">
        <v>1308</v>
      </c>
      <c r="C572" s="81" t="s">
        <v>1309</v>
      </c>
      <c r="D572" s="16">
        <v>45125</v>
      </c>
      <c r="E572" s="17"/>
      <c r="F572" s="2" t="s">
        <v>309</v>
      </c>
      <c r="G572" s="2" t="s">
        <v>310</v>
      </c>
      <c r="H572" s="10" t="s">
        <v>105</v>
      </c>
      <c r="I572" s="11" t="s">
        <v>53</v>
      </c>
      <c r="J572" s="11" t="s">
        <v>312</v>
      </c>
      <c r="K572" s="61"/>
      <c r="L572" s="11" t="s">
        <v>67</v>
      </c>
      <c r="M572" s="25"/>
      <c r="N572" s="82"/>
      <c r="O572" s="3" t="str">
        <f t="shared" si="210"/>
        <v>A</v>
      </c>
      <c r="P572" s="84">
        <v>104756</v>
      </c>
      <c r="Q572" s="84">
        <v>6635</v>
      </c>
      <c r="R572" s="32"/>
      <c r="S572" s="3" t="str">
        <f t="shared" si="209"/>
        <v>A</v>
      </c>
      <c r="T572" s="84">
        <v>83519</v>
      </c>
      <c r="U572" s="84">
        <v>12945</v>
      </c>
      <c r="V572" s="32"/>
      <c r="W572" s="3" t="str">
        <f t="shared" si="195"/>
        <v>A</v>
      </c>
      <c r="X572" s="84">
        <v>86238</v>
      </c>
      <c r="Y572" s="84">
        <v>10275</v>
      </c>
      <c r="Z572" s="32"/>
      <c r="AA572" s="3" t="str">
        <f t="shared" si="196"/>
        <v>A</v>
      </c>
      <c r="AB572" s="84">
        <v>102965</v>
      </c>
      <c r="AC572" s="84">
        <v>11000</v>
      </c>
      <c r="AD572" s="36"/>
      <c r="AE572" s="82"/>
      <c r="AF572" s="3" t="str">
        <f t="shared" si="197"/>
        <v>A</v>
      </c>
      <c r="AG572" s="84">
        <v>0</v>
      </c>
      <c r="AH572" s="84">
        <v>0</v>
      </c>
      <c r="AI572" s="39"/>
      <c r="AJ572" s="79" t="s">
        <v>1801</v>
      </c>
      <c r="AK572" s="39"/>
      <c r="AL572" s="4">
        <f t="shared" si="202"/>
        <v>377478</v>
      </c>
      <c r="AM572" s="4">
        <f t="shared" si="203"/>
        <v>40855</v>
      </c>
      <c r="AN572" s="4">
        <f t="shared" si="198"/>
        <v>418333</v>
      </c>
      <c r="AO572" s="39"/>
      <c r="AP572" s="8">
        <f t="shared" si="204"/>
        <v>0</v>
      </c>
      <c r="AQ572" s="8">
        <f t="shared" si="205"/>
        <v>0</v>
      </c>
      <c r="AR572" s="8">
        <f t="shared" si="199"/>
        <v>0</v>
      </c>
      <c r="AS572" s="42"/>
      <c r="AT572" s="84">
        <v>377478</v>
      </c>
      <c r="AU572" s="84">
        <v>40855</v>
      </c>
      <c r="AV572" s="4">
        <f t="shared" si="200"/>
        <v>418333</v>
      </c>
      <c r="AW572" s="50" t="str">
        <f t="shared" si="201"/>
        <v/>
      </c>
      <c r="AX572" s="1" t="s">
        <v>1678</v>
      </c>
      <c r="AY572" s="2" t="s">
        <v>1679</v>
      </c>
      <c r="AZ572" s="2">
        <v>109735.28</v>
      </c>
      <c r="BA572" s="73">
        <v>96018.37</v>
      </c>
      <c r="BB572" s="73">
        <v>96018.37</v>
      </c>
      <c r="BC572" s="73">
        <v>109735.28</v>
      </c>
      <c r="BD572" s="73"/>
      <c r="BE572" s="66">
        <v>0</v>
      </c>
      <c r="BF572" s="66">
        <v>0.05</v>
      </c>
      <c r="BG572" s="63">
        <v>45122</v>
      </c>
      <c r="BH572" s="2"/>
      <c r="BI572" s="2"/>
      <c r="BJ572" s="2">
        <v>402304.5</v>
      </c>
      <c r="BK572" s="2">
        <v>21120.99</v>
      </c>
      <c r="BL572" s="1" t="s">
        <v>104</v>
      </c>
    </row>
    <row r="573" spans="1:64" x14ac:dyDescent="0.25">
      <c r="A573" s="81" t="s">
        <v>722</v>
      </c>
      <c r="B573" s="82" t="s">
        <v>723</v>
      </c>
      <c r="C573" s="81" t="s">
        <v>724</v>
      </c>
      <c r="D573" s="16">
        <v>42095</v>
      </c>
      <c r="E573" s="17"/>
      <c r="F573" s="2" t="s">
        <v>305</v>
      </c>
      <c r="G573" s="2" t="s">
        <v>306</v>
      </c>
      <c r="H573" s="10" t="s">
        <v>98</v>
      </c>
      <c r="I573" s="11" t="s">
        <v>53</v>
      </c>
      <c r="J573" s="11" t="s">
        <v>296</v>
      </c>
      <c r="K573" s="61"/>
      <c r="L573" s="11" t="s">
        <v>67</v>
      </c>
      <c r="M573" s="25"/>
      <c r="N573" s="82"/>
      <c r="O573" s="3" t="str">
        <f>IF($A573="","",IF(P573=0,"A",IF(P573=AZ573,"E","A")))</f>
        <v>A</v>
      </c>
      <c r="P573" s="84">
        <v>154913</v>
      </c>
      <c r="Q573" s="84">
        <v>10065</v>
      </c>
      <c r="R573" s="32"/>
      <c r="S573" s="3" t="str">
        <f t="shared" si="209"/>
        <v>E</v>
      </c>
      <c r="T573" s="84">
        <v>90436.43</v>
      </c>
      <c r="U573" s="84">
        <v>6180.51</v>
      </c>
      <c r="V573" s="32"/>
      <c r="W573" s="3" t="str">
        <f t="shared" si="195"/>
        <v>A</v>
      </c>
      <c r="X573" s="84">
        <v>138765</v>
      </c>
      <c r="Y573" s="84">
        <v>8739</v>
      </c>
      <c r="Z573" s="32"/>
      <c r="AA573" s="3" t="str">
        <f t="shared" si="196"/>
        <v>A</v>
      </c>
      <c r="AB573" s="84">
        <v>152955</v>
      </c>
      <c r="AC573" s="84">
        <v>7575</v>
      </c>
      <c r="AD573" s="36"/>
      <c r="AE573" s="82"/>
      <c r="AF573" s="3" t="str">
        <f t="shared" si="197"/>
        <v>A</v>
      </c>
      <c r="AG573" s="84">
        <v>0</v>
      </c>
      <c r="AH573" s="84">
        <v>0</v>
      </c>
      <c r="AI573" s="39"/>
      <c r="AJ573" s="79" t="s">
        <v>38</v>
      </c>
      <c r="AK573" s="39"/>
      <c r="AL573" s="4">
        <f t="shared" si="202"/>
        <v>446633</v>
      </c>
      <c r="AM573" s="4">
        <f t="shared" si="203"/>
        <v>26379</v>
      </c>
      <c r="AN573" s="4">
        <f t="shared" si="198"/>
        <v>473012</v>
      </c>
      <c r="AO573" s="39"/>
      <c r="AP573" s="8">
        <f t="shared" si="204"/>
        <v>90436.43</v>
      </c>
      <c r="AQ573" s="8">
        <f t="shared" si="205"/>
        <v>6180.51</v>
      </c>
      <c r="AR573" s="8">
        <f t="shared" si="199"/>
        <v>96616.939999999988</v>
      </c>
      <c r="AS573" s="42"/>
      <c r="AT573" s="84">
        <v>446633</v>
      </c>
      <c r="AU573" s="84">
        <v>26379</v>
      </c>
      <c r="AV573" s="4">
        <f t="shared" si="200"/>
        <v>473012</v>
      </c>
      <c r="AW573" s="50" t="str">
        <f t="shared" si="201"/>
        <v/>
      </c>
      <c r="AX573" s="1" t="s">
        <v>1676</v>
      </c>
      <c r="AY573" s="2" t="s">
        <v>1677</v>
      </c>
      <c r="AZ573" s="2">
        <v>103355.92</v>
      </c>
      <c r="BA573" s="73">
        <v>90436.43</v>
      </c>
      <c r="BB573" s="73">
        <v>90436.43</v>
      </c>
      <c r="BC573" s="73">
        <v>103355.92</v>
      </c>
      <c r="BD573" s="73"/>
      <c r="BE573" s="66">
        <v>3.5000000000000003E-2</v>
      </c>
      <c r="BF573" s="66">
        <v>0.05</v>
      </c>
      <c r="BG573" s="63">
        <v>45664</v>
      </c>
      <c r="BH573" s="2"/>
      <c r="BI573" s="2"/>
      <c r="BJ573" s="2"/>
      <c r="BK573" s="2"/>
      <c r="BL573" s="1" t="s">
        <v>237</v>
      </c>
    </row>
    <row r="574" spans="1:64" x14ac:dyDescent="0.25">
      <c r="A574" s="81" t="s">
        <v>722</v>
      </c>
      <c r="B574" s="82" t="s">
        <v>725</v>
      </c>
      <c r="C574" s="81" t="s">
        <v>726</v>
      </c>
      <c r="D574" s="16">
        <v>39778</v>
      </c>
      <c r="E574" s="17"/>
      <c r="F574" s="2" t="s">
        <v>305</v>
      </c>
      <c r="G574" s="2" t="s">
        <v>306</v>
      </c>
      <c r="H574" s="10" t="s">
        <v>98</v>
      </c>
      <c r="I574" s="11" t="s">
        <v>53</v>
      </c>
      <c r="J574" s="11" t="s">
        <v>296</v>
      </c>
      <c r="K574" s="61"/>
      <c r="L574" s="11" t="s">
        <v>67</v>
      </c>
      <c r="M574" s="25"/>
      <c r="N574" s="82"/>
      <c r="O574" s="3" t="str">
        <f>IF($A574="","",IF(P574=0,"A",IF(P574=AZ574,"E","A")))</f>
        <v>A</v>
      </c>
      <c r="P574" s="84">
        <v>245369</v>
      </c>
      <c r="Q574" s="84">
        <v>11375</v>
      </c>
      <c r="R574" s="32"/>
      <c r="S574" s="3" t="str">
        <f t="shared" si="209"/>
        <v>E</v>
      </c>
      <c r="T574" s="84">
        <v>125357.96</v>
      </c>
      <c r="U574" s="84">
        <v>5171.25</v>
      </c>
      <c r="V574" s="32"/>
      <c r="W574" s="3" t="str">
        <f t="shared" si="195"/>
        <v>A</v>
      </c>
      <c r="X574" s="84">
        <v>219505</v>
      </c>
      <c r="Y574" s="84">
        <v>10155</v>
      </c>
      <c r="Z574" s="32"/>
      <c r="AA574" s="3" t="str">
        <f t="shared" si="196"/>
        <v>A</v>
      </c>
      <c r="AB574" s="84">
        <v>260898</v>
      </c>
      <c r="AC574" s="84">
        <v>10080</v>
      </c>
      <c r="AD574" s="36"/>
      <c r="AE574" s="82"/>
      <c r="AF574" s="3" t="str">
        <f t="shared" si="197"/>
        <v>A</v>
      </c>
      <c r="AG574" s="84">
        <v>0</v>
      </c>
      <c r="AH574" s="84">
        <v>0</v>
      </c>
      <c r="AI574" s="39"/>
      <c r="AJ574" s="79" t="s">
        <v>38</v>
      </c>
      <c r="AK574" s="39"/>
      <c r="AL574" s="4">
        <f t="shared" si="202"/>
        <v>725772</v>
      </c>
      <c r="AM574" s="4">
        <f t="shared" si="203"/>
        <v>31610</v>
      </c>
      <c r="AN574" s="4">
        <f t="shared" si="198"/>
        <v>757382</v>
      </c>
      <c r="AO574" s="39"/>
      <c r="AP574" s="8">
        <f t="shared" si="204"/>
        <v>125357.96</v>
      </c>
      <c r="AQ574" s="8">
        <f t="shared" si="205"/>
        <v>5171.25</v>
      </c>
      <c r="AR574" s="8">
        <f t="shared" si="199"/>
        <v>130529.21</v>
      </c>
      <c r="AS574" s="42"/>
      <c r="AT574" s="84">
        <v>725772</v>
      </c>
      <c r="AU574" s="84">
        <v>31610</v>
      </c>
      <c r="AV574" s="4">
        <f t="shared" si="200"/>
        <v>757382</v>
      </c>
      <c r="AW574" s="50" t="str">
        <f t="shared" si="201"/>
        <v/>
      </c>
      <c r="AX574" s="1" t="s">
        <v>1676</v>
      </c>
      <c r="AY574" s="2" t="s">
        <v>1677</v>
      </c>
      <c r="AZ574" s="2">
        <v>143266.23999999999</v>
      </c>
      <c r="BA574" s="73">
        <v>125357.96</v>
      </c>
      <c r="BB574" s="73">
        <v>125357.96</v>
      </c>
      <c r="BC574" s="73">
        <v>143266.23999999999</v>
      </c>
      <c r="BD574" s="73"/>
      <c r="BE574" s="66">
        <v>3.5000000000000003E-2</v>
      </c>
      <c r="BF574" s="66">
        <v>0.05</v>
      </c>
      <c r="BG574" s="63">
        <v>45664</v>
      </c>
      <c r="BH574" s="2"/>
      <c r="BI574" s="2"/>
      <c r="BJ574" s="2"/>
      <c r="BK574" s="2"/>
      <c r="BL574" s="1" t="s">
        <v>237</v>
      </c>
    </row>
    <row r="575" spans="1:64" x14ac:dyDescent="0.25">
      <c r="A575" s="81" t="s">
        <v>722</v>
      </c>
      <c r="B575" s="82" t="s">
        <v>722</v>
      </c>
      <c r="C575" s="81" t="s">
        <v>1312</v>
      </c>
      <c r="D575" s="16">
        <v>45186</v>
      </c>
      <c r="E575" s="17"/>
      <c r="F575" s="2" t="s">
        <v>305</v>
      </c>
      <c r="G575" s="2" t="s">
        <v>306</v>
      </c>
      <c r="H575" s="10" t="s">
        <v>98</v>
      </c>
      <c r="I575" s="11" t="s">
        <v>53</v>
      </c>
      <c r="J575" s="11" t="s">
        <v>296</v>
      </c>
      <c r="K575" s="61"/>
      <c r="L575" s="11" t="s">
        <v>67</v>
      </c>
      <c r="M575" s="25"/>
      <c r="N575" s="82"/>
      <c r="O575" s="3" t="str">
        <f t="shared" ref="O575:O608" si="211">IF($A575="","",IF(P575=AZ575,"E","A"))</f>
        <v>A</v>
      </c>
      <c r="P575" s="84">
        <v>65274</v>
      </c>
      <c r="Q575" s="84">
        <v>2675</v>
      </c>
      <c r="R575" s="32"/>
      <c r="S575" s="3" t="str">
        <f t="shared" si="209"/>
        <v>E</v>
      </c>
      <c r="T575" s="84">
        <v>63626.92</v>
      </c>
      <c r="U575" s="84">
        <v>3174.85</v>
      </c>
      <c r="V575" s="32"/>
      <c r="W575" s="3" t="str">
        <f t="shared" si="195"/>
        <v>A</v>
      </c>
      <c r="X575" s="84">
        <v>52764</v>
      </c>
      <c r="Y575" s="84">
        <v>2090</v>
      </c>
      <c r="Z575" s="32"/>
      <c r="AA575" s="3" t="str">
        <f t="shared" si="196"/>
        <v>A</v>
      </c>
      <c r="AB575" s="84">
        <v>57224</v>
      </c>
      <c r="AC575" s="84">
        <v>1760</v>
      </c>
      <c r="AD575" s="36"/>
      <c r="AE575" s="82"/>
      <c r="AF575" s="3" t="str">
        <f t="shared" si="197"/>
        <v>A</v>
      </c>
      <c r="AG575" s="84">
        <v>0</v>
      </c>
      <c r="AH575" s="84">
        <v>0</v>
      </c>
      <c r="AI575" s="39"/>
      <c r="AJ575" s="79" t="s">
        <v>38</v>
      </c>
      <c r="AK575" s="39"/>
      <c r="AL575" s="4">
        <f t="shared" si="202"/>
        <v>175262</v>
      </c>
      <c r="AM575" s="4">
        <f t="shared" si="203"/>
        <v>6525</v>
      </c>
      <c r="AN575" s="4">
        <f t="shared" si="198"/>
        <v>181787</v>
      </c>
      <c r="AO575" s="39"/>
      <c r="AP575" s="8">
        <f t="shared" si="204"/>
        <v>63626.92</v>
      </c>
      <c r="AQ575" s="8">
        <f t="shared" si="205"/>
        <v>3174.85</v>
      </c>
      <c r="AR575" s="8">
        <f t="shared" si="199"/>
        <v>66801.77</v>
      </c>
      <c r="AS575" s="42"/>
      <c r="AT575" s="84">
        <v>175262</v>
      </c>
      <c r="AU575" s="84">
        <v>6525</v>
      </c>
      <c r="AV575" s="4">
        <f t="shared" si="200"/>
        <v>181787</v>
      </c>
      <c r="AW575" s="50" t="str">
        <f t="shared" si="201"/>
        <v/>
      </c>
      <c r="AX575" s="1" t="s">
        <v>1676</v>
      </c>
      <c r="AY575" s="2" t="s">
        <v>1677</v>
      </c>
      <c r="AZ575" s="2">
        <v>72716.479999999996</v>
      </c>
      <c r="BA575" s="73">
        <v>63626.92</v>
      </c>
      <c r="BB575" s="73">
        <v>63626.92</v>
      </c>
      <c r="BC575" s="73">
        <v>72716.479999999996</v>
      </c>
      <c r="BD575" s="73"/>
      <c r="BE575" s="66">
        <v>0</v>
      </c>
      <c r="BF575" s="66">
        <v>0.05</v>
      </c>
      <c r="BG575" s="63">
        <v>45160</v>
      </c>
      <c r="BH575" s="2"/>
      <c r="BI575" s="2"/>
      <c r="BJ575" s="2">
        <v>262615.5</v>
      </c>
      <c r="BK575" s="2">
        <v>13787.31</v>
      </c>
      <c r="BL575" s="1" t="s">
        <v>237</v>
      </c>
    </row>
    <row r="576" spans="1:64" x14ac:dyDescent="0.25">
      <c r="A576" s="81" t="s">
        <v>722</v>
      </c>
      <c r="B576" s="82" t="s">
        <v>1519</v>
      </c>
      <c r="C576" s="81" t="s">
        <v>1520</v>
      </c>
      <c r="D576" s="16">
        <v>0</v>
      </c>
      <c r="E576" s="17"/>
      <c r="F576" s="2" t="s">
        <v>305</v>
      </c>
      <c r="G576" s="2" t="s">
        <v>306</v>
      </c>
      <c r="H576" s="10" t="s">
        <v>98</v>
      </c>
      <c r="I576" s="11" t="s">
        <v>53</v>
      </c>
      <c r="J576" s="11" t="s">
        <v>296</v>
      </c>
      <c r="K576" s="61"/>
      <c r="L576" s="11" t="s">
        <v>67</v>
      </c>
      <c r="M576" s="25"/>
      <c r="N576" s="82"/>
      <c r="O576" s="3" t="str">
        <f t="shared" si="211"/>
        <v>A</v>
      </c>
      <c r="P576" s="84">
        <v>129650</v>
      </c>
      <c r="Q576" s="84">
        <v>2485</v>
      </c>
      <c r="R576" s="32"/>
      <c r="S576" s="3" t="str">
        <f>IF($A576="","",IF(T576=BA576,"E","A"))</f>
        <v>E</v>
      </c>
      <c r="T576" s="84">
        <v>43227.31</v>
      </c>
      <c r="U576" s="84">
        <v>2319.73</v>
      </c>
      <c r="V576" s="32"/>
      <c r="W576" s="3" t="str">
        <f t="shared" si="195"/>
        <v>A</v>
      </c>
      <c r="X576" s="84">
        <v>106140</v>
      </c>
      <c r="Y576" s="84">
        <v>1760</v>
      </c>
      <c r="Z576" s="32"/>
      <c r="AA576" s="3" t="str">
        <f t="shared" si="196"/>
        <v>A</v>
      </c>
      <c r="AB576" s="84">
        <v>128398</v>
      </c>
      <c r="AC576" s="84">
        <v>2205</v>
      </c>
      <c r="AD576" s="36"/>
      <c r="AE576" s="82"/>
      <c r="AF576" s="3" t="str">
        <f t="shared" si="197"/>
        <v>A</v>
      </c>
      <c r="AG576" s="84">
        <v>0</v>
      </c>
      <c r="AH576" s="84">
        <v>0</v>
      </c>
      <c r="AI576" s="39"/>
      <c r="AJ576" s="79" t="s">
        <v>38</v>
      </c>
      <c r="AK576" s="39"/>
      <c r="AL576" s="4">
        <f t="shared" si="202"/>
        <v>364188</v>
      </c>
      <c r="AM576" s="4">
        <f t="shared" si="203"/>
        <v>6450</v>
      </c>
      <c r="AN576" s="4">
        <f t="shared" si="198"/>
        <v>370638</v>
      </c>
      <c r="AO576" s="39"/>
      <c r="AP576" s="8">
        <f t="shared" si="204"/>
        <v>43227.31</v>
      </c>
      <c r="AQ576" s="8">
        <f t="shared" si="205"/>
        <v>2319.73</v>
      </c>
      <c r="AR576" s="8">
        <f t="shared" si="199"/>
        <v>45547.040000000001</v>
      </c>
      <c r="AS576" s="42"/>
      <c r="AT576" s="84">
        <v>364188</v>
      </c>
      <c r="AU576" s="84">
        <v>6450</v>
      </c>
      <c r="AV576" s="4">
        <f t="shared" si="200"/>
        <v>370638</v>
      </c>
      <c r="AW576" s="50" t="str">
        <f t="shared" si="201"/>
        <v/>
      </c>
      <c r="AX576" s="1" t="s">
        <v>1676</v>
      </c>
      <c r="AY576" s="2" t="s">
        <v>1677</v>
      </c>
      <c r="AZ576" s="2">
        <v>49402.64</v>
      </c>
      <c r="BA576" s="73">
        <v>43227.31</v>
      </c>
      <c r="BB576" s="73">
        <v>43227.31</v>
      </c>
      <c r="BC576" s="73">
        <v>49402.64</v>
      </c>
      <c r="BD576" s="73"/>
      <c r="BE576" s="66">
        <v>0</v>
      </c>
      <c r="BF576" s="66">
        <v>0.05</v>
      </c>
      <c r="BG576" s="63">
        <v>44306</v>
      </c>
      <c r="BH576" s="2"/>
      <c r="BI576" s="2"/>
      <c r="BJ576" s="2">
        <v>182820</v>
      </c>
      <c r="BK576" s="2">
        <v>9598.0499999999993</v>
      </c>
      <c r="BL576" s="1" t="s">
        <v>237</v>
      </c>
    </row>
    <row r="577" spans="1:64" x14ac:dyDescent="0.25">
      <c r="A577" s="81" t="s">
        <v>1318</v>
      </c>
      <c r="B577" s="82" t="s">
        <v>1318</v>
      </c>
      <c r="C577" s="81" t="s">
        <v>1319</v>
      </c>
      <c r="D577" s="16">
        <v>45163</v>
      </c>
      <c r="E577" s="17"/>
      <c r="F577" s="2" t="s">
        <v>52</v>
      </c>
      <c r="G577" s="2" t="s">
        <v>55</v>
      </c>
      <c r="H577" s="10" t="s">
        <v>57</v>
      </c>
      <c r="I577" s="11" t="s">
        <v>54</v>
      </c>
      <c r="J577" s="11" t="s">
        <v>83</v>
      </c>
      <c r="K577" s="61" t="s">
        <v>84</v>
      </c>
      <c r="L577" s="11" t="s">
        <v>67</v>
      </c>
      <c r="M577" s="25"/>
      <c r="N577" s="82"/>
      <c r="O577" s="3" t="str">
        <f t="shared" si="211"/>
        <v>A</v>
      </c>
      <c r="P577" s="84">
        <v>153450.25</v>
      </c>
      <c r="Q577" s="84">
        <v>34922</v>
      </c>
      <c r="R577" s="32"/>
      <c r="S577" s="3" t="str">
        <f t="shared" ref="S577:S583" si="212">IF($A577="","",IF(T577=0,"A",IF(T577=BA577,"E","A")))</f>
        <v>A</v>
      </c>
      <c r="T577" s="84">
        <v>134464</v>
      </c>
      <c r="U577" s="84">
        <v>31184</v>
      </c>
      <c r="V577" s="32"/>
      <c r="W577" s="3" t="str">
        <f t="shared" si="195"/>
        <v>A</v>
      </c>
      <c r="X577" s="84">
        <v>120076</v>
      </c>
      <c r="Y577" s="84">
        <v>29407</v>
      </c>
      <c r="Z577" s="32"/>
      <c r="AA577" s="3" t="str">
        <f t="shared" si="196"/>
        <v>A</v>
      </c>
      <c r="AB577" s="84">
        <v>145077</v>
      </c>
      <c r="AC577" s="84">
        <v>31361</v>
      </c>
      <c r="AD577" s="36"/>
      <c r="AE577" s="82"/>
      <c r="AF577" s="3" t="str">
        <f t="shared" si="197"/>
        <v>A</v>
      </c>
      <c r="AG577" s="84">
        <v>0</v>
      </c>
      <c r="AH577" s="84">
        <v>0</v>
      </c>
      <c r="AI577" s="39"/>
      <c r="AJ577" s="79" t="s">
        <v>1801</v>
      </c>
      <c r="AK577" s="39"/>
      <c r="AL577" s="4">
        <f t="shared" si="202"/>
        <v>553067.25</v>
      </c>
      <c r="AM577" s="4">
        <f t="shared" si="203"/>
        <v>126874</v>
      </c>
      <c r="AN577" s="4">
        <f t="shared" si="198"/>
        <v>679941.25</v>
      </c>
      <c r="AO577" s="39"/>
      <c r="AP577" s="8">
        <f t="shared" si="204"/>
        <v>0</v>
      </c>
      <c r="AQ577" s="8">
        <f t="shared" si="205"/>
        <v>0</v>
      </c>
      <c r="AR577" s="8">
        <f t="shared" si="199"/>
        <v>0</v>
      </c>
      <c r="AS577" s="42"/>
      <c r="AT577" s="84">
        <v>553067.25</v>
      </c>
      <c r="AU577" s="84">
        <v>126874</v>
      </c>
      <c r="AV577" s="4">
        <f t="shared" si="200"/>
        <v>679941.25</v>
      </c>
      <c r="AW577" s="50" t="str">
        <f t="shared" si="201"/>
        <v/>
      </c>
      <c r="AX577" s="1" t="s">
        <v>1639</v>
      </c>
      <c r="AY577" s="2" t="s">
        <v>1640</v>
      </c>
      <c r="AZ577" s="2">
        <v>127186.4</v>
      </c>
      <c r="BA577" s="73">
        <v>111288.1</v>
      </c>
      <c r="BB577" s="73">
        <v>111288.1</v>
      </c>
      <c r="BC577" s="73">
        <v>127186.4</v>
      </c>
      <c r="BD577" s="73"/>
      <c r="BE577" s="66">
        <v>0</v>
      </c>
      <c r="BF577" s="66">
        <v>0.02</v>
      </c>
      <c r="BG577" s="63">
        <v>45163</v>
      </c>
      <c r="BH577" s="2"/>
      <c r="BI577" s="2"/>
      <c r="BJ577" s="2">
        <v>455994</v>
      </c>
      <c r="BK577" s="2">
        <v>23939.69</v>
      </c>
      <c r="BL577" s="1" t="s">
        <v>56</v>
      </c>
    </row>
    <row r="578" spans="1:64" x14ac:dyDescent="0.25">
      <c r="A578" s="81" t="s">
        <v>1320</v>
      </c>
      <c r="B578" s="82" t="s">
        <v>1320</v>
      </c>
      <c r="C578" s="81" t="s">
        <v>1321</v>
      </c>
      <c r="D578" s="16">
        <v>45163</v>
      </c>
      <c r="E578" s="17"/>
      <c r="F578" s="2" t="s">
        <v>52</v>
      </c>
      <c r="G578" s="2" t="s">
        <v>55</v>
      </c>
      <c r="H578" s="10" t="s">
        <v>57</v>
      </c>
      <c r="I578" s="11" t="s">
        <v>54</v>
      </c>
      <c r="J578" s="11" t="s">
        <v>636</v>
      </c>
      <c r="K578" s="61" t="s">
        <v>637</v>
      </c>
      <c r="L578" s="11" t="s">
        <v>67</v>
      </c>
      <c r="M578" s="25"/>
      <c r="N578" s="82"/>
      <c r="O578" s="3" t="str">
        <f t="shared" si="211"/>
        <v>A</v>
      </c>
      <c r="P578" s="84">
        <v>56246</v>
      </c>
      <c r="Q578" s="84">
        <v>14730</v>
      </c>
      <c r="R578" s="32"/>
      <c r="S578" s="3" t="str">
        <f t="shared" si="212"/>
        <v>A</v>
      </c>
      <c r="T578" s="84">
        <v>48077.25</v>
      </c>
      <c r="U578" s="84">
        <v>13735</v>
      </c>
      <c r="V578" s="32"/>
      <c r="W578" s="3" t="str">
        <f t="shared" si="195"/>
        <v>A</v>
      </c>
      <c r="X578" s="84">
        <v>46086</v>
      </c>
      <c r="Y578" s="84">
        <v>13205</v>
      </c>
      <c r="Z578" s="32"/>
      <c r="AA578" s="3" t="str">
        <f t="shared" si="196"/>
        <v>A</v>
      </c>
      <c r="AB578" s="84">
        <v>54111</v>
      </c>
      <c r="AC578" s="84">
        <v>17745</v>
      </c>
      <c r="AD578" s="36"/>
      <c r="AE578" s="82"/>
      <c r="AF578" s="3" t="str">
        <f t="shared" si="197"/>
        <v>A</v>
      </c>
      <c r="AG578" s="84">
        <v>0</v>
      </c>
      <c r="AH578" s="84">
        <v>0</v>
      </c>
      <c r="AI578" s="39"/>
      <c r="AJ578" s="79" t="s">
        <v>1801</v>
      </c>
      <c r="AK578" s="39"/>
      <c r="AL578" s="4">
        <f t="shared" si="202"/>
        <v>204520.25</v>
      </c>
      <c r="AM578" s="4">
        <f t="shared" si="203"/>
        <v>59415</v>
      </c>
      <c r="AN578" s="4">
        <f t="shared" si="198"/>
        <v>263935.25</v>
      </c>
      <c r="AO578" s="39"/>
      <c r="AP578" s="8">
        <f t="shared" si="204"/>
        <v>0</v>
      </c>
      <c r="AQ578" s="8">
        <f t="shared" si="205"/>
        <v>0</v>
      </c>
      <c r="AR578" s="8">
        <f t="shared" si="199"/>
        <v>0</v>
      </c>
      <c r="AS578" s="42"/>
      <c r="AT578" s="84">
        <v>204520.25</v>
      </c>
      <c r="AU578" s="84">
        <v>59415</v>
      </c>
      <c r="AV578" s="4">
        <f t="shared" si="200"/>
        <v>263935.25</v>
      </c>
      <c r="AW578" s="50" t="str">
        <f t="shared" si="201"/>
        <v/>
      </c>
      <c r="AX578" s="1" t="s">
        <v>1639</v>
      </c>
      <c r="AY578" s="2" t="s">
        <v>1640</v>
      </c>
      <c r="AZ578" s="2">
        <v>66150.080000000002</v>
      </c>
      <c r="BA578" s="73">
        <v>57881.32</v>
      </c>
      <c r="BB578" s="73">
        <v>57881.32</v>
      </c>
      <c r="BC578" s="73">
        <v>66150.080000000002</v>
      </c>
      <c r="BD578" s="73"/>
      <c r="BE578" s="66">
        <v>0</v>
      </c>
      <c r="BF578" s="66">
        <v>0.02</v>
      </c>
      <c r="BG578" s="63">
        <v>45163</v>
      </c>
      <c r="BH578" s="2"/>
      <c r="BI578" s="2"/>
      <c r="BJ578" s="2">
        <v>237165</v>
      </c>
      <c r="BK578" s="2">
        <v>12451.16</v>
      </c>
      <c r="BL578" s="1" t="s">
        <v>56</v>
      </c>
    </row>
    <row r="579" spans="1:64" x14ac:dyDescent="0.25">
      <c r="A579" s="81" t="s">
        <v>1324</v>
      </c>
      <c r="B579" s="82" t="s">
        <v>1324</v>
      </c>
      <c r="C579" s="81" t="s">
        <v>1325</v>
      </c>
      <c r="D579" s="16">
        <v>45350</v>
      </c>
      <c r="E579" s="17"/>
      <c r="F579" s="2" t="s">
        <v>109</v>
      </c>
      <c r="G579" s="2" t="s">
        <v>111</v>
      </c>
      <c r="H579" s="10" t="s">
        <v>57</v>
      </c>
      <c r="I579" s="11" t="s">
        <v>110</v>
      </c>
      <c r="J579" s="11" t="s">
        <v>460</v>
      </c>
      <c r="K579" s="61" t="s">
        <v>461</v>
      </c>
      <c r="L579" s="11" t="s">
        <v>67</v>
      </c>
      <c r="M579" s="25"/>
      <c r="N579" s="82"/>
      <c r="O579" s="3" t="str">
        <f t="shared" si="211"/>
        <v>A</v>
      </c>
      <c r="P579" s="84">
        <v>78183.400000000009</v>
      </c>
      <c r="Q579" s="84">
        <v>7897</v>
      </c>
      <c r="R579" s="32"/>
      <c r="S579" s="3" t="str">
        <f t="shared" si="212"/>
        <v>A</v>
      </c>
      <c r="T579" s="84">
        <v>69690.760000000009</v>
      </c>
      <c r="U579" s="84">
        <v>5945</v>
      </c>
      <c r="V579" s="32"/>
      <c r="W579" s="3" t="str">
        <f t="shared" si="195"/>
        <v>A</v>
      </c>
      <c r="X579" s="84">
        <v>102576.83000000002</v>
      </c>
      <c r="Y579" s="84">
        <v>7228.119999999999</v>
      </c>
      <c r="Z579" s="32"/>
      <c r="AA579" s="3" t="str">
        <f t="shared" si="196"/>
        <v>A</v>
      </c>
      <c r="AB579" s="84">
        <v>116230.54999999999</v>
      </c>
      <c r="AC579" s="84">
        <v>7369</v>
      </c>
      <c r="AD579" s="36"/>
      <c r="AE579" s="82"/>
      <c r="AF579" s="3" t="str">
        <f t="shared" si="197"/>
        <v>A</v>
      </c>
      <c r="AG579" s="84">
        <v>0</v>
      </c>
      <c r="AH579" s="84">
        <v>0</v>
      </c>
      <c r="AI579" s="39"/>
      <c r="AJ579" s="79" t="s">
        <v>1801</v>
      </c>
      <c r="AK579" s="39"/>
      <c r="AL579" s="4">
        <f t="shared" si="202"/>
        <v>366681.54000000004</v>
      </c>
      <c r="AM579" s="4">
        <f t="shared" si="203"/>
        <v>28439.119999999999</v>
      </c>
      <c r="AN579" s="4">
        <f t="shared" si="198"/>
        <v>395120.66000000003</v>
      </c>
      <c r="AO579" s="39"/>
      <c r="AP579" s="8">
        <f t="shared" si="204"/>
        <v>0</v>
      </c>
      <c r="AQ579" s="8">
        <f t="shared" si="205"/>
        <v>0</v>
      </c>
      <c r="AR579" s="8">
        <f t="shared" si="199"/>
        <v>0</v>
      </c>
      <c r="AS579" s="42"/>
      <c r="AT579" s="84">
        <v>366681.54</v>
      </c>
      <c r="AU579" s="84">
        <v>28439.120000000003</v>
      </c>
      <c r="AV579" s="4">
        <f t="shared" si="200"/>
        <v>395120.66</v>
      </c>
      <c r="AW579" s="50" t="str">
        <f t="shared" si="201"/>
        <v/>
      </c>
      <c r="AX579" s="1" t="s">
        <v>1647</v>
      </c>
      <c r="AY579" s="2" t="s">
        <v>1640</v>
      </c>
      <c r="AZ579" s="2">
        <v>228621.28</v>
      </c>
      <c r="BA579" s="73">
        <v>200043.62</v>
      </c>
      <c r="BB579" s="73">
        <v>200043.62</v>
      </c>
      <c r="BC579" s="73">
        <v>228621.28</v>
      </c>
      <c r="BD579" s="73"/>
      <c r="BE579" s="66">
        <v>0</v>
      </c>
      <c r="BF579" s="66">
        <v>0.02</v>
      </c>
      <c r="BG579" s="63">
        <v>45350</v>
      </c>
      <c r="BH579" s="2"/>
      <c r="BI579" s="2"/>
      <c r="BJ579" s="2">
        <v>826072.62</v>
      </c>
      <c r="BK579" s="2">
        <v>113794.35</v>
      </c>
      <c r="BL579" s="1" t="s">
        <v>56</v>
      </c>
    </row>
    <row r="580" spans="1:64" x14ac:dyDescent="0.25">
      <c r="A580" s="81" t="s">
        <v>1324</v>
      </c>
      <c r="B580" s="82" t="s">
        <v>1360</v>
      </c>
      <c r="C580" s="81" t="s">
        <v>1361</v>
      </c>
      <c r="D580" s="16">
        <v>0</v>
      </c>
      <c r="E580" s="17"/>
      <c r="F580" s="2" t="s">
        <v>109</v>
      </c>
      <c r="G580" s="2" t="s">
        <v>111</v>
      </c>
      <c r="H580" s="10" t="s">
        <v>57</v>
      </c>
      <c r="I580" s="11" t="s">
        <v>110</v>
      </c>
      <c r="J580" s="11" t="s">
        <v>460</v>
      </c>
      <c r="K580" s="61" t="s">
        <v>461</v>
      </c>
      <c r="L580" s="11" t="s">
        <v>67</v>
      </c>
      <c r="M580" s="25"/>
      <c r="N580" s="82"/>
      <c r="O580" s="3" t="str">
        <f t="shared" si="211"/>
        <v>A</v>
      </c>
      <c r="P580" s="84">
        <v>38205.899999999994</v>
      </c>
      <c r="Q580" s="84">
        <v>0</v>
      </c>
      <c r="R580" s="32"/>
      <c r="S580" s="3" t="str">
        <f t="shared" si="212"/>
        <v>A</v>
      </c>
      <c r="T580" s="84">
        <v>35379.300000000003</v>
      </c>
      <c r="U580" s="84"/>
      <c r="V580" s="32"/>
      <c r="W580" s="3" t="str">
        <f t="shared" si="195"/>
        <v>A</v>
      </c>
      <c r="X580" s="84">
        <v>31151.5</v>
      </c>
      <c r="Y580" s="84"/>
      <c r="Z580" s="32"/>
      <c r="AA580" s="3" t="str">
        <f t="shared" si="196"/>
        <v>A</v>
      </c>
      <c r="AB580" s="84">
        <v>32306.03</v>
      </c>
      <c r="AC580" s="84"/>
      <c r="AD580" s="36"/>
      <c r="AE580" s="82"/>
      <c r="AF580" s="3" t="str">
        <f t="shared" si="197"/>
        <v>A</v>
      </c>
      <c r="AG580" s="84">
        <v>0</v>
      </c>
      <c r="AH580" s="84">
        <v>0</v>
      </c>
      <c r="AI580" s="39"/>
      <c r="AJ580" s="79" t="s">
        <v>1801</v>
      </c>
      <c r="AK580" s="39"/>
      <c r="AL580" s="4">
        <f t="shared" si="202"/>
        <v>137042.72999999998</v>
      </c>
      <c r="AM580" s="4">
        <f t="shared" si="203"/>
        <v>0</v>
      </c>
      <c r="AN580" s="4">
        <f t="shared" si="198"/>
        <v>137042.72999999998</v>
      </c>
      <c r="AO580" s="39"/>
      <c r="AP580" s="8">
        <f t="shared" si="204"/>
        <v>0</v>
      </c>
      <c r="AQ580" s="8">
        <f t="shared" si="205"/>
        <v>0</v>
      </c>
      <c r="AR580" s="8">
        <f t="shared" si="199"/>
        <v>0</v>
      </c>
      <c r="AS580" s="42"/>
      <c r="AT580" s="84">
        <v>137042.73000000001</v>
      </c>
      <c r="AU580" s="84"/>
      <c r="AV580" s="4">
        <f t="shared" si="200"/>
        <v>137042.73000000001</v>
      </c>
      <c r="AW580" s="50" t="str">
        <f t="shared" si="201"/>
        <v/>
      </c>
      <c r="AX580" s="1" t="s">
        <v>1647</v>
      </c>
      <c r="AY580" s="2" t="s">
        <v>1640</v>
      </c>
      <c r="AZ580" s="2">
        <v>179659.36</v>
      </c>
      <c r="BA580" s="73">
        <v>157201.94</v>
      </c>
      <c r="BB580" s="73">
        <v>157201.94</v>
      </c>
      <c r="BC580" s="73">
        <v>179659.36</v>
      </c>
      <c r="BD580" s="73"/>
      <c r="BE580" s="66">
        <v>0</v>
      </c>
      <c r="BF580" s="66">
        <v>0.02</v>
      </c>
      <c r="BG580" s="63">
        <v>45389</v>
      </c>
      <c r="BH580" s="2"/>
      <c r="BI580" s="2"/>
      <c r="BJ580" s="2">
        <v>654301</v>
      </c>
      <c r="BK580" s="2">
        <v>44882.3</v>
      </c>
      <c r="BL580" s="1" t="s">
        <v>56</v>
      </c>
    </row>
    <row r="581" spans="1:64" x14ac:dyDescent="0.25">
      <c r="A581" s="81" t="s">
        <v>1326</v>
      </c>
      <c r="B581" s="82" t="s">
        <v>1326</v>
      </c>
      <c r="C581" s="81" t="s">
        <v>1327</v>
      </c>
      <c r="D581" s="16">
        <v>0</v>
      </c>
      <c r="E581" s="17"/>
      <c r="F581" s="2" t="s">
        <v>1164</v>
      </c>
      <c r="G581" s="2" t="s">
        <v>1165</v>
      </c>
      <c r="H581" s="10" t="s">
        <v>57</v>
      </c>
      <c r="I581" s="11" t="s">
        <v>53</v>
      </c>
      <c r="J581" s="11" t="s">
        <v>1166</v>
      </c>
      <c r="K581" s="61"/>
      <c r="L581" s="11" t="s">
        <v>67</v>
      </c>
      <c r="M581" s="25"/>
      <c r="N581" s="82"/>
      <c r="O581" s="3" t="str">
        <f t="shared" si="211"/>
        <v>A</v>
      </c>
      <c r="P581" s="84">
        <v>73839</v>
      </c>
      <c r="Q581" s="84">
        <v>8899</v>
      </c>
      <c r="R581" s="32"/>
      <c r="S581" s="3" t="str">
        <f t="shared" si="212"/>
        <v>A</v>
      </c>
      <c r="T581" s="84">
        <v>79281</v>
      </c>
      <c r="U581" s="84">
        <v>5219</v>
      </c>
      <c r="V581" s="32"/>
      <c r="W581" s="3" t="str">
        <f t="shared" si="195"/>
        <v>A</v>
      </c>
      <c r="X581" s="84">
        <v>64554</v>
      </c>
      <c r="Y581" s="84">
        <v>4165</v>
      </c>
      <c r="Z581" s="32"/>
      <c r="AA581" s="3" t="str">
        <f t="shared" si="196"/>
        <v>A</v>
      </c>
      <c r="AB581" s="84">
        <v>68747</v>
      </c>
      <c r="AC581" s="84">
        <v>6523</v>
      </c>
      <c r="AD581" s="36"/>
      <c r="AE581" s="82"/>
      <c r="AF581" s="3" t="str">
        <f t="shared" si="197"/>
        <v>A</v>
      </c>
      <c r="AG581" s="84">
        <v>0</v>
      </c>
      <c r="AH581" s="84">
        <v>0</v>
      </c>
      <c r="AI581" s="39"/>
      <c r="AJ581" s="79" t="s">
        <v>1801</v>
      </c>
      <c r="AK581" s="39"/>
      <c r="AL581" s="4">
        <f t="shared" si="202"/>
        <v>286421</v>
      </c>
      <c r="AM581" s="4">
        <f t="shared" si="203"/>
        <v>24806</v>
      </c>
      <c r="AN581" s="4">
        <f t="shared" si="198"/>
        <v>311227</v>
      </c>
      <c r="AO581" s="39"/>
      <c r="AP581" s="8">
        <f t="shared" si="204"/>
        <v>0</v>
      </c>
      <c r="AQ581" s="8">
        <f t="shared" si="205"/>
        <v>0</v>
      </c>
      <c r="AR581" s="8">
        <f t="shared" si="199"/>
        <v>0</v>
      </c>
      <c r="AS581" s="42"/>
      <c r="AT581" s="84">
        <v>286421</v>
      </c>
      <c r="AU581" s="84">
        <v>24806</v>
      </c>
      <c r="AV581" s="4">
        <f t="shared" si="200"/>
        <v>311227</v>
      </c>
      <c r="AW581" s="50" t="str">
        <f t="shared" si="201"/>
        <v/>
      </c>
      <c r="AX581" s="1" t="s">
        <v>1762</v>
      </c>
      <c r="AY581" s="2" t="s">
        <v>1763</v>
      </c>
      <c r="AZ581" s="2">
        <v>142540.88</v>
      </c>
      <c r="BA581" s="73">
        <v>124723.27</v>
      </c>
      <c r="BB581" s="73">
        <v>124723.27</v>
      </c>
      <c r="BC581" s="73">
        <v>142540.88</v>
      </c>
      <c r="BD581" s="73"/>
      <c r="BE581" s="66">
        <v>0</v>
      </c>
      <c r="BF581" s="66">
        <v>0.05</v>
      </c>
      <c r="BG581" s="63">
        <v>45316</v>
      </c>
      <c r="BH581" s="2"/>
      <c r="BI581" s="2"/>
      <c r="BJ581" s="2">
        <v>545481.56000000006</v>
      </c>
      <c r="BK581" s="2">
        <v>60609.06</v>
      </c>
      <c r="BL581" s="1" t="s">
        <v>56</v>
      </c>
    </row>
    <row r="582" spans="1:64" x14ac:dyDescent="0.25">
      <c r="A582" s="81" t="s">
        <v>1328</v>
      </c>
      <c r="B582" s="82" t="s">
        <v>1328</v>
      </c>
      <c r="C582" s="81" t="s">
        <v>1329</v>
      </c>
      <c r="D582" s="16">
        <v>0</v>
      </c>
      <c r="E582" s="17"/>
      <c r="F582" s="2" t="s">
        <v>1330</v>
      </c>
      <c r="G582" s="2" t="s">
        <v>1331</v>
      </c>
      <c r="H582" s="10" t="s">
        <v>98</v>
      </c>
      <c r="I582" s="11" t="s">
        <v>53</v>
      </c>
      <c r="J582" s="11" t="s">
        <v>99</v>
      </c>
      <c r="K582" s="61"/>
      <c r="L582" s="11" t="s">
        <v>67</v>
      </c>
      <c r="M582" s="25"/>
      <c r="N582" s="82"/>
      <c r="O582" s="3" t="str">
        <f t="shared" si="211"/>
        <v>A</v>
      </c>
      <c r="P582" s="84">
        <v>40641</v>
      </c>
      <c r="Q582" s="84">
        <v>18113</v>
      </c>
      <c r="R582" s="32"/>
      <c r="S582" s="3" t="str">
        <f t="shared" si="212"/>
        <v>A</v>
      </c>
      <c r="T582" s="84">
        <v>37575</v>
      </c>
      <c r="U582" s="84">
        <v>13884</v>
      </c>
      <c r="V582" s="32"/>
      <c r="W582" s="3" t="str">
        <f t="shared" si="195"/>
        <v>A</v>
      </c>
      <c r="X582" s="84">
        <v>41252</v>
      </c>
      <c r="Y582" s="84">
        <v>10836</v>
      </c>
      <c r="Z582" s="32"/>
      <c r="AA582" s="3" t="str">
        <f t="shared" si="196"/>
        <v>A</v>
      </c>
      <c r="AB582" s="84">
        <v>45515</v>
      </c>
      <c r="AC582" s="84">
        <v>13208</v>
      </c>
      <c r="AD582" s="36"/>
      <c r="AE582" s="82"/>
      <c r="AF582" s="3" t="str">
        <f t="shared" si="197"/>
        <v>A</v>
      </c>
      <c r="AG582" s="84">
        <v>0</v>
      </c>
      <c r="AH582" s="84">
        <v>0</v>
      </c>
      <c r="AI582" s="39"/>
      <c r="AJ582" s="79" t="s">
        <v>1801</v>
      </c>
      <c r="AK582" s="39"/>
      <c r="AL582" s="4">
        <f t="shared" si="202"/>
        <v>164983</v>
      </c>
      <c r="AM582" s="4">
        <f t="shared" si="203"/>
        <v>56041</v>
      </c>
      <c r="AN582" s="4">
        <f t="shared" si="198"/>
        <v>221024</v>
      </c>
      <c r="AO582" s="39"/>
      <c r="AP582" s="8">
        <f t="shared" si="204"/>
        <v>0</v>
      </c>
      <c r="AQ582" s="8">
        <f t="shared" si="205"/>
        <v>0</v>
      </c>
      <c r="AR582" s="8">
        <f t="shared" si="199"/>
        <v>0</v>
      </c>
      <c r="AS582" s="42"/>
      <c r="AT582" s="84">
        <v>164983</v>
      </c>
      <c r="AU582" s="84">
        <v>56041</v>
      </c>
      <c r="AV582" s="4">
        <f t="shared" si="200"/>
        <v>221024</v>
      </c>
      <c r="AW582" s="50" t="str">
        <f t="shared" si="201"/>
        <v/>
      </c>
      <c r="AX582" s="1" t="s">
        <v>1772</v>
      </c>
      <c r="AY582" s="2" t="s">
        <v>1773</v>
      </c>
      <c r="AZ582" s="2">
        <v>110888.32000000001</v>
      </c>
      <c r="BA582" s="73">
        <v>97027.28</v>
      </c>
      <c r="BB582" s="73">
        <v>97027.28</v>
      </c>
      <c r="BC582" s="73">
        <v>110888.32000000001</v>
      </c>
      <c r="BD582" s="73"/>
      <c r="BE582" s="66">
        <v>0</v>
      </c>
      <c r="BF582" s="66">
        <v>0.05</v>
      </c>
      <c r="BG582" s="63">
        <v>45199</v>
      </c>
      <c r="BH582" s="2"/>
      <c r="BI582" s="2"/>
      <c r="BJ582" s="2">
        <v>402138</v>
      </c>
      <c r="BK582" s="2">
        <v>21112.25</v>
      </c>
      <c r="BL582" s="1" t="s">
        <v>97</v>
      </c>
    </row>
    <row r="583" spans="1:64" x14ac:dyDescent="0.25">
      <c r="A583" s="81" t="s">
        <v>1338</v>
      </c>
      <c r="B583" s="82" t="s">
        <v>1338</v>
      </c>
      <c r="C583" s="81" t="s">
        <v>1339</v>
      </c>
      <c r="D583" s="16">
        <v>0</v>
      </c>
      <c r="E583" s="17"/>
      <c r="F583" s="2" t="s">
        <v>243</v>
      </c>
      <c r="G583" s="2" t="s">
        <v>245</v>
      </c>
      <c r="H583" s="10" t="s">
        <v>98</v>
      </c>
      <c r="I583" s="11" t="s">
        <v>244</v>
      </c>
      <c r="J583" s="11" t="s">
        <v>246</v>
      </c>
      <c r="K583" s="61" t="s">
        <v>247</v>
      </c>
      <c r="L583" s="11" t="s">
        <v>67</v>
      </c>
      <c r="M583" s="25"/>
      <c r="N583" s="82"/>
      <c r="O583" s="3" t="str">
        <f t="shared" si="211"/>
        <v>A</v>
      </c>
      <c r="P583" s="84">
        <v>117770</v>
      </c>
      <c r="Q583" s="84">
        <v>5359</v>
      </c>
      <c r="R583" s="32"/>
      <c r="S583" s="3" t="str">
        <f t="shared" si="212"/>
        <v>A</v>
      </c>
      <c r="T583" s="84">
        <v>105545</v>
      </c>
      <c r="U583" s="84">
        <v>5603</v>
      </c>
      <c r="V583" s="32"/>
      <c r="W583" s="3" t="str">
        <f t="shared" si="195"/>
        <v>A</v>
      </c>
      <c r="X583" s="84">
        <v>104630</v>
      </c>
      <c r="Y583" s="84">
        <v>4581</v>
      </c>
      <c r="Z583" s="32"/>
      <c r="AA583" s="3" t="str">
        <f t="shared" si="196"/>
        <v>A</v>
      </c>
      <c r="AB583" s="84">
        <v>130808.25</v>
      </c>
      <c r="AC583" s="84">
        <v>3819</v>
      </c>
      <c r="AD583" s="36"/>
      <c r="AE583" s="82"/>
      <c r="AF583" s="3" t="str">
        <f t="shared" si="197"/>
        <v>A</v>
      </c>
      <c r="AG583" s="84">
        <v>0</v>
      </c>
      <c r="AH583" s="84">
        <v>0</v>
      </c>
      <c r="AI583" s="39"/>
      <c r="AJ583" s="79" t="s">
        <v>1801</v>
      </c>
      <c r="AK583" s="39"/>
      <c r="AL583" s="4">
        <f t="shared" si="202"/>
        <v>458753.25</v>
      </c>
      <c r="AM583" s="4">
        <f t="shared" si="203"/>
        <v>19362</v>
      </c>
      <c r="AN583" s="4">
        <f t="shared" si="198"/>
        <v>478115.25</v>
      </c>
      <c r="AO583" s="39"/>
      <c r="AP583" s="8">
        <f t="shared" si="204"/>
        <v>0</v>
      </c>
      <c r="AQ583" s="8">
        <f t="shared" si="205"/>
        <v>0</v>
      </c>
      <c r="AR583" s="8">
        <f t="shared" si="199"/>
        <v>0</v>
      </c>
      <c r="AS583" s="42"/>
      <c r="AT583" s="84">
        <v>458753.25</v>
      </c>
      <c r="AU583" s="84">
        <v>19362</v>
      </c>
      <c r="AV583" s="4">
        <f t="shared" si="200"/>
        <v>478115.25</v>
      </c>
      <c r="AW583" s="50" t="str">
        <f t="shared" si="201"/>
        <v/>
      </c>
      <c r="AX583" s="1" t="s">
        <v>1639</v>
      </c>
      <c r="AY583" s="2" t="s">
        <v>1640</v>
      </c>
      <c r="AZ583" s="2">
        <v>127270.56</v>
      </c>
      <c r="BA583" s="73">
        <v>111361.74</v>
      </c>
      <c r="BB583" s="73">
        <v>111361.74</v>
      </c>
      <c r="BC583" s="73">
        <v>127270.56</v>
      </c>
      <c r="BD583" s="73"/>
      <c r="BE583" s="66">
        <v>0</v>
      </c>
      <c r="BF583" s="66">
        <v>0.02</v>
      </c>
      <c r="BG583" s="63">
        <v>45289</v>
      </c>
      <c r="BH583" s="2"/>
      <c r="BI583" s="2"/>
      <c r="BJ583" s="2">
        <v>484146</v>
      </c>
      <c r="BK583" s="2">
        <v>25417.67</v>
      </c>
      <c r="BL583" s="1" t="s">
        <v>97</v>
      </c>
    </row>
    <row r="584" spans="1:64" x14ac:dyDescent="0.25">
      <c r="A584" s="81" t="s">
        <v>1338</v>
      </c>
      <c r="B584" s="82" t="s">
        <v>1423</v>
      </c>
      <c r="C584" s="81" t="s">
        <v>1424</v>
      </c>
      <c r="D584" s="16">
        <v>0</v>
      </c>
      <c r="E584" s="17"/>
      <c r="F584" s="2" t="s">
        <v>243</v>
      </c>
      <c r="G584" s="2" t="s">
        <v>245</v>
      </c>
      <c r="H584" s="10" t="s">
        <v>98</v>
      </c>
      <c r="I584" s="11" t="s">
        <v>244</v>
      </c>
      <c r="J584" s="11" t="s">
        <v>246</v>
      </c>
      <c r="K584" s="61" t="s">
        <v>247</v>
      </c>
      <c r="L584" s="11" t="s">
        <v>67</v>
      </c>
      <c r="M584" s="25"/>
      <c r="N584" s="82"/>
      <c r="O584" s="3" t="str">
        <f t="shared" si="211"/>
        <v>A</v>
      </c>
      <c r="P584" s="84">
        <v>64604</v>
      </c>
      <c r="Q584" s="84">
        <v>0</v>
      </c>
      <c r="R584" s="32"/>
      <c r="S584" s="3" t="str">
        <f>IF($A584="","",IF(T584=BA584,"E","A"))</f>
        <v>A</v>
      </c>
      <c r="T584" s="84">
        <v>62109</v>
      </c>
      <c r="U584" s="84"/>
      <c r="V584" s="32"/>
      <c r="W584" s="3" t="str">
        <f t="shared" ref="W584:W647" si="213">IF($A584="","",IF(X584=0,"A",IF(X584=BB584,"E","A")))</f>
        <v>A</v>
      </c>
      <c r="X584" s="84">
        <v>62528</v>
      </c>
      <c r="Y584" s="84"/>
      <c r="Z584" s="32"/>
      <c r="AA584" s="3" t="str">
        <f t="shared" ref="AA584:AA647" si="214">IF($A584="","",IF(AB584=0,"A",IF(AB584=BC584,"E","A")))</f>
        <v>A</v>
      </c>
      <c r="AB584" s="84">
        <v>55154</v>
      </c>
      <c r="AC584" s="84"/>
      <c r="AD584" s="36"/>
      <c r="AE584" s="82"/>
      <c r="AF584" s="3" t="str">
        <f t="shared" ref="AF584:AF647" si="215">IF($A584="","",IF(AG584=0,"A",IF(AG584=BD584,"E","A")))</f>
        <v>A</v>
      </c>
      <c r="AG584" s="84">
        <v>0</v>
      </c>
      <c r="AH584" s="84">
        <v>0</v>
      </c>
      <c r="AI584" s="39"/>
      <c r="AJ584" s="79" t="s">
        <v>1801</v>
      </c>
      <c r="AK584" s="39"/>
      <c r="AL584" s="4">
        <f t="shared" si="202"/>
        <v>244395</v>
      </c>
      <c r="AM584" s="4">
        <f t="shared" si="203"/>
        <v>0</v>
      </c>
      <c r="AN584" s="4">
        <f t="shared" ref="AN584:AN647" si="216">SUM(AL584:AM584)</f>
        <v>244395</v>
      </c>
      <c r="AO584" s="39"/>
      <c r="AP584" s="8">
        <f t="shared" si="204"/>
        <v>0</v>
      </c>
      <c r="AQ584" s="8">
        <f t="shared" si="205"/>
        <v>0</v>
      </c>
      <c r="AR584" s="8">
        <f t="shared" ref="AR584:AR647" si="217">SUM(AP584:AQ584)</f>
        <v>0</v>
      </c>
      <c r="AS584" s="42"/>
      <c r="AT584" s="84">
        <v>244395</v>
      </c>
      <c r="AU584" s="84"/>
      <c r="AV584" s="4">
        <f t="shared" ref="AV584:AV647" si="218">SUM(AT584:AU584)</f>
        <v>244395</v>
      </c>
      <c r="AW584" s="50" t="str">
        <f t="shared" ref="AW584:AW647" si="219">IF(AV584=0,"",IF(AN584=AV584,"","W"))</f>
        <v/>
      </c>
      <c r="AX584" s="1" t="s">
        <v>1639</v>
      </c>
      <c r="AY584" s="2" t="s">
        <v>1640</v>
      </c>
      <c r="AZ584" s="2">
        <v>45664.959999999999</v>
      </c>
      <c r="BA584" s="73">
        <v>39956.839999999997</v>
      </c>
      <c r="BB584" s="73">
        <v>39956.839999999997</v>
      </c>
      <c r="BC584" s="73">
        <v>45664.959999999999</v>
      </c>
      <c r="BD584" s="73"/>
      <c r="BE584" s="66">
        <v>0</v>
      </c>
      <c r="BF584" s="66">
        <v>0.02</v>
      </c>
      <c r="BG584" s="63">
        <v>45330</v>
      </c>
      <c r="BH584" s="2"/>
      <c r="BI584" s="2"/>
      <c r="BJ584" s="2">
        <v>165000</v>
      </c>
      <c r="BK584" s="2"/>
      <c r="BL584" s="1" t="s">
        <v>97</v>
      </c>
    </row>
    <row r="585" spans="1:64" x14ac:dyDescent="0.25">
      <c r="A585" s="81" t="s">
        <v>1340</v>
      </c>
      <c r="B585" s="82" t="s">
        <v>1340</v>
      </c>
      <c r="C585" s="81" t="s">
        <v>1341</v>
      </c>
      <c r="D585" s="16">
        <v>43732</v>
      </c>
      <c r="E585" s="17"/>
      <c r="F585" s="2" t="s">
        <v>52</v>
      </c>
      <c r="G585" s="2" t="s">
        <v>55</v>
      </c>
      <c r="H585" s="10" t="s">
        <v>57</v>
      </c>
      <c r="I585" s="11" t="s">
        <v>54</v>
      </c>
      <c r="J585" s="11" t="s">
        <v>620</v>
      </c>
      <c r="K585" s="61" t="s">
        <v>621</v>
      </c>
      <c r="L585" s="11" t="s">
        <v>67</v>
      </c>
      <c r="M585" s="25"/>
      <c r="N585" s="82"/>
      <c r="O585" s="3" t="str">
        <f t="shared" si="211"/>
        <v>A</v>
      </c>
      <c r="P585" s="84">
        <v>43750</v>
      </c>
      <c r="Q585" s="84">
        <v>9010</v>
      </c>
      <c r="R585" s="32"/>
      <c r="S585" s="3" t="str">
        <f t="shared" ref="S585:S590" si="220">IF($A585="","",IF(T585=0,"A",IF(T585=BA585,"E","A")))</f>
        <v>A</v>
      </c>
      <c r="T585" s="84">
        <v>33910</v>
      </c>
      <c r="U585" s="84">
        <v>9574</v>
      </c>
      <c r="V585" s="32"/>
      <c r="W585" s="3" t="str">
        <f t="shared" si="213"/>
        <v>A</v>
      </c>
      <c r="X585" s="84">
        <v>37826</v>
      </c>
      <c r="Y585" s="84">
        <v>9275</v>
      </c>
      <c r="Z585" s="32"/>
      <c r="AA585" s="3" t="str">
        <f t="shared" si="214"/>
        <v>A</v>
      </c>
      <c r="AB585" s="84">
        <v>41057</v>
      </c>
      <c r="AC585" s="84">
        <v>10702</v>
      </c>
      <c r="AD585" s="36"/>
      <c r="AE585" s="82"/>
      <c r="AF585" s="3" t="str">
        <f t="shared" si="215"/>
        <v>A</v>
      </c>
      <c r="AG585" s="84">
        <v>0</v>
      </c>
      <c r="AH585" s="84">
        <v>0</v>
      </c>
      <c r="AI585" s="39"/>
      <c r="AJ585" s="79" t="s">
        <v>1801</v>
      </c>
      <c r="AK585" s="39"/>
      <c r="AL585" s="4">
        <f t="shared" ref="AL585:AL648" si="221">IF($O585="A",P585,0)+IF($S585="A",T585,0)+IF($W585="A",X585,0)+IF($AA585="A",AB585,0)+IF($AF585="A",AG585,0)</f>
        <v>156543</v>
      </c>
      <c r="AM585" s="4">
        <f t="shared" ref="AM585:AM648" si="222">IF($O585="A",Q585,0)+IF($S585="A",U585,0)+IF($W585="A",Y585,0)+IF($AA585="A",AC585,0)+IF($AF585="A",AH585,0)</f>
        <v>38561</v>
      </c>
      <c r="AN585" s="4">
        <f t="shared" si="216"/>
        <v>195104</v>
      </c>
      <c r="AO585" s="39"/>
      <c r="AP585" s="8">
        <f t="shared" ref="AP585:AP648" si="223">IF($O585="E",P585,0)+IF($S585="E",T585,0)+IF($W585="E",X585,0)+IF($AA585="E",AB585,0)+IF($AF585="E",AG585,0)</f>
        <v>0</v>
      </c>
      <c r="AQ585" s="8">
        <f t="shared" ref="AQ585:AQ648" si="224">IF($O585="E",Q585,0)+IF($S585="E",U585,0)+IF($W585="E",Y585,0)+IF($AA585="E",AC585,0)+IF($AF585="E",AH585,0)</f>
        <v>0</v>
      </c>
      <c r="AR585" s="8">
        <f t="shared" si="217"/>
        <v>0</v>
      </c>
      <c r="AS585" s="42"/>
      <c r="AT585" s="84">
        <v>156543</v>
      </c>
      <c r="AU585" s="84">
        <v>38561</v>
      </c>
      <c r="AV585" s="4">
        <f t="shared" si="218"/>
        <v>195104</v>
      </c>
      <c r="AW585" s="50" t="str">
        <f t="shared" si="219"/>
        <v/>
      </c>
      <c r="AX585" s="1" t="s">
        <v>1639</v>
      </c>
      <c r="AY585" s="2" t="s">
        <v>1640</v>
      </c>
      <c r="AZ585" s="2">
        <v>167367.84</v>
      </c>
      <c r="BA585" s="73">
        <v>146446.85999999999</v>
      </c>
      <c r="BB585" s="73">
        <v>146446.85999999999</v>
      </c>
      <c r="BC585" s="73">
        <v>167367.84</v>
      </c>
      <c r="BD585" s="73"/>
      <c r="BE585" s="66">
        <v>0</v>
      </c>
      <c r="BF585" s="66">
        <v>0.02</v>
      </c>
      <c r="BG585" s="63">
        <v>44936</v>
      </c>
      <c r="BH585" s="2"/>
      <c r="BI585" s="2"/>
      <c r="BJ585" s="2">
        <v>624429</v>
      </c>
      <c r="BK585" s="2">
        <v>32782.519999999997</v>
      </c>
      <c r="BL585" s="1" t="s">
        <v>56</v>
      </c>
    </row>
    <row r="586" spans="1:64" x14ac:dyDescent="0.25">
      <c r="A586" s="81" t="s">
        <v>1342</v>
      </c>
      <c r="B586" s="82" t="s">
        <v>1342</v>
      </c>
      <c r="C586" s="81" t="s">
        <v>1343</v>
      </c>
      <c r="D586" s="16">
        <v>42991</v>
      </c>
      <c r="E586" s="17"/>
      <c r="F586" s="2" t="s">
        <v>52</v>
      </c>
      <c r="G586" s="2" t="s">
        <v>55</v>
      </c>
      <c r="H586" s="10" t="s">
        <v>57</v>
      </c>
      <c r="I586" s="11" t="s">
        <v>54</v>
      </c>
      <c r="J586" s="11" t="s">
        <v>620</v>
      </c>
      <c r="K586" s="61" t="s">
        <v>621</v>
      </c>
      <c r="L586" s="11" t="s">
        <v>67</v>
      </c>
      <c r="M586" s="25"/>
      <c r="N586" s="82"/>
      <c r="O586" s="3" t="str">
        <f t="shared" si="211"/>
        <v>A</v>
      </c>
      <c r="P586" s="84">
        <v>40727</v>
      </c>
      <c r="Q586" s="84">
        <v>7259</v>
      </c>
      <c r="R586" s="32"/>
      <c r="S586" s="3" t="str">
        <f t="shared" si="220"/>
        <v>A</v>
      </c>
      <c r="T586" s="84">
        <v>38040</v>
      </c>
      <c r="U586" s="84">
        <v>6091</v>
      </c>
      <c r="V586" s="32"/>
      <c r="W586" s="3" t="str">
        <f t="shared" si="213"/>
        <v>A</v>
      </c>
      <c r="X586" s="84">
        <v>34949</v>
      </c>
      <c r="Y586" s="84">
        <v>6188</v>
      </c>
      <c r="Z586" s="32"/>
      <c r="AA586" s="3" t="str">
        <f t="shared" si="214"/>
        <v>A</v>
      </c>
      <c r="AB586" s="84">
        <v>38288</v>
      </c>
      <c r="AC586" s="84">
        <v>6025</v>
      </c>
      <c r="AD586" s="36"/>
      <c r="AE586" s="82"/>
      <c r="AF586" s="3" t="str">
        <f t="shared" si="215"/>
        <v>A</v>
      </c>
      <c r="AG586" s="84">
        <v>0</v>
      </c>
      <c r="AH586" s="84">
        <v>0</v>
      </c>
      <c r="AI586" s="39"/>
      <c r="AJ586" s="79" t="s">
        <v>1801</v>
      </c>
      <c r="AK586" s="39"/>
      <c r="AL586" s="4">
        <f t="shared" si="221"/>
        <v>152004</v>
      </c>
      <c r="AM586" s="4">
        <f t="shared" si="222"/>
        <v>25563</v>
      </c>
      <c r="AN586" s="4">
        <f t="shared" si="216"/>
        <v>177567</v>
      </c>
      <c r="AO586" s="39"/>
      <c r="AP586" s="8">
        <f t="shared" si="223"/>
        <v>0</v>
      </c>
      <c r="AQ586" s="8">
        <f t="shared" si="224"/>
        <v>0</v>
      </c>
      <c r="AR586" s="8">
        <f t="shared" si="217"/>
        <v>0</v>
      </c>
      <c r="AS586" s="42"/>
      <c r="AT586" s="84">
        <v>152004</v>
      </c>
      <c r="AU586" s="84">
        <v>25563</v>
      </c>
      <c r="AV586" s="4">
        <f t="shared" si="218"/>
        <v>177567</v>
      </c>
      <c r="AW586" s="50" t="str">
        <f t="shared" si="219"/>
        <v/>
      </c>
      <c r="AX586" s="1" t="s">
        <v>1639</v>
      </c>
      <c r="AY586" s="2" t="s">
        <v>1640</v>
      </c>
      <c r="AZ586" s="2">
        <v>33155.760000000002</v>
      </c>
      <c r="BA586" s="73">
        <v>29011.29</v>
      </c>
      <c r="BB586" s="73">
        <v>29011.29</v>
      </c>
      <c r="BC586" s="73">
        <v>33155.760000000002</v>
      </c>
      <c r="BD586" s="73"/>
      <c r="BE586" s="66">
        <v>0</v>
      </c>
      <c r="BF586" s="66">
        <v>0.02</v>
      </c>
      <c r="BG586" s="63">
        <v>44844</v>
      </c>
      <c r="BH586" s="2"/>
      <c r="BI586" s="2"/>
      <c r="BJ586" s="2">
        <v>121641</v>
      </c>
      <c r="BK586" s="2">
        <v>6386.15</v>
      </c>
      <c r="BL586" s="1" t="s">
        <v>56</v>
      </c>
    </row>
    <row r="587" spans="1:64" x14ac:dyDescent="0.25">
      <c r="A587" s="81" t="s">
        <v>1348</v>
      </c>
      <c r="B587" s="82" t="s">
        <v>1348</v>
      </c>
      <c r="C587" s="81" t="s">
        <v>1349</v>
      </c>
      <c r="D587" s="16">
        <v>45220</v>
      </c>
      <c r="E587" s="17"/>
      <c r="F587" s="2" t="s">
        <v>243</v>
      </c>
      <c r="G587" s="2" t="s">
        <v>245</v>
      </c>
      <c r="H587" s="10" t="s">
        <v>98</v>
      </c>
      <c r="I587" s="11" t="s">
        <v>244</v>
      </c>
      <c r="J587" s="11" t="s">
        <v>246</v>
      </c>
      <c r="K587" s="61" t="s">
        <v>247</v>
      </c>
      <c r="L587" s="11" t="s">
        <v>67</v>
      </c>
      <c r="M587" s="25"/>
      <c r="N587" s="82"/>
      <c r="O587" s="3" t="str">
        <f t="shared" si="211"/>
        <v>A</v>
      </c>
      <c r="P587" s="84">
        <v>54630.5</v>
      </c>
      <c r="Q587" s="84">
        <v>5506</v>
      </c>
      <c r="R587" s="32"/>
      <c r="S587" s="3" t="str">
        <f t="shared" si="220"/>
        <v>A</v>
      </c>
      <c r="T587" s="84">
        <v>43232</v>
      </c>
      <c r="U587" s="84">
        <v>4712</v>
      </c>
      <c r="V587" s="32"/>
      <c r="W587" s="3" t="str">
        <f t="shared" si="213"/>
        <v>A</v>
      </c>
      <c r="X587" s="84">
        <v>57152</v>
      </c>
      <c r="Y587" s="84">
        <v>4317</v>
      </c>
      <c r="Z587" s="32"/>
      <c r="AA587" s="3" t="str">
        <f t="shared" si="214"/>
        <v>A</v>
      </c>
      <c r="AB587" s="84">
        <v>51823</v>
      </c>
      <c r="AC587" s="84">
        <v>4378</v>
      </c>
      <c r="AD587" s="36"/>
      <c r="AE587" s="82"/>
      <c r="AF587" s="3" t="str">
        <f t="shared" si="215"/>
        <v>A</v>
      </c>
      <c r="AG587" s="84">
        <v>0</v>
      </c>
      <c r="AH587" s="84">
        <v>0</v>
      </c>
      <c r="AI587" s="39"/>
      <c r="AJ587" s="79" t="s">
        <v>1801</v>
      </c>
      <c r="AK587" s="39"/>
      <c r="AL587" s="4">
        <f t="shared" si="221"/>
        <v>206837.5</v>
      </c>
      <c r="AM587" s="4">
        <f t="shared" si="222"/>
        <v>18913</v>
      </c>
      <c r="AN587" s="4">
        <f t="shared" si="216"/>
        <v>225750.5</v>
      </c>
      <c r="AO587" s="39"/>
      <c r="AP587" s="8">
        <f t="shared" si="223"/>
        <v>0</v>
      </c>
      <c r="AQ587" s="8">
        <f t="shared" si="224"/>
        <v>0</v>
      </c>
      <c r="AR587" s="8">
        <f t="shared" si="217"/>
        <v>0</v>
      </c>
      <c r="AS587" s="42"/>
      <c r="AT587" s="84">
        <v>206837.5</v>
      </c>
      <c r="AU587" s="84">
        <v>18913</v>
      </c>
      <c r="AV587" s="4">
        <f t="shared" si="218"/>
        <v>225750.5</v>
      </c>
      <c r="AW587" s="50" t="str">
        <f t="shared" si="219"/>
        <v/>
      </c>
      <c r="AX587" s="1" t="s">
        <v>1639</v>
      </c>
      <c r="AY587" s="2" t="s">
        <v>1640</v>
      </c>
      <c r="AZ587" s="2">
        <v>155488.07999999999</v>
      </c>
      <c r="BA587" s="73">
        <v>136052.07</v>
      </c>
      <c r="BB587" s="73">
        <v>136052.07</v>
      </c>
      <c r="BC587" s="73">
        <v>155488.07999999999</v>
      </c>
      <c r="BD587" s="73"/>
      <c r="BE587" s="66">
        <v>0</v>
      </c>
      <c r="BF587" s="66">
        <v>0.02</v>
      </c>
      <c r="BG587" s="63">
        <v>45219</v>
      </c>
      <c r="BH587" s="2"/>
      <c r="BI587" s="2"/>
      <c r="BJ587" s="2">
        <v>570456</v>
      </c>
      <c r="BK587" s="2">
        <v>29948.94</v>
      </c>
      <c r="BL587" s="1" t="s">
        <v>97</v>
      </c>
    </row>
    <row r="588" spans="1:64" x14ac:dyDescent="0.25">
      <c r="A588" s="81" t="s">
        <v>1364</v>
      </c>
      <c r="B588" s="82" t="s">
        <v>1364</v>
      </c>
      <c r="C588" s="81" t="s">
        <v>1365</v>
      </c>
      <c r="D588" s="16">
        <v>0</v>
      </c>
      <c r="E588" s="17"/>
      <c r="F588" s="2" t="s">
        <v>1366</v>
      </c>
      <c r="G588" s="2" t="s">
        <v>1367</v>
      </c>
      <c r="H588" s="10" t="s">
        <v>57</v>
      </c>
      <c r="I588" s="11" t="s">
        <v>53</v>
      </c>
      <c r="J588" s="11" t="s">
        <v>156</v>
      </c>
      <c r="K588" s="61"/>
      <c r="L588" s="11" t="s">
        <v>67</v>
      </c>
      <c r="M588" s="25"/>
      <c r="N588" s="82"/>
      <c r="O588" s="3" t="str">
        <f t="shared" si="211"/>
        <v>A</v>
      </c>
      <c r="P588" s="84">
        <v>128015</v>
      </c>
      <c r="Q588" s="84">
        <v>6686</v>
      </c>
      <c r="R588" s="32"/>
      <c r="S588" s="3" t="str">
        <f t="shared" si="220"/>
        <v>A</v>
      </c>
      <c r="T588" s="84">
        <v>103909</v>
      </c>
      <c r="U588" s="84">
        <v>8066</v>
      </c>
      <c r="V588" s="32"/>
      <c r="W588" s="3" t="str">
        <f t="shared" si="213"/>
        <v>A</v>
      </c>
      <c r="X588" s="84">
        <v>107789</v>
      </c>
      <c r="Y588" s="84">
        <v>7777</v>
      </c>
      <c r="Z588" s="32"/>
      <c r="AA588" s="3" t="str">
        <f t="shared" si="214"/>
        <v>A</v>
      </c>
      <c r="AB588" s="84">
        <v>134672</v>
      </c>
      <c r="AC588" s="84">
        <v>8256</v>
      </c>
      <c r="AD588" s="36"/>
      <c r="AE588" s="82"/>
      <c r="AF588" s="3" t="str">
        <f t="shared" si="215"/>
        <v>A</v>
      </c>
      <c r="AG588" s="84">
        <v>0</v>
      </c>
      <c r="AH588" s="84">
        <v>0</v>
      </c>
      <c r="AI588" s="39"/>
      <c r="AJ588" s="79" t="s">
        <v>1801</v>
      </c>
      <c r="AK588" s="39"/>
      <c r="AL588" s="4">
        <f t="shared" si="221"/>
        <v>474385</v>
      </c>
      <c r="AM588" s="4">
        <f t="shared" si="222"/>
        <v>30785</v>
      </c>
      <c r="AN588" s="4">
        <f t="shared" si="216"/>
        <v>505170</v>
      </c>
      <c r="AO588" s="39"/>
      <c r="AP588" s="8">
        <f t="shared" si="223"/>
        <v>0</v>
      </c>
      <c r="AQ588" s="8">
        <f t="shared" si="224"/>
        <v>0</v>
      </c>
      <c r="AR588" s="8">
        <f t="shared" si="217"/>
        <v>0</v>
      </c>
      <c r="AS588" s="42"/>
      <c r="AT588" s="84">
        <v>474385</v>
      </c>
      <c r="AU588" s="84">
        <v>30785</v>
      </c>
      <c r="AV588" s="4">
        <f t="shared" si="218"/>
        <v>505170</v>
      </c>
      <c r="AW588" s="50" t="str">
        <f t="shared" si="219"/>
        <v/>
      </c>
      <c r="AX588" s="1" t="s">
        <v>1774</v>
      </c>
      <c r="AY588" s="2" t="s">
        <v>1775</v>
      </c>
      <c r="AZ588" s="2">
        <v>148881.35999999999</v>
      </c>
      <c r="BA588" s="73">
        <v>130271.19</v>
      </c>
      <c r="BB588" s="73">
        <v>130271.19</v>
      </c>
      <c r="BC588" s="73">
        <v>148881.35999999999</v>
      </c>
      <c r="BD588" s="73"/>
      <c r="BE588" s="66">
        <v>0</v>
      </c>
      <c r="BF588" s="66">
        <v>0.05</v>
      </c>
      <c r="BG588" s="63">
        <v>45615</v>
      </c>
      <c r="BH588" s="2"/>
      <c r="BI588" s="2"/>
      <c r="BJ588" s="2">
        <v>560272.5</v>
      </c>
      <c r="BK588" s="2">
        <v>62252.5</v>
      </c>
      <c r="BL588" s="1" t="s">
        <v>56</v>
      </c>
    </row>
    <row r="589" spans="1:64" x14ac:dyDescent="0.25">
      <c r="A589" s="81" t="s">
        <v>1368</v>
      </c>
      <c r="B589" s="82" t="s">
        <v>1368</v>
      </c>
      <c r="C589" s="81" t="s">
        <v>1369</v>
      </c>
      <c r="D589" s="16">
        <v>45187</v>
      </c>
      <c r="E589" s="17"/>
      <c r="F589" s="2" t="s">
        <v>1370</v>
      </c>
      <c r="G589" s="2" t="s">
        <v>1371</v>
      </c>
      <c r="H589" s="10" t="s">
        <v>57</v>
      </c>
      <c r="I589" s="11" t="s">
        <v>53</v>
      </c>
      <c r="J589" s="11" t="s">
        <v>64</v>
      </c>
      <c r="K589" s="61"/>
      <c r="L589" s="11" t="s">
        <v>67</v>
      </c>
      <c r="M589" s="25"/>
      <c r="N589" s="82"/>
      <c r="O589" s="3" t="str">
        <f t="shared" si="211"/>
        <v>A</v>
      </c>
      <c r="P589" s="84">
        <v>83350</v>
      </c>
      <c r="Q589" s="84">
        <v>40478</v>
      </c>
      <c r="R589" s="32"/>
      <c r="S589" s="3" t="str">
        <f t="shared" si="220"/>
        <v>A</v>
      </c>
      <c r="T589" s="84">
        <v>72205</v>
      </c>
      <c r="U589" s="84">
        <v>32477</v>
      </c>
      <c r="V589" s="32"/>
      <c r="W589" s="3" t="str">
        <f t="shared" si="213"/>
        <v>A</v>
      </c>
      <c r="X589" s="84">
        <v>67055</v>
      </c>
      <c r="Y589" s="84">
        <v>30708</v>
      </c>
      <c r="Z589" s="32"/>
      <c r="AA589" s="3" t="str">
        <f t="shared" si="214"/>
        <v>A</v>
      </c>
      <c r="AB589" s="84">
        <v>77310</v>
      </c>
      <c r="AC589" s="84">
        <v>29235</v>
      </c>
      <c r="AD589" s="36"/>
      <c r="AE589" s="82"/>
      <c r="AF589" s="3" t="str">
        <f t="shared" si="215"/>
        <v>A</v>
      </c>
      <c r="AG589" s="84">
        <v>0</v>
      </c>
      <c r="AH589" s="84">
        <v>0</v>
      </c>
      <c r="AI589" s="39"/>
      <c r="AJ589" s="79" t="s">
        <v>1801</v>
      </c>
      <c r="AK589" s="39"/>
      <c r="AL589" s="4">
        <f t="shared" si="221"/>
        <v>299920</v>
      </c>
      <c r="AM589" s="4">
        <f t="shared" si="222"/>
        <v>132898</v>
      </c>
      <c r="AN589" s="4">
        <f t="shared" si="216"/>
        <v>432818</v>
      </c>
      <c r="AO589" s="39"/>
      <c r="AP589" s="8">
        <f t="shared" si="223"/>
        <v>0</v>
      </c>
      <c r="AQ589" s="8">
        <f t="shared" si="224"/>
        <v>0</v>
      </c>
      <c r="AR589" s="8">
        <f t="shared" si="217"/>
        <v>0</v>
      </c>
      <c r="AS589" s="42"/>
      <c r="AT589" s="84">
        <v>299920</v>
      </c>
      <c r="AU589" s="84">
        <v>132898</v>
      </c>
      <c r="AV589" s="4">
        <f t="shared" si="218"/>
        <v>432818</v>
      </c>
      <c r="AW589" s="50" t="str">
        <f t="shared" si="219"/>
        <v/>
      </c>
      <c r="AX589" s="1" t="s">
        <v>1776</v>
      </c>
      <c r="AY589" s="2" t="s">
        <v>1777</v>
      </c>
      <c r="AZ589" s="2">
        <v>118939.6</v>
      </c>
      <c r="BA589" s="73">
        <v>104072.15</v>
      </c>
      <c r="BB589" s="73">
        <v>104072.15</v>
      </c>
      <c r="BC589" s="73">
        <v>118939.6</v>
      </c>
      <c r="BD589" s="73"/>
      <c r="BE589" s="66">
        <v>0</v>
      </c>
      <c r="BF589" s="66">
        <v>0.05</v>
      </c>
      <c r="BG589" s="63">
        <v>45185</v>
      </c>
      <c r="BH589" s="2"/>
      <c r="BI589" s="2"/>
      <c r="BJ589" s="2">
        <v>431335.8</v>
      </c>
      <c r="BK589" s="2">
        <v>47926.2</v>
      </c>
      <c r="BL589" s="1" t="s">
        <v>56</v>
      </c>
    </row>
    <row r="590" spans="1:64" x14ac:dyDescent="0.25">
      <c r="A590" s="81" t="s">
        <v>1372</v>
      </c>
      <c r="B590" s="82" t="s">
        <v>1372</v>
      </c>
      <c r="C590" s="81" t="s">
        <v>1373</v>
      </c>
      <c r="D590" s="16">
        <v>45187</v>
      </c>
      <c r="E590" s="17"/>
      <c r="F590" s="2" t="s">
        <v>423</v>
      </c>
      <c r="G590" s="2" t="s">
        <v>424</v>
      </c>
      <c r="H590" s="10" t="s">
        <v>105</v>
      </c>
      <c r="I590" s="11" t="s">
        <v>53</v>
      </c>
      <c r="J590" s="11" t="s">
        <v>312</v>
      </c>
      <c r="K590" s="61"/>
      <c r="L590" s="11" t="s">
        <v>67</v>
      </c>
      <c r="M590" s="25"/>
      <c r="N590" s="82"/>
      <c r="O590" s="3" t="str">
        <f t="shared" si="211"/>
        <v>E</v>
      </c>
      <c r="P590" s="84">
        <v>127882.88</v>
      </c>
      <c r="Q590" s="84">
        <v>6422.24</v>
      </c>
      <c r="R590" s="32"/>
      <c r="S590" s="3" t="str">
        <f t="shared" si="220"/>
        <v>E</v>
      </c>
      <c r="T590" s="84">
        <v>111897.52</v>
      </c>
      <c r="U590" s="84">
        <v>5619.46</v>
      </c>
      <c r="V590" s="32"/>
      <c r="W590" s="3" t="str">
        <f t="shared" si="213"/>
        <v>E</v>
      </c>
      <c r="X590" s="84">
        <v>111897.52</v>
      </c>
      <c r="Y590" s="84">
        <v>5619.46</v>
      </c>
      <c r="Z590" s="32"/>
      <c r="AA590" s="3" t="str">
        <f t="shared" si="214"/>
        <v>E</v>
      </c>
      <c r="AB590" s="84">
        <v>127882.88</v>
      </c>
      <c r="AC590" s="84">
        <v>6422.24</v>
      </c>
      <c r="AD590" s="36"/>
      <c r="AE590" s="82"/>
      <c r="AF590" s="3" t="str">
        <f t="shared" si="215"/>
        <v>A</v>
      </c>
      <c r="AG590" s="84"/>
      <c r="AH590" s="84"/>
      <c r="AI590" s="39"/>
      <c r="AJ590" s="79" t="s">
        <v>38</v>
      </c>
      <c r="AK590" s="39"/>
      <c r="AL590" s="4">
        <f t="shared" si="221"/>
        <v>0</v>
      </c>
      <c r="AM590" s="4">
        <f t="shared" si="222"/>
        <v>0</v>
      </c>
      <c r="AN590" s="4">
        <f t="shared" si="216"/>
        <v>0</v>
      </c>
      <c r="AO590" s="39"/>
      <c r="AP590" s="8">
        <f t="shared" si="223"/>
        <v>479560.80000000005</v>
      </c>
      <c r="AQ590" s="8">
        <f t="shared" si="224"/>
        <v>24083.4</v>
      </c>
      <c r="AR590" s="8">
        <f t="shared" si="217"/>
        <v>503644.20000000007</v>
      </c>
      <c r="AS590" s="42"/>
      <c r="AT590" s="84"/>
      <c r="AU590" s="84"/>
      <c r="AV590" s="4">
        <f t="shared" si="218"/>
        <v>0</v>
      </c>
      <c r="AW590" s="50" t="str">
        <f t="shared" si="219"/>
        <v/>
      </c>
      <c r="AX590" s="1" t="s">
        <v>1705</v>
      </c>
      <c r="AY590" s="2" t="s">
        <v>1706</v>
      </c>
      <c r="AZ590" s="2">
        <v>127882.88</v>
      </c>
      <c r="BA590" s="73">
        <v>111897.52</v>
      </c>
      <c r="BB590" s="73">
        <v>111897.52</v>
      </c>
      <c r="BC590" s="73">
        <v>127882.88</v>
      </c>
      <c r="BD590" s="73"/>
      <c r="BE590" s="66">
        <v>0</v>
      </c>
      <c r="BF590" s="66">
        <v>0.05</v>
      </c>
      <c r="BG590" s="63">
        <v>45184</v>
      </c>
      <c r="BH590" s="2"/>
      <c r="BI590" s="2"/>
      <c r="BJ590" s="2">
        <v>463768.8</v>
      </c>
      <c r="BK590" s="2">
        <v>24347.86</v>
      </c>
      <c r="BL590" s="1" t="s">
        <v>104</v>
      </c>
    </row>
    <row r="591" spans="1:64" x14ac:dyDescent="0.25">
      <c r="A591" s="81" t="s">
        <v>1372</v>
      </c>
      <c r="B591" s="82" t="s">
        <v>1458</v>
      </c>
      <c r="C591" s="81" t="s">
        <v>1459</v>
      </c>
      <c r="D591" s="16">
        <v>45370</v>
      </c>
      <c r="E591" s="17"/>
      <c r="F591" s="2" t="s">
        <v>423</v>
      </c>
      <c r="G591" s="2" t="s">
        <v>424</v>
      </c>
      <c r="H591" s="10" t="s">
        <v>105</v>
      </c>
      <c r="I591" s="11" t="s">
        <v>53</v>
      </c>
      <c r="J591" s="11" t="s">
        <v>312</v>
      </c>
      <c r="K591" s="61"/>
      <c r="L591" s="11" t="s">
        <v>67</v>
      </c>
      <c r="M591" s="25"/>
      <c r="N591" s="82"/>
      <c r="O591" s="3" t="str">
        <f t="shared" si="211"/>
        <v>E</v>
      </c>
      <c r="P591" s="84">
        <v>154223.35999999999</v>
      </c>
      <c r="Q591" s="84">
        <v>10096.799999999999</v>
      </c>
      <c r="R591" s="32"/>
      <c r="S591" s="3" t="str">
        <f>IF($A591="","",IF(T591=BA591,"E","A"))</f>
        <v>E</v>
      </c>
      <c r="T591" s="84">
        <v>134945.44</v>
      </c>
      <c r="U591" s="84">
        <v>8834.7000000000007</v>
      </c>
      <c r="V591" s="32"/>
      <c r="W591" s="3" t="str">
        <f t="shared" si="213"/>
        <v>E</v>
      </c>
      <c r="X591" s="84">
        <v>134945.44</v>
      </c>
      <c r="Y591" s="84">
        <v>8834.7000000000007</v>
      </c>
      <c r="Z591" s="32"/>
      <c r="AA591" s="3" t="str">
        <f t="shared" si="214"/>
        <v>E</v>
      </c>
      <c r="AB591" s="84">
        <v>154223.35999999999</v>
      </c>
      <c r="AC591" s="84">
        <v>10096.799999999999</v>
      </c>
      <c r="AD591" s="36"/>
      <c r="AE591" s="82"/>
      <c r="AF591" s="3" t="str">
        <f t="shared" si="215"/>
        <v>A</v>
      </c>
      <c r="AG591" s="84"/>
      <c r="AH591" s="84"/>
      <c r="AI591" s="39"/>
      <c r="AJ591" s="79" t="s">
        <v>38</v>
      </c>
      <c r="AK591" s="39"/>
      <c r="AL591" s="4">
        <f t="shared" si="221"/>
        <v>0</v>
      </c>
      <c r="AM591" s="4">
        <f t="shared" si="222"/>
        <v>0</v>
      </c>
      <c r="AN591" s="4">
        <f t="shared" si="216"/>
        <v>0</v>
      </c>
      <c r="AO591" s="39"/>
      <c r="AP591" s="8">
        <f t="shared" si="223"/>
        <v>578337.6</v>
      </c>
      <c r="AQ591" s="8">
        <f t="shared" si="224"/>
        <v>37863</v>
      </c>
      <c r="AR591" s="8">
        <f t="shared" si="217"/>
        <v>616200.6</v>
      </c>
      <c r="AS591" s="42"/>
      <c r="AT591" s="84"/>
      <c r="AU591" s="84"/>
      <c r="AV591" s="4">
        <f t="shared" si="218"/>
        <v>0</v>
      </c>
      <c r="AW591" s="50" t="str">
        <f t="shared" si="219"/>
        <v/>
      </c>
      <c r="AX591" s="1" t="s">
        <v>1705</v>
      </c>
      <c r="AY591" s="2" t="s">
        <v>1706</v>
      </c>
      <c r="AZ591" s="2">
        <v>154223.35999999999</v>
      </c>
      <c r="BA591" s="73">
        <v>134945.44</v>
      </c>
      <c r="BB591" s="73">
        <v>134945.44</v>
      </c>
      <c r="BC591" s="73">
        <v>154223.35999999999</v>
      </c>
      <c r="BD591" s="73"/>
      <c r="BE591" s="66">
        <v>0</v>
      </c>
      <c r="BF591" s="66">
        <v>0.05</v>
      </c>
      <c r="BG591" s="63">
        <v>45367</v>
      </c>
      <c r="BH591" s="2"/>
      <c r="BI591" s="2"/>
      <c r="BJ591" s="2">
        <v>553339.80000000005</v>
      </c>
      <c r="BK591" s="2">
        <v>29050.34</v>
      </c>
      <c r="BL591" s="1" t="s">
        <v>311</v>
      </c>
    </row>
    <row r="592" spans="1:64" x14ac:dyDescent="0.25">
      <c r="A592" s="81" t="s">
        <v>1374</v>
      </c>
      <c r="B592" s="82" t="s">
        <v>1374</v>
      </c>
      <c r="C592" s="81" t="s">
        <v>1375</v>
      </c>
      <c r="D592" s="16">
        <v>45254</v>
      </c>
      <c r="E592" s="17"/>
      <c r="F592" s="2" t="s">
        <v>243</v>
      </c>
      <c r="G592" s="2" t="s">
        <v>245</v>
      </c>
      <c r="H592" s="10" t="s">
        <v>105</v>
      </c>
      <c r="I592" s="11" t="s">
        <v>244</v>
      </c>
      <c r="J592" s="11" t="s">
        <v>1202</v>
      </c>
      <c r="K592" s="61" t="s">
        <v>335</v>
      </c>
      <c r="L592" s="11" t="s">
        <v>67</v>
      </c>
      <c r="M592" s="25"/>
      <c r="N592" s="82"/>
      <c r="O592" s="3" t="str">
        <f t="shared" si="211"/>
        <v>A</v>
      </c>
      <c r="P592" s="84">
        <v>92018</v>
      </c>
      <c r="Q592" s="84">
        <v>14822</v>
      </c>
      <c r="R592" s="32"/>
      <c r="S592" s="3" t="str">
        <f>IF($A592="","",IF(T592=0,"A",IF(T592=BA592,"E","A")))</f>
        <v>A</v>
      </c>
      <c r="T592" s="84">
        <v>82811</v>
      </c>
      <c r="U592" s="84">
        <v>9910</v>
      </c>
      <c r="V592" s="32"/>
      <c r="W592" s="3" t="str">
        <f t="shared" si="213"/>
        <v>A</v>
      </c>
      <c r="X592" s="84">
        <v>85493</v>
      </c>
      <c r="Y592" s="84">
        <v>7457</v>
      </c>
      <c r="Z592" s="32"/>
      <c r="AA592" s="3" t="str">
        <f t="shared" si="214"/>
        <v>A</v>
      </c>
      <c r="AB592" s="84">
        <v>98294</v>
      </c>
      <c r="AC592" s="84">
        <v>8314</v>
      </c>
      <c r="AD592" s="36"/>
      <c r="AE592" s="82"/>
      <c r="AF592" s="3" t="str">
        <f t="shared" si="215"/>
        <v>A</v>
      </c>
      <c r="AG592" s="84">
        <v>0</v>
      </c>
      <c r="AH592" s="84">
        <v>0</v>
      </c>
      <c r="AI592" s="39"/>
      <c r="AJ592" s="79" t="s">
        <v>1801</v>
      </c>
      <c r="AK592" s="39"/>
      <c r="AL592" s="4">
        <f t="shared" si="221"/>
        <v>358616</v>
      </c>
      <c r="AM592" s="4">
        <f t="shared" si="222"/>
        <v>40503</v>
      </c>
      <c r="AN592" s="4">
        <f t="shared" si="216"/>
        <v>399119</v>
      </c>
      <c r="AO592" s="39"/>
      <c r="AP592" s="8">
        <f t="shared" si="223"/>
        <v>0</v>
      </c>
      <c r="AQ592" s="8">
        <f t="shared" si="224"/>
        <v>0</v>
      </c>
      <c r="AR592" s="8">
        <f t="shared" si="217"/>
        <v>0</v>
      </c>
      <c r="AS592" s="42"/>
      <c r="AT592" s="84">
        <v>358616</v>
      </c>
      <c r="AU592" s="84">
        <v>40503</v>
      </c>
      <c r="AV592" s="4">
        <f t="shared" si="218"/>
        <v>399119</v>
      </c>
      <c r="AW592" s="50" t="str">
        <f t="shared" si="219"/>
        <v/>
      </c>
      <c r="AX592" s="1" t="s">
        <v>1639</v>
      </c>
      <c r="AY592" s="2" t="s">
        <v>1640</v>
      </c>
      <c r="AZ592" s="2">
        <v>226978.24</v>
      </c>
      <c r="BA592" s="73">
        <v>198605.96</v>
      </c>
      <c r="BB592" s="73">
        <v>198605.96</v>
      </c>
      <c r="BC592" s="73">
        <v>226978.24</v>
      </c>
      <c r="BD592" s="73"/>
      <c r="BE592" s="66">
        <v>0</v>
      </c>
      <c r="BF592" s="66">
        <v>0.02</v>
      </c>
      <c r="BG592" s="63">
        <v>45254</v>
      </c>
      <c r="BH592" s="2"/>
      <c r="BI592" s="2"/>
      <c r="BJ592" s="2">
        <v>846828</v>
      </c>
      <c r="BK592" s="2">
        <v>44458.47</v>
      </c>
      <c r="BL592" s="1" t="s">
        <v>219</v>
      </c>
    </row>
    <row r="593" spans="1:64" x14ac:dyDescent="0.25">
      <c r="A593" s="81" t="s">
        <v>1374</v>
      </c>
      <c r="B593" s="82" t="s">
        <v>1376</v>
      </c>
      <c r="C593" s="81" t="s">
        <v>1377</v>
      </c>
      <c r="D593" s="16">
        <v>45219</v>
      </c>
      <c r="E593" s="17"/>
      <c r="F593" s="2" t="s">
        <v>243</v>
      </c>
      <c r="G593" s="2" t="s">
        <v>245</v>
      </c>
      <c r="H593" s="10" t="s">
        <v>105</v>
      </c>
      <c r="I593" s="11" t="s">
        <v>244</v>
      </c>
      <c r="J593" s="11" t="s">
        <v>1202</v>
      </c>
      <c r="K593" s="61" t="s">
        <v>335</v>
      </c>
      <c r="L593" s="11" t="s">
        <v>67</v>
      </c>
      <c r="M593" s="25"/>
      <c r="N593" s="82"/>
      <c r="O593" s="3" t="str">
        <f t="shared" si="211"/>
        <v>A</v>
      </c>
      <c r="P593" s="84">
        <v>25212</v>
      </c>
      <c r="Q593" s="84">
        <v>5700</v>
      </c>
      <c r="R593" s="32"/>
      <c r="S593" s="3" t="str">
        <f>IF($A593="","",IF(T593=0,"A",IF(T593=BA593,"E","A")))</f>
        <v>A</v>
      </c>
      <c r="T593" s="84">
        <v>23656.25</v>
      </c>
      <c r="U593" s="84">
        <v>5253</v>
      </c>
      <c r="V593" s="32"/>
      <c r="W593" s="3" t="str">
        <f t="shared" si="213"/>
        <v>A</v>
      </c>
      <c r="X593" s="84">
        <v>21982.7</v>
      </c>
      <c r="Y593" s="84">
        <v>5480</v>
      </c>
      <c r="Z593" s="32"/>
      <c r="AA593" s="3" t="str">
        <f t="shared" si="214"/>
        <v>A</v>
      </c>
      <c r="AB593" s="84">
        <v>24507.5</v>
      </c>
      <c r="AC593" s="84">
        <v>5280</v>
      </c>
      <c r="AD593" s="36"/>
      <c r="AE593" s="82"/>
      <c r="AF593" s="3" t="str">
        <f t="shared" si="215"/>
        <v>A</v>
      </c>
      <c r="AG593" s="84">
        <v>0</v>
      </c>
      <c r="AH593" s="84">
        <v>0</v>
      </c>
      <c r="AI593" s="39"/>
      <c r="AJ593" s="79" t="s">
        <v>1801</v>
      </c>
      <c r="AK593" s="39"/>
      <c r="AL593" s="4">
        <f t="shared" si="221"/>
        <v>95358.45</v>
      </c>
      <c r="AM593" s="4">
        <f t="shared" si="222"/>
        <v>21713</v>
      </c>
      <c r="AN593" s="4">
        <f t="shared" si="216"/>
        <v>117071.45</v>
      </c>
      <c r="AO593" s="39"/>
      <c r="AP593" s="8">
        <f t="shared" si="223"/>
        <v>0</v>
      </c>
      <c r="AQ593" s="8">
        <f t="shared" si="224"/>
        <v>0</v>
      </c>
      <c r="AR593" s="8">
        <f t="shared" si="217"/>
        <v>0</v>
      </c>
      <c r="AS593" s="42"/>
      <c r="AT593" s="84">
        <v>95358.45</v>
      </c>
      <c r="AU593" s="84">
        <v>21713</v>
      </c>
      <c r="AV593" s="4">
        <f t="shared" si="218"/>
        <v>117071.45</v>
      </c>
      <c r="AW593" s="50" t="str">
        <f t="shared" si="219"/>
        <v/>
      </c>
      <c r="AX593" s="1" t="s">
        <v>1639</v>
      </c>
      <c r="AY593" s="2" t="s">
        <v>1640</v>
      </c>
      <c r="AZ593" s="2">
        <v>51515.519999999997</v>
      </c>
      <c r="BA593" s="73">
        <v>45076.08</v>
      </c>
      <c r="BB593" s="73">
        <v>45076.08</v>
      </c>
      <c r="BC593" s="73">
        <v>51515.519999999997</v>
      </c>
      <c r="BD593" s="73"/>
      <c r="BE593" s="66">
        <v>0</v>
      </c>
      <c r="BF593" s="66">
        <v>0.02</v>
      </c>
      <c r="BG593" s="63">
        <v>45219</v>
      </c>
      <c r="BH593" s="2"/>
      <c r="BI593" s="2"/>
      <c r="BJ593" s="2">
        <v>189000</v>
      </c>
      <c r="BK593" s="2">
        <v>9922.5</v>
      </c>
      <c r="BL593" s="1" t="s">
        <v>219</v>
      </c>
    </row>
    <row r="594" spans="1:64" x14ac:dyDescent="0.25">
      <c r="A594" s="81" t="s">
        <v>1374</v>
      </c>
      <c r="B594" s="82" t="s">
        <v>1413</v>
      </c>
      <c r="C594" s="81" t="s">
        <v>1414</v>
      </c>
      <c r="D594" s="16">
        <v>0</v>
      </c>
      <c r="E594" s="17"/>
      <c r="F594" s="2" t="s">
        <v>243</v>
      </c>
      <c r="G594" s="2" t="s">
        <v>245</v>
      </c>
      <c r="H594" s="10" t="s">
        <v>105</v>
      </c>
      <c r="I594" s="11" t="s">
        <v>244</v>
      </c>
      <c r="J594" s="11" t="s">
        <v>1202</v>
      </c>
      <c r="K594" s="61" t="s">
        <v>335</v>
      </c>
      <c r="L594" s="11" t="s">
        <v>67</v>
      </c>
      <c r="M594" s="25"/>
      <c r="N594" s="82"/>
      <c r="O594" s="3" t="str">
        <f t="shared" si="211"/>
        <v>A</v>
      </c>
      <c r="P594" s="84">
        <v>64026</v>
      </c>
      <c r="Q594" s="84">
        <v>10615</v>
      </c>
      <c r="R594" s="32"/>
      <c r="S594" s="3" t="str">
        <f>IF($A594="","",IF(T594=BA594,"E","A"))</f>
        <v>A</v>
      </c>
      <c r="T594" s="84">
        <v>64250</v>
      </c>
      <c r="U594" s="84">
        <v>10060</v>
      </c>
      <c r="V594" s="32"/>
      <c r="W594" s="3" t="str">
        <f t="shared" si="213"/>
        <v>A</v>
      </c>
      <c r="X594" s="84">
        <v>49063</v>
      </c>
      <c r="Y594" s="84">
        <v>8210</v>
      </c>
      <c r="Z594" s="32"/>
      <c r="AA594" s="3" t="str">
        <f t="shared" si="214"/>
        <v>A</v>
      </c>
      <c r="AB594" s="84">
        <v>62670</v>
      </c>
      <c r="AC594" s="84">
        <v>8650</v>
      </c>
      <c r="AD594" s="36"/>
      <c r="AE594" s="82"/>
      <c r="AF594" s="3" t="str">
        <f t="shared" si="215"/>
        <v>A</v>
      </c>
      <c r="AG594" s="84">
        <v>0</v>
      </c>
      <c r="AH594" s="84">
        <v>0</v>
      </c>
      <c r="AI594" s="39"/>
      <c r="AJ594" s="79" t="s">
        <v>1801</v>
      </c>
      <c r="AK594" s="39"/>
      <c r="AL594" s="4">
        <f t="shared" si="221"/>
        <v>240009</v>
      </c>
      <c r="AM594" s="4">
        <f t="shared" si="222"/>
        <v>37535</v>
      </c>
      <c r="AN594" s="4">
        <f t="shared" si="216"/>
        <v>277544</v>
      </c>
      <c r="AO594" s="39"/>
      <c r="AP594" s="8">
        <f t="shared" si="223"/>
        <v>0</v>
      </c>
      <c r="AQ594" s="8">
        <f t="shared" si="224"/>
        <v>0</v>
      </c>
      <c r="AR594" s="8">
        <f t="shared" si="217"/>
        <v>0</v>
      </c>
      <c r="AS594" s="42"/>
      <c r="AT594" s="84">
        <v>240009</v>
      </c>
      <c r="AU594" s="84">
        <v>37535</v>
      </c>
      <c r="AV594" s="4">
        <f t="shared" si="218"/>
        <v>277544</v>
      </c>
      <c r="AW594" s="50" t="str">
        <f t="shared" si="219"/>
        <v/>
      </c>
      <c r="AX594" s="1" t="s">
        <v>1639</v>
      </c>
      <c r="AY594" s="2" t="s">
        <v>1640</v>
      </c>
      <c r="AZ594" s="2">
        <v>78860.800000000003</v>
      </c>
      <c r="BA594" s="73">
        <v>69003.199999999997</v>
      </c>
      <c r="BB594" s="73">
        <v>69003.199999999997</v>
      </c>
      <c r="BC594" s="73">
        <v>78860.800000000003</v>
      </c>
      <c r="BD594" s="73"/>
      <c r="BE594" s="66">
        <v>0</v>
      </c>
      <c r="BF594" s="66">
        <v>0.02</v>
      </c>
      <c r="BG594" s="63">
        <v>45315</v>
      </c>
      <c r="BH594" s="2"/>
      <c r="BI594" s="2"/>
      <c r="BJ594" s="2">
        <v>301788</v>
      </c>
      <c r="BK594" s="2"/>
      <c r="BL594" s="1" t="s">
        <v>219</v>
      </c>
    </row>
    <row r="595" spans="1:64" x14ac:dyDescent="0.25">
      <c r="A595" s="81" t="s">
        <v>1374</v>
      </c>
      <c r="B595" s="82" t="s">
        <v>1570</v>
      </c>
      <c r="C595" s="81" t="s">
        <v>1571</v>
      </c>
      <c r="D595" s="16">
        <v>0</v>
      </c>
      <c r="E595" s="17"/>
      <c r="F595" s="2" t="s">
        <v>243</v>
      </c>
      <c r="G595" s="2" t="s">
        <v>245</v>
      </c>
      <c r="H595" s="10" t="s">
        <v>105</v>
      </c>
      <c r="I595" s="11" t="s">
        <v>244</v>
      </c>
      <c r="J595" s="11" t="s">
        <v>1202</v>
      </c>
      <c r="K595" s="61" t="s">
        <v>335</v>
      </c>
      <c r="L595" s="11" t="s">
        <v>67</v>
      </c>
      <c r="M595" s="25"/>
      <c r="N595" s="82"/>
      <c r="O595" s="3" t="str">
        <f t="shared" si="211"/>
        <v>A</v>
      </c>
      <c r="P595" s="84">
        <v>42705</v>
      </c>
      <c r="Q595" s="84">
        <v>2370</v>
      </c>
      <c r="R595" s="32"/>
      <c r="S595" s="3" t="str">
        <f>IF($A595="","",IF(T595=BA595,"E","A"))</f>
        <v>A</v>
      </c>
      <c r="T595" s="84">
        <v>38877</v>
      </c>
      <c r="U595" s="84">
        <v>1680</v>
      </c>
      <c r="V595" s="32"/>
      <c r="W595" s="3" t="str">
        <f t="shared" si="213"/>
        <v>A</v>
      </c>
      <c r="X595" s="84">
        <v>24914.5</v>
      </c>
      <c r="Y595" s="84">
        <v>1070</v>
      </c>
      <c r="Z595" s="32"/>
      <c r="AA595" s="3" t="str">
        <f t="shared" si="214"/>
        <v>A</v>
      </c>
      <c r="AB595" s="84">
        <v>30003.5</v>
      </c>
      <c r="AC595" s="84">
        <v>925</v>
      </c>
      <c r="AD595" s="36"/>
      <c r="AE595" s="82"/>
      <c r="AF595" s="3" t="str">
        <f t="shared" si="215"/>
        <v>A</v>
      </c>
      <c r="AG595" s="84">
        <v>0</v>
      </c>
      <c r="AH595" s="84">
        <v>0</v>
      </c>
      <c r="AI595" s="39"/>
      <c r="AJ595" s="79" t="s">
        <v>1801</v>
      </c>
      <c r="AK595" s="39"/>
      <c r="AL595" s="4">
        <f t="shared" si="221"/>
        <v>136500</v>
      </c>
      <c r="AM595" s="4">
        <f t="shared" si="222"/>
        <v>6045</v>
      </c>
      <c r="AN595" s="4">
        <f t="shared" si="216"/>
        <v>142545</v>
      </c>
      <c r="AO595" s="39"/>
      <c r="AP595" s="8">
        <f t="shared" si="223"/>
        <v>0</v>
      </c>
      <c r="AQ595" s="8">
        <f t="shared" si="224"/>
        <v>0</v>
      </c>
      <c r="AR595" s="8">
        <f t="shared" si="217"/>
        <v>0</v>
      </c>
      <c r="AS595" s="42"/>
      <c r="AT595" s="84">
        <v>136500</v>
      </c>
      <c r="AU595" s="84">
        <v>6045</v>
      </c>
      <c r="AV595" s="4">
        <f t="shared" si="218"/>
        <v>142545</v>
      </c>
      <c r="AW595" s="50" t="str">
        <f t="shared" si="219"/>
        <v/>
      </c>
      <c r="AX595" s="1" t="s">
        <v>1639</v>
      </c>
      <c r="AY595" s="2" t="s">
        <v>1640</v>
      </c>
      <c r="AZ595" s="2">
        <v>51234.720000000001</v>
      </c>
      <c r="BA595" s="73">
        <v>44830.38</v>
      </c>
      <c r="BB595" s="73">
        <v>44830.38</v>
      </c>
      <c r="BC595" s="73">
        <v>51234.720000000001</v>
      </c>
      <c r="BD595" s="73"/>
      <c r="BE595" s="66">
        <v>0</v>
      </c>
      <c r="BF595" s="66">
        <v>0.02</v>
      </c>
      <c r="BG595" s="63">
        <v>45315</v>
      </c>
      <c r="BH595" s="2"/>
      <c r="BI595" s="2"/>
      <c r="BJ595" s="2">
        <v>190032</v>
      </c>
      <c r="BK595" s="2"/>
      <c r="BL595" s="1" t="s">
        <v>219</v>
      </c>
    </row>
    <row r="596" spans="1:64" x14ac:dyDescent="0.25">
      <c r="A596" s="81" t="s">
        <v>1378</v>
      </c>
      <c r="B596" s="82" t="s">
        <v>1378</v>
      </c>
      <c r="C596" s="81" t="s">
        <v>1379</v>
      </c>
      <c r="D596" s="16">
        <v>45252</v>
      </c>
      <c r="E596" s="17"/>
      <c r="F596" s="2" t="s">
        <v>109</v>
      </c>
      <c r="G596" s="2" t="s">
        <v>111</v>
      </c>
      <c r="H596" s="10" t="s">
        <v>105</v>
      </c>
      <c r="I596" s="11" t="s">
        <v>110</v>
      </c>
      <c r="J596" s="11" t="s">
        <v>112</v>
      </c>
      <c r="K596" s="61" t="s">
        <v>113</v>
      </c>
      <c r="L596" s="11" t="s">
        <v>67</v>
      </c>
      <c r="M596" s="25"/>
      <c r="N596" s="82"/>
      <c r="O596" s="3" t="str">
        <f t="shared" si="211"/>
        <v>A</v>
      </c>
      <c r="P596" s="84">
        <v>89638</v>
      </c>
      <c r="Q596" s="84">
        <v>10305</v>
      </c>
      <c r="R596" s="32"/>
      <c r="S596" s="3" t="str">
        <f>IF($A596="","",IF(T596=0,"A",IF(T596=BA596,"E","A")))</f>
        <v>A</v>
      </c>
      <c r="T596" s="84">
        <v>78035</v>
      </c>
      <c r="U596" s="84">
        <v>11001</v>
      </c>
      <c r="V596" s="32"/>
      <c r="W596" s="3" t="str">
        <f t="shared" si="213"/>
        <v>A</v>
      </c>
      <c r="X596" s="84">
        <v>75423</v>
      </c>
      <c r="Y596" s="84">
        <v>10205</v>
      </c>
      <c r="Z596" s="32"/>
      <c r="AA596" s="3" t="str">
        <f t="shared" si="214"/>
        <v>A</v>
      </c>
      <c r="AB596" s="84">
        <v>78901</v>
      </c>
      <c r="AC596" s="84">
        <v>9251</v>
      </c>
      <c r="AD596" s="36"/>
      <c r="AE596" s="82"/>
      <c r="AF596" s="3" t="str">
        <f t="shared" si="215"/>
        <v>A</v>
      </c>
      <c r="AG596" s="84">
        <v>0</v>
      </c>
      <c r="AH596" s="84">
        <v>0</v>
      </c>
      <c r="AI596" s="39"/>
      <c r="AJ596" s="79" t="s">
        <v>1801</v>
      </c>
      <c r="AK596" s="39"/>
      <c r="AL596" s="4">
        <f t="shared" si="221"/>
        <v>321997</v>
      </c>
      <c r="AM596" s="4">
        <f t="shared" si="222"/>
        <v>40762</v>
      </c>
      <c r="AN596" s="4">
        <f t="shared" si="216"/>
        <v>362759</v>
      </c>
      <c r="AO596" s="39"/>
      <c r="AP596" s="8">
        <f t="shared" si="223"/>
        <v>0</v>
      </c>
      <c r="AQ596" s="8">
        <f t="shared" si="224"/>
        <v>0</v>
      </c>
      <c r="AR596" s="8">
        <f t="shared" si="217"/>
        <v>0</v>
      </c>
      <c r="AS596" s="42"/>
      <c r="AT596" s="84">
        <v>321997</v>
      </c>
      <c r="AU596" s="84">
        <v>40762</v>
      </c>
      <c r="AV596" s="4">
        <f t="shared" si="218"/>
        <v>362759</v>
      </c>
      <c r="AW596" s="50" t="str">
        <f t="shared" si="219"/>
        <v/>
      </c>
      <c r="AX596" s="1" t="s">
        <v>1647</v>
      </c>
      <c r="AY596" s="2" t="s">
        <v>1640</v>
      </c>
      <c r="AZ596" s="2">
        <v>186985.68</v>
      </c>
      <c r="BA596" s="73">
        <v>163612.47</v>
      </c>
      <c r="BB596" s="73">
        <v>163612.47</v>
      </c>
      <c r="BC596" s="73">
        <v>186985.68</v>
      </c>
      <c r="BD596" s="73"/>
      <c r="BE596" s="66">
        <v>0</v>
      </c>
      <c r="BF596" s="66">
        <v>0.02</v>
      </c>
      <c r="BG596" s="63">
        <v>45252</v>
      </c>
      <c r="BH596" s="2"/>
      <c r="BI596" s="2"/>
      <c r="BJ596" s="2">
        <v>697620</v>
      </c>
      <c r="BK596" s="2">
        <v>36625.050000000003</v>
      </c>
      <c r="BL596" s="1" t="s">
        <v>311</v>
      </c>
    </row>
    <row r="597" spans="1:64" x14ac:dyDescent="0.25">
      <c r="A597" s="81" t="s">
        <v>1380</v>
      </c>
      <c r="B597" s="82" t="s">
        <v>1380</v>
      </c>
      <c r="C597" s="81" t="s">
        <v>1381</v>
      </c>
      <c r="D597" s="16">
        <v>0</v>
      </c>
      <c r="E597" s="17"/>
      <c r="F597" s="2" t="s">
        <v>109</v>
      </c>
      <c r="G597" s="2" t="s">
        <v>111</v>
      </c>
      <c r="H597" s="10" t="s">
        <v>105</v>
      </c>
      <c r="I597" s="11" t="s">
        <v>110</v>
      </c>
      <c r="J597" s="11" t="s">
        <v>229</v>
      </c>
      <c r="K597" s="61" t="s">
        <v>230</v>
      </c>
      <c r="L597" s="11" t="s">
        <v>67</v>
      </c>
      <c r="M597" s="25"/>
      <c r="N597" s="82"/>
      <c r="O597" s="3" t="str">
        <f t="shared" si="211"/>
        <v>A</v>
      </c>
      <c r="P597" s="84">
        <v>83619</v>
      </c>
      <c r="Q597" s="84">
        <v>16837</v>
      </c>
      <c r="R597" s="32"/>
      <c r="S597" s="3" t="str">
        <f>IF($A597="","",IF(T597=0,"A",IF(T597=BA597,"E","A")))</f>
        <v>A</v>
      </c>
      <c r="T597" s="84">
        <v>83592</v>
      </c>
      <c r="U597" s="84">
        <v>12345</v>
      </c>
      <c r="V597" s="32"/>
      <c r="W597" s="3" t="str">
        <f t="shared" si="213"/>
        <v>A</v>
      </c>
      <c r="X597" s="84">
        <v>83065.8</v>
      </c>
      <c r="Y597" s="84">
        <v>14186</v>
      </c>
      <c r="Z597" s="32"/>
      <c r="AA597" s="3" t="str">
        <f t="shared" si="214"/>
        <v>A</v>
      </c>
      <c r="AB597" s="84">
        <v>90367</v>
      </c>
      <c r="AC597" s="84">
        <v>14986</v>
      </c>
      <c r="AD597" s="36"/>
      <c r="AE597" s="82"/>
      <c r="AF597" s="3" t="str">
        <f t="shared" si="215"/>
        <v>A</v>
      </c>
      <c r="AG597" s="84">
        <v>0</v>
      </c>
      <c r="AH597" s="84">
        <v>0</v>
      </c>
      <c r="AI597" s="39"/>
      <c r="AJ597" s="79" t="s">
        <v>1801</v>
      </c>
      <c r="AK597" s="39"/>
      <c r="AL597" s="4">
        <f t="shared" si="221"/>
        <v>340643.8</v>
      </c>
      <c r="AM597" s="4">
        <f t="shared" si="222"/>
        <v>58354</v>
      </c>
      <c r="AN597" s="4">
        <f t="shared" si="216"/>
        <v>398997.8</v>
      </c>
      <c r="AO597" s="39"/>
      <c r="AP597" s="8">
        <f t="shared" si="223"/>
        <v>0</v>
      </c>
      <c r="AQ597" s="8">
        <f t="shared" si="224"/>
        <v>0</v>
      </c>
      <c r="AR597" s="8">
        <f t="shared" si="217"/>
        <v>0</v>
      </c>
      <c r="AS597" s="42"/>
      <c r="AT597" s="84">
        <v>340643.8</v>
      </c>
      <c r="AU597" s="84">
        <v>58354</v>
      </c>
      <c r="AV597" s="4">
        <f t="shared" si="218"/>
        <v>398997.8</v>
      </c>
      <c r="AW597" s="50" t="str">
        <f t="shared" si="219"/>
        <v/>
      </c>
      <c r="AX597" s="1" t="s">
        <v>1647</v>
      </c>
      <c r="AY597" s="2" t="s">
        <v>1640</v>
      </c>
      <c r="AZ597" s="2">
        <v>205234.4</v>
      </c>
      <c r="BA597" s="73">
        <v>179580.1</v>
      </c>
      <c r="BB597" s="73">
        <v>179580.1</v>
      </c>
      <c r="BC597" s="73">
        <v>205234.4</v>
      </c>
      <c r="BD597" s="73"/>
      <c r="BE597" s="66">
        <v>0</v>
      </c>
      <c r="BF597" s="66">
        <v>0.02</v>
      </c>
      <c r="BG597" s="63">
        <v>45296</v>
      </c>
      <c r="BH597" s="2"/>
      <c r="BI597" s="2"/>
      <c r="BJ597" s="2">
        <v>785400</v>
      </c>
      <c r="BK597" s="2">
        <v>41233.5</v>
      </c>
      <c r="BL597" s="1" t="s">
        <v>219</v>
      </c>
    </row>
    <row r="598" spans="1:64" x14ac:dyDescent="0.25">
      <c r="A598" s="81" t="s">
        <v>1313</v>
      </c>
      <c r="B598" s="82" t="s">
        <v>1314</v>
      </c>
      <c r="C598" s="81" t="s">
        <v>1315</v>
      </c>
      <c r="D598" s="16">
        <v>0</v>
      </c>
      <c r="E598" s="17"/>
      <c r="F598" s="2" t="s">
        <v>243</v>
      </c>
      <c r="G598" s="2" t="s">
        <v>245</v>
      </c>
      <c r="H598" s="10" t="s">
        <v>98</v>
      </c>
      <c r="I598" s="11" t="s">
        <v>244</v>
      </c>
      <c r="J598" s="11" t="s">
        <v>246</v>
      </c>
      <c r="K598" s="61" t="s">
        <v>247</v>
      </c>
      <c r="L598" s="11" t="s">
        <v>67</v>
      </c>
      <c r="M598" s="25"/>
      <c r="N598" s="82"/>
      <c r="O598" s="3" t="str">
        <f t="shared" si="211"/>
        <v>A</v>
      </c>
      <c r="P598" s="84">
        <v>47290</v>
      </c>
      <c r="Q598" s="84">
        <v>3902</v>
      </c>
      <c r="R598" s="32"/>
      <c r="S598" s="3" t="str">
        <f>IF($A598="","",IF(T598=0,"A",IF(T598=BA598,"E","A")))</f>
        <v>A</v>
      </c>
      <c r="T598" s="84">
        <v>43915</v>
      </c>
      <c r="U598" s="84">
        <v>3672</v>
      </c>
      <c r="V598" s="32"/>
      <c r="W598" s="3" t="str">
        <f t="shared" si="213"/>
        <v>A</v>
      </c>
      <c r="X598" s="84">
        <v>37524</v>
      </c>
      <c r="Y598" s="84">
        <v>3149</v>
      </c>
      <c r="Z598" s="32"/>
      <c r="AA598" s="3" t="str">
        <f t="shared" si="214"/>
        <v>A</v>
      </c>
      <c r="AB598" s="84">
        <v>44485</v>
      </c>
      <c r="AC598" s="84">
        <v>3252</v>
      </c>
      <c r="AD598" s="36"/>
      <c r="AE598" s="82"/>
      <c r="AF598" s="3" t="str">
        <f t="shared" si="215"/>
        <v>A</v>
      </c>
      <c r="AG598" s="84">
        <v>0</v>
      </c>
      <c r="AH598" s="84">
        <v>0</v>
      </c>
      <c r="AI598" s="39"/>
      <c r="AJ598" s="79" t="s">
        <v>1801</v>
      </c>
      <c r="AK598" s="39"/>
      <c r="AL598" s="4">
        <f t="shared" si="221"/>
        <v>173214</v>
      </c>
      <c r="AM598" s="4">
        <f t="shared" si="222"/>
        <v>13975</v>
      </c>
      <c r="AN598" s="4">
        <f t="shared" si="216"/>
        <v>187189</v>
      </c>
      <c r="AO598" s="39"/>
      <c r="AP598" s="8">
        <f t="shared" si="223"/>
        <v>0</v>
      </c>
      <c r="AQ598" s="8">
        <f t="shared" si="224"/>
        <v>0</v>
      </c>
      <c r="AR598" s="8">
        <f t="shared" si="217"/>
        <v>0</v>
      </c>
      <c r="AS598" s="42"/>
      <c r="AT598" s="84">
        <v>173214</v>
      </c>
      <c r="AU598" s="84">
        <v>13975</v>
      </c>
      <c r="AV598" s="4">
        <f t="shared" si="218"/>
        <v>187189</v>
      </c>
      <c r="AW598" s="50" t="str">
        <f t="shared" si="219"/>
        <v/>
      </c>
      <c r="AX598" s="1" t="s">
        <v>1639</v>
      </c>
      <c r="AY598" s="2" t="s">
        <v>1640</v>
      </c>
      <c r="AZ598" s="2">
        <v>70288.240000000005</v>
      </c>
      <c r="BA598" s="73">
        <v>61502.21</v>
      </c>
      <c r="BB598" s="73">
        <v>61502.21</v>
      </c>
      <c r="BC598" s="73">
        <v>70288.240000000005</v>
      </c>
      <c r="BD598" s="73"/>
      <c r="BE598" s="66">
        <v>0</v>
      </c>
      <c r="BF598" s="66">
        <v>0.02</v>
      </c>
      <c r="BG598" s="63">
        <v>45140</v>
      </c>
      <c r="BH598" s="2"/>
      <c r="BI598" s="2"/>
      <c r="BJ598" s="2">
        <v>252000</v>
      </c>
      <c r="BK598" s="2"/>
      <c r="BL598" s="1" t="s">
        <v>97</v>
      </c>
    </row>
    <row r="599" spans="1:64" x14ac:dyDescent="0.25">
      <c r="A599" s="81" t="s">
        <v>1313</v>
      </c>
      <c r="B599" s="82" t="s">
        <v>1313</v>
      </c>
      <c r="C599" s="81" t="s">
        <v>1393</v>
      </c>
      <c r="D599" s="16">
        <v>45281</v>
      </c>
      <c r="E599" s="17"/>
      <c r="F599" s="2" t="s">
        <v>243</v>
      </c>
      <c r="G599" s="2" t="s">
        <v>245</v>
      </c>
      <c r="H599" s="10" t="s">
        <v>98</v>
      </c>
      <c r="I599" s="11" t="s">
        <v>244</v>
      </c>
      <c r="J599" s="11" t="s">
        <v>246</v>
      </c>
      <c r="K599" s="61" t="s">
        <v>247</v>
      </c>
      <c r="L599" s="11" t="s">
        <v>67</v>
      </c>
      <c r="M599" s="25"/>
      <c r="N599" s="82"/>
      <c r="O599" s="3" t="str">
        <f t="shared" si="211"/>
        <v>A</v>
      </c>
      <c r="P599" s="84">
        <v>46599</v>
      </c>
      <c r="Q599" s="84">
        <v>4709</v>
      </c>
      <c r="R599" s="32"/>
      <c r="S599" s="3" t="str">
        <f t="shared" ref="S599:S608" si="225">IF($A599="","",IF(T599=BA599,"E","A"))</f>
        <v>A</v>
      </c>
      <c r="T599" s="84">
        <v>39977</v>
      </c>
      <c r="U599" s="84">
        <v>3166</v>
      </c>
      <c r="V599" s="32"/>
      <c r="W599" s="3" t="str">
        <f t="shared" si="213"/>
        <v>A</v>
      </c>
      <c r="X599" s="84">
        <v>32759</v>
      </c>
      <c r="Y599" s="84">
        <v>3031</v>
      </c>
      <c r="Z599" s="32"/>
      <c r="AA599" s="3" t="str">
        <f t="shared" si="214"/>
        <v>A</v>
      </c>
      <c r="AB599" s="84">
        <v>43956</v>
      </c>
      <c r="AC599" s="84">
        <v>2820</v>
      </c>
      <c r="AD599" s="36"/>
      <c r="AE599" s="82"/>
      <c r="AF599" s="3" t="str">
        <f t="shared" si="215"/>
        <v>A</v>
      </c>
      <c r="AG599" s="84">
        <v>0</v>
      </c>
      <c r="AH599" s="84">
        <v>0</v>
      </c>
      <c r="AI599" s="39"/>
      <c r="AJ599" s="79" t="s">
        <v>1801</v>
      </c>
      <c r="AK599" s="39"/>
      <c r="AL599" s="4">
        <f t="shared" si="221"/>
        <v>163291</v>
      </c>
      <c r="AM599" s="4">
        <f t="shared" si="222"/>
        <v>13726</v>
      </c>
      <c r="AN599" s="4">
        <f t="shared" si="216"/>
        <v>177017</v>
      </c>
      <c r="AO599" s="39"/>
      <c r="AP599" s="8">
        <f t="shared" si="223"/>
        <v>0</v>
      </c>
      <c r="AQ599" s="8">
        <f t="shared" si="224"/>
        <v>0</v>
      </c>
      <c r="AR599" s="8">
        <f t="shared" si="217"/>
        <v>0</v>
      </c>
      <c r="AS599" s="42"/>
      <c r="AT599" s="84">
        <v>163291</v>
      </c>
      <c r="AU599" s="84">
        <v>13726</v>
      </c>
      <c r="AV599" s="4">
        <f t="shared" si="218"/>
        <v>177017</v>
      </c>
      <c r="AW599" s="50" t="str">
        <f t="shared" si="219"/>
        <v/>
      </c>
      <c r="AX599" s="1" t="s">
        <v>1639</v>
      </c>
      <c r="AY599" s="2" t="s">
        <v>1640</v>
      </c>
      <c r="AZ599" s="2">
        <v>131440.95999999999</v>
      </c>
      <c r="BA599" s="73">
        <v>115010.84</v>
      </c>
      <c r="BB599" s="73">
        <v>115010.84</v>
      </c>
      <c r="BC599" s="73">
        <v>131440.95999999999</v>
      </c>
      <c r="BD599" s="73"/>
      <c r="BE599" s="66">
        <v>0</v>
      </c>
      <c r="BF599" s="66">
        <v>0.02</v>
      </c>
      <c r="BG599" s="63">
        <v>45280</v>
      </c>
      <c r="BH599" s="2"/>
      <c r="BI599" s="2"/>
      <c r="BJ599" s="2">
        <v>500010</v>
      </c>
      <c r="BK599" s="2">
        <v>26250.53</v>
      </c>
      <c r="BL599" s="1" t="s">
        <v>97</v>
      </c>
    </row>
    <row r="600" spans="1:64" x14ac:dyDescent="0.25">
      <c r="A600" s="81" t="s">
        <v>1402</v>
      </c>
      <c r="B600" s="82" t="s">
        <v>1402</v>
      </c>
      <c r="C600" s="81" t="s">
        <v>1403</v>
      </c>
      <c r="D600" s="16">
        <v>45322</v>
      </c>
      <c r="E600" s="17"/>
      <c r="F600" s="2" t="s">
        <v>243</v>
      </c>
      <c r="G600" s="2" t="s">
        <v>245</v>
      </c>
      <c r="H600" s="10" t="s">
        <v>57</v>
      </c>
      <c r="I600" s="11" t="s">
        <v>244</v>
      </c>
      <c r="J600" s="11" t="s">
        <v>486</v>
      </c>
      <c r="K600" s="61" t="s">
        <v>487</v>
      </c>
      <c r="L600" s="11" t="s">
        <v>67</v>
      </c>
      <c r="M600" s="25"/>
      <c r="N600" s="82"/>
      <c r="O600" s="3" t="str">
        <f t="shared" si="211"/>
        <v>A</v>
      </c>
      <c r="P600" s="84">
        <v>21329</v>
      </c>
      <c r="Q600" s="84">
        <v>5292</v>
      </c>
      <c r="R600" s="32"/>
      <c r="S600" s="3" t="str">
        <f t="shared" si="225"/>
        <v>A</v>
      </c>
      <c r="T600" s="84">
        <v>17136</v>
      </c>
      <c r="U600" s="84">
        <v>4092</v>
      </c>
      <c r="V600" s="32"/>
      <c r="W600" s="3" t="str">
        <f t="shared" si="213"/>
        <v>A</v>
      </c>
      <c r="X600" s="84">
        <v>13404</v>
      </c>
      <c r="Y600" s="84">
        <v>2783</v>
      </c>
      <c r="Z600" s="32"/>
      <c r="AA600" s="3" t="str">
        <f t="shared" si="214"/>
        <v>A</v>
      </c>
      <c r="AB600" s="84">
        <v>16015</v>
      </c>
      <c r="AC600" s="84">
        <v>2458</v>
      </c>
      <c r="AD600" s="36"/>
      <c r="AE600" s="82"/>
      <c r="AF600" s="3" t="str">
        <f t="shared" si="215"/>
        <v>A</v>
      </c>
      <c r="AG600" s="84">
        <v>0</v>
      </c>
      <c r="AH600" s="84">
        <v>0</v>
      </c>
      <c r="AI600" s="39"/>
      <c r="AJ600" s="79" t="s">
        <v>1801</v>
      </c>
      <c r="AK600" s="39"/>
      <c r="AL600" s="4">
        <f t="shared" si="221"/>
        <v>67884</v>
      </c>
      <c r="AM600" s="4">
        <f t="shared" si="222"/>
        <v>14625</v>
      </c>
      <c r="AN600" s="4">
        <f t="shared" si="216"/>
        <v>82509</v>
      </c>
      <c r="AO600" s="39"/>
      <c r="AP600" s="8">
        <f t="shared" si="223"/>
        <v>0</v>
      </c>
      <c r="AQ600" s="8">
        <f t="shared" si="224"/>
        <v>0</v>
      </c>
      <c r="AR600" s="8">
        <f t="shared" si="217"/>
        <v>0</v>
      </c>
      <c r="AS600" s="42"/>
      <c r="AT600" s="84">
        <v>67884</v>
      </c>
      <c r="AU600" s="84">
        <v>14625</v>
      </c>
      <c r="AV600" s="4">
        <f t="shared" si="218"/>
        <v>82509</v>
      </c>
      <c r="AW600" s="50" t="str">
        <f t="shared" si="219"/>
        <v/>
      </c>
      <c r="AX600" s="1" t="s">
        <v>1639</v>
      </c>
      <c r="AY600" s="2" t="s">
        <v>1640</v>
      </c>
      <c r="AZ600" s="2">
        <v>65341.04</v>
      </c>
      <c r="BA600" s="73">
        <v>57173.41</v>
      </c>
      <c r="BB600" s="73">
        <v>57173.41</v>
      </c>
      <c r="BC600" s="73">
        <v>65341.04</v>
      </c>
      <c r="BD600" s="73"/>
      <c r="BE600" s="66">
        <v>0</v>
      </c>
      <c r="BF600" s="66">
        <v>0.02</v>
      </c>
      <c r="BG600" s="63">
        <v>45315</v>
      </c>
      <c r="BH600" s="2"/>
      <c r="BI600" s="2"/>
      <c r="BJ600" s="2">
        <v>250050</v>
      </c>
      <c r="BK600" s="2">
        <v>13127.63</v>
      </c>
      <c r="BL600" s="1" t="s">
        <v>56</v>
      </c>
    </row>
    <row r="601" spans="1:64" x14ac:dyDescent="0.25">
      <c r="A601" s="81" t="s">
        <v>1404</v>
      </c>
      <c r="B601" s="82" t="s">
        <v>1404</v>
      </c>
      <c r="C601" s="81" t="s">
        <v>1405</v>
      </c>
      <c r="D601" s="16">
        <v>0</v>
      </c>
      <c r="E601" s="17"/>
      <c r="F601" s="2" t="s">
        <v>1164</v>
      </c>
      <c r="G601" s="2" t="s">
        <v>1165</v>
      </c>
      <c r="H601" s="10" t="s">
        <v>57</v>
      </c>
      <c r="I601" s="11" t="s">
        <v>53</v>
      </c>
      <c r="J601" s="11" t="s">
        <v>1166</v>
      </c>
      <c r="K601" s="61"/>
      <c r="L601" s="11" t="s">
        <v>67</v>
      </c>
      <c r="M601" s="25"/>
      <c r="N601" s="82"/>
      <c r="O601" s="3" t="str">
        <f t="shared" si="211"/>
        <v>A</v>
      </c>
      <c r="P601" s="84">
        <v>8214</v>
      </c>
      <c r="Q601" s="84">
        <v>2810</v>
      </c>
      <c r="R601" s="32"/>
      <c r="S601" s="3" t="str">
        <f t="shared" si="225"/>
        <v>A</v>
      </c>
      <c r="T601" s="84">
        <v>16788</v>
      </c>
      <c r="U601" s="84">
        <v>1792</v>
      </c>
      <c r="V601" s="32"/>
      <c r="W601" s="3" t="str">
        <f t="shared" si="213"/>
        <v>A</v>
      </c>
      <c r="X601" s="84">
        <v>9353</v>
      </c>
      <c r="Y601" s="84">
        <v>2324</v>
      </c>
      <c r="Z601" s="32"/>
      <c r="AA601" s="3" t="str">
        <f t="shared" si="214"/>
        <v>A</v>
      </c>
      <c r="AB601" s="84">
        <v>10527</v>
      </c>
      <c r="AC601" s="84">
        <v>4986</v>
      </c>
      <c r="AD601" s="36"/>
      <c r="AE601" s="82"/>
      <c r="AF601" s="3" t="str">
        <f t="shared" si="215"/>
        <v>A</v>
      </c>
      <c r="AG601" s="84">
        <v>0</v>
      </c>
      <c r="AH601" s="84">
        <v>0</v>
      </c>
      <c r="AI601" s="39"/>
      <c r="AJ601" s="79" t="s">
        <v>1801</v>
      </c>
      <c r="AK601" s="39"/>
      <c r="AL601" s="4">
        <f t="shared" si="221"/>
        <v>44882</v>
      </c>
      <c r="AM601" s="4">
        <f t="shared" si="222"/>
        <v>11912</v>
      </c>
      <c r="AN601" s="4">
        <f t="shared" si="216"/>
        <v>56794</v>
      </c>
      <c r="AO601" s="39"/>
      <c r="AP601" s="8">
        <f t="shared" si="223"/>
        <v>0</v>
      </c>
      <c r="AQ601" s="8">
        <f t="shared" si="224"/>
        <v>0</v>
      </c>
      <c r="AR601" s="8">
        <f t="shared" si="217"/>
        <v>0</v>
      </c>
      <c r="AS601" s="42"/>
      <c r="AT601" s="84">
        <v>44882</v>
      </c>
      <c r="AU601" s="84">
        <v>11912</v>
      </c>
      <c r="AV601" s="4">
        <f t="shared" si="218"/>
        <v>56794</v>
      </c>
      <c r="AW601" s="50" t="str">
        <f t="shared" si="219"/>
        <v/>
      </c>
      <c r="AX601" s="1" t="s">
        <v>1762</v>
      </c>
      <c r="AY601" s="2" t="s">
        <v>1763</v>
      </c>
      <c r="AZ601" s="2">
        <v>134049.68</v>
      </c>
      <c r="BA601" s="73">
        <v>117293.47</v>
      </c>
      <c r="BB601" s="73">
        <v>117293.47</v>
      </c>
      <c r="BC601" s="73">
        <v>134049.68</v>
      </c>
      <c r="BD601" s="73"/>
      <c r="BE601" s="66">
        <v>0</v>
      </c>
      <c r="BF601" s="66">
        <v>0.05</v>
      </c>
      <c r="BG601" s="63">
        <v>45280</v>
      </c>
      <c r="BH601" s="2"/>
      <c r="BI601" s="2"/>
      <c r="BJ601" s="2">
        <v>509933.81</v>
      </c>
      <c r="BK601" s="2">
        <v>56659.31</v>
      </c>
      <c r="BL601" s="1" t="s">
        <v>56</v>
      </c>
    </row>
    <row r="602" spans="1:64" x14ac:dyDescent="0.25">
      <c r="A602" s="81" t="s">
        <v>1406</v>
      </c>
      <c r="B602" s="82" t="s">
        <v>1406</v>
      </c>
      <c r="C602" s="81" t="s">
        <v>1407</v>
      </c>
      <c r="D602" s="16">
        <v>45277</v>
      </c>
      <c r="E602" s="17"/>
      <c r="F602" s="2" t="s">
        <v>1164</v>
      </c>
      <c r="G602" s="2" t="s">
        <v>1165</v>
      </c>
      <c r="H602" s="10" t="s">
        <v>57</v>
      </c>
      <c r="I602" s="11" t="s">
        <v>53</v>
      </c>
      <c r="J602" s="11" t="s">
        <v>1408</v>
      </c>
      <c r="K602" s="61"/>
      <c r="L602" s="11" t="s">
        <v>67</v>
      </c>
      <c r="M602" s="25"/>
      <c r="N602" s="82"/>
      <c r="O602" s="3" t="str">
        <f t="shared" si="211"/>
        <v>A</v>
      </c>
      <c r="P602" s="84">
        <v>40165</v>
      </c>
      <c r="Q602" s="84">
        <v>5660</v>
      </c>
      <c r="R602" s="32"/>
      <c r="S602" s="3" t="str">
        <f t="shared" si="225"/>
        <v>A</v>
      </c>
      <c r="T602" s="84">
        <v>41891</v>
      </c>
      <c r="U602" s="84">
        <v>4940</v>
      </c>
      <c r="V602" s="32"/>
      <c r="W602" s="3" t="str">
        <f t="shared" si="213"/>
        <v>A</v>
      </c>
      <c r="X602" s="84">
        <v>32528</v>
      </c>
      <c r="Y602" s="84">
        <v>3110</v>
      </c>
      <c r="Z602" s="32"/>
      <c r="AA602" s="3" t="str">
        <f t="shared" si="214"/>
        <v>A</v>
      </c>
      <c r="AB602" s="84">
        <v>39729</v>
      </c>
      <c r="AC602" s="84">
        <v>3358</v>
      </c>
      <c r="AD602" s="36"/>
      <c r="AE602" s="82"/>
      <c r="AF602" s="3" t="str">
        <f t="shared" si="215"/>
        <v>A</v>
      </c>
      <c r="AG602" s="84">
        <v>0</v>
      </c>
      <c r="AH602" s="84">
        <v>0</v>
      </c>
      <c r="AI602" s="39"/>
      <c r="AJ602" s="79" t="s">
        <v>1801</v>
      </c>
      <c r="AK602" s="39"/>
      <c r="AL602" s="4">
        <f t="shared" si="221"/>
        <v>154313</v>
      </c>
      <c r="AM602" s="4">
        <f t="shared" si="222"/>
        <v>17068</v>
      </c>
      <c r="AN602" s="4">
        <f t="shared" si="216"/>
        <v>171381</v>
      </c>
      <c r="AO602" s="39"/>
      <c r="AP602" s="8">
        <f t="shared" si="223"/>
        <v>0</v>
      </c>
      <c r="AQ602" s="8">
        <f t="shared" si="224"/>
        <v>0</v>
      </c>
      <c r="AR602" s="8">
        <f t="shared" si="217"/>
        <v>0</v>
      </c>
      <c r="AS602" s="42"/>
      <c r="AT602" s="84">
        <v>154313</v>
      </c>
      <c r="AU602" s="84">
        <v>17068</v>
      </c>
      <c r="AV602" s="4">
        <f t="shared" si="218"/>
        <v>171381</v>
      </c>
      <c r="AW602" s="50" t="str">
        <f t="shared" si="219"/>
        <v/>
      </c>
      <c r="AX602" s="1" t="s">
        <v>1762</v>
      </c>
      <c r="AY602" s="2" t="s">
        <v>1763</v>
      </c>
      <c r="AZ602" s="2">
        <v>129773.68</v>
      </c>
      <c r="BA602" s="73">
        <v>113551.97</v>
      </c>
      <c r="BB602" s="73">
        <v>113551.97</v>
      </c>
      <c r="BC602" s="73">
        <v>129773.68</v>
      </c>
      <c r="BD602" s="73"/>
      <c r="BE602" s="66">
        <v>0</v>
      </c>
      <c r="BF602" s="66">
        <v>0.05</v>
      </c>
      <c r="BG602" s="63">
        <v>45270</v>
      </c>
      <c r="BH602" s="2"/>
      <c r="BI602" s="2"/>
      <c r="BJ602" s="2">
        <v>493668</v>
      </c>
      <c r="BK602" s="2">
        <v>54852</v>
      </c>
      <c r="BL602" s="1" t="s">
        <v>56</v>
      </c>
    </row>
    <row r="603" spans="1:64" x14ac:dyDescent="0.25">
      <c r="A603" s="81" t="s">
        <v>1409</v>
      </c>
      <c r="B603" s="82" t="s">
        <v>1409</v>
      </c>
      <c r="C603" s="81" t="s">
        <v>1410</v>
      </c>
      <c r="D603" s="16">
        <v>45277</v>
      </c>
      <c r="E603" s="17"/>
      <c r="F603" s="2" t="s">
        <v>414</v>
      </c>
      <c r="G603" s="2" t="s">
        <v>415</v>
      </c>
      <c r="H603" s="10" t="s">
        <v>105</v>
      </c>
      <c r="I603" s="11" t="s">
        <v>53</v>
      </c>
      <c r="J603" s="11" t="s">
        <v>312</v>
      </c>
      <c r="K603" s="61"/>
      <c r="L603" s="11" t="s">
        <v>67</v>
      </c>
      <c r="M603" s="25"/>
      <c r="N603" s="82"/>
      <c r="O603" s="3" t="str">
        <f t="shared" si="211"/>
        <v>E</v>
      </c>
      <c r="P603" s="84">
        <v>108349.12</v>
      </c>
      <c r="Q603" s="84">
        <v>5194.4799999999996</v>
      </c>
      <c r="R603" s="32"/>
      <c r="S603" s="3" t="str">
        <f t="shared" si="225"/>
        <v>E</v>
      </c>
      <c r="T603" s="84">
        <v>94805.48</v>
      </c>
      <c r="U603" s="84">
        <v>4545.17</v>
      </c>
      <c r="V603" s="32"/>
      <c r="W603" s="3" t="str">
        <f t="shared" si="213"/>
        <v>E</v>
      </c>
      <c r="X603" s="84">
        <v>94805.48</v>
      </c>
      <c r="Y603" s="84">
        <v>4545.17</v>
      </c>
      <c r="Z603" s="32"/>
      <c r="AA603" s="3" t="str">
        <f t="shared" si="214"/>
        <v>E</v>
      </c>
      <c r="AB603" s="84">
        <v>108349.12</v>
      </c>
      <c r="AC603" s="84">
        <v>5194.4799999999996</v>
      </c>
      <c r="AD603" s="36"/>
      <c r="AE603" s="82"/>
      <c r="AF603" s="3" t="str">
        <f t="shared" si="215"/>
        <v>A</v>
      </c>
      <c r="AG603" s="84"/>
      <c r="AH603" s="84"/>
      <c r="AI603" s="39"/>
      <c r="AJ603" s="79" t="s">
        <v>38</v>
      </c>
      <c r="AK603" s="39"/>
      <c r="AL603" s="4">
        <f t="shared" si="221"/>
        <v>0</v>
      </c>
      <c r="AM603" s="4">
        <f t="shared" si="222"/>
        <v>0</v>
      </c>
      <c r="AN603" s="4">
        <f t="shared" si="216"/>
        <v>0</v>
      </c>
      <c r="AO603" s="39"/>
      <c r="AP603" s="8">
        <f t="shared" si="223"/>
        <v>406309.19999999995</v>
      </c>
      <c r="AQ603" s="8">
        <f t="shared" si="224"/>
        <v>19479.3</v>
      </c>
      <c r="AR603" s="8">
        <f t="shared" si="217"/>
        <v>425788.49999999994</v>
      </c>
      <c r="AS603" s="42"/>
      <c r="AT603" s="84"/>
      <c r="AU603" s="84"/>
      <c r="AV603" s="4">
        <f t="shared" si="218"/>
        <v>0</v>
      </c>
      <c r="AW603" s="50" t="str">
        <f t="shared" si="219"/>
        <v/>
      </c>
      <c r="AX603" s="1" t="s">
        <v>1703</v>
      </c>
      <c r="AY603" s="2" t="s">
        <v>1704</v>
      </c>
      <c r="AZ603" s="2">
        <v>108349.12</v>
      </c>
      <c r="BA603" s="73">
        <v>94805.48</v>
      </c>
      <c r="BB603" s="73">
        <v>94805.48</v>
      </c>
      <c r="BC603" s="73">
        <v>108349.12</v>
      </c>
      <c r="BD603" s="73"/>
      <c r="BE603" s="66">
        <v>0</v>
      </c>
      <c r="BF603" s="66">
        <v>0.05</v>
      </c>
      <c r="BG603" s="63">
        <v>45270</v>
      </c>
      <c r="BH603" s="2"/>
      <c r="BI603" s="2"/>
      <c r="BJ603" s="2">
        <v>412167</v>
      </c>
      <c r="BK603" s="2">
        <v>21638.77</v>
      </c>
      <c r="BL603" s="1" t="s">
        <v>104</v>
      </c>
    </row>
    <row r="604" spans="1:64" x14ac:dyDescent="0.25">
      <c r="A604" s="81" t="s">
        <v>1419</v>
      </c>
      <c r="B604" s="82" t="s">
        <v>1419</v>
      </c>
      <c r="C604" s="81" t="s">
        <v>1420</v>
      </c>
      <c r="D604" s="16">
        <v>45311</v>
      </c>
      <c r="E604" s="17"/>
      <c r="F604" s="2" t="s">
        <v>109</v>
      </c>
      <c r="G604" s="2" t="s">
        <v>111</v>
      </c>
      <c r="H604" s="10" t="s">
        <v>105</v>
      </c>
      <c r="I604" s="11" t="s">
        <v>110</v>
      </c>
      <c r="J604" s="11" t="s">
        <v>112</v>
      </c>
      <c r="K604" s="61" t="s">
        <v>113</v>
      </c>
      <c r="L604" s="11" t="s">
        <v>67</v>
      </c>
      <c r="M604" s="25"/>
      <c r="N604" s="82"/>
      <c r="O604" s="3" t="str">
        <f t="shared" si="211"/>
        <v>A</v>
      </c>
      <c r="P604" s="84">
        <v>151673</v>
      </c>
      <c r="Q604" s="84">
        <v>21686</v>
      </c>
      <c r="R604" s="32"/>
      <c r="S604" s="3" t="str">
        <f t="shared" si="225"/>
        <v>A</v>
      </c>
      <c r="T604" s="84">
        <v>135712.58000000002</v>
      </c>
      <c r="U604" s="84">
        <v>17709.419999999998</v>
      </c>
      <c r="V604" s="32"/>
      <c r="W604" s="3" t="str">
        <f t="shared" si="213"/>
        <v>A</v>
      </c>
      <c r="X604" s="84">
        <v>103358</v>
      </c>
      <c r="Y604" s="84">
        <v>12038</v>
      </c>
      <c r="Z604" s="32"/>
      <c r="AA604" s="3" t="str">
        <f t="shared" si="214"/>
        <v>A</v>
      </c>
      <c r="AB604" s="84">
        <v>141669.06</v>
      </c>
      <c r="AC604" s="84">
        <v>19179.28</v>
      </c>
      <c r="AD604" s="36"/>
      <c r="AE604" s="82"/>
      <c r="AF604" s="3" t="str">
        <f t="shared" si="215"/>
        <v>A</v>
      </c>
      <c r="AG604" s="84">
        <v>0</v>
      </c>
      <c r="AH604" s="84">
        <v>0</v>
      </c>
      <c r="AI604" s="39"/>
      <c r="AJ604" s="79" t="s">
        <v>1801</v>
      </c>
      <c r="AK604" s="39"/>
      <c r="AL604" s="4">
        <f t="shared" si="221"/>
        <v>532412.64</v>
      </c>
      <c r="AM604" s="4">
        <f t="shared" si="222"/>
        <v>70612.7</v>
      </c>
      <c r="AN604" s="4">
        <f t="shared" si="216"/>
        <v>603025.34</v>
      </c>
      <c r="AO604" s="39"/>
      <c r="AP604" s="8">
        <f t="shared" si="223"/>
        <v>0</v>
      </c>
      <c r="AQ604" s="8">
        <f t="shared" si="224"/>
        <v>0</v>
      </c>
      <c r="AR604" s="8">
        <f t="shared" si="217"/>
        <v>0</v>
      </c>
      <c r="AS604" s="42"/>
      <c r="AT604" s="84">
        <v>532412.64</v>
      </c>
      <c r="AU604" s="84">
        <v>70612.7</v>
      </c>
      <c r="AV604" s="4">
        <f t="shared" si="218"/>
        <v>603025.34</v>
      </c>
      <c r="AW604" s="50" t="str">
        <f t="shared" si="219"/>
        <v/>
      </c>
      <c r="AX604" s="1" t="s">
        <v>1647</v>
      </c>
      <c r="AY604" s="2" t="s">
        <v>1640</v>
      </c>
      <c r="AZ604" s="2">
        <v>143057.35999999999</v>
      </c>
      <c r="BA604" s="73">
        <v>125175.19</v>
      </c>
      <c r="BB604" s="73">
        <v>125175.19</v>
      </c>
      <c r="BC604" s="73">
        <v>143057.35999999999</v>
      </c>
      <c r="BD604" s="73"/>
      <c r="BE604" s="66">
        <v>0</v>
      </c>
      <c r="BF604" s="66">
        <v>0.02</v>
      </c>
      <c r="BG604" s="63">
        <v>45311</v>
      </c>
      <c r="BH604" s="2"/>
      <c r="BI604" s="2"/>
      <c r="BJ604" s="2">
        <v>547457.4</v>
      </c>
      <c r="BK604" s="2">
        <v>28741.51</v>
      </c>
      <c r="BL604" s="1" t="s">
        <v>104</v>
      </c>
    </row>
    <row r="605" spans="1:64" x14ac:dyDescent="0.25">
      <c r="A605" s="81" t="s">
        <v>1421</v>
      </c>
      <c r="B605" s="82" t="s">
        <v>1421</v>
      </c>
      <c r="C605" s="81" t="s">
        <v>1422</v>
      </c>
      <c r="D605" s="16">
        <v>0</v>
      </c>
      <c r="E605" s="17"/>
      <c r="F605" s="2" t="s">
        <v>109</v>
      </c>
      <c r="G605" s="2" t="s">
        <v>111</v>
      </c>
      <c r="H605" s="10" t="s">
        <v>105</v>
      </c>
      <c r="I605" s="11" t="s">
        <v>110</v>
      </c>
      <c r="J605" s="11" t="s">
        <v>420</v>
      </c>
      <c r="K605" s="61" t="s">
        <v>113</v>
      </c>
      <c r="L605" s="11" t="s">
        <v>67</v>
      </c>
      <c r="M605" s="25"/>
      <c r="N605" s="82"/>
      <c r="O605" s="3" t="str">
        <f t="shared" si="211"/>
        <v>A</v>
      </c>
      <c r="P605" s="84">
        <v>85471</v>
      </c>
      <c r="Q605" s="84">
        <v>7842</v>
      </c>
      <c r="R605" s="32"/>
      <c r="S605" s="3" t="str">
        <f t="shared" si="225"/>
        <v>A</v>
      </c>
      <c r="T605" s="84">
        <v>78509.3</v>
      </c>
      <c r="U605" s="84">
        <v>6084</v>
      </c>
      <c r="V605" s="32"/>
      <c r="W605" s="3" t="str">
        <f t="shared" si="213"/>
        <v>A</v>
      </c>
      <c r="X605" s="84">
        <v>70344</v>
      </c>
      <c r="Y605" s="84">
        <v>5030</v>
      </c>
      <c r="Z605" s="32"/>
      <c r="AA605" s="3" t="str">
        <f t="shared" si="214"/>
        <v>A</v>
      </c>
      <c r="AB605" s="84">
        <v>75748</v>
      </c>
      <c r="AC605" s="84">
        <v>5602</v>
      </c>
      <c r="AD605" s="36"/>
      <c r="AE605" s="82"/>
      <c r="AF605" s="3" t="str">
        <f t="shared" si="215"/>
        <v>A</v>
      </c>
      <c r="AG605" s="84">
        <v>0</v>
      </c>
      <c r="AH605" s="84">
        <v>0</v>
      </c>
      <c r="AI605" s="39"/>
      <c r="AJ605" s="79" t="s">
        <v>1801</v>
      </c>
      <c r="AK605" s="39"/>
      <c r="AL605" s="4">
        <f t="shared" si="221"/>
        <v>310072.3</v>
      </c>
      <c r="AM605" s="4">
        <f t="shared" si="222"/>
        <v>24558</v>
      </c>
      <c r="AN605" s="4">
        <f t="shared" si="216"/>
        <v>334630.3</v>
      </c>
      <c r="AO605" s="39"/>
      <c r="AP605" s="8">
        <f t="shared" si="223"/>
        <v>0</v>
      </c>
      <c r="AQ605" s="8">
        <f t="shared" si="224"/>
        <v>0</v>
      </c>
      <c r="AR605" s="8">
        <f t="shared" si="217"/>
        <v>0</v>
      </c>
      <c r="AS605" s="42"/>
      <c r="AT605" s="84">
        <v>310072.3</v>
      </c>
      <c r="AU605" s="84">
        <v>24558</v>
      </c>
      <c r="AV605" s="4">
        <f t="shared" si="218"/>
        <v>334630.3</v>
      </c>
      <c r="AW605" s="50" t="str">
        <f t="shared" si="219"/>
        <v/>
      </c>
      <c r="AX605" s="1" t="s">
        <v>1647</v>
      </c>
      <c r="AY605" s="2" t="s">
        <v>1640</v>
      </c>
      <c r="AZ605" s="2">
        <v>79628.639999999999</v>
      </c>
      <c r="BA605" s="73">
        <v>69675.06</v>
      </c>
      <c r="BB605" s="73">
        <v>69675.06</v>
      </c>
      <c r="BC605" s="73">
        <v>79628.639999999999</v>
      </c>
      <c r="BD605" s="73"/>
      <c r="BE605" s="66">
        <v>0</v>
      </c>
      <c r="BF605" s="66">
        <v>0.02</v>
      </c>
      <c r="BG605" s="63">
        <v>45297</v>
      </c>
      <c r="BH605" s="2"/>
      <c r="BI605" s="2"/>
      <c r="BJ605" s="2">
        <v>304726.52</v>
      </c>
      <c r="BK605" s="2">
        <v>15998.14</v>
      </c>
      <c r="BL605" s="1" t="s">
        <v>104</v>
      </c>
    </row>
    <row r="606" spans="1:64" x14ac:dyDescent="0.25">
      <c r="A606" s="81" t="s">
        <v>1425</v>
      </c>
      <c r="B606" s="82" t="s">
        <v>1425</v>
      </c>
      <c r="C606" s="81" t="s">
        <v>1426</v>
      </c>
      <c r="D606" s="16">
        <v>45398</v>
      </c>
      <c r="E606" s="17"/>
      <c r="F606" s="2" t="s">
        <v>1427</v>
      </c>
      <c r="G606" s="2" t="s">
        <v>1428</v>
      </c>
      <c r="H606" s="10" t="s">
        <v>57</v>
      </c>
      <c r="I606" s="11" t="s">
        <v>53</v>
      </c>
      <c r="J606" s="11" t="s">
        <v>64</v>
      </c>
      <c r="K606" s="61"/>
      <c r="L606" s="11" t="s">
        <v>67</v>
      </c>
      <c r="M606" s="25"/>
      <c r="N606" s="82"/>
      <c r="O606" s="3" t="str">
        <f t="shared" si="211"/>
        <v>A</v>
      </c>
      <c r="P606" s="84">
        <v>112858.85</v>
      </c>
      <c r="Q606" s="84">
        <v>16026</v>
      </c>
      <c r="R606" s="32"/>
      <c r="S606" s="3" t="str">
        <f t="shared" si="225"/>
        <v>A</v>
      </c>
      <c r="T606" s="84">
        <v>98499.1</v>
      </c>
      <c r="U606" s="84">
        <v>14868</v>
      </c>
      <c r="V606" s="32"/>
      <c r="W606" s="3" t="str">
        <f t="shared" si="213"/>
        <v>A</v>
      </c>
      <c r="X606" s="84">
        <v>72490.149999999994</v>
      </c>
      <c r="Y606" s="84">
        <v>9612</v>
      </c>
      <c r="Z606" s="32"/>
      <c r="AA606" s="3" t="str">
        <f t="shared" si="214"/>
        <v>A</v>
      </c>
      <c r="AB606" s="84">
        <v>114117.4</v>
      </c>
      <c r="AC606" s="84">
        <v>17043</v>
      </c>
      <c r="AD606" s="36"/>
      <c r="AE606" s="82"/>
      <c r="AF606" s="3" t="str">
        <f t="shared" si="215"/>
        <v>A</v>
      </c>
      <c r="AG606" s="84">
        <v>0</v>
      </c>
      <c r="AH606" s="84">
        <v>0</v>
      </c>
      <c r="AI606" s="39"/>
      <c r="AJ606" s="79" t="s">
        <v>1801</v>
      </c>
      <c r="AK606" s="39"/>
      <c r="AL606" s="4">
        <f t="shared" si="221"/>
        <v>397965.5</v>
      </c>
      <c r="AM606" s="4">
        <f t="shared" si="222"/>
        <v>57549</v>
      </c>
      <c r="AN606" s="4">
        <f t="shared" si="216"/>
        <v>455514.5</v>
      </c>
      <c r="AO606" s="39"/>
      <c r="AP606" s="8">
        <f t="shared" si="223"/>
        <v>0</v>
      </c>
      <c r="AQ606" s="8">
        <f t="shared" si="224"/>
        <v>0</v>
      </c>
      <c r="AR606" s="8">
        <f t="shared" si="217"/>
        <v>0</v>
      </c>
      <c r="AS606" s="42"/>
      <c r="AT606" s="84">
        <v>397965.5</v>
      </c>
      <c r="AU606" s="84">
        <v>57549</v>
      </c>
      <c r="AV606" s="4">
        <f t="shared" si="218"/>
        <v>455514.5</v>
      </c>
      <c r="AW606" s="50" t="str">
        <f t="shared" si="219"/>
        <v/>
      </c>
      <c r="AX606" s="1" t="s">
        <v>1778</v>
      </c>
      <c r="AY606" s="2" t="s">
        <v>1779</v>
      </c>
      <c r="AZ606" s="2">
        <v>145718.79999999999</v>
      </c>
      <c r="BA606" s="73">
        <v>127503.95</v>
      </c>
      <c r="BB606" s="73">
        <v>127503.95</v>
      </c>
      <c r="BC606" s="73">
        <v>145718.79999999999</v>
      </c>
      <c r="BD606" s="73"/>
      <c r="BE606" s="66">
        <v>0</v>
      </c>
      <c r="BF606" s="66">
        <v>0.05</v>
      </c>
      <c r="BG606" s="63">
        <v>45390</v>
      </c>
      <c r="BH606" s="2"/>
      <c r="BI606" s="2"/>
      <c r="BJ606" s="2">
        <v>530692.05000000005</v>
      </c>
      <c r="BK606" s="2">
        <v>58965.56</v>
      </c>
      <c r="BL606" s="1" t="s">
        <v>56</v>
      </c>
    </row>
    <row r="607" spans="1:64" x14ac:dyDescent="0.25">
      <c r="A607" s="81" t="s">
        <v>1425</v>
      </c>
      <c r="B607" s="82" t="s">
        <v>1558</v>
      </c>
      <c r="C607" s="81" t="s">
        <v>1559</v>
      </c>
      <c r="D607" s="16">
        <v>45734</v>
      </c>
      <c r="E607" s="17"/>
      <c r="F607" s="2" t="s">
        <v>1427</v>
      </c>
      <c r="G607" s="2" t="s">
        <v>1428</v>
      </c>
      <c r="H607" s="10" t="s">
        <v>57</v>
      </c>
      <c r="I607" s="11" t="s">
        <v>53</v>
      </c>
      <c r="J607" s="11" t="s">
        <v>64</v>
      </c>
      <c r="K607" s="61"/>
      <c r="L607" s="11" t="s">
        <v>67</v>
      </c>
      <c r="M607" s="25"/>
      <c r="N607" s="82"/>
      <c r="O607" s="3" t="str">
        <f t="shared" si="211"/>
        <v>A</v>
      </c>
      <c r="P607" s="84">
        <v>101213.85</v>
      </c>
      <c r="Q607" s="84">
        <v>8582</v>
      </c>
      <c r="R607" s="32"/>
      <c r="S607" s="3" t="str">
        <f t="shared" si="225"/>
        <v>A</v>
      </c>
      <c r="T607" s="84">
        <v>87988.4</v>
      </c>
      <c r="U607" s="84">
        <v>10590</v>
      </c>
      <c r="V607" s="32"/>
      <c r="W607" s="3" t="str">
        <f t="shared" si="213"/>
        <v>A</v>
      </c>
      <c r="X607" s="84">
        <v>87294.15</v>
      </c>
      <c r="Y607" s="84">
        <v>10418</v>
      </c>
      <c r="Z607" s="32"/>
      <c r="AA607" s="3" t="str">
        <f t="shared" si="214"/>
        <v>A</v>
      </c>
      <c r="AB607" s="84">
        <v>99616.45</v>
      </c>
      <c r="AC607" s="84">
        <v>11517</v>
      </c>
      <c r="AD607" s="36"/>
      <c r="AE607" s="82"/>
      <c r="AF607" s="3" t="str">
        <f t="shared" si="215"/>
        <v>A</v>
      </c>
      <c r="AG607" s="84">
        <v>0</v>
      </c>
      <c r="AH607" s="84">
        <v>0</v>
      </c>
      <c r="AI607" s="39"/>
      <c r="AJ607" s="79" t="s">
        <v>1801</v>
      </c>
      <c r="AK607" s="39"/>
      <c r="AL607" s="4">
        <f t="shared" si="221"/>
        <v>376112.85000000003</v>
      </c>
      <c r="AM607" s="4">
        <f t="shared" si="222"/>
        <v>41107</v>
      </c>
      <c r="AN607" s="4">
        <f t="shared" si="216"/>
        <v>417219.85000000003</v>
      </c>
      <c r="AO607" s="39"/>
      <c r="AP607" s="8">
        <f t="shared" si="223"/>
        <v>0</v>
      </c>
      <c r="AQ607" s="8">
        <f t="shared" si="224"/>
        <v>0</v>
      </c>
      <c r="AR607" s="8">
        <f t="shared" si="217"/>
        <v>0</v>
      </c>
      <c r="AS607" s="42"/>
      <c r="AT607" s="84">
        <v>376112.85000000003</v>
      </c>
      <c r="AU607" s="84">
        <v>41107</v>
      </c>
      <c r="AV607" s="4">
        <f t="shared" si="218"/>
        <v>417219.85000000003</v>
      </c>
      <c r="AW607" s="50" t="str">
        <f t="shared" si="219"/>
        <v/>
      </c>
      <c r="AX607" s="1" t="s">
        <v>1778</v>
      </c>
      <c r="AY607" s="2" t="s">
        <v>1779</v>
      </c>
      <c r="AZ607" s="2">
        <v>127526.39999999999</v>
      </c>
      <c r="BA607" s="73">
        <v>111585.60000000001</v>
      </c>
      <c r="BB607" s="73">
        <v>111585.60000000001</v>
      </c>
      <c r="BC607" s="73">
        <v>127526.39999999999</v>
      </c>
      <c r="BD607" s="73"/>
      <c r="BE607" s="66">
        <v>0</v>
      </c>
      <c r="BF607" s="66">
        <v>0.05</v>
      </c>
      <c r="BG607" s="63">
        <v>45729</v>
      </c>
      <c r="BH607" s="2"/>
      <c r="BI607" s="2"/>
      <c r="BJ607" s="2">
        <v>465990.28</v>
      </c>
      <c r="BK607" s="2">
        <v>51776.98</v>
      </c>
      <c r="BL607" s="1" t="s">
        <v>56</v>
      </c>
    </row>
    <row r="608" spans="1:64" x14ac:dyDescent="0.25">
      <c r="A608" s="81" t="s">
        <v>1429</v>
      </c>
      <c r="B608" s="82" t="s">
        <v>1429</v>
      </c>
      <c r="C608" s="81" t="s">
        <v>1430</v>
      </c>
      <c r="D608" s="16">
        <v>45276</v>
      </c>
      <c r="E608" s="17"/>
      <c r="F608" s="2" t="s">
        <v>1431</v>
      </c>
      <c r="G608" s="2" t="s">
        <v>1432</v>
      </c>
      <c r="H608" s="10" t="s">
        <v>105</v>
      </c>
      <c r="I608" s="11" t="s">
        <v>53</v>
      </c>
      <c r="J608" s="11" t="s">
        <v>312</v>
      </c>
      <c r="K608" s="61"/>
      <c r="L608" s="11" t="s">
        <v>67</v>
      </c>
      <c r="M608" s="25"/>
      <c r="N608" s="82"/>
      <c r="O608" s="3" t="str">
        <f t="shared" si="211"/>
        <v>A</v>
      </c>
      <c r="P608" s="84">
        <v>125498</v>
      </c>
      <c r="Q608" s="84">
        <v>13306</v>
      </c>
      <c r="R608" s="32"/>
      <c r="S608" s="3" t="str">
        <f t="shared" si="225"/>
        <v>A</v>
      </c>
      <c r="T608" s="84">
        <v>113751</v>
      </c>
      <c r="U608" s="84">
        <v>16305</v>
      </c>
      <c r="V608" s="32"/>
      <c r="W608" s="3" t="str">
        <f t="shared" si="213"/>
        <v>A</v>
      </c>
      <c r="X608" s="84">
        <v>92269</v>
      </c>
      <c r="Y608" s="84">
        <v>7489</v>
      </c>
      <c r="Z608" s="32"/>
      <c r="AA608" s="3" t="str">
        <f t="shared" si="214"/>
        <v>A</v>
      </c>
      <c r="AB608" s="84">
        <v>114414</v>
      </c>
      <c r="AC608" s="84">
        <v>11314</v>
      </c>
      <c r="AD608" s="36"/>
      <c r="AE608" s="82"/>
      <c r="AF608" s="3" t="str">
        <f t="shared" si="215"/>
        <v>A</v>
      </c>
      <c r="AG608" s="84">
        <v>0</v>
      </c>
      <c r="AH608" s="84">
        <v>0</v>
      </c>
      <c r="AI608" s="39"/>
      <c r="AJ608" s="79" t="s">
        <v>1801</v>
      </c>
      <c r="AK608" s="39"/>
      <c r="AL608" s="4">
        <f t="shared" si="221"/>
        <v>445932</v>
      </c>
      <c r="AM608" s="4">
        <f t="shared" si="222"/>
        <v>48414</v>
      </c>
      <c r="AN608" s="4">
        <f t="shared" si="216"/>
        <v>494346</v>
      </c>
      <c r="AO608" s="39"/>
      <c r="AP608" s="8">
        <f t="shared" si="223"/>
        <v>0</v>
      </c>
      <c r="AQ608" s="8">
        <f t="shared" si="224"/>
        <v>0</v>
      </c>
      <c r="AR608" s="8">
        <f t="shared" si="217"/>
        <v>0</v>
      </c>
      <c r="AS608" s="42"/>
      <c r="AT608" s="84">
        <v>445932</v>
      </c>
      <c r="AU608" s="84">
        <v>48414</v>
      </c>
      <c r="AV608" s="4">
        <f t="shared" si="218"/>
        <v>494346</v>
      </c>
      <c r="AW608" s="50" t="str">
        <f t="shared" si="219"/>
        <v/>
      </c>
      <c r="AX608" s="1" t="s">
        <v>1780</v>
      </c>
      <c r="AY608" s="2" t="s">
        <v>1720</v>
      </c>
      <c r="AZ608" s="2">
        <v>152103.20000000001</v>
      </c>
      <c r="BA608" s="73">
        <v>133090.29999999999</v>
      </c>
      <c r="BB608" s="73">
        <v>133090.29999999999</v>
      </c>
      <c r="BC608" s="73">
        <v>152103.20000000001</v>
      </c>
      <c r="BD608" s="73"/>
      <c r="BE608" s="66">
        <v>0</v>
      </c>
      <c r="BF608" s="66">
        <v>0.05</v>
      </c>
      <c r="BG608" s="63">
        <v>45273</v>
      </c>
      <c r="BH608" s="2"/>
      <c r="BI608" s="2"/>
      <c r="BJ608" s="2">
        <v>578610</v>
      </c>
      <c r="BK608" s="2">
        <v>30377.03</v>
      </c>
      <c r="BL608" s="1" t="s">
        <v>104</v>
      </c>
    </row>
    <row r="609" spans="1:64" x14ac:dyDescent="0.25">
      <c r="A609" s="81" t="s">
        <v>700</v>
      </c>
      <c r="B609" s="82" t="s">
        <v>701</v>
      </c>
      <c r="C609" s="81" t="s">
        <v>702</v>
      </c>
      <c r="D609" s="16">
        <v>39270</v>
      </c>
      <c r="E609" s="17"/>
      <c r="F609" s="2" t="s">
        <v>263</v>
      </c>
      <c r="G609" s="2" t="s">
        <v>264</v>
      </c>
      <c r="H609" s="10" t="s">
        <v>98</v>
      </c>
      <c r="I609" s="11" t="s">
        <v>53</v>
      </c>
      <c r="J609" s="11" t="s">
        <v>265</v>
      </c>
      <c r="K609" s="61"/>
      <c r="L609" s="11" t="s">
        <v>67</v>
      </c>
      <c r="M609" s="25"/>
      <c r="N609" s="82"/>
      <c r="O609" s="3" t="str">
        <f>IF($A609="","",IF(P609=0,"A",IF(P609=AZ609,"E","A")))</f>
        <v>E</v>
      </c>
      <c r="P609" s="84">
        <v>272234.96000000002</v>
      </c>
      <c r="Q609" s="84">
        <v>30907.040000000001</v>
      </c>
      <c r="R609" s="32"/>
      <c r="S609" s="3" t="str">
        <f>IF($A609="","",IF(T609=0,"A",IF(T609=BA609,"E","A")))</f>
        <v>E</v>
      </c>
      <c r="T609" s="84">
        <v>238205.59</v>
      </c>
      <c r="U609" s="84">
        <v>27043.66</v>
      </c>
      <c r="V609" s="32"/>
      <c r="W609" s="3" t="str">
        <f t="shared" si="213"/>
        <v>E</v>
      </c>
      <c r="X609" s="84">
        <v>238205.59</v>
      </c>
      <c r="Y609" s="84">
        <v>27043.66</v>
      </c>
      <c r="Z609" s="32"/>
      <c r="AA609" s="3" t="str">
        <f t="shared" si="214"/>
        <v>E</v>
      </c>
      <c r="AB609" s="84">
        <v>272234.96000000002</v>
      </c>
      <c r="AC609" s="84">
        <v>30907.040000000001</v>
      </c>
      <c r="AD609" s="36"/>
      <c r="AE609" s="82"/>
      <c r="AF609" s="3" t="str">
        <f t="shared" si="215"/>
        <v>A</v>
      </c>
      <c r="AG609" s="84"/>
      <c r="AH609" s="84"/>
      <c r="AI609" s="39"/>
      <c r="AJ609" s="79" t="s">
        <v>38</v>
      </c>
      <c r="AK609" s="39"/>
      <c r="AL609" s="4">
        <f t="shared" si="221"/>
        <v>0</v>
      </c>
      <c r="AM609" s="4">
        <f t="shared" si="222"/>
        <v>0</v>
      </c>
      <c r="AN609" s="4">
        <f t="shared" si="216"/>
        <v>0</v>
      </c>
      <c r="AO609" s="39"/>
      <c r="AP609" s="8">
        <f t="shared" si="223"/>
        <v>1020881.1000000001</v>
      </c>
      <c r="AQ609" s="8">
        <f t="shared" si="224"/>
        <v>115901.4</v>
      </c>
      <c r="AR609" s="8">
        <f t="shared" si="217"/>
        <v>1136782.5</v>
      </c>
      <c r="AS609" s="42"/>
      <c r="AT609" s="84"/>
      <c r="AU609" s="84"/>
      <c r="AV609" s="4">
        <f t="shared" si="218"/>
        <v>0</v>
      </c>
      <c r="AW609" s="50" t="str">
        <f t="shared" si="219"/>
        <v/>
      </c>
      <c r="AX609" s="1" t="s">
        <v>1668</v>
      </c>
      <c r="AY609" s="2" t="s">
        <v>1669</v>
      </c>
      <c r="AZ609" s="2">
        <v>272234.96000000002</v>
      </c>
      <c r="BA609" s="73">
        <v>238205.59</v>
      </c>
      <c r="BB609" s="73">
        <v>238205.59</v>
      </c>
      <c r="BC609" s="73">
        <v>272234.96000000002</v>
      </c>
      <c r="BD609" s="73"/>
      <c r="BE609" s="66">
        <v>0.04</v>
      </c>
      <c r="BF609" s="66">
        <v>0.05</v>
      </c>
      <c r="BG609" s="63">
        <v>44679</v>
      </c>
      <c r="BH609" s="74">
        <v>43984</v>
      </c>
      <c r="BI609" s="74">
        <v>44004</v>
      </c>
      <c r="BJ609" s="2"/>
      <c r="BK609" s="2"/>
      <c r="BL609" s="1" t="s">
        <v>97</v>
      </c>
    </row>
    <row r="610" spans="1:64" x14ac:dyDescent="0.25">
      <c r="A610" s="81" t="s">
        <v>700</v>
      </c>
      <c r="B610" s="82" t="s">
        <v>703</v>
      </c>
      <c r="C610" s="81" t="s">
        <v>704</v>
      </c>
      <c r="D610" s="16">
        <v>41983</v>
      </c>
      <c r="E610" s="17"/>
      <c r="F610" s="2" t="s">
        <v>263</v>
      </c>
      <c r="G610" s="2" t="s">
        <v>264</v>
      </c>
      <c r="H610" s="10" t="s">
        <v>98</v>
      </c>
      <c r="I610" s="11" t="s">
        <v>53</v>
      </c>
      <c r="J610" s="11" t="s">
        <v>265</v>
      </c>
      <c r="K610" s="61"/>
      <c r="L610" s="11" t="s">
        <v>67</v>
      </c>
      <c r="M610" s="25"/>
      <c r="N610" s="82"/>
      <c r="O610" s="3" t="str">
        <f>IF($A610="","",IF(P610=0,"A",IF(P610=AZ610,"E","A")))</f>
        <v>E</v>
      </c>
      <c r="P610" s="84">
        <v>44929.04</v>
      </c>
      <c r="Q610" s="84">
        <v>0</v>
      </c>
      <c r="R610" s="32"/>
      <c r="S610" s="3" t="str">
        <f>IF($A610="","",IF(T610=0,"A",IF(T610=BA610,"E","A")))</f>
        <v>E</v>
      </c>
      <c r="T610" s="84">
        <v>39312.910000000003</v>
      </c>
      <c r="U610" s="84">
        <v>0</v>
      </c>
      <c r="V610" s="32"/>
      <c r="W610" s="3" t="str">
        <f t="shared" si="213"/>
        <v>E</v>
      </c>
      <c r="X610" s="84">
        <v>39312.910000000003</v>
      </c>
      <c r="Y610" s="84">
        <v>0</v>
      </c>
      <c r="Z610" s="32"/>
      <c r="AA610" s="3" t="str">
        <f t="shared" si="214"/>
        <v>E</v>
      </c>
      <c r="AB610" s="84">
        <v>44929.04</v>
      </c>
      <c r="AC610" s="84">
        <v>0</v>
      </c>
      <c r="AD610" s="36"/>
      <c r="AE610" s="82"/>
      <c r="AF610" s="3" t="str">
        <f t="shared" si="215"/>
        <v>A</v>
      </c>
      <c r="AG610" s="84"/>
      <c r="AH610" s="84"/>
      <c r="AI610" s="39"/>
      <c r="AJ610" s="79" t="s">
        <v>38</v>
      </c>
      <c r="AK610" s="39"/>
      <c r="AL610" s="4">
        <f t="shared" si="221"/>
        <v>0</v>
      </c>
      <c r="AM610" s="4">
        <f t="shared" si="222"/>
        <v>0</v>
      </c>
      <c r="AN610" s="4">
        <f t="shared" si="216"/>
        <v>0</v>
      </c>
      <c r="AO610" s="39"/>
      <c r="AP610" s="8">
        <f t="shared" si="223"/>
        <v>168483.90000000002</v>
      </c>
      <c r="AQ610" s="8">
        <f t="shared" si="224"/>
        <v>0</v>
      </c>
      <c r="AR610" s="8">
        <f t="shared" si="217"/>
        <v>168483.90000000002</v>
      </c>
      <c r="AS610" s="42"/>
      <c r="AT610" s="84"/>
      <c r="AU610" s="84"/>
      <c r="AV610" s="4">
        <f t="shared" si="218"/>
        <v>0</v>
      </c>
      <c r="AW610" s="50" t="str">
        <f t="shared" si="219"/>
        <v/>
      </c>
      <c r="AX610" s="1" t="s">
        <v>1668</v>
      </c>
      <c r="AY610" s="2" t="s">
        <v>1669</v>
      </c>
      <c r="AZ610" s="2">
        <v>44929.04</v>
      </c>
      <c r="BA610" s="73">
        <v>39312.910000000003</v>
      </c>
      <c r="BB610" s="73">
        <v>39312.910000000003</v>
      </c>
      <c r="BC610" s="73">
        <v>44929.04</v>
      </c>
      <c r="BD610" s="73"/>
      <c r="BE610" s="66">
        <v>0.04</v>
      </c>
      <c r="BF610" s="66">
        <v>0.05</v>
      </c>
      <c r="BG610" s="63">
        <v>44679</v>
      </c>
      <c r="BH610" s="74">
        <v>43906</v>
      </c>
      <c r="BI610" s="74">
        <v>44788</v>
      </c>
      <c r="BJ610" s="2"/>
      <c r="BK610" s="2"/>
      <c r="BL610" s="1" t="s">
        <v>97</v>
      </c>
    </row>
    <row r="611" spans="1:64" x14ac:dyDescent="0.25">
      <c r="A611" s="81" t="s">
        <v>700</v>
      </c>
      <c r="B611" s="82" t="s">
        <v>705</v>
      </c>
      <c r="C611" s="81" t="s">
        <v>706</v>
      </c>
      <c r="D611" s="16">
        <v>37403</v>
      </c>
      <c r="E611" s="17"/>
      <c r="F611" s="2" t="s">
        <v>263</v>
      </c>
      <c r="G611" s="2" t="s">
        <v>264</v>
      </c>
      <c r="H611" s="10" t="s">
        <v>98</v>
      </c>
      <c r="I611" s="11" t="s">
        <v>53</v>
      </c>
      <c r="J611" s="11" t="s">
        <v>265</v>
      </c>
      <c r="K611" s="61"/>
      <c r="L611" s="11" t="s">
        <v>67</v>
      </c>
      <c r="M611" s="25"/>
      <c r="N611" s="82"/>
      <c r="O611" s="3" t="str">
        <f>IF($A611="","",IF(P611=0,"A",IF(P611=AZ611,"E","A")))</f>
        <v>E</v>
      </c>
      <c r="P611" s="84">
        <v>46377.919999999998</v>
      </c>
      <c r="Q611" s="84">
        <v>3585.68</v>
      </c>
      <c r="R611" s="32"/>
      <c r="S611" s="3" t="str">
        <f>IF($A611="","",IF(T611=0,"A",IF(T611=BA611,"E","A")))</f>
        <v>E</v>
      </c>
      <c r="T611" s="84">
        <v>40580.68</v>
      </c>
      <c r="U611" s="84">
        <v>3137.47</v>
      </c>
      <c r="V611" s="32"/>
      <c r="W611" s="3" t="str">
        <f t="shared" si="213"/>
        <v>E</v>
      </c>
      <c r="X611" s="84">
        <v>40580.68</v>
      </c>
      <c r="Y611" s="84">
        <v>3137.47</v>
      </c>
      <c r="Z611" s="32"/>
      <c r="AA611" s="3" t="str">
        <f t="shared" si="214"/>
        <v>E</v>
      </c>
      <c r="AB611" s="84">
        <v>46377.919999999998</v>
      </c>
      <c r="AC611" s="84">
        <v>3585.68</v>
      </c>
      <c r="AD611" s="36"/>
      <c r="AE611" s="82"/>
      <c r="AF611" s="3" t="str">
        <f t="shared" si="215"/>
        <v>A</v>
      </c>
      <c r="AG611" s="84"/>
      <c r="AH611" s="84"/>
      <c r="AI611" s="39"/>
      <c r="AJ611" s="79" t="s">
        <v>38</v>
      </c>
      <c r="AK611" s="39"/>
      <c r="AL611" s="4">
        <f t="shared" si="221"/>
        <v>0</v>
      </c>
      <c r="AM611" s="4">
        <f t="shared" si="222"/>
        <v>0</v>
      </c>
      <c r="AN611" s="4">
        <f t="shared" si="216"/>
        <v>0</v>
      </c>
      <c r="AO611" s="39"/>
      <c r="AP611" s="8">
        <f t="shared" si="223"/>
        <v>173917.2</v>
      </c>
      <c r="AQ611" s="8">
        <f t="shared" si="224"/>
        <v>13446.3</v>
      </c>
      <c r="AR611" s="8">
        <f t="shared" si="217"/>
        <v>187363.5</v>
      </c>
      <c r="AS611" s="42"/>
      <c r="AT611" s="84"/>
      <c r="AU611" s="84"/>
      <c r="AV611" s="4">
        <f t="shared" si="218"/>
        <v>0</v>
      </c>
      <c r="AW611" s="50" t="str">
        <f t="shared" si="219"/>
        <v/>
      </c>
      <c r="AX611" s="1" t="s">
        <v>1668</v>
      </c>
      <c r="AY611" s="2" t="s">
        <v>1669</v>
      </c>
      <c r="AZ611" s="2">
        <v>46377.919999999998</v>
      </c>
      <c r="BA611" s="73">
        <v>40580.68</v>
      </c>
      <c r="BB611" s="73">
        <v>40580.68</v>
      </c>
      <c r="BC611" s="73">
        <v>46377.919999999998</v>
      </c>
      <c r="BD611" s="73"/>
      <c r="BE611" s="66">
        <v>0.04</v>
      </c>
      <c r="BF611" s="66">
        <v>0.05</v>
      </c>
      <c r="BG611" s="63">
        <v>44679</v>
      </c>
      <c r="BH611" s="74">
        <v>45440</v>
      </c>
      <c r="BI611" s="74">
        <v>45505</v>
      </c>
      <c r="BJ611" s="2"/>
      <c r="BK611" s="2"/>
      <c r="BL611" s="1" t="s">
        <v>97</v>
      </c>
    </row>
    <row r="612" spans="1:64" x14ac:dyDescent="0.25">
      <c r="A612" s="81" t="s">
        <v>700</v>
      </c>
      <c r="B612" s="82" t="s">
        <v>786</v>
      </c>
      <c r="C612" s="81" t="s">
        <v>787</v>
      </c>
      <c r="D612" s="16">
        <v>42263</v>
      </c>
      <c r="E612" s="17"/>
      <c r="F612" s="2" t="s">
        <v>263</v>
      </c>
      <c r="G612" s="2" t="s">
        <v>264</v>
      </c>
      <c r="H612" s="10" t="s">
        <v>98</v>
      </c>
      <c r="I612" s="11" t="s">
        <v>53</v>
      </c>
      <c r="J612" s="11" t="s">
        <v>265</v>
      </c>
      <c r="K612" s="61"/>
      <c r="L612" s="11" t="s">
        <v>67</v>
      </c>
      <c r="M612" s="25"/>
      <c r="N612" s="82"/>
      <c r="O612" s="3" t="str">
        <f>IF($A612="","",IF(P612=0,"A",IF(P612=AZ612,"E","A")))</f>
        <v>E</v>
      </c>
      <c r="P612" s="84">
        <v>67346.64</v>
      </c>
      <c r="Q612" s="84">
        <v>7063.52</v>
      </c>
      <c r="R612" s="32"/>
      <c r="S612" s="3" t="str">
        <f>IF($A612="","",IF(T612=0,"A",IF(T612=BA612,"E","A")))</f>
        <v>E</v>
      </c>
      <c r="T612" s="84">
        <v>58928.31</v>
      </c>
      <c r="U612" s="84">
        <v>6180.58</v>
      </c>
      <c r="V612" s="32"/>
      <c r="W612" s="3" t="str">
        <f t="shared" si="213"/>
        <v>E</v>
      </c>
      <c r="X612" s="84">
        <v>58928.31</v>
      </c>
      <c r="Y612" s="84">
        <v>6180.58</v>
      </c>
      <c r="Z612" s="32"/>
      <c r="AA612" s="3" t="str">
        <f t="shared" si="214"/>
        <v>E</v>
      </c>
      <c r="AB612" s="84">
        <v>67346.64</v>
      </c>
      <c r="AC612" s="84">
        <v>7063.52</v>
      </c>
      <c r="AD612" s="36"/>
      <c r="AE612" s="82"/>
      <c r="AF612" s="3" t="str">
        <f t="shared" si="215"/>
        <v>A</v>
      </c>
      <c r="AG612" s="84"/>
      <c r="AH612" s="84"/>
      <c r="AI612" s="39"/>
      <c r="AJ612" s="79" t="s">
        <v>38</v>
      </c>
      <c r="AK612" s="39"/>
      <c r="AL612" s="4">
        <f t="shared" si="221"/>
        <v>0</v>
      </c>
      <c r="AM612" s="4">
        <f t="shared" si="222"/>
        <v>0</v>
      </c>
      <c r="AN612" s="4">
        <f t="shared" si="216"/>
        <v>0</v>
      </c>
      <c r="AO612" s="39"/>
      <c r="AP612" s="8">
        <f t="shared" si="223"/>
        <v>252549.90000000002</v>
      </c>
      <c r="AQ612" s="8">
        <f t="shared" si="224"/>
        <v>26488.2</v>
      </c>
      <c r="AR612" s="8">
        <f t="shared" si="217"/>
        <v>279038.10000000003</v>
      </c>
      <c r="AS612" s="42"/>
      <c r="AT612" s="84"/>
      <c r="AU612" s="84"/>
      <c r="AV612" s="4">
        <f t="shared" si="218"/>
        <v>0</v>
      </c>
      <c r="AW612" s="50" t="str">
        <f t="shared" si="219"/>
        <v/>
      </c>
      <c r="AX612" s="1" t="s">
        <v>1668</v>
      </c>
      <c r="AY612" s="2" t="s">
        <v>1669</v>
      </c>
      <c r="AZ612" s="2">
        <v>67346.64</v>
      </c>
      <c r="BA612" s="73">
        <v>58928.31</v>
      </c>
      <c r="BB612" s="73">
        <v>58928.31</v>
      </c>
      <c r="BC612" s="73">
        <v>67346.64</v>
      </c>
      <c r="BD612" s="73"/>
      <c r="BE612" s="66">
        <v>3.5000000000000003E-2</v>
      </c>
      <c r="BF612" s="66">
        <v>0.05</v>
      </c>
      <c r="BG612" s="63">
        <v>45725</v>
      </c>
      <c r="BH612" s="74">
        <v>43906</v>
      </c>
      <c r="BI612" s="74">
        <v>43969</v>
      </c>
      <c r="BJ612" s="2"/>
      <c r="BK612" s="2"/>
      <c r="BL612" s="1" t="s">
        <v>97</v>
      </c>
    </row>
    <row r="613" spans="1:64" x14ac:dyDescent="0.25">
      <c r="A613" s="81" t="s">
        <v>700</v>
      </c>
      <c r="B613" s="82" t="s">
        <v>1258</v>
      </c>
      <c r="C613" s="81" t="s">
        <v>1259</v>
      </c>
      <c r="D613" s="16">
        <v>0</v>
      </c>
      <c r="E613" s="17"/>
      <c r="F613" s="2" t="s">
        <v>263</v>
      </c>
      <c r="G613" s="2" t="s">
        <v>264</v>
      </c>
      <c r="H613" s="10" t="s">
        <v>98</v>
      </c>
      <c r="I613" s="11" t="s">
        <v>53</v>
      </c>
      <c r="J613" s="11" t="s">
        <v>265</v>
      </c>
      <c r="K613" s="61"/>
      <c r="L613" s="11" t="s">
        <v>67</v>
      </c>
      <c r="M613" s="25"/>
      <c r="N613" s="82"/>
      <c r="O613" s="3" t="str">
        <f>IF($A613="","",IF(P613=0,"A",IF(P613=AZ613,"E","A")))</f>
        <v>E</v>
      </c>
      <c r="P613" s="84">
        <v>104236</v>
      </c>
      <c r="Q613" s="84">
        <v>0</v>
      </c>
      <c r="R613" s="32"/>
      <c r="S613" s="3" t="str">
        <f>IF($A613="","",IF(T613=0,"A",IF(T613=BA613,"E","A")))</f>
        <v>E</v>
      </c>
      <c r="T613" s="84">
        <v>91206.5</v>
      </c>
      <c r="U613" s="84">
        <v>0</v>
      </c>
      <c r="V613" s="32"/>
      <c r="W613" s="3" t="str">
        <f t="shared" si="213"/>
        <v>E</v>
      </c>
      <c r="X613" s="84">
        <v>91206.5</v>
      </c>
      <c r="Y613" s="84">
        <v>0</v>
      </c>
      <c r="Z613" s="32"/>
      <c r="AA613" s="3" t="str">
        <f t="shared" si="214"/>
        <v>E</v>
      </c>
      <c r="AB613" s="84">
        <v>104236</v>
      </c>
      <c r="AC613" s="84">
        <v>0</v>
      </c>
      <c r="AD613" s="36"/>
      <c r="AE613" s="82"/>
      <c r="AF613" s="3" t="str">
        <f t="shared" si="215"/>
        <v>A</v>
      </c>
      <c r="AG613" s="84"/>
      <c r="AH613" s="84"/>
      <c r="AI613" s="39"/>
      <c r="AJ613" s="79" t="s">
        <v>38</v>
      </c>
      <c r="AK613" s="39"/>
      <c r="AL613" s="4">
        <f t="shared" si="221"/>
        <v>0</v>
      </c>
      <c r="AM613" s="4">
        <f t="shared" si="222"/>
        <v>0</v>
      </c>
      <c r="AN613" s="4">
        <f t="shared" si="216"/>
        <v>0</v>
      </c>
      <c r="AO613" s="39"/>
      <c r="AP613" s="8">
        <f t="shared" si="223"/>
        <v>390885</v>
      </c>
      <c r="AQ613" s="8">
        <f t="shared" si="224"/>
        <v>0</v>
      </c>
      <c r="AR613" s="8">
        <f t="shared" si="217"/>
        <v>390885</v>
      </c>
      <c r="AS613" s="42"/>
      <c r="AT613" s="84"/>
      <c r="AU613" s="84"/>
      <c r="AV613" s="4">
        <f t="shared" si="218"/>
        <v>0</v>
      </c>
      <c r="AW613" s="50" t="str">
        <f t="shared" si="219"/>
        <v/>
      </c>
      <c r="AX613" s="1" t="s">
        <v>1668</v>
      </c>
      <c r="AY613" s="2" t="s">
        <v>1669</v>
      </c>
      <c r="AZ613" s="2">
        <v>104236</v>
      </c>
      <c r="BA613" s="73">
        <v>91206.5</v>
      </c>
      <c r="BB613" s="73">
        <v>91206.5</v>
      </c>
      <c r="BC613" s="73">
        <v>104236</v>
      </c>
      <c r="BD613" s="73"/>
      <c r="BE613" s="66">
        <v>3.5000000000000003E-2</v>
      </c>
      <c r="BF613" s="66">
        <v>0.05</v>
      </c>
      <c r="BG613" s="63">
        <v>45725</v>
      </c>
      <c r="BH613" s="2"/>
      <c r="BI613" s="2"/>
      <c r="BJ613" s="2">
        <v>368739</v>
      </c>
      <c r="BK613" s="2"/>
      <c r="BL613" s="1" t="s">
        <v>97</v>
      </c>
    </row>
    <row r="614" spans="1:64" x14ac:dyDescent="0.25">
      <c r="A614" s="81" t="s">
        <v>700</v>
      </c>
      <c r="B614" s="82" t="s">
        <v>700</v>
      </c>
      <c r="C614" s="81" t="s">
        <v>1435</v>
      </c>
      <c r="D614" s="16">
        <v>45272</v>
      </c>
      <c r="E614" s="17"/>
      <c r="F614" s="2" t="s">
        <v>263</v>
      </c>
      <c r="G614" s="2" t="s">
        <v>264</v>
      </c>
      <c r="H614" s="10" t="s">
        <v>98</v>
      </c>
      <c r="I614" s="11" t="s">
        <v>53</v>
      </c>
      <c r="J614" s="11" t="s">
        <v>265</v>
      </c>
      <c r="K614" s="61"/>
      <c r="L614" s="11" t="s">
        <v>67</v>
      </c>
      <c r="M614" s="25"/>
      <c r="N614" s="82"/>
      <c r="O614" s="3" t="str">
        <f>IF($A614="","",IF(P614=AZ614,"E","A"))</f>
        <v>E</v>
      </c>
      <c r="P614" s="84">
        <v>62493.760000000002</v>
      </c>
      <c r="Q614" s="84">
        <v>2996</v>
      </c>
      <c r="R614" s="32"/>
      <c r="S614" s="3" t="str">
        <f>IF($A614="","",IF(T614=BA614,"E","A"))</f>
        <v>E</v>
      </c>
      <c r="T614" s="84">
        <v>54682.04</v>
      </c>
      <c r="U614" s="84">
        <v>2621.5</v>
      </c>
      <c r="V614" s="32"/>
      <c r="W614" s="3" t="str">
        <f t="shared" si="213"/>
        <v>E</v>
      </c>
      <c r="X614" s="84">
        <v>54682.04</v>
      </c>
      <c r="Y614" s="84">
        <v>2621.5</v>
      </c>
      <c r="Z614" s="32"/>
      <c r="AA614" s="3" t="str">
        <f t="shared" si="214"/>
        <v>E</v>
      </c>
      <c r="AB614" s="84">
        <v>62493.760000000002</v>
      </c>
      <c r="AC614" s="84">
        <v>2996</v>
      </c>
      <c r="AD614" s="36"/>
      <c r="AE614" s="82"/>
      <c r="AF614" s="3" t="str">
        <f t="shared" si="215"/>
        <v>A</v>
      </c>
      <c r="AG614" s="84"/>
      <c r="AH614" s="84"/>
      <c r="AI614" s="39"/>
      <c r="AJ614" s="79" t="s">
        <v>38</v>
      </c>
      <c r="AK614" s="39"/>
      <c r="AL614" s="4">
        <f t="shared" si="221"/>
        <v>0</v>
      </c>
      <c r="AM614" s="4">
        <f t="shared" si="222"/>
        <v>0</v>
      </c>
      <c r="AN614" s="4">
        <f t="shared" si="216"/>
        <v>0</v>
      </c>
      <c r="AO614" s="39"/>
      <c r="AP614" s="8">
        <f t="shared" si="223"/>
        <v>234351.6</v>
      </c>
      <c r="AQ614" s="8">
        <f t="shared" si="224"/>
        <v>11235</v>
      </c>
      <c r="AR614" s="8">
        <f t="shared" si="217"/>
        <v>245586.6</v>
      </c>
      <c r="AS614" s="42"/>
      <c r="AT614" s="84"/>
      <c r="AU614" s="84"/>
      <c r="AV614" s="4">
        <f t="shared" si="218"/>
        <v>0</v>
      </c>
      <c r="AW614" s="50" t="str">
        <f t="shared" si="219"/>
        <v/>
      </c>
      <c r="AX614" s="1" t="s">
        <v>1668</v>
      </c>
      <c r="AY614" s="2" t="s">
        <v>1669</v>
      </c>
      <c r="AZ614" s="2">
        <v>62493.760000000002</v>
      </c>
      <c r="BA614" s="73">
        <v>54682.04</v>
      </c>
      <c r="BB614" s="73">
        <v>54682.04</v>
      </c>
      <c r="BC614" s="73">
        <v>62493.760000000002</v>
      </c>
      <c r="BD614" s="73"/>
      <c r="BE614" s="66">
        <v>0</v>
      </c>
      <c r="BF614" s="66">
        <v>0.05</v>
      </c>
      <c r="BG614" s="63">
        <v>45272</v>
      </c>
      <c r="BH614" s="2"/>
      <c r="BI614" s="2"/>
      <c r="BJ614" s="2">
        <v>237730.5</v>
      </c>
      <c r="BK614" s="2">
        <v>12480.85</v>
      </c>
      <c r="BL614" s="1" t="s">
        <v>97</v>
      </c>
    </row>
    <row r="615" spans="1:64" x14ac:dyDescent="0.25">
      <c r="A615" s="81" t="s">
        <v>1063</v>
      </c>
      <c r="B615" s="82" t="s">
        <v>1064</v>
      </c>
      <c r="C615" s="81" t="s">
        <v>1065</v>
      </c>
      <c r="D615" s="16">
        <v>0</v>
      </c>
      <c r="E615" s="17"/>
      <c r="F615" s="2" t="s">
        <v>243</v>
      </c>
      <c r="G615" s="2" t="s">
        <v>245</v>
      </c>
      <c r="H615" s="10" t="s">
        <v>98</v>
      </c>
      <c r="I615" s="11" t="s">
        <v>244</v>
      </c>
      <c r="J615" s="11" t="s">
        <v>278</v>
      </c>
      <c r="K615" s="61" t="s">
        <v>279</v>
      </c>
      <c r="L615" s="11" t="s">
        <v>67</v>
      </c>
      <c r="M615" s="25"/>
      <c r="N615" s="82"/>
      <c r="O615" s="3" t="str">
        <f>IF($A615="","",IF(P615=0,"A",IF(P615=AZ615,"E","A")))</f>
        <v>A</v>
      </c>
      <c r="P615" s="84">
        <v>12507.35</v>
      </c>
      <c r="Q615" s="84">
        <v>0</v>
      </c>
      <c r="R615" s="32"/>
      <c r="S615" s="3" t="str">
        <f>IF($A615="","",IF(T615=0,"A",IF(T615=BA615,"E","A")))</f>
        <v>A</v>
      </c>
      <c r="T615" s="84">
        <v>9412</v>
      </c>
      <c r="U615" s="84">
        <v>0</v>
      </c>
      <c r="V615" s="32"/>
      <c r="W615" s="3" t="str">
        <f t="shared" si="213"/>
        <v>A</v>
      </c>
      <c r="X615" s="84">
        <v>10611</v>
      </c>
      <c r="Y615" s="84">
        <v>0</v>
      </c>
      <c r="Z615" s="32"/>
      <c r="AA615" s="3" t="str">
        <f t="shared" si="214"/>
        <v>A</v>
      </c>
      <c r="AB615" s="84">
        <v>13447</v>
      </c>
      <c r="AC615" s="84">
        <v>0</v>
      </c>
      <c r="AD615" s="36"/>
      <c r="AE615" s="82"/>
      <c r="AF615" s="3" t="str">
        <f t="shared" si="215"/>
        <v>A</v>
      </c>
      <c r="AG615" s="84">
        <v>0</v>
      </c>
      <c r="AH615" s="84">
        <v>0</v>
      </c>
      <c r="AI615" s="39"/>
      <c r="AJ615" s="79" t="s">
        <v>1801</v>
      </c>
      <c r="AK615" s="39"/>
      <c r="AL615" s="4">
        <f t="shared" si="221"/>
        <v>45977.35</v>
      </c>
      <c r="AM615" s="4">
        <f t="shared" si="222"/>
        <v>0</v>
      </c>
      <c r="AN615" s="4">
        <f t="shared" si="216"/>
        <v>45977.35</v>
      </c>
      <c r="AO615" s="39"/>
      <c r="AP615" s="8">
        <f t="shared" si="223"/>
        <v>0</v>
      </c>
      <c r="AQ615" s="8">
        <f t="shared" si="224"/>
        <v>0</v>
      </c>
      <c r="AR615" s="8">
        <f t="shared" si="217"/>
        <v>0</v>
      </c>
      <c r="AS615" s="42"/>
      <c r="AT615" s="84">
        <v>45977.35</v>
      </c>
      <c r="AU615" s="84">
        <v>0</v>
      </c>
      <c r="AV615" s="4">
        <f t="shared" si="218"/>
        <v>45977.35</v>
      </c>
      <c r="AW615" s="50" t="str">
        <f t="shared" si="219"/>
        <v/>
      </c>
      <c r="AX615" s="1" t="s">
        <v>1639</v>
      </c>
      <c r="AY615" s="2" t="s">
        <v>1640</v>
      </c>
      <c r="AZ615" s="2">
        <v>87859.04</v>
      </c>
      <c r="BA615" s="73">
        <v>76876.66</v>
      </c>
      <c r="BB615" s="73">
        <v>76876.66</v>
      </c>
      <c r="BC615" s="73">
        <v>87859.04</v>
      </c>
      <c r="BD615" s="73"/>
      <c r="BE615" s="66">
        <v>0</v>
      </c>
      <c r="BF615" s="66">
        <v>0.02</v>
      </c>
      <c r="BG615" s="63">
        <v>44720</v>
      </c>
      <c r="BH615" s="2"/>
      <c r="BI615" s="2"/>
      <c r="BJ615" s="2">
        <v>320872.5</v>
      </c>
      <c r="BK615" s="2">
        <v>40109.06</v>
      </c>
      <c r="BL615" s="1" t="s">
        <v>97</v>
      </c>
    </row>
    <row r="616" spans="1:64" x14ac:dyDescent="0.25">
      <c r="A616" s="81" t="s">
        <v>1063</v>
      </c>
      <c r="B616" s="82" t="s">
        <v>1063</v>
      </c>
      <c r="C616" s="81" t="s">
        <v>1436</v>
      </c>
      <c r="D616" s="16">
        <v>0</v>
      </c>
      <c r="E616" s="17"/>
      <c r="F616" s="2" t="s">
        <v>243</v>
      </c>
      <c r="G616" s="2" t="s">
        <v>245</v>
      </c>
      <c r="H616" s="10" t="s">
        <v>98</v>
      </c>
      <c r="I616" s="11" t="s">
        <v>244</v>
      </c>
      <c r="J616" s="11" t="s">
        <v>278</v>
      </c>
      <c r="K616" s="61" t="s">
        <v>279</v>
      </c>
      <c r="L616" s="11" t="s">
        <v>67</v>
      </c>
      <c r="M616" s="25"/>
      <c r="N616" s="82"/>
      <c r="O616" s="3" t="str">
        <f t="shared" ref="O616:O647" si="226">IF($A616="","",IF(P616=AZ616,"E","A"))</f>
        <v>A</v>
      </c>
      <c r="P616" s="84">
        <v>23181</v>
      </c>
      <c r="Q616" s="84">
        <v>4985</v>
      </c>
      <c r="R616" s="32"/>
      <c r="S616" s="3" t="str">
        <f>IF($A616="","",IF(T616=BA616,"E","A"))</f>
        <v>A</v>
      </c>
      <c r="T616" s="84">
        <v>20855</v>
      </c>
      <c r="U616" s="84">
        <v>4817</v>
      </c>
      <c r="V616" s="32"/>
      <c r="W616" s="3" t="str">
        <f t="shared" si="213"/>
        <v>A</v>
      </c>
      <c r="X616" s="84">
        <v>15797</v>
      </c>
      <c r="Y616" s="84">
        <v>3310</v>
      </c>
      <c r="Z616" s="32"/>
      <c r="AA616" s="3" t="str">
        <f t="shared" si="214"/>
        <v>A</v>
      </c>
      <c r="AB616" s="84">
        <v>18307</v>
      </c>
      <c r="AC616" s="84">
        <v>3783</v>
      </c>
      <c r="AD616" s="36"/>
      <c r="AE616" s="82"/>
      <c r="AF616" s="3" t="str">
        <f t="shared" si="215"/>
        <v>A</v>
      </c>
      <c r="AG616" s="84">
        <v>0</v>
      </c>
      <c r="AH616" s="84">
        <v>0</v>
      </c>
      <c r="AI616" s="39"/>
      <c r="AJ616" s="79" t="s">
        <v>1801</v>
      </c>
      <c r="AK616" s="39"/>
      <c r="AL616" s="4">
        <f t="shared" si="221"/>
        <v>78140</v>
      </c>
      <c r="AM616" s="4">
        <f t="shared" si="222"/>
        <v>16895</v>
      </c>
      <c r="AN616" s="4">
        <f t="shared" si="216"/>
        <v>95035</v>
      </c>
      <c r="AO616" s="39"/>
      <c r="AP616" s="8">
        <f t="shared" si="223"/>
        <v>0</v>
      </c>
      <c r="AQ616" s="8">
        <f t="shared" si="224"/>
        <v>0</v>
      </c>
      <c r="AR616" s="8">
        <f t="shared" si="217"/>
        <v>0</v>
      </c>
      <c r="AS616" s="42"/>
      <c r="AT616" s="84">
        <v>78140</v>
      </c>
      <c r="AU616" s="84">
        <v>16895</v>
      </c>
      <c r="AV616" s="4">
        <f t="shared" si="218"/>
        <v>95035</v>
      </c>
      <c r="AW616" s="50" t="str">
        <f t="shared" si="219"/>
        <v/>
      </c>
      <c r="AX616" s="1" t="s">
        <v>1639</v>
      </c>
      <c r="AY616" s="2" t="s">
        <v>1640</v>
      </c>
      <c r="AZ616" s="2">
        <v>120250.64</v>
      </c>
      <c r="BA616" s="73">
        <v>105219.31</v>
      </c>
      <c r="BB616" s="73">
        <v>105219.31</v>
      </c>
      <c r="BC616" s="73">
        <v>120250.64</v>
      </c>
      <c r="BD616" s="73"/>
      <c r="BE616" s="66">
        <v>0</v>
      </c>
      <c r="BF616" s="66">
        <v>0.02</v>
      </c>
      <c r="BG616" s="63">
        <v>45573</v>
      </c>
      <c r="BH616" s="2"/>
      <c r="BI616" s="2"/>
      <c r="BJ616" s="2">
        <v>445000</v>
      </c>
      <c r="BK616" s="2">
        <v>23388.75</v>
      </c>
      <c r="BL616" s="1" t="s">
        <v>97</v>
      </c>
    </row>
    <row r="617" spans="1:64" x14ac:dyDescent="0.25">
      <c r="A617" s="81" t="s">
        <v>1382</v>
      </c>
      <c r="B617" s="82" t="s">
        <v>1383</v>
      </c>
      <c r="C617" s="81" t="s">
        <v>1384</v>
      </c>
      <c r="D617" s="16">
        <v>45198</v>
      </c>
      <c r="E617" s="17"/>
      <c r="F617" s="2" t="s">
        <v>109</v>
      </c>
      <c r="G617" s="2" t="s">
        <v>111</v>
      </c>
      <c r="H617" s="10" t="s">
        <v>105</v>
      </c>
      <c r="I617" s="11" t="s">
        <v>110</v>
      </c>
      <c r="J617" s="11" t="s">
        <v>112</v>
      </c>
      <c r="K617" s="61" t="s">
        <v>113</v>
      </c>
      <c r="L617" s="11" t="s">
        <v>67</v>
      </c>
      <c r="M617" s="25"/>
      <c r="N617" s="82"/>
      <c r="O617" s="3" t="str">
        <f t="shared" si="226"/>
        <v>A</v>
      </c>
      <c r="P617" s="84">
        <v>155403.25</v>
      </c>
      <c r="Q617" s="84">
        <v>3070</v>
      </c>
      <c r="R617" s="32"/>
      <c r="S617" s="3" t="str">
        <f>IF($A617="","",IF(T617=0,"A",IF(T617=BA617,"E","A")))</f>
        <v>A</v>
      </c>
      <c r="T617" s="84">
        <v>133750.75</v>
      </c>
      <c r="U617" s="84">
        <v>1750</v>
      </c>
      <c r="V617" s="32"/>
      <c r="W617" s="3" t="str">
        <f t="shared" si="213"/>
        <v>A</v>
      </c>
      <c r="X617" s="84">
        <v>141215.54</v>
      </c>
      <c r="Y617" s="84">
        <v>1850</v>
      </c>
      <c r="Z617" s="32"/>
      <c r="AA617" s="3" t="str">
        <f t="shared" si="214"/>
        <v>A</v>
      </c>
      <c r="AB617" s="84">
        <v>160358.5</v>
      </c>
      <c r="AC617" s="84">
        <v>2205</v>
      </c>
      <c r="AD617" s="36"/>
      <c r="AE617" s="82"/>
      <c r="AF617" s="3" t="str">
        <f t="shared" si="215"/>
        <v>A</v>
      </c>
      <c r="AG617" s="84">
        <v>0</v>
      </c>
      <c r="AH617" s="84">
        <v>0</v>
      </c>
      <c r="AI617" s="39"/>
      <c r="AJ617" s="79" t="s">
        <v>1801</v>
      </c>
      <c r="AK617" s="39"/>
      <c r="AL617" s="4">
        <f t="shared" si="221"/>
        <v>590728.04</v>
      </c>
      <c r="AM617" s="4">
        <f t="shared" si="222"/>
        <v>8875</v>
      </c>
      <c r="AN617" s="4">
        <f t="shared" si="216"/>
        <v>599603.04</v>
      </c>
      <c r="AO617" s="39"/>
      <c r="AP617" s="8">
        <f t="shared" si="223"/>
        <v>0</v>
      </c>
      <c r="AQ617" s="8">
        <f t="shared" si="224"/>
        <v>0</v>
      </c>
      <c r="AR617" s="8">
        <f t="shared" si="217"/>
        <v>0</v>
      </c>
      <c r="AS617" s="42"/>
      <c r="AT617" s="84">
        <v>590728.04</v>
      </c>
      <c r="AU617" s="84">
        <v>8875</v>
      </c>
      <c r="AV617" s="4">
        <f t="shared" si="218"/>
        <v>599603.04</v>
      </c>
      <c r="AW617" s="50" t="str">
        <f t="shared" si="219"/>
        <v/>
      </c>
      <c r="AX617" s="1" t="s">
        <v>1647</v>
      </c>
      <c r="AY617" s="2" t="s">
        <v>1640</v>
      </c>
      <c r="AZ617" s="2">
        <v>51748.88</v>
      </c>
      <c r="BA617" s="73">
        <v>45280.27</v>
      </c>
      <c r="BB617" s="73">
        <v>45280.27</v>
      </c>
      <c r="BC617" s="73">
        <v>51748.88</v>
      </c>
      <c r="BD617" s="73"/>
      <c r="BE617" s="66">
        <v>0</v>
      </c>
      <c r="BF617" s="66">
        <v>0.02</v>
      </c>
      <c r="BG617" s="63">
        <v>45198</v>
      </c>
      <c r="BH617" s="2"/>
      <c r="BI617" s="2"/>
      <c r="BJ617" s="2">
        <v>187668</v>
      </c>
      <c r="BK617" s="2"/>
      <c r="BL617" s="1" t="s">
        <v>104</v>
      </c>
    </row>
    <row r="618" spans="1:64" x14ac:dyDescent="0.25">
      <c r="A618" s="81" t="s">
        <v>1382</v>
      </c>
      <c r="B618" s="82" t="s">
        <v>1385</v>
      </c>
      <c r="C618" s="81" t="s">
        <v>1386</v>
      </c>
      <c r="D618" s="16">
        <v>45204</v>
      </c>
      <c r="E618" s="17"/>
      <c r="F618" s="2" t="s">
        <v>109</v>
      </c>
      <c r="G618" s="2" t="s">
        <v>111</v>
      </c>
      <c r="H618" s="10" t="s">
        <v>105</v>
      </c>
      <c r="I618" s="11" t="s">
        <v>110</v>
      </c>
      <c r="J618" s="11" t="s">
        <v>112</v>
      </c>
      <c r="K618" s="61" t="s">
        <v>113</v>
      </c>
      <c r="L618" s="11" t="s">
        <v>67</v>
      </c>
      <c r="M618" s="25"/>
      <c r="N618" s="82"/>
      <c r="O618" s="3" t="str">
        <f t="shared" si="226"/>
        <v>A</v>
      </c>
      <c r="P618" s="84">
        <v>52388</v>
      </c>
      <c r="Q618" s="84">
        <v>6780</v>
      </c>
      <c r="R618" s="32"/>
      <c r="S618" s="3" t="str">
        <f>IF($A618="","",IF(T618=0,"A",IF(T618=BA618,"E","A")))</f>
        <v>A</v>
      </c>
      <c r="T618" s="84">
        <v>44514.75</v>
      </c>
      <c r="U618" s="84">
        <v>4340</v>
      </c>
      <c r="V618" s="32"/>
      <c r="W618" s="3" t="str">
        <f t="shared" si="213"/>
        <v>A</v>
      </c>
      <c r="X618" s="84">
        <v>49465</v>
      </c>
      <c r="Y618" s="84">
        <v>4000</v>
      </c>
      <c r="Z618" s="32"/>
      <c r="AA618" s="3" t="str">
        <f t="shared" si="214"/>
        <v>A</v>
      </c>
      <c r="AB618" s="84">
        <v>53647.25</v>
      </c>
      <c r="AC618" s="84">
        <v>3795</v>
      </c>
      <c r="AD618" s="36"/>
      <c r="AE618" s="82"/>
      <c r="AF618" s="3" t="str">
        <f t="shared" si="215"/>
        <v>A</v>
      </c>
      <c r="AG618" s="84">
        <v>0</v>
      </c>
      <c r="AH618" s="84">
        <v>0</v>
      </c>
      <c r="AI618" s="39"/>
      <c r="AJ618" s="79" t="s">
        <v>1801</v>
      </c>
      <c r="AK618" s="39"/>
      <c r="AL618" s="4">
        <f t="shared" si="221"/>
        <v>200015</v>
      </c>
      <c r="AM618" s="4">
        <f t="shared" si="222"/>
        <v>18915</v>
      </c>
      <c r="AN618" s="4">
        <f t="shared" si="216"/>
        <v>218930</v>
      </c>
      <c r="AO618" s="39"/>
      <c r="AP618" s="8">
        <f t="shared" si="223"/>
        <v>0</v>
      </c>
      <c r="AQ618" s="8">
        <f t="shared" si="224"/>
        <v>0</v>
      </c>
      <c r="AR618" s="8">
        <f t="shared" si="217"/>
        <v>0</v>
      </c>
      <c r="AS618" s="42"/>
      <c r="AT618" s="84">
        <v>200015</v>
      </c>
      <c r="AU618" s="84">
        <v>18915</v>
      </c>
      <c r="AV618" s="4">
        <f t="shared" si="218"/>
        <v>218930</v>
      </c>
      <c r="AW618" s="50" t="str">
        <f t="shared" si="219"/>
        <v/>
      </c>
      <c r="AX618" s="1" t="s">
        <v>1647</v>
      </c>
      <c r="AY618" s="2" t="s">
        <v>1640</v>
      </c>
      <c r="AZ618" s="2">
        <v>59777.440000000002</v>
      </c>
      <c r="BA618" s="73">
        <v>52305.26</v>
      </c>
      <c r="BB618" s="73">
        <v>52305.26</v>
      </c>
      <c r="BC618" s="73">
        <v>59777.440000000002</v>
      </c>
      <c r="BD618" s="73"/>
      <c r="BE618" s="66">
        <v>0</v>
      </c>
      <c r="BF618" s="66">
        <v>0.02</v>
      </c>
      <c r="BG618" s="63">
        <v>45204</v>
      </c>
      <c r="BH618" s="2"/>
      <c r="BI618" s="2"/>
      <c r="BJ618" s="2">
        <v>219312</v>
      </c>
      <c r="BK618" s="2"/>
      <c r="BL618" s="1" t="s">
        <v>104</v>
      </c>
    </row>
    <row r="619" spans="1:64" x14ac:dyDescent="0.25">
      <c r="A619" s="81" t="s">
        <v>1382</v>
      </c>
      <c r="B619" s="82" t="s">
        <v>1382</v>
      </c>
      <c r="C619" s="81" t="s">
        <v>1437</v>
      </c>
      <c r="D619" s="16">
        <v>0</v>
      </c>
      <c r="E619" s="17"/>
      <c r="F619" s="2" t="s">
        <v>109</v>
      </c>
      <c r="G619" s="2" t="s">
        <v>111</v>
      </c>
      <c r="H619" s="10" t="s">
        <v>105</v>
      </c>
      <c r="I619" s="11" t="s">
        <v>110</v>
      </c>
      <c r="J619" s="11" t="s">
        <v>112</v>
      </c>
      <c r="K619" s="61" t="s">
        <v>113</v>
      </c>
      <c r="L619" s="11" t="s">
        <v>67</v>
      </c>
      <c r="M619" s="25"/>
      <c r="N619" s="82"/>
      <c r="O619" s="3" t="str">
        <f t="shared" si="226"/>
        <v>A</v>
      </c>
      <c r="P619" s="84">
        <v>58980</v>
      </c>
      <c r="Q619" s="84">
        <v>13060</v>
      </c>
      <c r="R619" s="32"/>
      <c r="S619" s="3" t="str">
        <f t="shared" ref="S619:S650" si="227">IF($A619="","",IF(T619=BA619,"E","A"))</f>
        <v>A</v>
      </c>
      <c r="T619" s="84">
        <v>57572</v>
      </c>
      <c r="U619" s="84">
        <v>12785</v>
      </c>
      <c r="V619" s="32"/>
      <c r="W619" s="3" t="str">
        <f t="shared" si="213"/>
        <v>A</v>
      </c>
      <c r="X619" s="84">
        <v>51842</v>
      </c>
      <c r="Y619" s="84">
        <v>12380</v>
      </c>
      <c r="Z619" s="32"/>
      <c r="AA619" s="3" t="str">
        <f t="shared" si="214"/>
        <v>A</v>
      </c>
      <c r="AB619" s="84">
        <v>54982</v>
      </c>
      <c r="AC619" s="84">
        <v>11790</v>
      </c>
      <c r="AD619" s="36"/>
      <c r="AE619" s="82"/>
      <c r="AF619" s="3" t="str">
        <f t="shared" si="215"/>
        <v>A</v>
      </c>
      <c r="AG619" s="84">
        <v>0</v>
      </c>
      <c r="AH619" s="84">
        <v>0</v>
      </c>
      <c r="AI619" s="39"/>
      <c r="AJ619" s="79" t="s">
        <v>1801</v>
      </c>
      <c r="AK619" s="39"/>
      <c r="AL619" s="4">
        <f t="shared" si="221"/>
        <v>223376</v>
      </c>
      <c r="AM619" s="4">
        <f t="shared" si="222"/>
        <v>50015</v>
      </c>
      <c r="AN619" s="4">
        <f t="shared" si="216"/>
        <v>273391</v>
      </c>
      <c r="AO619" s="39"/>
      <c r="AP619" s="8">
        <f t="shared" si="223"/>
        <v>0</v>
      </c>
      <c r="AQ619" s="8">
        <f t="shared" si="224"/>
        <v>0</v>
      </c>
      <c r="AR619" s="8">
        <f t="shared" si="217"/>
        <v>0</v>
      </c>
      <c r="AS619" s="42"/>
      <c r="AT619" s="84">
        <v>223376</v>
      </c>
      <c r="AU619" s="84">
        <v>50015</v>
      </c>
      <c r="AV619" s="4">
        <f t="shared" si="218"/>
        <v>273391</v>
      </c>
      <c r="AW619" s="50" t="str">
        <f t="shared" si="219"/>
        <v/>
      </c>
      <c r="AX619" s="1" t="s">
        <v>1647</v>
      </c>
      <c r="AY619" s="2" t="s">
        <v>1640</v>
      </c>
      <c r="AZ619" s="2">
        <v>108829.36</v>
      </c>
      <c r="BA619" s="73">
        <v>95225.69</v>
      </c>
      <c r="BB619" s="73">
        <v>95225.69</v>
      </c>
      <c r="BC619" s="73">
        <v>108829.36</v>
      </c>
      <c r="BD619" s="73"/>
      <c r="BE619" s="66">
        <v>0</v>
      </c>
      <c r="BF619" s="66">
        <v>0.02</v>
      </c>
      <c r="BG619" s="63">
        <v>45373</v>
      </c>
      <c r="BH619" s="2"/>
      <c r="BI619" s="2"/>
      <c r="BJ619" s="2">
        <v>390470.40000000002</v>
      </c>
      <c r="BK619" s="2">
        <v>97617.600000000006</v>
      </c>
      <c r="BL619" s="1" t="s">
        <v>104</v>
      </c>
    </row>
    <row r="620" spans="1:64" x14ac:dyDescent="0.25">
      <c r="A620" s="81" t="s">
        <v>1440</v>
      </c>
      <c r="B620" s="82" t="s">
        <v>1440</v>
      </c>
      <c r="C620" s="81" t="s">
        <v>1441</v>
      </c>
      <c r="D620" s="16">
        <v>0</v>
      </c>
      <c r="E620" s="17"/>
      <c r="F620" s="2" t="s">
        <v>1442</v>
      </c>
      <c r="G620" s="2" t="s">
        <v>1443</v>
      </c>
      <c r="H620" s="10" t="s">
        <v>57</v>
      </c>
      <c r="I620" s="11" t="s">
        <v>53</v>
      </c>
      <c r="J620" s="11" t="s">
        <v>384</v>
      </c>
      <c r="K620" s="61"/>
      <c r="L620" s="11" t="s">
        <v>67</v>
      </c>
      <c r="M620" s="25"/>
      <c r="N620" s="82"/>
      <c r="O620" s="3" t="str">
        <f t="shared" si="226"/>
        <v>A</v>
      </c>
      <c r="P620" s="84">
        <v>133207</v>
      </c>
      <c r="Q620" s="84">
        <v>41322</v>
      </c>
      <c r="R620" s="32"/>
      <c r="S620" s="3" t="str">
        <f t="shared" si="227"/>
        <v>A</v>
      </c>
      <c r="T620" s="84">
        <v>110705</v>
      </c>
      <c r="U620" s="84">
        <v>34889</v>
      </c>
      <c r="V620" s="32"/>
      <c r="W620" s="3" t="str">
        <f t="shared" si="213"/>
        <v>A</v>
      </c>
      <c r="X620" s="84">
        <v>101632</v>
      </c>
      <c r="Y620" s="84">
        <v>24373</v>
      </c>
      <c r="Z620" s="32"/>
      <c r="AA620" s="3" t="str">
        <f t="shared" si="214"/>
        <v>A</v>
      </c>
      <c r="AB620" s="84">
        <v>121601</v>
      </c>
      <c r="AC620" s="84">
        <v>24279</v>
      </c>
      <c r="AD620" s="36"/>
      <c r="AE620" s="82"/>
      <c r="AF620" s="3" t="str">
        <f t="shared" si="215"/>
        <v>A</v>
      </c>
      <c r="AG620" s="84">
        <v>0</v>
      </c>
      <c r="AH620" s="84">
        <v>0</v>
      </c>
      <c r="AI620" s="39"/>
      <c r="AJ620" s="79" t="s">
        <v>1801</v>
      </c>
      <c r="AK620" s="39"/>
      <c r="AL620" s="4">
        <f t="shared" si="221"/>
        <v>467145</v>
      </c>
      <c r="AM620" s="4">
        <f t="shared" si="222"/>
        <v>124863</v>
      </c>
      <c r="AN620" s="4">
        <f t="shared" si="216"/>
        <v>592008</v>
      </c>
      <c r="AO620" s="39"/>
      <c r="AP620" s="8">
        <f t="shared" si="223"/>
        <v>0</v>
      </c>
      <c r="AQ620" s="8">
        <f t="shared" si="224"/>
        <v>0</v>
      </c>
      <c r="AR620" s="8">
        <f t="shared" si="217"/>
        <v>0</v>
      </c>
      <c r="AS620" s="42"/>
      <c r="AT620" s="84">
        <v>467145</v>
      </c>
      <c r="AU620" s="84">
        <v>124863</v>
      </c>
      <c r="AV620" s="4">
        <f t="shared" si="218"/>
        <v>592008</v>
      </c>
      <c r="AW620" s="50" t="str">
        <f t="shared" si="219"/>
        <v/>
      </c>
      <c r="AX620" s="1" t="s">
        <v>1781</v>
      </c>
      <c r="AY620" s="2" t="s">
        <v>1782</v>
      </c>
      <c r="AZ620" s="2">
        <v>177692.16</v>
      </c>
      <c r="BA620" s="73">
        <v>155480.64000000001</v>
      </c>
      <c r="BB620" s="73">
        <v>155480.64000000001</v>
      </c>
      <c r="BC620" s="73">
        <v>177692.16</v>
      </c>
      <c r="BD620" s="73"/>
      <c r="BE620" s="66">
        <v>0</v>
      </c>
      <c r="BF620" s="66">
        <v>0.05</v>
      </c>
      <c r="BG620" s="63">
        <v>45292</v>
      </c>
      <c r="BH620" s="2"/>
      <c r="BI620" s="2"/>
      <c r="BJ620" s="2">
        <v>680000</v>
      </c>
      <c r="BK620" s="2">
        <v>100000</v>
      </c>
      <c r="BL620" s="1" t="s">
        <v>56</v>
      </c>
    </row>
    <row r="621" spans="1:64" x14ac:dyDescent="0.25">
      <c r="A621" s="81" t="s">
        <v>1440</v>
      </c>
      <c r="B621" s="82" t="s">
        <v>1444</v>
      </c>
      <c r="C621" s="81" t="s">
        <v>1445</v>
      </c>
      <c r="D621" s="16">
        <v>0</v>
      </c>
      <c r="E621" s="17"/>
      <c r="F621" s="2" t="s">
        <v>1442</v>
      </c>
      <c r="G621" s="2" t="s">
        <v>1443</v>
      </c>
      <c r="H621" s="10" t="s">
        <v>57</v>
      </c>
      <c r="I621" s="11" t="s">
        <v>53</v>
      </c>
      <c r="J621" s="11" t="s">
        <v>384</v>
      </c>
      <c r="K621" s="61"/>
      <c r="L621" s="11" t="s">
        <v>67</v>
      </c>
      <c r="M621" s="25"/>
      <c r="N621" s="82"/>
      <c r="O621" s="3" t="str">
        <f t="shared" si="226"/>
        <v>A</v>
      </c>
      <c r="P621" s="84">
        <v>77926</v>
      </c>
      <c r="Q621" s="84">
        <v>22344</v>
      </c>
      <c r="R621" s="32"/>
      <c r="S621" s="3" t="str">
        <f t="shared" si="227"/>
        <v>A</v>
      </c>
      <c r="T621" s="84">
        <v>68672</v>
      </c>
      <c r="U621" s="84">
        <v>17951</v>
      </c>
      <c r="V621" s="32"/>
      <c r="W621" s="3" t="str">
        <f t="shared" si="213"/>
        <v>A</v>
      </c>
      <c r="X621" s="84">
        <v>64160</v>
      </c>
      <c r="Y621" s="84">
        <v>14647</v>
      </c>
      <c r="Z621" s="32"/>
      <c r="AA621" s="3" t="str">
        <f t="shared" si="214"/>
        <v>A</v>
      </c>
      <c r="AB621" s="84">
        <v>64891</v>
      </c>
      <c r="AC621" s="84">
        <v>15108</v>
      </c>
      <c r="AD621" s="36"/>
      <c r="AE621" s="82"/>
      <c r="AF621" s="3" t="str">
        <f t="shared" si="215"/>
        <v>A</v>
      </c>
      <c r="AG621" s="84">
        <v>0</v>
      </c>
      <c r="AH621" s="84">
        <v>0</v>
      </c>
      <c r="AI621" s="39"/>
      <c r="AJ621" s="79" t="s">
        <v>1801</v>
      </c>
      <c r="AK621" s="39"/>
      <c r="AL621" s="4">
        <f t="shared" si="221"/>
        <v>275649</v>
      </c>
      <c r="AM621" s="4">
        <f t="shared" si="222"/>
        <v>70050</v>
      </c>
      <c r="AN621" s="4">
        <f t="shared" si="216"/>
        <v>345699</v>
      </c>
      <c r="AO621" s="39"/>
      <c r="AP621" s="8">
        <f t="shared" si="223"/>
        <v>0</v>
      </c>
      <c r="AQ621" s="8">
        <f t="shared" si="224"/>
        <v>0</v>
      </c>
      <c r="AR621" s="8">
        <f t="shared" si="217"/>
        <v>0</v>
      </c>
      <c r="AS621" s="42"/>
      <c r="AT621" s="84">
        <v>275649</v>
      </c>
      <c r="AU621" s="84">
        <v>70050</v>
      </c>
      <c r="AV621" s="4">
        <f t="shared" si="218"/>
        <v>345699</v>
      </c>
      <c r="AW621" s="50" t="str">
        <f t="shared" si="219"/>
        <v/>
      </c>
      <c r="AX621" s="1" t="s">
        <v>1781</v>
      </c>
      <c r="AY621" s="2" t="s">
        <v>1782</v>
      </c>
      <c r="AZ621" s="2">
        <v>67941.039999999994</v>
      </c>
      <c r="BA621" s="73">
        <v>59448.41</v>
      </c>
      <c r="BB621" s="73">
        <v>59448.41</v>
      </c>
      <c r="BC621" s="73">
        <v>67941.039999999994</v>
      </c>
      <c r="BD621" s="73"/>
      <c r="BE621" s="66">
        <v>0</v>
      </c>
      <c r="BF621" s="66">
        <v>0.05</v>
      </c>
      <c r="BG621" s="63">
        <v>45292</v>
      </c>
      <c r="BH621" s="2"/>
      <c r="BI621" s="2"/>
      <c r="BJ621" s="2">
        <v>260000</v>
      </c>
      <c r="BK621" s="2">
        <v>50000</v>
      </c>
      <c r="BL621" s="1" t="s">
        <v>56</v>
      </c>
    </row>
    <row r="622" spans="1:64" x14ac:dyDescent="0.25">
      <c r="A622" s="81" t="s">
        <v>1454</v>
      </c>
      <c r="B622" s="82" t="s">
        <v>1454</v>
      </c>
      <c r="C622" s="81" t="s">
        <v>1455</v>
      </c>
      <c r="D622" s="16">
        <v>0</v>
      </c>
      <c r="E622" s="17"/>
      <c r="F622" s="2" t="s">
        <v>235</v>
      </c>
      <c r="G622" s="2" t="s">
        <v>236</v>
      </c>
      <c r="H622" s="10" t="s">
        <v>98</v>
      </c>
      <c r="I622" s="11" t="s">
        <v>53</v>
      </c>
      <c r="J622" s="11" t="s">
        <v>238</v>
      </c>
      <c r="K622" s="61"/>
      <c r="L622" s="11" t="s">
        <v>67</v>
      </c>
      <c r="M622" s="25"/>
      <c r="N622" s="82"/>
      <c r="O622" s="3" t="str">
        <f t="shared" si="226"/>
        <v>A</v>
      </c>
      <c r="P622" s="84">
        <v>268822</v>
      </c>
      <c r="Q622" s="84">
        <v>13764</v>
      </c>
      <c r="R622" s="32"/>
      <c r="S622" s="3" t="str">
        <f t="shared" si="227"/>
        <v>A</v>
      </c>
      <c r="T622" s="84">
        <v>209807</v>
      </c>
      <c r="U622" s="84">
        <v>12145</v>
      </c>
      <c r="V622" s="32"/>
      <c r="W622" s="3" t="str">
        <f t="shared" si="213"/>
        <v>A</v>
      </c>
      <c r="X622" s="84">
        <v>205766</v>
      </c>
      <c r="Y622" s="84">
        <v>13108</v>
      </c>
      <c r="Z622" s="32"/>
      <c r="AA622" s="3" t="str">
        <f t="shared" si="214"/>
        <v>A</v>
      </c>
      <c r="AB622" s="84">
        <v>241318.75</v>
      </c>
      <c r="AC622" s="84">
        <v>14601</v>
      </c>
      <c r="AD622" s="36"/>
      <c r="AE622" s="82"/>
      <c r="AF622" s="3" t="str">
        <f t="shared" si="215"/>
        <v>A</v>
      </c>
      <c r="AG622" s="84">
        <v>0</v>
      </c>
      <c r="AH622" s="84">
        <v>0</v>
      </c>
      <c r="AI622" s="39"/>
      <c r="AJ622" s="79" t="s">
        <v>1801</v>
      </c>
      <c r="AK622" s="39"/>
      <c r="AL622" s="4">
        <f t="shared" si="221"/>
        <v>925713.75</v>
      </c>
      <c r="AM622" s="4">
        <f t="shared" si="222"/>
        <v>53618</v>
      </c>
      <c r="AN622" s="4">
        <f t="shared" si="216"/>
        <v>979331.75</v>
      </c>
      <c r="AO622" s="39"/>
      <c r="AP622" s="8">
        <f t="shared" si="223"/>
        <v>0</v>
      </c>
      <c r="AQ622" s="8">
        <f t="shared" si="224"/>
        <v>0</v>
      </c>
      <c r="AR622" s="8">
        <f t="shared" si="217"/>
        <v>0</v>
      </c>
      <c r="AS622" s="42"/>
      <c r="AT622" s="84">
        <v>925713.75</v>
      </c>
      <c r="AU622" s="84">
        <v>53618</v>
      </c>
      <c r="AV622" s="4">
        <f t="shared" si="218"/>
        <v>979331.75</v>
      </c>
      <c r="AW622" s="50" t="str">
        <f t="shared" si="219"/>
        <v/>
      </c>
      <c r="AX622" s="1" t="s">
        <v>1662</v>
      </c>
      <c r="AY622" s="2" t="s">
        <v>1663</v>
      </c>
      <c r="AZ622" s="2">
        <v>169280.8</v>
      </c>
      <c r="BA622" s="73">
        <v>148120.70000000001</v>
      </c>
      <c r="BB622" s="73">
        <v>148120.70000000001</v>
      </c>
      <c r="BC622" s="73">
        <v>169280.8</v>
      </c>
      <c r="BD622" s="73"/>
      <c r="BE622" s="66">
        <v>0</v>
      </c>
      <c r="BF622" s="66">
        <v>0.05</v>
      </c>
      <c r="BG622" s="63">
        <v>45382</v>
      </c>
      <c r="BH622" s="2"/>
      <c r="BI622" s="2"/>
      <c r="BJ622" s="2">
        <v>607365</v>
      </c>
      <c r="BK622" s="2">
        <v>31886.66</v>
      </c>
      <c r="BL622" s="1" t="s">
        <v>237</v>
      </c>
    </row>
    <row r="623" spans="1:64" x14ac:dyDescent="0.25">
      <c r="A623" s="81" t="s">
        <v>1456</v>
      </c>
      <c r="B623" s="82" t="s">
        <v>1456</v>
      </c>
      <c r="C623" s="81" t="s">
        <v>1457</v>
      </c>
      <c r="D623" s="16">
        <v>0</v>
      </c>
      <c r="E623" s="17"/>
      <c r="F623" s="2" t="s">
        <v>154</v>
      </c>
      <c r="G623" s="2" t="s">
        <v>155</v>
      </c>
      <c r="H623" s="10" t="s">
        <v>57</v>
      </c>
      <c r="I623" s="11" t="s">
        <v>53</v>
      </c>
      <c r="J623" s="11" t="s">
        <v>156</v>
      </c>
      <c r="K623" s="61"/>
      <c r="L623" s="11" t="s">
        <v>67</v>
      </c>
      <c r="M623" s="25"/>
      <c r="N623" s="82"/>
      <c r="O623" s="3" t="str">
        <f t="shared" si="226"/>
        <v>A</v>
      </c>
      <c r="P623" s="84">
        <v>161202</v>
      </c>
      <c r="Q623" s="84">
        <v>18623</v>
      </c>
      <c r="R623" s="32"/>
      <c r="S623" s="3" t="str">
        <f t="shared" si="227"/>
        <v>A</v>
      </c>
      <c r="T623" s="84">
        <v>133817</v>
      </c>
      <c r="U623" s="84">
        <v>15044</v>
      </c>
      <c r="V623" s="32"/>
      <c r="W623" s="3" t="str">
        <f t="shared" si="213"/>
        <v>A</v>
      </c>
      <c r="X623" s="84">
        <v>126987</v>
      </c>
      <c r="Y623" s="84">
        <v>16681</v>
      </c>
      <c r="Z623" s="32"/>
      <c r="AA623" s="3" t="str">
        <f t="shared" si="214"/>
        <v>A</v>
      </c>
      <c r="AB623" s="84">
        <v>136824</v>
      </c>
      <c r="AC623" s="84">
        <v>16369</v>
      </c>
      <c r="AD623" s="36"/>
      <c r="AE623" s="82"/>
      <c r="AF623" s="3" t="str">
        <f t="shared" si="215"/>
        <v>A</v>
      </c>
      <c r="AG623" s="84">
        <v>0</v>
      </c>
      <c r="AH623" s="84">
        <v>0</v>
      </c>
      <c r="AI623" s="39"/>
      <c r="AJ623" s="79" t="s">
        <v>1801</v>
      </c>
      <c r="AK623" s="39"/>
      <c r="AL623" s="4">
        <f t="shared" si="221"/>
        <v>558830</v>
      </c>
      <c r="AM623" s="4">
        <f t="shared" si="222"/>
        <v>66717</v>
      </c>
      <c r="AN623" s="4">
        <f t="shared" si="216"/>
        <v>625547</v>
      </c>
      <c r="AO623" s="39"/>
      <c r="AP623" s="8">
        <f t="shared" si="223"/>
        <v>0</v>
      </c>
      <c r="AQ623" s="8">
        <f t="shared" si="224"/>
        <v>0</v>
      </c>
      <c r="AR623" s="8">
        <f t="shared" si="217"/>
        <v>0</v>
      </c>
      <c r="AS623" s="42"/>
      <c r="AT623" s="84">
        <v>558830</v>
      </c>
      <c r="AU623" s="84">
        <v>66717</v>
      </c>
      <c r="AV623" s="4">
        <f t="shared" si="218"/>
        <v>625547</v>
      </c>
      <c r="AW623" s="50" t="str">
        <f t="shared" si="219"/>
        <v/>
      </c>
      <c r="AX623" s="1" t="s">
        <v>1652</v>
      </c>
      <c r="AY623" s="2" t="s">
        <v>1653</v>
      </c>
      <c r="AZ623" s="2">
        <v>123048.32000000001</v>
      </c>
      <c r="BA623" s="73">
        <v>107667.28</v>
      </c>
      <c r="BB623" s="73">
        <v>107667.28</v>
      </c>
      <c r="BC623" s="73">
        <v>123048.32000000001</v>
      </c>
      <c r="BD623" s="73"/>
      <c r="BE623" s="66">
        <v>0</v>
      </c>
      <c r="BF623" s="66">
        <v>0.05</v>
      </c>
      <c r="BG623" s="63">
        <v>45464</v>
      </c>
      <c r="BH623" s="2"/>
      <c r="BI623" s="2"/>
      <c r="BJ623" s="2">
        <v>457212.66</v>
      </c>
      <c r="BK623" s="2">
        <v>50801.41</v>
      </c>
      <c r="BL623" s="1" t="s">
        <v>56</v>
      </c>
    </row>
    <row r="624" spans="1:64" x14ac:dyDescent="0.25">
      <c r="A624" s="81" t="s">
        <v>1460</v>
      </c>
      <c r="B624" s="82" t="s">
        <v>1460</v>
      </c>
      <c r="C624" s="81" t="s">
        <v>1461</v>
      </c>
      <c r="D624" s="16">
        <v>45398</v>
      </c>
      <c r="E624" s="17"/>
      <c r="F624" s="2" t="s">
        <v>1077</v>
      </c>
      <c r="G624" s="2" t="s">
        <v>1078</v>
      </c>
      <c r="H624" s="10" t="s">
        <v>105</v>
      </c>
      <c r="I624" s="11" t="s">
        <v>53</v>
      </c>
      <c r="J624" s="11" t="s">
        <v>106</v>
      </c>
      <c r="K624" s="61"/>
      <c r="L624" s="11" t="s">
        <v>67</v>
      </c>
      <c r="M624" s="25"/>
      <c r="N624" s="82"/>
      <c r="O624" s="3" t="str">
        <f t="shared" si="226"/>
        <v>A</v>
      </c>
      <c r="P624" s="84">
        <v>95747</v>
      </c>
      <c r="Q624" s="84">
        <v>8212</v>
      </c>
      <c r="R624" s="32"/>
      <c r="S624" s="3" t="str">
        <f t="shared" si="227"/>
        <v>A</v>
      </c>
      <c r="T624" s="84">
        <v>83470</v>
      </c>
      <c r="U624" s="84">
        <v>8615</v>
      </c>
      <c r="V624" s="32"/>
      <c r="W624" s="3" t="str">
        <f t="shared" si="213"/>
        <v>A</v>
      </c>
      <c r="X624" s="84">
        <v>82881</v>
      </c>
      <c r="Y624" s="84">
        <v>4265</v>
      </c>
      <c r="Z624" s="32"/>
      <c r="AA624" s="3" t="str">
        <f t="shared" si="214"/>
        <v>A</v>
      </c>
      <c r="AB624" s="84">
        <v>91442</v>
      </c>
      <c r="AC624" s="84">
        <v>7825</v>
      </c>
      <c r="AD624" s="36"/>
      <c r="AE624" s="82"/>
      <c r="AF624" s="3" t="str">
        <f t="shared" si="215"/>
        <v>A</v>
      </c>
      <c r="AG624" s="84">
        <v>0</v>
      </c>
      <c r="AH624" s="84">
        <v>0</v>
      </c>
      <c r="AI624" s="39"/>
      <c r="AJ624" s="79" t="s">
        <v>1801</v>
      </c>
      <c r="AK624" s="39"/>
      <c r="AL624" s="4">
        <f t="shared" si="221"/>
        <v>353540</v>
      </c>
      <c r="AM624" s="4">
        <f t="shared" si="222"/>
        <v>28917</v>
      </c>
      <c r="AN624" s="4">
        <f t="shared" si="216"/>
        <v>382457</v>
      </c>
      <c r="AO624" s="39"/>
      <c r="AP624" s="8">
        <f t="shared" si="223"/>
        <v>0</v>
      </c>
      <c r="AQ624" s="8">
        <f t="shared" si="224"/>
        <v>0</v>
      </c>
      <c r="AR624" s="8">
        <f t="shared" si="217"/>
        <v>0</v>
      </c>
      <c r="AS624" s="42"/>
      <c r="AT624" s="84">
        <v>353540</v>
      </c>
      <c r="AU624" s="84">
        <v>28917</v>
      </c>
      <c r="AV624" s="4">
        <f t="shared" si="218"/>
        <v>382457</v>
      </c>
      <c r="AW624" s="50" t="str">
        <f t="shared" si="219"/>
        <v/>
      </c>
      <c r="AX624" s="1" t="s">
        <v>1754</v>
      </c>
      <c r="AY624" s="2" t="s">
        <v>1755</v>
      </c>
      <c r="AZ624" s="2">
        <v>156231.84</v>
      </c>
      <c r="BA624" s="73">
        <v>136702.85999999999</v>
      </c>
      <c r="BB624" s="73">
        <v>136702.85999999999</v>
      </c>
      <c r="BC624" s="73">
        <v>156231.84</v>
      </c>
      <c r="BD624" s="73"/>
      <c r="BE624" s="66">
        <v>0</v>
      </c>
      <c r="BF624" s="66">
        <v>0.05</v>
      </c>
      <c r="BG624" s="63">
        <v>45397</v>
      </c>
      <c r="BH624" s="2"/>
      <c r="BI624" s="2"/>
      <c r="BJ624" s="2">
        <v>568980</v>
      </c>
      <c r="BK624" s="2">
        <v>29871.45</v>
      </c>
      <c r="BL624" s="1" t="s">
        <v>104</v>
      </c>
    </row>
    <row r="625" spans="1:64" x14ac:dyDescent="0.25">
      <c r="A625" s="81" t="s">
        <v>1464</v>
      </c>
      <c r="B625" s="82" t="s">
        <v>1464</v>
      </c>
      <c r="C625" s="81" t="s">
        <v>1465</v>
      </c>
      <c r="D625" s="16">
        <v>0</v>
      </c>
      <c r="E625" s="17"/>
      <c r="F625" s="2" t="s">
        <v>1466</v>
      </c>
      <c r="G625" s="2" t="s">
        <v>1467</v>
      </c>
      <c r="H625" s="10" t="s">
        <v>98</v>
      </c>
      <c r="I625" s="11" t="s">
        <v>53</v>
      </c>
      <c r="J625" s="11" t="s">
        <v>224</v>
      </c>
      <c r="K625" s="61"/>
      <c r="L625" s="11" t="s">
        <v>67</v>
      </c>
      <c r="M625" s="25"/>
      <c r="N625" s="82"/>
      <c r="O625" s="3" t="str">
        <f t="shared" si="226"/>
        <v>A</v>
      </c>
      <c r="P625" s="84">
        <v>42162</v>
      </c>
      <c r="Q625" s="84">
        <v>3578</v>
      </c>
      <c r="R625" s="32"/>
      <c r="S625" s="3" t="str">
        <f t="shared" si="227"/>
        <v>A</v>
      </c>
      <c r="T625" s="84">
        <v>47944</v>
      </c>
      <c r="U625" s="84">
        <v>2614</v>
      </c>
      <c r="V625" s="32"/>
      <c r="W625" s="3" t="str">
        <f t="shared" si="213"/>
        <v>A</v>
      </c>
      <c r="X625" s="84">
        <v>87303</v>
      </c>
      <c r="Y625" s="84">
        <v>2490</v>
      </c>
      <c r="Z625" s="32"/>
      <c r="AA625" s="3" t="str">
        <f t="shared" si="214"/>
        <v>A</v>
      </c>
      <c r="AB625" s="84">
        <v>122242</v>
      </c>
      <c r="AC625" s="84">
        <v>2418</v>
      </c>
      <c r="AD625" s="36"/>
      <c r="AE625" s="82"/>
      <c r="AF625" s="3" t="str">
        <f t="shared" si="215"/>
        <v>A</v>
      </c>
      <c r="AG625" s="84">
        <v>0</v>
      </c>
      <c r="AH625" s="84">
        <v>0</v>
      </c>
      <c r="AI625" s="39"/>
      <c r="AJ625" s="79" t="s">
        <v>1801</v>
      </c>
      <c r="AK625" s="39"/>
      <c r="AL625" s="4">
        <f t="shared" si="221"/>
        <v>299651</v>
      </c>
      <c r="AM625" s="4">
        <f t="shared" si="222"/>
        <v>11100</v>
      </c>
      <c r="AN625" s="4">
        <f t="shared" si="216"/>
        <v>310751</v>
      </c>
      <c r="AO625" s="39"/>
      <c r="AP625" s="8">
        <f t="shared" si="223"/>
        <v>0</v>
      </c>
      <c r="AQ625" s="8">
        <f t="shared" si="224"/>
        <v>0</v>
      </c>
      <c r="AR625" s="8">
        <f t="shared" si="217"/>
        <v>0</v>
      </c>
      <c r="AS625" s="42"/>
      <c r="AT625" s="84">
        <v>299651</v>
      </c>
      <c r="AU625" s="84">
        <v>11100</v>
      </c>
      <c r="AV625" s="4">
        <f t="shared" si="218"/>
        <v>310751</v>
      </c>
      <c r="AW625" s="50" t="str">
        <f t="shared" si="219"/>
        <v/>
      </c>
      <c r="AX625" s="1" t="s">
        <v>1783</v>
      </c>
      <c r="AY625" s="2" t="s">
        <v>1784</v>
      </c>
      <c r="AZ625" s="2">
        <v>118236.96</v>
      </c>
      <c r="BA625" s="73">
        <v>103457.34</v>
      </c>
      <c r="BB625" s="73">
        <v>103457.34</v>
      </c>
      <c r="BC625" s="73">
        <v>118236.96</v>
      </c>
      <c r="BD625" s="73"/>
      <c r="BE625" s="66">
        <v>0</v>
      </c>
      <c r="BF625" s="66">
        <v>0.05</v>
      </c>
      <c r="BG625" s="63">
        <v>45367</v>
      </c>
      <c r="BH625" s="2"/>
      <c r="BI625" s="2"/>
      <c r="BJ625" s="2">
        <v>424224</v>
      </c>
      <c r="BK625" s="2">
        <v>53028</v>
      </c>
      <c r="BL625" s="1" t="s">
        <v>97</v>
      </c>
    </row>
    <row r="626" spans="1:64" x14ac:dyDescent="0.25">
      <c r="A626" s="81" t="s">
        <v>1464</v>
      </c>
      <c r="B626" s="82" t="s">
        <v>1468</v>
      </c>
      <c r="C626" s="81" t="s">
        <v>1469</v>
      </c>
      <c r="D626" s="16">
        <v>0</v>
      </c>
      <c r="E626" s="17"/>
      <c r="F626" s="2" t="s">
        <v>1466</v>
      </c>
      <c r="G626" s="2" t="s">
        <v>1467</v>
      </c>
      <c r="H626" s="10" t="s">
        <v>98</v>
      </c>
      <c r="I626" s="11" t="s">
        <v>53</v>
      </c>
      <c r="J626" s="11" t="s">
        <v>224</v>
      </c>
      <c r="K626" s="61"/>
      <c r="L626" s="11" t="s">
        <v>67</v>
      </c>
      <c r="M626" s="25"/>
      <c r="N626" s="82"/>
      <c r="O626" s="3" t="str">
        <f t="shared" si="226"/>
        <v>A</v>
      </c>
      <c r="P626" s="84">
        <v>100430</v>
      </c>
      <c r="Q626" s="84">
        <v>4088</v>
      </c>
      <c r="R626" s="32"/>
      <c r="S626" s="3" t="str">
        <f t="shared" si="227"/>
        <v>A</v>
      </c>
      <c r="T626" s="84">
        <v>89853</v>
      </c>
      <c r="U626" s="84">
        <v>4558</v>
      </c>
      <c r="V626" s="32"/>
      <c r="W626" s="3" t="str">
        <f t="shared" si="213"/>
        <v>A</v>
      </c>
      <c r="X626" s="84">
        <v>85792</v>
      </c>
      <c r="Y626" s="84">
        <v>3489</v>
      </c>
      <c r="Z626" s="32"/>
      <c r="AA626" s="3" t="str">
        <f t="shared" si="214"/>
        <v>A</v>
      </c>
      <c r="AB626" s="84">
        <v>96803</v>
      </c>
      <c r="AC626" s="84">
        <v>3272</v>
      </c>
      <c r="AD626" s="36"/>
      <c r="AE626" s="82"/>
      <c r="AF626" s="3" t="str">
        <f t="shared" si="215"/>
        <v>A</v>
      </c>
      <c r="AG626" s="84">
        <v>0</v>
      </c>
      <c r="AH626" s="84">
        <v>0</v>
      </c>
      <c r="AI626" s="39"/>
      <c r="AJ626" s="79" t="s">
        <v>1801</v>
      </c>
      <c r="AK626" s="39"/>
      <c r="AL626" s="4">
        <f t="shared" si="221"/>
        <v>372878</v>
      </c>
      <c r="AM626" s="4">
        <f t="shared" si="222"/>
        <v>15407</v>
      </c>
      <c r="AN626" s="4">
        <f t="shared" si="216"/>
        <v>388285</v>
      </c>
      <c r="AO626" s="39"/>
      <c r="AP626" s="8">
        <f t="shared" si="223"/>
        <v>0</v>
      </c>
      <c r="AQ626" s="8">
        <f t="shared" si="224"/>
        <v>0</v>
      </c>
      <c r="AR626" s="8">
        <f t="shared" si="217"/>
        <v>0</v>
      </c>
      <c r="AS626" s="42"/>
      <c r="AT626" s="84">
        <v>372878</v>
      </c>
      <c r="AU626" s="84">
        <v>15407</v>
      </c>
      <c r="AV626" s="4">
        <f t="shared" si="218"/>
        <v>388285</v>
      </c>
      <c r="AW626" s="50" t="str">
        <f t="shared" si="219"/>
        <v/>
      </c>
      <c r="AX626" s="1" t="s">
        <v>1783</v>
      </c>
      <c r="AY626" s="2" t="s">
        <v>1784</v>
      </c>
      <c r="AZ626" s="2">
        <v>48984.480000000003</v>
      </c>
      <c r="BA626" s="73">
        <v>42861.42</v>
      </c>
      <c r="BB626" s="73">
        <v>42861.42</v>
      </c>
      <c r="BC626" s="73">
        <v>48984.480000000003</v>
      </c>
      <c r="BD626" s="73"/>
      <c r="BE626" s="66">
        <v>0</v>
      </c>
      <c r="BF626" s="66">
        <v>0.05</v>
      </c>
      <c r="BG626" s="63">
        <v>45367</v>
      </c>
      <c r="BH626" s="2"/>
      <c r="BI626" s="2"/>
      <c r="BJ626" s="2">
        <v>175752</v>
      </c>
      <c r="BK626" s="2"/>
      <c r="BL626" s="1" t="s">
        <v>97</v>
      </c>
    </row>
    <row r="627" spans="1:64" x14ac:dyDescent="0.25">
      <c r="A627" s="81" t="s">
        <v>1464</v>
      </c>
      <c r="B627" s="82" t="s">
        <v>1470</v>
      </c>
      <c r="C627" s="81" t="s">
        <v>1471</v>
      </c>
      <c r="D627" s="16">
        <v>0</v>
      </c>
      <c r="E627" s="17"/>
      <c r="F627" s="2" t="s">
        <v>1466</v>
      </c>
      <c r="G627" s="2" t="s">
        <v>1467</v>
      </c>
      <c r="H627" s="10" t="s">
        <v>98</v>
      </c>
      <c r="I627" s="11" t="s">
        <v>53</v>
      </c>
      <c r="J627" s="11" t="s">
        <v>224</v>
      </c>
      <c r="K627" s="61"/>
      <c r="L627" s="11" t="s">
        <v>67</v>
      </c>
      <c r="M627" s="25"/>
      <c r="N627" s="82"/>
      <c r="O627" s="3" t="str">
        <f t="shared" si="226"/>
        <v>A</v>
      </c>
      <c r="P627" s="84">
        <v>86312</v>
      </c>
      <c r="Q627" s="84">
        <v>2714</v>
      </c>
      <c r="R627" s="32"/>
      <c r="S627" s="3" t="str">
        <f t="shared" si="227"/>
        <v>A</v>
      </c>
      <c r="T627" s="84">
        <v>77111</v>
      </c>
      <c r="U627" s="84">
        <v>2937</v>
      </c>
      <c r="V627" s="32"/>
      <c r="W627" s="3" t="str">
        <f t="shared" si="213"/>
        <v>A</v>
      </c>
      <c r="X627" s="84">
        <v>69479</v>
      </c>
      <c r="Y627" s="84">
        <v>2634</v>
      </c>
      <c r="Z627" s="32"/>
      <c r="AA627" s="3" t="str">
        <f t="shared" si="214"/>
        <v>A</v>
      </c>
      <c r="AB627" s="84">
        <v>84838</v>
      </c>
      <c r="AC627" s="84">
        <v>3400</v>
      </c>
      <c r="AD627" s="36"/>
      <c r="AE627" s="82"/>
      <c r="AF627" s="3" t="str">
        <f t="shared" si="215"/>
        <v>A</v>
      </c>
      <c r="AG627" s="84">
        <v>0</v>
      </c>
      <c r="AH627" s="84">
        <v>0</v>
      </c>
      <c r="AI627" s="39"/>
      <c r="AJ627" s="79" t="s">
        <v>1801</v>
      </c>
      <c r="AK627" s="39"/>
      <c r="AL627" s="4">
        <f t="shared" si="221"/>
        <v>317740</v>
      </c>
      <c r="AM627" s="4">
        <f t="shared" si="222"/>
        <v>11685</v>
      </c>
      <c r="AN627" s="4">
        <f t="shared" si="216"/>
        <v>329425</v>
      </c>
      <c r="AO627" s="39"/>
      <c r="AP627" s="8">
        <f t="shared" si="223"/>
        <v>0</v>
      </c>
      <c r="AQ627" s="8">
        <f t="shared" si="224"/>
        <v>0</v>
      </c>
      <c r="AR627" s="8">
        <f t="shared" si="217"/>
        <v>0</v>
      </c>
      <c r="AS627" s="42"/>
      <c r="AT627" s="84">
        <v>317740</v>
      </c>
      <c r="AU627" s="84">
        <v>11685</v>
      </c>
      <c r="AV627" s="4">
        <f t="shared" si="218"/>
        <v>329425</v>
      </c>
      <c r="AW627" s="50" t="str">
        <f t="shared" si="219"/>
        <v/>
      </c>
      <c r="AX627" s="1" t="s">
        <v>1783</v>
      </c>
      <c r="AY627" s="2" t="s">
        <v>1784</v>
      </c>
      <c r="AZ627" s="2">
        <v>58529.760000000002</v>
      </c>
      <c r="BA627" s="73">
        <v>51213.54</v>
      </c>
      <c r="BB627" s="73">
        <v>51213.54</v>
      </c>
      <c r="BC627" s="73">
        <v>58529.760000000002</v>
      </c>
      <c r="BD627" s="73"/>
      <c r="BE627" s="66">
        <v>0</v>
      </c>
      <c r="BF627" s="66">
        <v>0.05</v>
      </c>
      <c r="BG627" s="63">
        <v>45367</v>
      </c>
      <c r="BH627" s="2"/>
      <c r="BI627" s="2"/>
      <c r="BJ627" s="2">
        <v>210000</v>
      </c>
      <c r="BK627" s="2"/>
      <c r="BL627" s="1" t="s">
        <v>97</v>
      </c>
    </row>
    <row r="628" spans="1:64" x14ac:dyDescent="0.25">
      <c r="A628" s="81" t="s">
        <v>1464</v>
      </c>
      <c r="B628" s="82" t="s">
        <v>1493</v>
      </c>
      <c r="C628" s="81" t="s">
        <v>1494</v>
      </c>
      <c r="D628" s="16">
        <v>0</v>
      </c>
      <c r="E628" s="17"/>
      <c r="F628" s="2" t="s">
        <v>1466</v>
      </c>
      <c r="G628" s="2" t="s">
        <v>1467</v>
      </c>
      <c r="H628" s="10" t="s">
        <v>98</v>
      </c>
      <c r="I628" s="11" t="s">
        <v>53</v>
      </c>
      <c r="J628" s="11" t="s">
        <v>224</v>
      </c>
      <c r="K628" s="61"/>
      <c r="L628" s="11" t="s">
        <v>67</v>
      </c>
      <c r="M628" s="25"/>
      <c r="N628" s="82"/>
      <c r="O628" s="3" t="str">
        <f t="shared" si="226"/>
        <v>A</v>
      </c>
      <c r="P628" s="84">
        <v>64037</v>
      </c>
      <c r="Q628" s="84">
        <v>270</v>
      </c>
      <c r="R628" s="32"/>
      <c r="S628" s="3" t="str">
        <f t="shared" si="227"/>
        <v>A</v>
      </c>
      <c r="T628" s="84">
        <v>56896</v>
      </c>
      <c r="U628" s="84">
        <v>615</v>
      </c>
      <c r="V628" s="32"/>
      <c r="W628" s="3" t="str">
        <f t="shared" si="213"/>
        <v>A</v>
      </c>
      <c r="X628" s="84">
        <v>56881</v>
      </c>
      <c r="Y628" s="84">
        <v>525</v>
      </c>
      <c r="Z628" s="32"/>
      <c r="AA628" s="3" t="str">
        <f t="shared" si="214"/>
        <v>A</v>
      </c>
      <c r="AB628" s="84">
        <v>70422</v>
      </c>
      <c r="AC628" s="84">
        <v>390</v>
      </c>
      <c r="AD628" s="36"/>
      <c r="AE628" s="82"/>
      <c r="AF628" s="3" t="str">
        <f t="shared" si="215"/>
        <v>A</v>
      </c>
      <c r="AG628" s="84">
        <v>0</v>
      </c>
      <c r="AH628" s="84">
        <v>0</v>
      </c>
      <c r="AI628" s="39"/>
      <c r="AJ628" s="79" t="s">
        <v>1801</v>
      </c>
      <c r="AK628" s="39"/>
      <c r="AL628" s="4">
        <f t="shared" si="221"/>
        <v>248236</v>
      </c>
      <c r="AM628" s="4">
        <f t="shared" si="222"/>
        <v>1800</v>
      </c>
      <c r="AN628" s="4">
        <f t="shared" si="216"/>
        <v>250036</v>
      </c>
      <c r="AO628" s="39"/>
      <c r="AP628" s="8">
        <f t="shared" si="223"/>
        <v>0</v>
      </c>
      <c r="AQ628" s="8">
        <f t="shared" si="224"/>
        <v>0</v>
      </c>
      <c r="AR628" s="8">
        <f t="shared" si="217"/>
        <v>0</v>
      </c>
      <c r="AS628" s="42"/>
      <c r="AT628" s="84">
        <v>248236</v>
      </c>
      <c r="AU628" s="84">
        <v>1800</v>
      </c>
      <c r="AV628" s="4">
        <f t="shared" si="218"/>
        <v>250036</v>
      </c>
      <c r="AW628" s="50" t="str">
        <f t="shared" si="219"/>
        <v/>
      </c>
      <c r="AX628" s="1" t="s">
        <v>1783</v>
      </c>
      <c r="AY628" s="2" t="s">
        <v>1784</v>
      </c>
      <c r="AZ628" s="2">
        <v>74216.240000000005</v>
      </c>
      <c r="BA628" s="73">
        <v>64939.21</v>
      </c>
      <c r="BB628" s="73">
        <v>64939.21</v>
      </c>
      <c r="BC628" s="73">
        <v>74216.240000000005</v>
      </c>
      <c r="BD628" s="73"/>
      <c r="BE628" s="66">
        <v>0</v>
      </c>
      <c r="BF628" s="66">
        <v>0.05</v>
      </c>
      <c r="BG628" s="63">
        <v>45481</v>
      </c>
      <c r="BH628" s="2"/>
      <c r="BI628" s="2"/>
      <c r="BJ628" s="2">
        <v>270000</v>
      </c>
      <c r="BK628" s="2">
        <v>14175</v>
      </c>
      <c r="BL628" s="1" t="s">
        <v>97</v>
      </c>
    </row>
    <row r="629" spans="1:64" x14ac:dyDescent="0.25">
      <c r="A629" s="81" t="s">
        <v>1472</v>
      </c>
      <c r="B629" s="82" t="s">
        <v>1472</v>
      </c>
      <c r="C629" s="81" t="s">
        <v>1473</v>
      </c>
      <c r="D629" s="16">
        <v>0</v>
      </c>
      <c r="E629" s="17"/>
      <c r="F629" s="2" t="s">
        <v>243</v>
      </c>
      <c r="G629" s="2" t="s">
        <v>245</v>
      </c>
      <c r="H629" s="10" t="s">
        <v>98</v>
      </c>
      <c r="I629" s="11" t="s">
        <v>244</v>
      </c>
      <c r="J629" s="11" t="s">
        <v>286</v>
      </c>
      <c r="K629" s="61" t="s">
        <v>1474</v>
      </c>
      <c r="L629" s="11" t="s">
        <v>67</v>
      </c>
      <c r="M629" s="25"/>
      <c r="N629" s="82"/>
      <c r="O629" s="3" t="str">
        <f t="shared" si="226"/>
        <v>A</v>
      </c>
      <c r="P629" s="84">
        <v>175016</v>
      </c>
      <c r="Q629" s="84">
        <v>12067</v>
      </c>
      <c r="R629" s="32"/>
      <c r="S629" s="3" t="str">
        <f t="shared" si="227"/>
        <v>A</v>
      </c>
      <c r="T629" s="84">
        <v>163344</v>
      </c>
      <c r="U629" s="84">
        <v>7807</v>
      </c>
      <c r="V629" s="32"/>
      <c r="W629" s="3" t="str">
        <f t="shared" si="213"/>
        <v>A</v>
      </c>
      <c r="X629" s="84">
        <v>180224</v>
      </c>
      <c r="Y629" s="84">
        <v>6700</v>
      </c>
      <c r="Z629" s="32"/>
      <c r="AA629" s="3" t="str">
        <f t="shared" si="214"/>
        <v>A</v>
      </c>
      <c r="AB629" s="84">
        <v>233759</v>
      </c>
      <c r="AC629" s="84">
        <v>11435</v>
      </c>
      <c r="AD629" s="36"/>
      <c r="AE629" s="82"/>
      <c r="AF629" s="3" t="str">
        <f t="shared" si="215"/>
        <v>A</v>
      </c>
      <c r="AG629" s="84">
        <v>0</v>
      </c>
      <c r="AH629" s="84">
        <v>0</v>
      </c>
      <c r="AI629" s="39"/>
      <c r="AJ629" s="79" t="s">
        <v>1801</v>
      </c>
      <c r="AK629" s="39"/>
      <c r="AL629" s="4">
        <f t="shared" si="221"/>
        <v>752343</v>
      </c>
      <c r="AM629" s="4">
        <f t="shared" si="222"/>
        <v>38009</v>
      </c>
      <c r="AN629" s="4">
        <f t="shared" si="216"/>
        <v>790352</v>
      </c>
      <c r="AO629" s="39"/>
      <c r="AP629" s="8">
        <f t="shared" si="223"/>
        <v>0</v>
      </c>
      <c r="AQ629" s="8">
        <f t="shared" si="224"/>
        <v>0</v>
      </c>
      <c r="AR629" s="8">
        <f t="shared" si="217"/>
        <v>0</v>
      </c>
      <c r="AS629" s="42"/>
      <c r="AT629" s="84">
        <v>752343</v>
      </c>
      <c r="AU629" s="84">
        <v>38009</v>
      </c>
      <c r="AV629" s="4">
        <f t="shared" si="218"/>
        <v>790352</v>
      </c>
      <c r="AW629" s="50" t="str">
        <f t="shared" si="219"/>
        <v/>
      </c>
      <c r="AX629" s="1" t="s">
        <v>1639</v>
      </c>
      <c r="AY629" s="2" t="s">
        <v>1640</v>
      </c>
      <c r="AZ629" s="2">
        <v>0</v>
      </c>
      <c r="BA629" s="73">
        <v>0</v>
      </c>
      <c r="BB629" s="73">
        <v>0</v>
      </c>
      <c r="BC629" s="73">
        <v>0</v>
      </c>
      <c r="BD629" s="73"/>
      <c r="BE629" s="66">
        <v>0</v>
      </c>
      <c r="BF629" s="66">
        <v>0.02</v>
      </c>
      <c r="BG629" s="63">
        <v>45349</v>
      </c>
      <c r="BH629" s="2"/>
      <c r="BI629" s="2"/>
      <c r="BJ629" s="2"/>
      <c r="BK629" s="2"/>
      <c r="BL629" s="1" t="s">
        <v>237</v>
      </c>
    </row>
    <row r="630" spans="1:64" x14ac:dyDescent="0.25">
      <c r="A630" s="81" t="s">
        <v>1477</v>
      </c>
      <c r="B630" s="82" t="s">
        <v>1477</v>
      </c>
      <c r="C630" s="81" t="s">
        <v>1478</v>
      </c>
      <c r="D630" s="16">
        <v>45442</v>
      </c>
      <c r="E630" s="17"/>
      <c r="F630" s="2" t="s">
        <v>171</v>
      </c>
      <c r="G630" s="2" t="s">
        <v>172</v>
      </c>
      <c r="H630" s="10" t="s">
        <v>105</v>
      </c>
      <c r="I630" s="11" t="s">
        <v>53</v>
      </c>
      <c r="J630" s="11" t="s">
        <v>312</v>
      </c>
      <c r="K630" s="61"/>
      <c r="L630" s="11" t="s">
        <v>67</v>
      </c>
      <c r="M630" s="25"/>
      <c r="N630" s="82"/>
      <c r="O630" s="3" t="str">
        <f t="shared" si="226"/>
        <v>A</v>
      </c>
      <c r="P630" s="84">
        <v>332000</v>
      </c>
      <c r="Q630" s="84">
        <v>29438</v>
      </c>
      <c r="R630" s="32"/>
      <c r="S630" s="3" t="str">
        <f t="shared" si="227"/>
        <v>A</v>
      </c>
      <c r="T630" s="84">
        <v>258061</v>
      </c>
      <c r="U630" s="84">
        <v>24074</v>
      </c>
      <c r="V630" s="32"/>
      <c r="W630" s="3" t="str">
        <f t="shared" si="213"/>
        <v>A</v>
      </c>
      <c r="X630" s="84">
        <v>263986</v>
      </c>
      <c r="Y630" s="84">
        <v>25269</v>
      </c>
      <c r="Z630" s="32"/>
      <c r="AA630" s="3" t="str">
        <f t="shared" si="214"/>
        <v>A</v>
      </c>
      <c r="AB630" s="84">
        <v>284043</v>
      </c>
      <c r="AC630" s="84">
        <v>23717</v>
      </c>
      <c r="AD630" s="36"/>
      <c r="AE630" s="82"/>
      <c r="AF630" s="3" t="str">
        <f t="shared" si="215"/>
        <v>A</v>
      </c>
      <c r="AG630" s="84">
        <v>0</v>
      </c>
      <c r="AH630" s="84">
        <v>0</v>
      </c>
      <c r="AI630" s="39"/>
      <c r="AJ630" s="79" t="s">
        <v>1801</v>
      </c>
      <c r="AK630" s="39"/>
      <c r="AL630" s="4">
        <f t="shared" si="221"/>
        <v>1138090</v>
      </c>
      <c r="AM630" s="4">
        <f t="shared" si="222"/>
        <v>102498</v>
      </c>
      <c r="AN630" s="4">
        <f t="shared" si="216"/>
        <v>1240588</v>
      </c>
      <c r="AO630" s="39"/>
      <c r="AP630" s="8">
        <f t="shared" si="223"/>
        <v>0</v>
      </c>
      <c r="AQ630" s="8">
        <f t="shared" si="224"/>
        <v>0</v>
      </c>
      <c r="AR630" s="8">
        <f t="shared" si="217"/>
        <v>0</v>
      </c>
      <c r="AS630" s="42"/>
      <c r="AT630" s="84">
        <v>1138090</v>
      </c>
      <c r="AU630" s="84">
        <v>102498</v>
      </c>
      <c r="AV630" s="4">
        <f t="shared" si="218"/>
        <v>1240588</v>
      </c>
      <c r="AW630" s="50" t="str">
        <f t="shared" si="219"/>
        <v/>
      </c>
      <c r="AX630" s="1" t="s">
        <v>1654</v>
      </c>
      <c r="AY630" s="2" t="s">
        <v>1655</v>
      </c>
      <c r="AZ630" s="2">
        <v>684900.24</v>
      </c>
      <c r="BA630" s="73">
        <v>599287.71</v>
      </c>
      <c r="BB630" s="73">
        <v>599287.71</v>
      </c>
      <c r="BC630" s="73">
        <v>684900.24</v>
      </c>
      <c r="BD630" s="73"/>
      <c r="BE630" s="66">
        <v>0</v>
      </c>
      <c r="BF630" s="66">
        <v>0.05</v>
      </c>
      <c r="BG630" s="63">
        <v>45439</v>
      </c>
      <c r="BH630" s="2"/>
      <c r="BI630" s="2"/>
      <c r="BJ630" s="2">
        <v>578874.30000000005</v>
      </c>
      <c r="BK630" s="2">
        <v>34037.800000000003</v>
      </c>
      <c r="BL630" s="1" t="s">
        <v>219</v>
      </c>
    </row>
    <row r="631" spans="1:64" x14ac:dyDescent="0.25">
      <c r="A631" s="81" t="s">
        <v>1477</v>
      </c>
      <c r="B631" s="82" t="s">
        <v>1489</v>
      </c>
      <c r="C631" s="81" t="s">
        <v>1490</v>
      </c>
      <c r="D631" s="16">
        <v>45502</v>
      </c>
      <c r="E631" s="17">
        <v>45831</v>
      </c>
      <c r="F631" s="2" t="s">
        <v>171</v>
      </c>
      <c r="G631" s="2" t="s">
        <v>172</v>
      </c>
      <c r="H631" s="10" t="s">
        <v>105</v>
      </c>
      <c r="I631" s="11" t="s">
        <v>53</v>
      </c>
      <c r="J631" s="11" t="s">
        <v>312</v>
      </c>
      <c r="K631" s="61"/>
      <c r="L631" s="11" t="s">
        <v>67</v>
      </c>
      <c r="M631" s="25"/>
      <c r="N631" s="82"/>
      <c r="O631" s="3" t="str">
        <f t="shared" si="226"/>
        <v>A</v>
      </c>
      <c r="P631" s="84">
        <v>29421</v>
      </c>
      <c r="Q631" s="84">
        <v>5385</v>
      </c>
      <c r="R631" s="32"/>
      <c r="S631" s="3" t="str">
        <f t="shared" si="227"/>
        <v>A</v>
      </c>
      <c r="T631" s="84">
        <v>33950</v>
      </c>
      <c r="U631" s="84">
        <v>4545</v>
      </c>
      <c r="V631" s="32"/>
      <c r="W631" s="3" t="str">
        <f t="shared" si="213"/>
        <v>A</v>
      </c>
      <c r="X631" s="84">
        <v>21660</v>
      </c>
      <c r="Y631" s="84">
        <v>5505</v>
      </c>
      <c r="Z631" s="32"/>
      <c r="AA631" s="3" t="str">
        <f t="shared" si="214"/>
        <v>A</v>
      </c>
      <c r="AB631" s="84">
        <v>12793</v>
      </c>
      <c r="AC631" s="84">
        <v>3660</v>
      </c>
      <c r="AD631" s="36"/>
      <c r="AE631" s="82"/>
      <c r="AF631" s="3" t="str">
        <f t="shared" si="215"/>
        <v>A</v>
      </c>
      <c r="AG631" s="84">
        <v>0</v>
      </c>
      <c r="AH631" s="84">
        <v>0</v>
      </c>
      <c r="AI631" s="39"/>
      <c r="AJ631" s="79" t="s">
        <v>1801</v>
      </c>
      <c r="AK631" s="39"/>
      <c r="AL631" s="4">
        <f t="shared" si="221"/>
        <v>97824</v>
      </c>
      <c r="AM631" s="4">
        <f t="shared" si="222"/>
        <v>19095</v>
      </c>
      <c r="AN631" s="4">
        <f t="shared" si="216"/>
        <v>116919</v>
      </c>
      <c r="AO631" s="39"/>
      <c r="AP631" s="8">
        <f t="shared" si="223"/>
        <v>0</v>
      </c>
      <c r="AQ631" s="8">
        <f t="shared" si="224"/>
        <v>0</v>
      </c>
      <c r="AR631" s="8">
        <f t="shared" si="217"/>
        <v>0</v>
      </c>
      <c r="AS631" s="42"/>
      <c r="AT631" s="84">
        <v>97824</v>
      </c>
      <c r="AU631" s="84">
        <v>19095</v>
      </c>
      <c r="AV631" s="4">
        <f t="shared" si="218"/>
        <v>116919</v>
      </c>
      <c r="AW631" s="50" t="str">
        <f t="shared" si="219"/>
        <v/>
      </c>
      <c r="AX631" s="1" t="s">
        <v>1654</v>
      </c>
      <c r="AY631" s="2" t="s">
        <v>1655</v>
      </c>
      <c r="AZ631" s="2">
        <v>60742.48</v>
      </c>
      <c r="BA631" s="73">
        <v>53149.67</v>
      </c>
      <c r="BB631" s="73">
        <v>53149.67</v>
      </c>
      <c r="BC631" s="73"/>
      <c r="BD631" s="73"/>
      <c r="BE631" s="66">
        <v>0</v>
      </c>
      <c r="BF631" s="66">
        <v>0.05</v>
      </c>
      <c r="BG631" s="63">
        <v>45502</v>
      </c>
      <c r="BH631" s="74">
        <v>45831</v>
      </c>
      <c r="BI631" s="2"/>
      <c r="BJ631" s="2">
        <v>220982.1</v>
      </c>
      <c r="BK631" s="2">
        <v>12993.75</v>
      </c>
      <c r="BL631" s="1" t="s">
        <v>219</v>
      </c>
    </row>
    <row r="632" spans="1:64" x14ac:dyDescent="0.25">
      <c r="A632" s="81" t="s">
        <v>1479</v>
      </c>
      <c r="B632" s="82" t="s">
        <v>1479</v>
      </c>
      <c r="C632" s="81" t="s">
        <v>1480</v>
      </c>
      <c r="D632" s="16">
        <v>54788</v>
      </c>
      <c r="E632" s="17"/>
      <c r="F632" s="2" t="s">
        <v>1481</v>
      </c>
      <c r="G632" s="2" t="s">
        <v>1482</v>
      </c>
      <c r="H632" s="10" t="s">
        <v>98</v>
      </c>
      <c r="I632" s="11" t="s">
        <v>53</v>
      </c>
      <c r="J632" s="11" t="s">
        <v>99</v>
      </c>
      <c r="K632" s="61"/>
      <c r="L632" s="11" t="s">
        <v>67</v>
      </c>
      <c r="M632" s="25"/>
      <c r="N632" s="82"/>
      <c r="O632" s="3" t="str">
        <f t="shared" si="226"/>
        <v>E</v>
      </c>
      <c r="P632" s="84"/>
      <c r="Q632" s="84"/>
      <c r="R632" s="32"/>
      <c r="S632" s="3" t="str">
        <f t="shared" si="227"/>
        <v>E</v>
      </c>
      <c r="T632" s="84"/>
      <c r="U632" s="84"/>
      <c r="V632" s="32"/>
      <c r="W632" s="3" t="str">
        <f t="shared" si="213"/>
        <v>A</v>
      </c>
      <c r="X632" s="84"/>
      <c r="Y632" s="84"/>
      <c r="Z632" s="32"/>
      <c r="AA632" s="3" t="str">
        <f t="shared" si="214"/>
        <v>A</v>
      </c>
      <c r="AB632" s="84"/>
      <c r="AC632" s="84"/>
      <c r="AD632" s="36"/>
      <c r="AE632" s="82"/>
      <c r="AF632" s="3" t="str">
        <f t="shared" si="215"/>
        <v>A</v>
      </c>
      <c r="AG632" s="84"/>
      <c r="AH632" s="84"/>
      <c r="AI632" s="39"/>
      <c r="AJ632" s="79" t="s">
        <v>38</v>
      </c>
      <c r="AK632" s="39"/>
      <c r="AL632" s="4">
        <f t="shared" si="221"/>
        <v>0</v>
      </c>
      <c r="AM632" s="4">
        <f t="shared" si="222"/>
        <v>0</v>
      </c>
      <c r="AN632" s="4">
        <f t="shared" si="216"/>
        <v>0</v>
      </c>
      <c r="AO632" s="39"/>
      <c r="AP632" s="8">
        <f t="shared" si="223"/>
        <v>0</v>
      </c>
      <c r="AQ632" s="8">
        <f t="shared" si="224"/>
        <v>0</v>
      </c>
      <c r="AR632" s="8">
        <f t="shared" si="217"/>
        <v>0</v>
      </c>
      <c r="AS632" s="42"/>
      <c r="AT632" s="84"/>
      <c r="AU632" s="84"/>
      <c r="AV632" s="4">
        <f t="shared" si="218"/>
        <v>0</v>
      </c>
      <c r="AW632" s="50" t="str">
        <f t="shared" si="219"/>
        <v/>
      </c>
      <c r="AX632" s="1" t="s">
        <v>1785</v>
      </c>
      <c r="AY632" s="2" t="s">
        <v>1786</v>
      </c>
      <c r="AZ632" s="2"/>
      <c r="BA632" s="73"/>
      <c r="BB632" s="73"/>
      <c r="BC632" s="73"/>
      <c r="BD632" s="73"/>
      <c r="BE632" s="66">
        <v>0</v>
      </c>
      <c r="BF632" s="66">
        <v>0.05</v>
      </c>
      <c r="BG632" s="63">
        <v>0</v>
      </c>
      <c r="BH632" s="2"/>
      <c r="BI632" s="2"/>
      <c r="BJ632" s="2">
        <v>502929</v>
      </c>
      <c r="BK632" s="2">
        <v>26403.77</v>
      </c>
      <c r="BL632" s="1" t="s">
        <v>97</v>
      </c>
    </row>
    <row r="633" spans="1:64" x14ac:dyDescent="0.25">
      <c r="A633" s="81" t="s">
        <v>1485</v>
      </c>
      <c r="B633" s="82" t="s">
        <v>1485</v>
      </c>
      <c r="C633" s="81" t="s">
        <v>1486</v>
      </c>
      <c r="D633" s="16">
        <v>45430</v>
      </c>
      <c r="E633" s="17"/>
      <c r="F633" s="2" t="s">
        <v>803</v>
      </c>
      <c r="G633" s="2" t="s">
        <v>804</v>
      </c>
      <c r="H633" s="10" t="s">
        <v>105</v>
      </c>
      <c r="I633" s="11" t="s">
        <v>53</v>
      </c>
      <c r="J633" s="11" t="s">
        <v>258</v>
      </c>
      <c r="K633" s="61"/>
      <c r="L633" s="11" t="s">
        <v>67</v>
      </c>
      <c r="M633" s="25"/>
      <c r="N633" s="82"/>
      <c r="O633" s="3" t="str">
        <f t="shared" si="226"/>
        <v>A</v>
      </c>
      <c r="P633" s="84">
        <v>100288</v>
      </c>
      <c r="Q633" s="84">
        <v>10753</v>
      </c>
      <c r="R633" s="32"/>
      <c r="S633" s="3" t="str">
        <f t="shared" si="227"/>
        <v>A</v>
      </c>
      <c r="T633" s="84">
        <v>86761</v>
      </c>
      <c r="U633" s="84">
        <v>10922</v>
      </c>
      <c r="V633" s="32"/>
      <c r="W633" s="3" t="str">
        <f t="shared" si="213"/>
        <v>A</v>
      </c>
      <c r="X633" s="84">
        <v>72721</v>
      </c>
      <c r="Y633" s="84">
        <v>9908</v>
      </c>
      <c r="Z633" s="32"/>
      <c r="AA633" s="3" t="str">
        <f t="shared" si="214"/>
        <v>A</v>
      </c>
      <c r="AB633" s="84">
        <v>75364</v>
      </c>
      <c r="AC633" s="84">
        <v>9073</v>
      </c>
      <c r="AD633" s="36"/>
      <c r="AE633" s="82"/>
      <c r="AF633" s="3" t="str">
        <f t="shared" si="215"/>
        <v>A</v>
      </c>
      <c r="AG633" s="84">
        <v>0</v>
      </c>
      <c r="AH633" s="84">
        <v>0</v>
      </c>
      <c r="AI633" s="39"/>
      <c r="AJ633" s="79" t="s">
        <v>1801</v>
      </c>
      <c r="AK633" s="39"/>
      <c r="AL633" s="4">
        <f t="shared" si="221"/>
        <v>335134</v>
      </c>
      <c r="AM633" s="4">
        <f t="shared" si="222"/>
        <v>40656</v>
      </c>
      <c r="AN633" s="4">
        <f t="shared" si="216"/>
        <v>375790</v>
      </c>
      <c r="AO633" s="39"/>
      <c r="AP633" s="8">
        <f t="shared" si="223"/>
        <v>0</v>
      </c>
      <c r="AQ633" s="8">
        <f t="shared" si="224"/>
        <v>0</v>
      </c>
      <c r="AR633" s="8">
        <f t="shared" si="217"/>
        <v>0</v>
      </c>
      <c r="AS633" s="42"/>
      <c r="AT633" s="84">
        <v>335134</v>
      </c>
      <c r="AU633" s="84">
        <v>40656</v>
      </c>
      <c r="AV633" s="4">
        <f t="shared" si="218"/>
        <v>375790</v>
      </c>
      <c r="AW633" s="50" t="str">
        <f t="shared" si="219"/>
        <v/>
      </c>
      <c r="AX633" s="1" t="s">
        <v>1730</v>
      </c>
      <c r="AY633" s="2" t="s">
        <v>1731</v>
      </c>
      <c r="AZ633" s="2">
        <v>150920</v>
      </c>
      <c r="BA633" s="73">
        <v>132055</v>
      </c>
      <c r="BB633" s="73">
        <v>132055</v>
      </c>
      <c r="BC633" s="73">
        <v>150920</v>
      </c>
      <c r="BD633" s="73"/>
      <c r="BE633" s="66">
        <v>0</v>
      </c>
      <c r="BF633" s="66">
        <v>0.05</v>
      </c>
      <c r="BG633" s="63">
        <v>45430</v>
      </c>
      <c r="BH633" s="2"/>
      <c r="BI633" s="2"/>
      <c r="BJ633" s="2">
        <v>559266.30000000005</v>
      </c>
      <c r="BK633" s="2">
        <v>29361.48</v>
      </c>
      <c r="BL633" s="1" t="s">
        <v>104</v>
      </c>
    </row>
    <row r="634" spans="1:64" x14ac:dyDescent="0.25">
      <c r="A634" s="81" t="s">
        <v>1485</v>
      </c>
      <c r="B634" s="82" t="s">
        <v>1566</v>
      </c>
      <c r="C634" s="81" t="s">
        <v>1567</v>
      </c>
      <c r="D634" s="16">
        <v>45646</v>
      </c>
      <c r="E634" s="17"/>
      <c r="F634" s="2" t="s">
        <v>803</v>
      </c>
      <c r="G634" s="2" t="s">
        <v>804</v>
      </c>
      <c r="H634" s="10" t="s">
        <v>105</v>
      </c>
      <c r="I634" s="11" t="s">
        <v>53</v>
      </c>
      <c r="J634" s="11" t="s">
        <v>258</v>
      </c>
      <c r="K634" s="61"/>
      <c r="L634" s="11" t="s">
        <v>67</v>
      </c>
      <c r="M634" s="25"/>
      <c r="N634" s="82"/>
      <c r="O634" s="3" t="str">
        <f t="shared" si="226"/>
        <v>A</v>
      </c>
      <c r="P634" s="84">
        <v>163752</v>
      </c>
      <c r="Q634" s="84">
        <v>11529</v>
      </c>
      <c r="R634" s="32"/>
      <c r="S634" s="3" t="str">
        <f t="shared" si="227"/>
        <v>A</v>
      </c>
      <c r="T634" s="84">
        <v>142753</v>
      </c>
      <c r="U634" s="84">
        <v>9771</v>
      </c>
      <c r="V634" s="32"/>
      <c r="W634" s="3" t="str">
        <f t="shared" si="213"/>
        <v>A</v>
      </c>
      <c r="X634" s="84">
        <v>126662</v>
      </c>
      <c r="Y634" s="84">
        <v>7168</v>
      </c>
      <c r="Z634" s="32"/>
      <c r="AA634" s="3" t="str">
        <f t="shared" si="214"/>
        <v>A</v>
      </c>
      <c r="AB634" s="84">
        <v>135234</v>
      </c>
      <c r="AC634" s="84">
        <v>8726</v>
      </c>
      <c r="AD634" s="36"/>
      <c r="AE634" s="82"/>
      <c r="AF634" s="3" t="str">
        <f t="shared" si="215"/>
        <v>A</v>
      </c>
      <c r="AG634" s="84">
        <v>0</v>
      </c>
      <c r="AH634" s="84">
        <v>0</v>
      </c>
      <c r="AI634" s="39"/>
      <c r="AJ634" s="79" t="s">
        <v>1801</v>
      </c>
      <c r="AK634" s="39"/>
      <c r="AL634" s="4">
        <f t="shared" si="221"/>
        <v>568401</v>
      </c>
      <c r="AM634" s="4">
        <f t="shared" si="222"/>
        <v>37194</v>
      </c>
      <c r="AN634" s="4">
        <f t="shared" si="216"/>
        <v>605595</v>
      </c>
      <c r="AO634" s="39"/>
      <c r="AP634" s="8">
        <f t="shared" si="223"/>
        <v>0</v>
      </c>
      <c r="AQ634" s="8">
        <f t="shared" si="224"/>
        <v>0</v>
      </c>
      <c r="AR634" s="8">
        <f t="shared" si="217"/>
        <v>0</v>
      </c>
      <c r="AS634" s="42"/>
      <c r="AT634" s="84">
        <v>568401</v>
      </c>
      <c r="AU634" s="84">
        <v>37194</v>
      </c>
      <c r="AV634" s="4">
        <f t="shared" si="218"/>
        <v>605595</v>
      </c>
      <c r="AW634" s="50" t="str">
        <f t="shared" si="219"/>
        <v/>
      </c>
      <c r="AX634" s="1" t="s">
        <v>1730</v>
      </c>
      <c r="AY634" s="2" t="s">
        <v>1731</v>
      </c>
      <c r="AZ634" s="2">
        <v>143438.07999999999</v>
      </c>
      <c r="BA634" s="73">
        <v>125508.32</v>
      </c>
      <c r="BB634" s="73">
        <v>125508.32</v>
      </c>
      <c r="BC634" s="73">
        <v>143438.07999999999</v>
      </c>
      <c r="BD634" s="73"/>
      <c r="BE634" s="66">
        <v>0</v>
      </c>
      <c r="BF634" s="66">
        <v>0.05</v>
      </c>
      <c r="BG634" s="63">
        <v>45643</v>
      </c>
      <c r="BH634" s="2"/>
      <c r="BI634" s="2"/>
      <c r="BJ634" s="2">
        <v>578874.30000000005</v>
      </c>
      <c r="BK634" s="2">
        <v>18421.2</v>
      </c>
      <c r="BL634" s="1" t="s">
        <v>104</v>
      </c>
    </row>
    <row r="635" spans="1:64" x14ac:dyDescent="0.25">
      <c r="A635" s="81" t="s">
        <v>1497</v>
      </c>
      <c r="B635" s="82" t="s">
        <v>1497</v>
      </c>
      <c r="C635" s="81" t="s">
        <v>1498</v>
      </c>
      <c r="D635" s="16">
        <v>45562</v>
      </c>
      <c r="E635" s="17"/>
      <c r="F635" s="2" t="s">
        <v>1499</v>
      </c>
      <c r="G635" s="2" t="s">
        <v>1500</v>
      </c>
      <c r="H635" s="10" t="s">
        <v>98</v>
      </c>
      <c r="I635" s="11" t="s">
        <v>53</v>
      </c>
      <c r="J635" s="11" t="s">
        <v>99</v>
      </c>
      <c r="K635" s="61"/>
      <c r="L635" s="11" t="s">
        <v>67</v>
      </c>
      <c r="M635" s="25"/>
      <c r="N635" s="82"/>
      <c r="O635" s="3" t="str">
        <f t="shared" si="226"/>
        <v>A</v>
      </c>
      <c r="P635" s="84">
        <v>81095</v>
      </c>
      <c r="Q635" s="84">
        <v>5446</v>
      </c>
      <c r="R635" s="32"/>
      <c r="S635" s="3" t="str">
        <f t="shared" si="227"/>
        <v>A</v>
      </c>
      <c r="T635" s="84">
        <v>57136</v>
      </c>
      <c r="U635" s="84">
        <v>4424</v>
      </c>
      <c r="V635" s="32"/>
      <c r="W635" s="3" t="str">
        <f t="shared" si="213"/>
        <v>A</v>
      </c>
      <c r="X635" s="84">
        <v>60514</v>
      </c>
      <c r="Y635" s="84">
        <v>3972</v>
      </c>
      <c r="Z635" s="32"/>
      <c r="AA635" s="3" t="str">
        <f t="shared" si="214"/>
        <v>A</v>
      </c>
      <c r="AB635" s="84">
        <v>68898</v>
      </c>
      <c r="AC635" s="84">
        <v>4491</v>
      </c>
      <c r="AD635" s="36"/>
      <c r="AE635" s="82"/>
      <c r="AF635" s="3" t="str">
        <f t="shared" si="215"/>
        <v>A</v>
      </c>
      <c r="AG635" s="84">
        <v>0</v>
      </c>
      <c r="AH635" s="84">
        <v>0</v>
      </c>
      <c r="AI635" s="39"/>
      <c r="AJ635" s="79" t="s">
        <v>1801</v>
      </c>
      <c r="AK635" s="39"/>
      <c r="AL635" s="4">
        <f t="shared" si="221"/>
        <v>267643</v>
      </c>
      <c r="AM635" s="4">
        <f t="shared" si="222"/>
        <v>18333</v>
      </c>
      <c r="AN635" s="4">
        <f t="shared" si="216"/>
        <v>285976</v>
      </c>
      <c r="AO635" s="39"/>
      <c r="AP635" s="8">
        <f t="shared" si="223"/>
        <v>0</v>
      </c>
      <c r="AQ635" s="8">
        <f t="shared" si="224"/>
        <v>0</v>
      </c>
      <c r="AR635" s="8">
        <f t="shared" si="217"/>
        <v>0</v>
      </c>
      <c r="AS635" s="42"/>
      <c r="AT635" s="84">
        <v>267643</v>
      </c>
      <c r="AU635" s="84">
        <v>18333</v>
      </c>
      <c r="AV635" s="4">
        <f t="shared" si="218"/>
        <v>285976</v>
      </c>
      <c r="AW635" s="50" t="str">
        <f t="shared" si="219"/>
        <v/>
      </c>
      <c r="AX635" s="1" t="s">
        <v>1787</v>
      </c>
      <c r="AY635" s="2" t="s">
        <v>1788</v>
      </c>
      <c r="AZ635" s="2">
        <v>192925.36</v>
      </c>
      <c r="BA635" s="73">
        <v>168809.69</v>
      </c>
      <c r="BB635" s="73">
        <v>168809.69</v>
      </c>
      <c r="BC635" s="73">
        <v>192925.36</v>
      </c>
      <c r="BD635" s="73"/>
      <c r="BE635" s="66">
        <v>0</v>
      </c>
      <c r="BF635" s="66">
        <v>0.05</v>
      </c>
      <c r="BG635" s="63">
        <v>45559</v>
      </c>
      <c r="BH635" s="2"/>
      <c r="BI635" s="2"/>
      <c r="BJ635" s="2">
        <v>705711</v>
      </c>
      <c r="BK635" s="2">
        <v>37049.83</v>
      </c>
      <c r="BL635" s="1" t="s">
        <v>97</v>
      </c>
    </row>
    <row r="636" spans="1:64" x14ac:dyDescent="0.25">
      <c r="A636" s="81" t="s">
        <v>1501</v>
      </c>
      <c r="B636" s="82" t="s">
        <v>1501</v>
      </c>
      <c r="C636" s="81" t="s">
        <v>1502</v>
      </c>
      <c r="D636" s="16">
        <v>0</v>
      </c>
      <c r="E636" s="17"/>
      <c r="F636" s="2" t="s">
        <v>102</v>
      </c>
      <c r="G636" s="2" t="s">
        <v>103</v>
      </c>
      <c r="H636" s="10" t="s">
        <v>105</v>
      </c>
      <c r="I636" s="11" t="s">
        <v>53</v>
      </c>
      <c r="J636" s="11" t="s">
        <v>106</v>
      </c>
      <c r="K636" s="61"/>
      <c r="L636" s="11" t="s">
        <v>67</v>
      </c>
      <c r="M636" s="25"/>
      <c r="N636" s="82"/>
      <c r="O636" s="3" t="str">
        <f t="shared" si="226"/>
        <v>A</v>
      </c>
      <c r="P636" s="84">
        <v>375592</v>
      </c>
      <c r="Q636" s="84">
        <v>55495</v>
      </c>
      <c r="R636" s="32"/>
      <c r="S636" s="3" t="str">
        <f t="shared" si="227"/>
        <v>A</v>
      </c>
      <c r="T636" s="84">
        <v>316309</v>
      </c>
      <c r="U636" s="84">
        <v>41293</v>
      </c>
      <c r="V636" s="32"/>
      <c r="W636" s="3" t="str">
        <f t="shared" si="213"/>
        <v>A</v>
      </c>
      <c r="X636" s="84">
        <v>298151</v>
      </c>
      <c r="Y636" s="84">
        <v>38346</v>
      </c>
      <c r="Z636" s="32"/>
      <c r="AA636" s="3" t="str">
        <f t="shared" si="214"/>
        <v>A</v>
      </c>
      <c r="AB636" s="84">
        <v>315877</v>
      </c>
      <c r="AC636" s="84">
        <v>39628</v>
      </c>
      <c r="AD636" s="36"/>
      <c r="AE636" s="82"/>
      <c r="AF636" s="3" t="str">
        <f t="shared" si="215"/>
        <v>A</v>
      </c>
      <c r="AG636" s="84">
        <v>0</v>
      </c>
      <c r="AH636" s="84">
        <v>0</v>
      </c>
      <c r="AI636" s="39"/>
      <c r="AJ636" s="79" t="s">
        <v>1801</v>
      </c>
      <c r="AK636" s="39"/>
      <c r="AL636" s="4">
        <f t="shared" si="221"/>
        <v>1305929</v>
      </c>
      <c r="AM636" s="4">
        <f t="shared" si="222"/>
        <v>174762</v>
      </c>
      <c r="AN636" s="4">
        <f t="shared" si="216"/>
        <v>1480691</v>
      </c>
      <c r="AO636" s="39"/>
      <c r="AP636" s="8">
        <f t="shared" si="223"/>
        <v>0</v>
      </c>
      <c r="AQ636" s="8">
        <f t="shared" si="224"/>
        <v>0</v>
      </c>
      <c r="AR636" s="8">
        <f t="shared" si="217"/>
        <v>0</v>
      </c>
      <c r="AS636" s="42"/>
      <c r="AT636" s="84">
        <v>1305929</v>
      </c>
      <c r="AU636" s="84">
        <v>174762</v>
      </c>
      <c r="AV636" s="4">
        <f t="shared" si="218"/>
        <v>1480691</v>
      </c>
      <c r="AW636" s="50" t="str">
        <f t="shared" si="219"/>
        <v/>
      </c>
      <c r="AX636" s="1" t="s">
        <v>1645</v>
      </c>
      <c r="AY636" s="2" t="s">
        <v>1646</v>
      </c>
      <c r="AZ636" s="2">
        <v>101327.36</v>
      </c>
      <c r="BA636" s="73">
        <v>88661.440000000002</v>
      </c>
      <c r="BB636" s="73">
        <v>88661.440000000002</v>
      </c>
      <c r="BC636" s="73">
        <v>101327.36</v>
      </c>
      <c r="BD636" s="73"/>
      <c r="BE636" s="66">
        <v>0</v>
      </c>
      <c r="BF636" s="66">
        <v>0.05</v>
      </c>
      <c r="BG636" s="63">
        <v>45539</v>
      </c>
      <c r="BH636" s="2"/>
      <c r="BI636" s="2"/>
      <c r="BJ636" s="2">
        <v>370650</v>
      </c>
      <c r="BK636" s="2">
        <v>19459.13</v>
      </c>
      <c r="BL636" s="1" t="s">
        <v>104</v>
      </c>
    </row>
    <row r="637" spans="1:64" x14ac:dyDescent="0.25">
      <c r="A637" s="81" t="s">
        <v>1507</v>
      </c>
      <c r="B637" s="82" t="s">
        <v>1507</v>
      </c>
      <c r="C637" s="81" t="s">
        <v>1508</v>
      </c>
      <c r="D637" s="16">
        <v>45624</v>
      </c>
      <c r="E637" s="17"/>
      <c r="F637" s="2" t="s">
        <v>904</v>
      </c>
      <c r="G637" s="2" t="s">
        <v>906</v>
      </c>
      <c r="H637" s="10" t="s">
        <v>57</v>
      </c>
      <c r="I637" s="11" t="s">
        <v>905</v>
      </c>
      <c r="J637" s="11" t="s">
        <v>58</v>
      </c>
      <c r="K637" s="61" t="s">
        <v>59</v>
      </c>
      <c r="L637" s="11" t="s">
        <v>67</v>
      </c>
      <c r="M637" s="25"/>
      <c r="N637" s="82"/>
      <c r="O637" s="3" t="str">
        <f t="shared" si="226"/>
        <v>A</v>
      </c>
      <c r="P637" s="84">
        <v>137449</v>
      </c>
      <c r="Q637" s="84">
        <v>34640</v>
      </c>
      <c r="R637" s="32"/>
      <c r="S637" s="3" t="str">
        <f t="shared" si="227"/>
        <v>A</v>
      </c>
      <c r="T637" s="84">
        <v>115414</v>
      </c>
      <c r="U637" s="84">
        <v>32492</v>
      </c>
      <c r="V637" s="32"/>
      <c r="W637" s="3" t="str">
        <f t="shared" si="213"/>
        <v>A</v>
      </c>
      <c r="X637" s="84">
        <v>113048</v>
      </c>
      <c r="Y637" s="84">
        <v>28564</v>
      </c>
      <c r="Z637" s="32"/>
      <c r="AA637" s="3" t="str">
        <f t="shared" si="214"/>
        <v>A</v>
      </c>
      <c r="AB637" s="84">
        <v>133623</v>
      </c>
      <c r="AC637" s="84">
        <v>32381</v>
      </c>
      <c r="AD637" s="36"/>
      <c r="AE637" s="82"/>
      <c r="AF637" s="3" t="str">
        <f t="shared" si="215"/>
        <v>A</v>
      </c>
      <c r="AG637" s="84">
        <v>0</v>
      </c>
      <c r="AH637" s="84">
        <v>0</v>
      </c>
      <c r="AI637" s="39"/>
      <c r="AJ637" s="79" t="s">
        <v>1801</v>
      </c>
      <c r="AK637" s="39"/>
      <c r="AL637" s="4">
        <f t="shared" si="221"/>
        <v>499534</v>
      </c>
      <c r="AM637" s="4">
        <f t="shared" si="222"/>
        <v>128077</v>
      </c>
      <c r="AN637" s="4">
        <f t="shared" si="216"/>
        <v>627611</v>
      </c>
      <c r="AO637" s="39"/>
      <c r="AP637" s="8">
        <f t="shared" si="223"/>
        <v>0</v>
      </c>
      <c r="AQ637" s="8">
        <f t="shared" si="224"/>
        <v>0</v>
      </c>
      <c r="AR637" s="8">
        <f t="shared" si="217"/>
        <v>0</v>
      </c>
      <c r="AS637" s="42"/>
      <c r="AT637" s="84">
        <v>499534</v>
      </c>
      <c r="AU637" s="84">
        <v>128077</v>
      </c>
      <c r="AV637" s="4">
        <f t="shared" si="218"/>
        <v>627611</v>
      </c>
      <c r="AW637" s="50" t="str">
        <f t="shared" si="219"/>
        <v/>
      </c>
      <c r="AX637" s="1" t="s">
        <v>1740</v>
      </c>
      <c r="AY637" s="2" t="s">
        <v>1741</v>
      </c>
      <c r="AZ637" s="2">
        <v>107877.68</v>
      </c>
      <c r="BA637" s="73">
        <v>94392.97</v>
      </c>
      <c r="BB637" s="73">
        <v>94392.97</v>
      </c>
      <c r="BC637" s="73">
        <v>107877.68</v>
      </c>
      <c r="BD637" s="73"/>
      <c r="BE637" s="66">
        <v>0</v>
      </c>
      <c r="BF637" s="66">
        <v>0</v>
      </c>
      <c r="BG637" s="63">
        <v>45621</v>
      </c>
      <c r="BH637" s="2"/>
      <c r="BI637" s="2"/>
      <c r="BJ637" s="2">
        <v>396462</v>
      </c>
      <c r="BK637" s="2">
        <v>20814.259999999998</v>
      </c>
      <c r="BL637" s="1" t="s">
        <v>56</v>
      </c>
    </row>
    <row r="638" spans="1:64" x14ac:dyDescent="0.25">
      <c r="A638" s="81" t="s">
        <v>1509</v>
      </c>
      <c r="B638" s="82" t="s">
        <v>1509</v>
      </c>
      <c r="C638" s="81" t="s">
        <v>1510</v>
      </c>
      <c r="D638" s="16">
        <v>0</v>
      </c>
      <c r="E638" s="17">
        <v>45824</v>
      </c>
      <c r="F638" s="2" t="s">
        <v>953</v>
      </c>
      <c r="G638" s="2" t="s">
        <v>954</v>
      </c>
      <c r="H638" s="10" t="s">
        <v>98</v>
      </c>
      <c r="I638" s="11" t="s">
        <v>53</v>
      </c>
      <c r="J638" s="11" t="s">
        <v>99</v>
      </c>
      <c r="K638" s="61"/>
      <c r="L638" s="11" t="s">
        <v>67</v>
      </c>
      <c r="M638" s="25"/>
      <c r="N638" s="82"/>
      <c r="O638" s="3" t="str">
        <f t="shared" si="226"/>
        <v>E</v>
      </c>
      <c r="P638" s="84"/>
      <c r="Q638" s="84"/>
      <c r="R638" s="32"/>
      <c r="S638" s="3" t="str">
        <f t="shared" si="227"/>
        <v>E</v>
      </c>
      <c r="T638" s="84"/>
      <c r="U638" s="84"/>
      <c r="V638" s="32"/>
      <c r="W638" s="3" t="str">
        <f t="shared" si="213"/>
        <v>A</v>
      </c>
      <c r="X638" s="84"/>
      <c r="Y638" s="84"/>
      <c r="Z638" s="32"/>
      <c r="AA638" s="3" t="str">
        <f t="shared" si="214"/>
        <v>A</v>
      </c>
      <c r="AB638" s="84"/>
      <c r="AC638" s="84"/>
      <c r="AD638" s="36"/>
      <c r="AE638" s="82"/>
      <c r="AF638" s="3" t="str">
        <f t="shared" si="215"/>
        <v>A</v>
      </c>
      <c r="AG638" s="84"/>
      <c r="AH638" s="84"/>
      <c r="AI638" s="39"/>
      <c r="AJ638" s="79" t="s">
        <v>38</v>
      </c>
      <c r="AK638" s="39"/>
      <c r="AL638" s="4">
        <f t="shared" si="221"/>
        <v>0</v>
      </c>
      <c r="AM638" s="4">
        <f t="shared" si="222"/>
        <v>0</v>
      </c>
      <c r="AN638" s="4">
        <f t="shared" si="216"/>
        <v>0</v>
      </c>
      <c r="AO638" s="39"/>
      <c r="AP638" s="8">
        <f t="shared" si="223"/>
        <v>0</v>
      </c>
      <c r="AQ638" s="8">
        <f t="shared" si="224"/>
        <v>0</v>
      </c>
      <c r="AR638" s="8">
        <f t="shared" si="217"/>
        <v>0</v>
      </c>
      <c r="AS638" s="42"/>
      <c r="AT638" s="84"/>
      <c r="AU638" s="84"/>
      <c r="AV638" s="4">
        <f t="shared" si="218"/>
        <v>0</v>
      </c>
      <c r="AW638" s="50" t="str">
        <f t="shared" si="219"/>
        <v/>
      </c>
      <c r="AX638" s="1" t="s">
        <v>1744</v>
      </c>
      <c r="AY638" s="2" t="s">
        <v>1745</v>
      </c>
      <c r="AZ638" s="2"/>
      <c r="BA638" s="73"/>
      <c r="BB638" s="73"/>
      <c r="BC638" s="73"/>
      <c r="BD638" s="73"/>
      <c r="BE638" s="66">
        <v>0</v>
      </c>
      <c r="BF638" s="66">
        <v>0.05</v>
      </c>
      <c r="BG638" s="63">
        <v>45488</v>
      </c>
      <c r="BH638" s="74">
        <v>45768</v>
      </c>
      <c r="BI638" s="2"/>
      <c r="BJ638" s="2">
        <v>558103.5</v>
      </c>
      <c r="BK638" s="2">
        <v>69762.94</v>
      </c>
      <c r="BL638" s="1" t="s">
        <v>97</v>
      </c>
    </row>
    <row r="639" spans="1:64" x14ac:dyDescent="0.25">
      <c r="A639" s="81" t="s">
        <v>1509</v>
      </c>
      <c r="B639" s="82" t="s">
        <v>1531</v>
      </c>
      <c r="C639" s="81" t="s">
        <v>1532</v>
      </c>
      <c r="D639" s="16">
        <v>0</v>
      </c>
      <c r="E639" s="17">
        <v>45731</v>
      </c>
      <c r="F639" s="2" t="s">
        <v>953</v>
      </c>
      <c r="G639" s="2" t="s">
        <v>954</v>
      </c>
      <c r="H639" s="10" t="s">
        <v>98</v>
      </c>
      <c r="I639" s="11" t="s">
        <v>53</v>
      </c>
      <c r="J639" s="11" t="s">
        <v>99</v>
      </c>
      <c r="K639" s="61"/>
      <c r="L639" s="11" t="s">
        <v>67</v>
      </c>
      <c r="M639" s="25"/>
      <c r="N639" s="82"/>
      <c r="O639" s="3" t="str">
        <f t="shared" si="226"/>
        <v>E</v>
      </c>
      <c r="P639" s="84"/>
      <c r="Q639" s="84"/>
      <c r="R639" s="32"/>
      <c r="S639" s="3" t="str">
        <f t="shared" si="227"/>
        <v>E</v>
      </c>
      <c r="T639" s="84"/>
      <c r="U639" s="84"/>
      <c r="V639" s="32"/>
      <c r="W639" s="3" t="str">
        <f t="shared" si="213"/>
        <v>A</v>
      </c>
      <c r="X639" s="84"/>
      <c r="Y639" s="84"/>
      <c r="Z639" s="32"/>
      <c r="AA639" s="3" t="str">
        <f t="shared" si="214"/>
        <v>A</v>
      </c>
      <c r="AB639" s="84"/>
      <c r="AC639" s="84"/>
      <c r="AD639" s="36"/>
      <c r="AE639" s="82"/>
      <c r="AF639" s="3" t="str">
        <f t="shared" si="215"/>
        <v>A</v>
      </c>
      <c r="AG639" s="84"/>
      <c r="AH639" s="84"/>
      <c r="AI639" s="39"/>
      <c r="AJ639" s="79" t="s">
        <v>38</v>
      </c>
      <c r="AK639" s="39"/>
      <c r="AL639" s="4">
        <f t="shared" si="221"/>
        <v>0</v>
      </c>
      <c r="AM639" s="4">
        <f t="shared" si="222"/>
        <v>0</v>
      </c>
      <c r="AN639" s="4">
        <f t="shared" si="216"/>
        <v>0</v>
      </c>
      <c r="AO639" s="39"/>
      <c r="AP639" s="8">
        <f t="shared" si="223"/>
        <v>0</v>
      </c>
      <c r="AQ639" s="8">
        <f t="shared" si="224"/>
        <v>0</v>
      </c>
      <c r="AR639" s="8">
        <f t="shared" si="217"/>
        <v>0</v>
      </c>
      <c r="AS639" s="42"/>
      <c r="AT639" s="84"/>
      <c r="AU639" s="84"/>
      <c r="AV639" s="4">
        <f t="shared" si="218"/>
        <v>0</v>
      </c>
      <c r="AW639" s="50" t="str">
        <f t="shared" si="219"/>
        <v/>
      </c>
      <c r="AX639" s="1" t="s">
        <v>1744</v>
      </c>
      <c r="AY639" s="2" t="s">
        <v>1745</v>
      </c>
      <c r="AZ639" s="2"/>
      <c r="BA639" s="73"/>
      <c r="BB639" s="73"/>
      <c r="BC639" s="73"/>
      <c r="BD639" s="73"/>
      <c r="BE639" s="66">
        <v>0</v>
      </c>
      <c r="BF639" s="66">
        <v>0.05</v>
      </c>
      <c r="BG639" s="63">
        <v>45600</v>
      </c>
      <c r="BH639" s="74">
        <v>45731</v>
      </c>
      <c r="BI639" s="2"/>
      <c r="BJ639" s="2">
        <v>600530.15</v>
      </c>
      <c r="BK639" s="2">
        <v>33531.440000000002</v>
      </c>
      <c r="BL639" s="1" t="s">
        <v>97</v>
      </c>
    </row>
    <row r="640" spans="1:64" x14ac:dyDescent="0.25">
      <c r="A640" s="81" t="s">
        <v>1511</v>
      </c>
      <c r="B640" s="82" t="s">
        <v>1511</v>
      </c>
      <c r="C640" s="81" t="s">
        <v>1512</v>
      </c>
      <c r="D640" s="16">
        <v>45755</v>
      </c>
      <c r="E640" s="17"/>
      <c r="F640" s="2" t="s">
        <v>1513</v>
      </c>
      <c r="G640" s="2" t="s">
        <v>1514</v>
      </c>
      <c r="H640" s="10" t="s">
        <v>57</v>
      </c>
      <c r="I640" s="11" t="s">
        <v>53</v>
      </c>
      <c r="J640" s="11" t="s">
        <v>319</v>
      </c>
      <c r="K640" s="61"/>
      <c r="L640" s="11" t="s">
        <v>67</v>
      </c>
      <c r="M640" s="25"/>
      <c r="N640" s="82"/>
      <c r="O640" s="3" t="str">
        <f t="shared" si="226"/>
        <v>A</v>
      </c>
      <c r="P640" s="84">
        <v>95451.006714000017</v>
      </c>
      <c r="Q640" s="84">
        <v>12674.993289</v>
      </c>
      <c r="R640" s="32"/>
      <c r="S640" s="3" t="str">
        <f t="shared" si="227"/>
        <v>A</v>
      </c>
      <c r="T640" s="84">
        <v>85080.150001000002</v>
      </c>
      <c r="U640" s="84">
        <v>11749</v>
      </c>
      <c r="V640" s="32"/>
      <c r="W640" s="3" t="str">
        <f t="shared" si="213"/>
        <v>A</v>
      </c>
      <c r="X640" s="84">
        <v>81815.5</v>
      </c>
      <c r="Y640" s="84">
        <v>15658</v>
      </c>
      <c r="Z640" s="32"/>
      <c r="AA640" s="3" t="str">
        <f t="shared" si="214"/>
        <v>A</v>
      </c>
      <c r="AB640" s="84">
        <v>93169</v>
      </c>
      <c r="AC640" s="84">
        <v>14549</v>
      </c>
      <c r="AD640" s="36"/>
      <c r="AE640" s="82"/>
      <c r="AF640" s="3" t="str">
        <f t="shared" si="215"/>
        <v>A</v>
      </c>
      <c r="AG640" s="84">
        <v>0</v>
      </c>
      <c r="AH640" s="84">
        <v>0</v>
      </c>
      <c r="AI640" s="39"/>
      <c r="AJ640" s="79" t="s">
        <v>1801</v>
      </c>
      <c r="AK640" s="39"/>
      <c r="AL640" s="4">
        <f t="shared" si="221"/>
        <v>355515.65671500005</v>
      </c>
      <c r="AM640" s="4">
        <f t="shared" si="222"/>
        <v>54630.993288999998</v>
      </c>
      <c r="AN640" s="4">
        <f t="shared" si="216"/>
        <v>410146.65000400005</v>
      </c>
      <c r="AO640" s="39"/>
      <c r="AP640" s="8">
        <f t="shared" si="223"/>
        <v>0</v>
      </c>
      <c r="AQ640" s="8">
        <f t="shared" si="224"/>
        <v>0</v>
      </c>
      <c r="AR640" s="8">
        <f t="shared" si="217"/>
        <v>0</v>
      </c>
      <c r="AS640" s="42"/>
      <c r="AT640" s="84">
        <v>355515.65671500005</v>
      </c>
      <c r="AU640" s="84">
        <v>54630.993288999998</v>
      </c>
      <c r="AV640" s="4">
        <f t="shared" si="218"/>
        <v>410146.65000400005</v>
      </c>
      <c r="AW640" s="50" t="str">
        <f t="shared" si="219"/>
        <v/>
      </c>
      <c r="AX640" s="1" t="s">
        <v>1789</v>
      </c>
      <c r="AY640" s="2" t="s">
        <v>1790</v>
      </c>
      <c r="AZ640" s="2">
        <v>206602.64</v>
      </c>
      <c r="BA640" s="73">
        <v>180777.31</v>
      </c>
      <c r="BB640" s="73">
        <v>180777.31</v>
      </c>
      <c r="BC640" s="73">
        <v>206602.64</v>
      </c>
      <c r="BD640" s="73"/>
      <c r="BE640" s="66">
        <v>0</v>
      </c>
      <c r="BF640" s="66">
        <v>0.05</v>
      </c>
      <c r="BG640" s="63">
        <v>45751</v>
      </c>
      <c r="BH640" s="2"/>
      <c r="BI640" s="2"/>
      <c r="BJ640" s="2">
        <v>766299.2</v>
      </c>
      <c r="BK640" s="2">
        <v>85144.3</v>
      </c>
      <c r="BL640" s="1" t="s">
        <v>56</v>
      </c>
    </row>
    <row r="641" spans="1:64" x14ac:dyDescent="0.25">
      <c r="A641" s="81" t="s">
        <v>1515</v>
      </c>
      <c r="B641" s="82" t="s">
        <v>1515</v>
      </c>
      <c r="C641" s="81" t="s">
        <v>1516</v>
      </c>
      <c r="D641" s="16">
        <v>45618</v>
      </c>
      <c r="E641" s="17"/>
      <c r="F641" s="2" t="s">
        <v>143</v>
      </c>
      <c r="G641" s="2" t="s">
        <v>144</v>
      </c>
      <c r="H641" s="10" t="s">
        <v>105</v>
      </c>
      <c r="I641" s="11" t="s">
        <v>53</v>
      </c>
      <c r="J641" s="11" t="s">
        <v>145</v>
      </c>
      <c r="K641" s="61"/>
      <c r="L641" s="11" t="s">
        <v>67</v>
      </c>
      <c r="M641" s="25"/>
      <c r="N641" s="82"/>
      <c r="O641" s="3" t="str">
        <f t="shared" si="226"/>
        <v>E</v>
      </c>
      <c r="P641" s="84">
        <v>118840.08</v>
      </c>
      <c r="Q641" s="84">
        <v>6133.6</v>
      </c>
      <c r="R641" s="32"/>
      <c r="S641" s="3" t="str">
        <f t="shared" si="227"/>
        <v>E</v>
      </c>
      <c r="T641" s="84">
        <v>103985.07</v>
      </c>
      <c r="U641" s="84">
        <v>5366.9</v>
      </c>
      <c r="V641" s="32"/>
      <c r="W641" s="3" t="str">
        <f t="shared" si="213"/>
        <v>E</v>
      </c>
      <c r="X641" s="84">
        <v>103985.07</v>
      </c>
      <c r="Y641" s="84">
        <v>5366.9</v>
      </c>
      <c r="Z641" s="32"/>
      <c r="AA641" s="3" t="str">
        <f t="shared" si="214"/>
        <v>E</v>
      </c>
      <c r="AB641" s="84">
        <v>118840.08</v>
      </c>
      <c r="AC641" s="84">
        <v>6133.6</v>
      </c>
      <c r="AD641" s="36"/>
      <c r="AE641" s="82"/>
      <c r="AF641" s="3" t="str">
        <f t="shared" si="215"/>
        <v>A</v>
      </c>
      <c r="AG641" s="84"/>
      <c r="AH641" s="84"/>
      <c r="AI641" s="39"/>
      <c r="AJ641" s="79" t="s">
        <v>38</v>
      </c>
      <c r="AK641" s="39"/>
      <c r="AL641" s="4">
        <f t="shared" si="221"/>
        <v>0</v>
      </c>
      <c r="AM641" s="4">
        <f t="shared" si="222"/>
        <v>0</v>
      </c>
      <c r="AN641" s="4">
        <f t="shared" si="216"/>
        <v>0</v>
      </c>
      <c r="AO641" s="39"/>
      <c r="AP641" s="8">
        <f t="shared" si="223"/>
        <v>445650.30000000005</v>
      </c>
      <c r="AQ641" s="8">
        <f t="shared" si="224"/>
        <v>23001</v>
      </c>
      <c r="AR641" s="8">
        <f t="shared" si="217"/>
        <v>468651.30000000005</v>
      </c>
      <c r="AS641" s="42"/>
      <c r="AT641" s="84"/>
      <c r="AU641" s="84"/>
      <c r="AV641" s="4">
        <f t="shared" si="218"/>
        <v>0</v>
      </c>
      <c r="AW641" s="50" t="str">
        <f t="shared" si="219"/>
        <v/>
      </c>
      <c r="AX641" s="1" t="s">
        <v>1650</v>
      </c>
      <c r="AY641" s="2" t="s">
        <v>1651</v>
      </c>
      <c r="AZ641" s="2">
        <v>118840.08</v>
      </c>
      <c r="BA641" s="73">
        <v>103985.07</v>
      </c>
      <c r="BB641" s="73">
        <v>103985.07</v>
      </c>
      <c r="BC641" s="73">
        <v>118840.08</v>
      </c>
      <c r="BD641" s="73"/>
      <c r="BE641" s="66">
        <v>0</v>
      </c>
      <c r="BF641" s="66">
        <v>0.05</v>
      </c>
      <c r="BG641" s="63">
        <v>45616</v>
      </c>
      <c r="BH641" s="2"/>
      <c r="BI641" s="2"/>
      <c r="BJ641" s="2">
        <v>447220.8</v>
      </c>
      <c r="BK641" s="2">
        <v>23479.09</v>
      </c>
      <c r="BL641" s="1" t="s">
        <v>104</v>
      </c>
    </row>
    <row r="642" spans="1:64" x14ac:dyDescent="0.25">
      <c r="A642" s="81" t="s">
        <v>1517</v>
      </c>
      <c r="B642" s="82" t="s">
        <v>1517</v>
      </c>
      <c r="C642" s="81" t="s">
        <v>1518</v>
      </c>
      <c r="D642" s="16">
        <v>45558</v>
      </c>
      <c r="E642" s="17"/>
      <c r="F642" s="2" t="s">
        <v>342</v>
      </c>
      <c r="G642" s="2" t="s">
        <v>343</v>
      </c>
      <c r="H642" s="10" t="s">
        <v>57</v>
      </c>
      <c r="I642" s="11" t="s">
        <v>53</v>
      </c>
      <c r="J642" s="11" t="s">
        <v>156</v>
      </c>
      <c r="K642" s="61"/>
      <c r="L642" s="11" t="s">
        <v>67</v>
      </c>
      <c r="M642" s="25"/>
      <c r="N642" s="82"/>
      <c r="O642" s="3" t="str">
        <f t="shared" si="226"/>
        <v>A</v>
      </c>
      <c r="P642" s="84">
        <v>131730</v>
      </c>
      <c r="Q642" s="84">
        <v>59908</v>
      </c>
      <c r="R642" s="32"/>
      <c r="S642" s="3" t="str">
        <f t="shared" si="227"/>
        <v>A</v>
      </c>
      <c r="T642" s="84">
        <v>115255</v>
      </c>
      <c r="U642" s="84">
        <v>56424</v>
      </c>
      <c r="V642" s="32"/>
      <c r="W642" s="3" t="str">
        <f t="shared" si="213"/>
        <v>A</v>
      </c>
      <c r="X642" s="84">
        <v>113570</v>
      </c>
      <c r="Y642" s="84">
        <v>49043</v>
      </c>
      <c r="Z642" s="32"/>
      <c r="AA642" s="3" t="str">
        <f t="shared" si="214"/>
        <v>A</v>
      </c>
      <c r="AB642" s="84">
        <v>120020</v>
      </c>
      <c r="AC642" s="84">
        <v>53550</v>
      </c>
      <c r="AD642" s="36"/>
      <c r="AE642" s="82"/>
      <c r="AF642" s="3" t="str">
        <f t="shared" si="215"/>
        <v>A</v>
      </c>
      <c r="AG642" s="84">
        <v>0</v>
      </c>
      <c r="AH642" s="84">
        <v>0</v>
      </c>
      <c r="AI642" s="39"/>
      <c r="AJ642" s="79" t="s">
        <v>1801</v>
      </c>
      <c r="AK642" s="39"/>
      <c r="AL642" s="4">
        <f t="shared" si="221"/>
        <v>480575</v>
      </c>
      <c r="AM642" s="4">
        <f t="shared" si="222"/>
        <v>218925</v>
      </c>
      <c r="AN642" s="4">
        <f t="shared" si="216"/>
        <v>699500</v>
      </c>
      <c r="AO642" s="39"/>
      <c r="AP642" s="8">
        <f t="shared" si="223"/>
        <v>0</v>
      </c>
      <c r="AQ642" s="8">
        <f t="shared" si="224"/>
        <v>0</v>
      </c>
      <c r="AR642" s="8">
        <f t="shared" si="217"/>
        <v>0</v>
      </c>
      <c r="AS642" s="42"/>
      <c r="AT642" s="84">
        <v>480575</v>
      </c>
      <c r="AU642" s="84">
        <v>218925</v>
      </c>
      <c r="AV642" s="4">
        <f t="shared" si="218"/>
        <v>699500</v>
      </c>
      <c r="AW642" s="50" t="str">
        <f t="shared" si="219"/>
        <v/>
      </c>
      <c r="AX642" s="1" t="s">
        <v>1686</v>
      </c>
      <c r="AY642" s="2" t="s">
        <v>1687</v>
      </c>
      <c r="AZ642" s="2">
        <v>209997.92</v>
      </c>
      <c r="BA642" s="73">
        <v>183748.18</v>
      </c>
      <c r="BB642" s="73">
        <v>183748.18</v>
      </c>
      <c r="BC642" s="73">
        <v>209997.92</v>
      </c>
      <c r="BD642" s="73"/>
      <c r="BE642" s="66">
        <v>0</v>
      </c>
      <c r="BF642" s="66">
        <v>0.05</v>
      </c>
      <c r="BG642" s="63">
        <v>45553</v>
      </c>
      <c r="BH642" s="2"/>
      <c r="BI642" s="2"/>
      <c r="BJ642" s="2">
        <v>768161.48</v>
      </c>
      <c r="BK642" s="2">
        <v>85351.27</v>
      </c>
      <c r="BL642" s="1" t="s">
        <v>56</v>
      </c>
    </row>
    <row r="643" spans="1:64" x14ac:dyDescent="0.25">
      <c r="A643" s="81" t="s">
        <v>1523</v>
      </c>
      <c r="B643" s="82" t="s">
        <v>1523</v>
      </c>
      <c r="C643" s="81" t="s">
        <v>1524</v>
      </c>
      <c r="D643" s="16">
        <v>45644</v>
      </c>
      <c r="E643" s="17"/>
      <c r="F643" s="2" t="s">
        <v>1525</v>
      </c>
      <c r="G643" s="2" t="s">
        <v>1526</v>
      </c>
      <c r="H643" s="10" t="s">
        <v>105</v>
      </c>
      <c r="I643" s="11" t="s">
        <v>53</v>
      </c>
      <c r="J643" s="11" t="s">
        <v>350</v>
      </c>
      <c r="K643" s="61"/>
      <c r="L643" s="11" t="s">
        <v>67</v>
      </c>
      <c r="M643" s="25"/>
      <c r="N643" s="82"/>
      <c r="O643" s="3" t="str">
        <f t="shared" si="226"/>
        <v>A</v>
      </c>
      <c r="P643" s="84">
        <v>144287</v>
      </c>
      <c r="Q643" s="84">
        <v>19200</v>
      </c>
      <c r="R643" s="32"/>
      <c r="S643" s="3" t="str">
        <f t="shared" si="227"/>
        <v>A</v>
      </c>
      <c r="T643" s="84">
        <v>129521</v>
      </c>
      <c r="U643" s="84">
        <v>10563</v>
      </c>
      <c r="V643" s="32"/>
      <c r="W643" s="3" t="str">
        <f t="shared" si="213"/>
        <v>A</v>
      </c>
      <c r="X643" s="84">
        <v>111469</v>
      </c>
      <c r="Y643" s="84">
        <v>8425</v>
      </c>
      <c r="Z643" s="32"/>
      <c r="AA643" s="3" t="str">
        <f t="shared" si="214"/>
        <v>A</v>
      </c>
      <c r="AB643" s="84">
        <v>138663</v>
      </c>
      <c r="AC643" s="84">
        <v>12624</v>
      </c>
      <c r="AD643" s="36"/>
      <c r="AE643" s="82"/>
      <c r="AF643" s="3" t="str">
        <f t="shared" si="215"/>
        <v>A</v>
      </c>
      <c r="AG643" s="84">
        <v>0</v>
      </c>
      <c r="AH643" s="84">
        <v>0</v>
      </c>
      <c r="AI643" s="39"/>
      <c r="AJ643" s="79" t="s">
        <v>1801</v>
      </c>
      <c r="AK643" s="39"/>
      <c r="AL643" s="4">
        <f t="shared" si="221"/>
        <v>523940</v>
      </c>
      <c r="AM643" s="4">
        <f t="shared" si="222"/>
        <v>50812</v>
      </c>
      <c r="AN643" s="4">
        <f t="shared" si="216"/>
        <v>574752</v>
      </c>
      <c r="AO643" s="39"/>
      <c r="AP643" s="8">
        <f t="shared" si="223"/>
        <v>0</v>
      </c>
      <c r="AQ643" s="8">
        <f t="shared" si="224"/>
        <v>0</v>
      </c>
      <c r="AR643" s="8">
        <f t="shared" si="217"/>
        <v>0</v>
      </c>
      <c r="AS643" s="42"/>
      <c r="AT643" s="84">
        <v>523940</v>
      </c>
      <c r="AU643" s="84">
        <v>50812</v>
      </c>
      <c r="AV643" s="4">
        <f t="shared" si="218"/>
        <v>574752</v>
      </c>
      <c r="AW643" s="50" t="str">
        <f t="shared" si="219"/>
        <v/>
      </c>
      <c r="AX643" s="1" t="s">
        <v>1791</v>
      </c>
      <c r="AY643" s="2" t="s">
        <v>1792</v>
      </c>
      <c r="AZ643" s="2">
        <v>141129.04</v>
      </c>
      <c r="BA643" s="73">
        <v>123487.91</v>
      </c>
      <c r="BB643" s="73">
        <v>123487.91</v>
      </c>
      <c r="BC643" s="73">
        <v>141129.04</v>
      </c>
      <c r="BD643" s="73"/>
      <c r="BE643" s="66">
        <v>0</v>
      </c>
      <c r="BF643" s="66">
        <v>0.05</v>
      </c>
      <c r="BG643" s="63">
        <v>45639</v>
      </c>
      <c r="BH643" s="2"/>
      <c r="BI643" s="2"/>
      <c r="BJ643" s="2">
        <v>541518</v>
      </c>
      <c r="BK643" s="2">
        <v>28429.7</v>
      </c>
      <c r="BL643" s="1" t="s">
        <v>219</v>
      </c>
    </row>
    <row r="644" spans="1:64" x14ac:dyDescent="0.25">
      <c r="A644" s="81" t="s">
        <v>1523</v>
      </c>
      <c r="B644" s="82" t="s">
        <v>1617</v>
      </c>
      <c r="C644" s="81" t="s">
        <v>1618</v>
      </c>
      <c r="D644" s="16">
        <v>54788</v>
      </c>
      <c r="E644" s="17"/>
      <c r="F644" s="2" t="s">
        <v>1525</v>
      </c>
      <c r="G644" s="2" t="s">
        <v>1526</v>
      </c>
      <c r="H644" s="10" t="s">
        <v>105</v>
      </c>
      <c r="I644" s="11" t="s">
        <v>53</v>
      </c>
      <c r="J644" s="11" t="s">
        <v>350</v>
      </c>
      <c r="K644" s="61"/>
      <c r="L644" s="11" t="s">
        <v>67</v>
      </c>
      <c r="M644" s="25"/>
      <c r="N644" s="82"/>
      <c r="O644" s="3" t="str">
        <f t="shared" si="226"/>
        <v>E</v>
      </c>
      <c r="P644" s="84"/>
      <c r="Q644" s="84"/>
      <c r="R644" s="32"/>
      <c r="S644" s="3" t="str">
        <f t="shared" si="227"/>
        <v>E</v>
      </c>
      <c r="T644" s="84"/>
      <c r="U644" s="84"/>
      <c r="V644" s="32"/>
      <c r="W644" s="3" t="str">
        <f t="shared" si="213"/>
        <v>A</v>
      </c>
      <c r="X644" s="84"/>
      <c r="Y644" s="84"/>
      <c r="Z644" s="32"/>
      <c r="AA644" s="3" t="str">
        <f t="shared" si="214"/>
        <v>A</v>
      </c>
      <c r="AB644" s="84"/>
      <c r="AC644" s="84"/>
      <c r="AD644" s="36"/>
      <c r="AE644" s="82"/>
      <c r="AF644" s="3" t="str">
        <f t="shared" si="215"/>
        <v>A</v>
      </c>
      <c r="AG644" s="84"/>
      <c r="AH644" s="84"/>
      <c r="AI644" s="39"/>
      <c r="AJ644" s="79" t="s">
        <v>38</v>
      </c>
      <c r="AK644" s="39"/>
      <c r="AL644" s="4">
        <f t="shared" si="221"/>
        <v>0</v>
      </c>
      <c r="AM644" s="4">
        <f t="shared" si="222"/>
        <v>0</v>
      </c>
      <c r="AN644" s="4">
        <f t="shared" si="216"/>
        <v>0</v>
      </c>
      <c r="AO644" s="39"/>
      <c r="AP644" s="8">
        <f t="shared" si="223"/>
        <v>0</v>
      </c>
      <c r="AQ644" s="8">
        <f t="shared" si="224"/>
        <v>0</v>
      </c>
      <c r="AR644" s="8">
        <f t="shared" si="217"/>
        <v>0</v>
      </c>
      <c r="AS644" s="42"/>
      <c r="AT644" s="84"/>
      <c r="AU644" s="84"/>
      <c r="AV644" s="4">
        <f t="shared" si="218"/>
        <v>0</v>
      </c>
      <c r="AW644" s="50" t="str">
        <f t="shared" si="219"/>
        <v/>
      </c>
      <c r="AX644" s="1" t="s">
        <v>1791</v>
      </c>
      <c r="AY644" s="2" t="s">
        <v>1792</v>
      </c>
      <c r="AZ644" s="2"/>
      <c r="BA644" s="73"/>
      <c r="BB644" s="73"/>
      <c r="BC644" s="73"/>
      <c r="BD644" s="73"/>
      <c r="BE644" s="66">
        <v>0</v>
      </c>
      <c r="BF644" s="66">
        <v>0.05</v>
      </c>
      <c r="BG644" s="63">
        <v>0</v>
      </c>
      <c r="BH644" s="2"/>
      <c r="BI644" s="2"/>
      <c r="BJ644" s="2">
        <v>578874.30000000005</v>
      </c>
      <c r="BK644" s="2">
        <v>15890.33</v>
      </c>
      <c r="BL644" s="1" t="s">
        <v>219</v>
      </c>
    </row>
    <row r="645" spans="1:64" x14ac:dyDescent="0.25">
      <c r="A645" s="81" t="s">
        <v>1535</v>
      </c>
      <c r="B645" s="82" t="s">
        <v>1535</v>
      </c>
      <c r="C645" s="81" t="s">
        <v>1536</v>
      </c>
      <c r="D645" s="16">
        <v>0</v>
      </c>
      <c r="E645" s="17"/>
      <c r="F645" s="2" t="s">
        <v>1537</v>
      </c>
      <c r="G645" s="2" t="s">
        <v>1538</v>
      </c>
      <c r="H645" s="10" t="s">
        <v>98</v>
      </c>
      <c r="I645" s="11" t="s">
        <v>53</v>
      </c>
      <c r="J645" s="11" t="s">
        <v>224</v>
      </c>
      <c r="K645" s="61"/>
      <c r="L645" s="11" t="s">
        <v>67</v>
      </c>
      <c r="M645" s="25"/>
      <c r="N645" s="82"/>
      <c r="O645" s="3" t="str">
        <f t="shared" si="226"/>
        <v>A</v>
      </c>
      <c r="P645" s="84">
        <v>186116</v>
      </c>
      <c r="Q645" s="84">
        <v>6037</v>
      </c>
      <c r="R645" s="32"/>
      <c r="S645" s="3" t="str">
        <f t="shared" si="227"/>
        <v>A</v>
      </c>
      <c r="T645" s="84">
        <v>187498</v>
      </c>
      <c r="U645" s="84">
        <v>13761</v>
      </c>
      <c r="V645" s="32"/>
      <c r="W645" s="3" t="str">
        <f t="shared" si="213"/>
        <v>A</v>
      </c>
      <c r="X645" s="84">
        <v>173118</v>
      </c>
      <c r="Y645" s="84">
        <v>1937</v>
      </c>
      <c r="Z645" s="32"/>
      <c r="AA645" s="3" t="str">
        <f t="shared" si="214"/>
        <v>A</v>
      </c>
      <c r="AB645" s="84">
        <v>139051</v>
      </c>
      <c r="AC645" s="84">
        <v>8304</v>
      </c>
      <c r="AD645" s="36"/>
      <c r="AE645" s="82"/>
      <c r="AF645" s="3" t="str">
        <f t="shared" si="215"/>
        <v>A</v>
      </c>
      <c r="AG645" s="84">
        <v>0</v>
      </c>
      <c r="AH645" s="84">
        <v>0</v>
      </c>
      <c r="AI645" s="39"/>
      <c r="AJ645" s="79" t="s">
        <v>1801</v>
      </c>
      <c r="AK645" s="39"/>
      <c r="AL645" s="4">
        <f t="shared" si="221"/>
        <v>685783</v>
      </c>
      <c r="AM645" s="4">
        <f t="shared" si="222"/>
        <v>30039</v>
      </c>
      <c r="AN645" s="4">
        <f t="shared" si="216"/>
        <v>715822</v>
      </c>
      <c r="AO645" s="39"/>
      <c r="AP645" s="8">
        <f t="shared" si="223"/>
        <v>0</v>
      </c>
      <c r="AQ645" s="8">
        <f t="shared" si="224"/>
        <v>0</v>
      </c>
      <c r="AR645" s="8">
        <f t="shared" si="217"/>
        <v>0</v>
      </c>
      <c r="AS645" s="42"/>
      <c r="AT645" s="84">
        <v>685783</v>
      </c>
      <c r="AU645" s="84">
        <v>30039</v>
      </c>
      <c r="AV645" s="4">
        <f t="shared" si="218"/>
        <v>715822</v>
      </c>
      <c r="AW645" s="50" t="str">
        <f t="shared" si="219"/>
        <v/>
      </c>
      <c r="AX645" s="1" t="s">
        <v>1793</v>
      </c>
      <c r="AY645" s="2" t="s">
        <v>1794</v>
      </c>
      <c r="AZ645" s="2">
        <v>138920.16</v>
      </c>
      <c r="BA645" s="73">
        <v>121555.14</v>
      </c>
      <c r="BB645" s="73">
        <v>121555.14</v>
      </c>
      <c r="BC645" s="73">
        <v>138920.16</v>
      </c>
      <c r="BD645" s="73"/>
      <c r="BE645" s="66">
        <v>0</v>
      </c>
      <c r="BF645" s="66">
        <v>0.05</v>
      </c>
      <c r="BG645" s="63">
        <v>45665</v>
      </c>
      <c r="BH645" s="2"/>
      <c r="BI645" s="2"/>
      <c r="BJ645" s="2">
        <v>531273.6</v>
      </c>
      <c r="BK645" s="2">
        <v>27891.86</v>
      </c>
      <c r="BL645" s="1" t="s">
        <v>97</v>
      </c>
    </row>
    <row r="646" spans="1:64" x14ac:dyDescent="0.25">
      <c r="A646" s="81" t="s">
        <v>1535</v>
      </c>
      <c r="B646" s="82" t="s">
        <v>1627</v>
      </c>
      <c r="C646" s="81" t="s">
        <v>1628</v>
      </c>
      <c r="D646" s="16">
        <v>54788</v>
      </c>
      <c r="E646" s="17"/>
      <c r="F646" s="2" t="s">
        <v>1537</v>
      </c>
      <c r="G646" s="2" t="s">
        <v>1538</v>
      </c>
      <c r="H646" s="10" t="s">
        <v>98</v>
      </c>
      <c r="I646" s="11" t="s">
        <v>53</v>
      </c>
      <c r="J646" s="11" t="s">
        <v>224</v>
      </c>
      <c r="K646" s="61"/>
      <c r="L646" s="11" t="s">
        <v>67</v>
      </c>
      <c r="M646" s="25"/>
      <c r="N646" s="82"/>
      <c r="O646" s="3" t="str">
        <f t="shared" si="226"/>
        <v>E</v>
      </c>
      <c r="P646" s="84"/>
      <c r="Q646" s="84"/>
      <c r="R646" s="32"/>
      <c r="S646" s="3" t="str">
        <f t="shared" si="227"/>
        <v>E</v>
      </c>
      <c r="T646" s="84"/>
      <c r="U646" s="84"/>
      <c r="V646" s="32"/>
      <c r="W646" s="3" t="str">
        <f t="shared" si="213"/>
        <v>A</v>
      </c>
      <c r="X646" s="84"/>
      <c r="Y646" s="84"/>
      <c r="Z646" s="32"/>
      <c r="AA646" s="3" t="str">
        <f t="shared" si="214"/>
        <v>A</v>
      </c>
      <c r="AB646" s="84"/>
      <c r="AC646" s="84"/>
      <c r="AD646" s="36"/>
      <c r="AE646" s="82"/>
      <c r="AF646" s="3" t="str">
        <f t="shared" si="215"/>
        <v>A</v>
      </c>
      <c r="AG646" s="84"/>
      <c r="AH646" s="84"/>
      <c r="AI646" s="39"/>
      <c r="AJ646" s="79" t="s">
        <v>38</v>
      </c>
      <c r="AK646" s="39"/>
      <c r="AL646" s="4">
        <f t="shared" si="221"/>
        <v>0</v>
      </c>
      <c r="AM646" s="4">
        <f t="shared" si="222"/>
        <v>0</v>
      </c>
      <c r="AN646" s="4">
        <f t="shared" si="216"/>
        <v>0</v>
      </c>
      <c r="AO646" s="39"/>
      <c r="AP646" s="8">
        <f t="shared" si="223"/>
        <v>0</v>
      </c>
      <c r="AQ646" s="8">
        <f t="shared" si="224"/>
        <v>0</v>
      </c>
      <c r="AR646" s="8">
        <f t="shared" si="217"/>
        <v>0</v>
      </c>
      <c r="AS646" s="42"/>
      <c r="AT646" s="84"/>
      <c r="AU646" s="84"/>
      <c r="AV646" s="4">
        <f t="shared" si="218"/>
        <v>0</v>
      </c>
      <c r="AW646" s="50" t="str">
        <f t="shared" si="219"/>
        <v/>
      </c>
      <c r="AX646" s="1" t="s">
        <v>1793</v>
      </c>
      <c r="AY646" s="2" t="s">
        <v>1794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0</v>
      </c>
      <c r="BH646" s="2"/>
      <c r="BI646" s="2"/>
      <c r="BJ646" s="2">
        <v>229980</v>
      </c>
      <c r="BK646" s="2">
        <v>6899.4</v>
      </c>
      <c r="BL646" s="1" t="s">
        <v>97</v>
      </c>
    </row>
    <row r="647" spans="1:64" x14ac:dyDescent="0.25">
      <c r="A647" s="81" t="s">
        <v>1541</v>
      </c>
      <c r="B647" s="82" t="s">
        <v>1541</v>
      </c>
      <c r="C647" s="81" t="s">
        <v>1542</v>
      </c>
      <c r="D647" s="16">
        <v>0</v>
      </c>
      <c r="E647" s="17"/>
      <c r="F647" s="2" t="s">
        <v>904</v>
      </c>
      <c r="G647" s="2" t="s">
        <v>906</v>
      </c>
      <c r="H647" s="10" t="s">
        <v>57</v>
      </c>
      <c r="I647" s="11" t="s">
        <v>905</v>
      </c>
      <c r="J647" s="11" t="s">
        <v>338</v>
      </c>
      <c r="K647" s="61" t="s">
        <v>339</v>
      </c>
      <c r="L647" s="11" t="s">
        <v>67</v>
      </c>
      <c r="M647" s="25"/>
      <c r="N647" s="82"/>
      <c r="O647" s="3" t="str">
        <f t="shared" si="226"/>
        <v>A</v>
      </c>
      <c r="P647" s="84">
        <v>318842</v>
      </c>
      <c r="Q647" s="84">
        <v>78272</v>
      </c>
      <c r="R647" s="32"/>
      <c r="S647" s="3" t="str">
        <f t="shared" si="227"/>
        <v>A</v>
      </c>
      <c r="T647" s="84">
        <v>272985</v>
      </c>
      <c r="U647" s="84">
        <v>71657</v>
      </c>
      <c r="V647" s="32"/>
      <c r="W647" s="3" t="str">
        <f t="shared" si="213"/>
        <v>A</v>
      </c>
      <c r="X647" s="84">
        <v>243549</v>
      </c>
      <c r="Y647" s="84">
        <v>60017</v>
      </c>
      <c r="Z647" s="32"/>
      <c r="AA647" s="3" t="str">
        <f t="shared" si="214"/>
        <v>A</v>
      </c>
      <c r="AB647" s="84">
        <v>264206</v>
      </c>
      <c r="AC647" s="84">
        <v>55834</v>
      </c>
      <c r="AD647" s="36"/>
      <c r="AE647" s="82"/>
      <c r="AF647" s="3" t="str">
        <f t="shared" si="215"/>
        <v>A</v>
      </c>
      <c r="AG647" s="84">
        <v>0</v>
      </c>
      <c r="AH647" s="84">
        <v>0</v>
      </c>
      <c r="AI647" s="39"/>
      <c r="AJ647" s="79" t="s">
        <v>1801</v>
      </c>
      <c r="AK647" s="39"/>
      <c r="AL647" s="4">
        <f t="shared" si="221"/>
        <v>1099582</v>
      </c>
      <c r="AM647" s="4">
        <f t="shared" si="222"/>
        <v>265780</v>
      </c>
      <c r="AN647" s="4">
        <f t="shared" si="216"/>
        <v>1365362</v>
      </c>
      <c r="AO647" s="39"/>
      <c r="AP647" s="8">
        <f t="shared" si="223"/>
        <v>0</v>
      </c>
      <c r="AQ647" s="8">
        <f t="shared" si="224"/>
        <v>0</v>
      </c>
      <c r="AR647" s="8">
        <f t="shared" si="217"/>
        <v>0</v>
      </c>
      <c r="AS647" s="42"/>
      <c r="AT647" s="84">
        <v>1099582</v>
      </c>
      <c r="AU647" s="84">
        <v>265780</v>
      </c>
      <c r="AV647" s="4">
        <f t="shared" si="218"/>
        <v>1365362</v>
      </c>
      <c r="AW647" s="50" t="str">
        <f t="shared" si="219"/>
        <v/>
      </c>
      <c r="AX647" s="1" t="s">
        <v>1740</v>
      </c>
      <c r="AY647" s="2" t="s">
        <v>1741</v>
      </c>
      <c r="AZ647" s="2">
        <v>0</v>
      </c>
      <c r="BA647" s="73">
        <v>0</v>
      </c>
      <c r="BB647" s="73">
        <v>0</v>
      </c>
      <c r="BC647" s="73">
        <v>0</v>
      </c>
      <c r="BD647" s="73"/>
      <c r="BE647" s="66">
        <v>0</v>
      </c>
      <c r="BF647" s="66">
        <v>0</v>
      </c>
      <c r="BG647" s="63">
        <v>45586</v>
      </c>
      <c r="BH647" s="2"/>
      <c r="BI647" s="2"/>
      <c r="BJ647" s="2">
        <v>1201512</v>
      </c>
      <c r="BK647" s="2">
        <v>241178.5</v>
      </c>
      <c r="BL647" s="1" t="s">
        <v>56</v>
      </c>
    </row>
    <row r="648" spans="1:64" x14ac:dyDescent="0.25">
      <c r="A648" s="81" t="s">
        <v>1543</v>
      </c>
      <c r="B648" s="82" t="s">
        <v>1543</v>
      </c>
      <c r="C648" s="81" t="s">
        <v>1544</v>
      </c>
      <c r="D648" s="16">
        <v>45604</v>
      </c>
      <c r="E648" s="17"/>
      <c r="F648" s="2" t="s">
        <v>171</v>
      </c>
      <c r="G648" s="2" t="s">
        <v>172</v>
      </c>
      <c r="H648" s="10" t="s">
        <v>105</v>
      </c>
      <c r="I648" s="11" t="s">
        <v>53</v>
      </c>
      <c r="J648" s="11" t="s">
        <v>312</v>
      </c>
      <c r="K648" s="61"/>
      <c r="L648" s="11" t="s">
        <v>67</v>
      </c>
      <c r="M648" s="25"/>
      <c r="N648" s="82"/>
      <c r="O648" s="3" t="str">
        <f t="shared" ref="O648:O669" si="228">IF($A648="","",IF(P648=AZ648,"E","A"))</f>
        <v>A</v>
      </c>
      <c r="P648" s="84">
        <v>167969</v>
      </c>
      <c r="Q648" s="84">
        <v>20495</v>
      </c>
      <c r="R648" s="32"/>
      <c r="S648" s="3" t="str">
        <f t="shared" si="227"/>
        <v>A</v>
      </c>
      <c r="T648" s="84">
        <v>137359</v>
      </c>
      <c r="U648" s="84">
        <v>17770</v>
      </c>
      <c r="V648" s="32"/>
      <c r="W648" s="3" t="str">
        <f t="shared" ref="W648:W669" si="229">IF($A648="","",IF(X648=0,"A",IF(X648=BB648,"E","A")))</f>
        <v>A</v>
      </c>
      <c r="X648" s="84">
        <v>132870</v>
      </c>
      <c r="Y648" s="84">
        <v>9910</v>
      </c>
      <c r="Z648" s="32"/>
      <c r="AA648" s="3" t="str">
        <f t="shared" ref="AA648:AA669" si="230">IF($A648="","",IF(AB648=0,"A",IF(AB648=BC648,"E","A")))</f>
        <v>A</v>
      </c>
      <c r="AB648" s="84">
        <v>148332</v>
      </c>
      <c r="AC648" s="84">
        <v>12890</v>
      </c>
      <c r="AD648" s="36"/>
      <c r="AE648" s="82"/>
      <c r="AF648" s="3" t="str">
        <f t="shared" ref="AF648:AF669" si="231">IF($A648="","",IF(AG648=0,"A",IF(AG648=BD648,"E","A")))</f>
        <v>A</v>
      </c>
      <c r="AG648" s="84">
        <v>0</v>
      </c>
      <c r="AH648" s="84">
        <v>0</v>
      </c>
      <c r="AI648" s="39"/>
      <c r="AJ648" s="79" t="s">
        <v>1801</v>
      </c>
      <c r="AK648" s="39"/>
      <c r="AL648" s="4">
        <f t="shared" si="221"/>
        <v>586530</v>
      </c>
      <c r="AM648" s="4">
        <f t="shared" si="222"/>
        <v>61065</v>
      </c>
      <c r="AN648" s="4">
        <f t="shared" ref="AN648:AN669" si="232">SUM(AL648:AM648)</f>
        <v>647595</v>
      </c>
      <c r="AO648" s="39"/>
      <c r="AP648" s="8">
        <f t="shared" si="223"/>
        <v>0</v>
      </c>
      <c r="AQ648" s="8">
        <f t="shared" si="224"/>
        <v>0</v>
      </c>
      <c r="AR648" s="8">
        <f t="shared" ref="AR648:AR669" si="233">SUM(AP648:AQ648)</f>
        <v>0</v>
      </c>
      <c r="AS648" s="42"/>
      <c r="AT648" s="84">
        <v>586530</v>
      </c>
      <c r="AU648" s="84">
        <v>61065</v>
      </c>
      <c r="AV648" s="4">
        <f t="shared" ref="AV648:AV669" si="234">SUM(AT648:AU648)</f>
        <v>647595</v>
      </c>
      <c r="AW648" s="50" t="str">
        <f t="shared" ref="AW648:AW669" si="235">IF(AV648=0,"",IF(AN648=AV648,"","W"))</f>
        <v/>
      </c>
      <c r="AX648" s="1" t="s">
        <v>1654</v>
      </c>
      <c r="AY648" s="2" t="s">
        <v>1655</v>
      </c>
      <c r="AZ648" s="2">
        <v>584046.48</v>
      </c>
      <c r="BA648" s="73">
        <v>511040.67</v>
      </c>
      <c r="BB648" s="73">
        <v>511040.67</v>
      </c>
      <c r="BC648" s="73">
        <v>584046.48</v>
      </c>
      <c r="BD648" s="73"/>
      <c r="BE648" s="66">
        <v>0</v>
      </c>
      <c r="BF648" s="66">
        <v>0.05</v>
      </c>
      <c r="BG648" s="63">
        <v>45589</v>
      </c>
      <c r="BH648" s="2"/>
      <c r="BI648" s="2"/>
      <c r="BJ648" s="2">
        <v>2197893.27</v>
      </c>
      <c r="BK648" s="2">
        <v>578874.30000000005</v>
      </c>
      <c r="BL648" s="1" t="s">
        <v>219</v>
      </c>
    </row>
    <row r="649" spans="1:64" x14ac:dyDescent="0.25">
      <c r="A649" s="81" t="s">
        <v>1549</v>
      </c>
      <c r="B649" s="82" t="s">
        <v>1549</v>
      </c>
      <c r="C649" s="81" t="s">
        <v>1550</v>
      </c>
      <c r="D649" s="16">
        <v>0</v>
      </c>
      <c r="E649" s="17"/>
      <c r="F649" s="2" t="s">
        <v>1164</v>
      </c>
      <c r="G649" s="2" t="s">
        <v>1165</v>
      </c>
      <c r="H649" s="10" t="s">
        <v>57</v>
      </c>
      <c r="I649" s="11" t="s">
        <v>53</v>
      </c>
      <c r="J649" s="11" t="s">
        <v>1408</v>
      </c>
      <c r="K649" s="61"/>
      <c r="L649" s="11" t="s">
        <v>67</v>
      </c>
      <c r="M649" s="25"/>
      <c r="N649" s="82"/>
      <c r="O649" s="3" t="str">
        <f t="shared" si="228"/>
        <v>A</v>
      </c>
      <c r="P649" s="84">
        <v>56976</v>
      </c>
      <c r="Q649" s="84">
        <v>5625</v>
      </c>
      <c r="R649" s="32"/>
      <c r="S649" s="3" t="str">
        <f t="shared" si="227"/>
        <v>A</v>
      </c>
      <c r="T649" s="84">
        <v>53688.02</v>
      </c>
      <c r="U649" s="84">
        <v>3950</v>
      </c>
      <c r="V649" s="32"/>
      <c r="W649" s="3" t="str">
        <f t="shared" si="229"/>
        <v>A</v>
      </c>
      <c r="X649" s="84">
        <v>49203.02</v>
      </c>
      <c r="Y649" s="84">
        <v>4600</v>
      </c>
      <c r="Z649" s="32"/>
      <c r="AA649" s="3" t="str">
        <f t="shared" si="230"/>
        <v>A</v>
      </c>
      <c r="AB649" s="84">
        <v>51882</v>
      </c>
      <c r="AC649" s="84">
        <v>5365</v>
      </c>
      <c r="AD649" s="36"/>
      <c r="AE649" s="82"/>
      <c r="AF649" s="3" t="str">
        <f t="shared" si="231"/>
        <v>A</v>
      </c>
      <c r="AG649" s="84">
        <v>0</v>
      </c>
      <c r="AH649" s="84">
        <v>0</v>
      </c>
      <c r="AI649" s="39"/>
      <c r="AJ649" s="79" t="s">
        <v>1801</v>
      </c>
      <c r="AK649" s="39"/>
      <c r="AL649" s="4">
        <f t="shared" ref="AL649:AL669" si="236">IF($O649="A",P649,0)+IF($S649="A",T649,0)+IF($W649="A",X649,0)+IF($AA649="A",AB649,0)+IF($AF649="A",AG649,0)</f>
        <v>211749.03999999998</v>
      </c>
      <c r="AM649" s="4">
        <f t="shared" ref="AM649:AM669" si="237">IF($O649="A",Q649,0)+IF($S649="A",U649,0)+IF($W649="A",Y649,0)+IF($AA649="A",AC649,0)+IF($AF649="A",AH649,0)</f>
        <v>19540</v>
      </c>
      <c r="AN649" s="4">
        <f t="shared" si="232"/>
        <v>231289.03999999998</v>
      </c>
      <c r="AO649" s="39"/>
      <c r="AP649" s="8">
        <f t="shared" ref="AP649:AP669" si="238">IF($O649="E",P649,0)+IF($S649="E",T649,0)+IF($W649="E",X649,0)+IF($AA649="E",AB649,0)+IF($AF649="E",AG649,0)</f>
        <v>0</v>
      </c>
      <c r="AQ649" s="8">
        <f t="shared" ref="AQ649:AQ669" si="239">IF($O649="E",Q649,0)+IF($S649="E",U649,0)+IF($W649="E",Y649,0)+IF($AA649="E",AC649,0)+IF($AF649="E",AH649,0)</f>
        <v>0</v>
      </c>
      <c r="AR649" s="8">
        <f t="shared" si="233"/>
        <v>0</v>
      </c>
      <c r="AS649" s="42"/>
      <c r="AT649" s="84">
        <v>211749.04</v>
      </c>
      <c r="AU649" s="84">
        <v>19540</v>
      </c>
      <c r="AV649" s="4">
        <f t="shared" si="234"/>
        <v>231289.04</v>
      </c>
      <c r="AW649" s="50" t="str">
        <f t="shared" si="235"/>
        <v/>
      </c>
      <c r="AX649" s="1" t="s">
        <v>1762</v>
      </c>
      <c r="AY649" s="2" t="s">
        <v>1763</v>
      </c>
      <c r="AZ649" s="2">
        <v>136581.84</v>
      </c>
      <c r="BA649" s="73">
        <v>119509.11</v>
      </c>
      <c r="BB649" s="73">
        <v>119509.11</v>
      </c>
      <c r="BC649" s="73">
        <v>136581.84</v>
      </c>
      <c r="BD649" s="73"/>
      <c r="BE649" s="66">
        <v>0</v>
      </c>
      <c r="BF649" s="66">
        <v>0.05</v>
      </c>
      <c r="BG649" s="63">
        <v>45596</v>
      </c>
      <c r="BH649" s="2"/>
      <c r="BI649" s="2"/>
      <c r="BJ649" s="2">
        <v>512262</v>
      </c>
      <c r="BK649" s="2">
        <v>26893.759999999998</v>
      </c>
      <c r="BL649" s="1" t="s">
        <v>56</v>
      </c>
    </row>
    <row r="650" spans="1:64" x14ac:dyDescent="0.25">
      <c r="A650" s="81" t="s">
        <v>1551</v>
      </c>
      <c r="B650" s="82" t="s">
        <v>1551</v>
      </c>
      <c r="C650" s="81" t="s">
        <v>1552</v>
      </c>
      <c r="D650" s="16">
        <v>0</v>
      </c>
      <c r="E650" s="17"/>
      <c r="F650" s="2" t="s">
        <v>1164</v>
      </c>
      <c r="G650" s="2" t="s">
        <v>1165</v>
      </c>
      <c r="H650" s="10" t="s">
        <v>57</v>
      </c>
      <c r="I650" s="11" t="s">
        <v>53</v>
      </c>
      <c r="J650" s="11" t="s">
        <v>1553</v>
      </c>
      <c r="K650" s="61"/>
      <c r="L650" s="11" t="s">
        <v>67</v>
      </c>
      <c r="M650" s="25"/>
      <c r="N650" s="82"/>
      <c r="O650" s="3" t="str">
        <f t="shared" si="228"/>
        <v>A</v>
      </c>
      <c r="P650" s="84">
        <v>25043.119999999999</v>
      </c>
      <c r="Q650" s="84">
        <v>3125</v>
      </c>
      <c r="R650" s="32"/>
      <c r="S650" s="3" t="str">
        <f t="shared" si="227"/>
        <v>A</v>
      </c>
      <c r="T650" s="84">
        <v>30085.08</v>
      </c>
      <c r="U650" s="84">
        <v>3500</v>
      </c>
      <c r="V650" s="32"/>
      <c r="W650" s="3" t="str">
        <f t="shared" si="229"/>
        <v>A</v>
      </c>
      <c r="X650" s="84">
        <v>23278.03</v>
      </c>
      <c r="Y650" s="84">
        <v>2555</v>
      </c>
      <c r="Z650" s="32"/>
      <c r="AA650" s="3" t="str">
        <f t="shared" si="230"/>
        <v>A</v>
      </c>
      <c r="AB650" s="84">
        <v>22266.18</v>
      </c>
      <c r="AC650" s="84">
        <v>2030</v>
      </c>
      <c r="AD650" s="36"/>
      <c r="AE650" s="82"/>
      <c r="AF650" s="3" t="str">
        <f t="shared" si="231"/>
        <v>A</v>
      </c>
      <c r="AG650" s="84">
        <v>0</v>
      </c>
      <c r="AH650" s="84">
        <v>0</v>
      </c>
      <c r="AI650" s="39"/>
      <c r="AJ650" s="79" t="s">
        <v>1801</v>
      </c>
      <c r="AK650" s="39"/>
      <c r="AL650" s="4">
        <f t="shared" si="236"/>
        <v>100672.41</v>
      </c>
      <c r="AM650" s="4">
        <f t="shared" si="237"/>
        <v>11210</v>
      </c>
      <c r="AN650" s="4">
        <f t="shared" si="232"/>
        <v>111882.41</v>
      </c>
      <c r="AO650" s="39"/>
      <c r="AP650" s="8">
        <f t="shared" si="238"/>
        <v>0</v>
      </c>
      <c r="AQ650" s="8">
        <f t="shared" si="239"/>
        <v>0</v>
      </c>
      <c r="AR650" s="8">
        <f t="shared" si="233"/>
        <v>0</v>
      </c>
      <c r="AS650" s="42"/>
      <c r="AT650" s="84">
        <v>100672.41</v>
      </c>
      <c r="AU650" s="84">
        <v>11210</v>
      </c>
      <c r="AV650" s="4">
        <f t="shared" si="234"/>
        <v>111882.41</v>
      </c>
      <c r="AW650" s="50" t="str">
        <f t="shared" si="235"/>
        <v/>
      </c>
      <c r="AX650" s="1" t="s">
        <v>1762</v>
      </c>
      <c r="AY650" s="2" t="s">
        <v>1763</v>
      </c>
      <c r="AZ650" s="2">
        <v>140790.79999999999</v>
      </c>
      <c r="BA650" s="73">
        <v>123191.95</v>
      </c>
      <c r="BB650" s="73">
        <v>123191.95</v>
      </c>
      <c r="BC650" s="73">
        <v>140790.79999999999</v>
      </c>
      <c r="BD650" s="73"/>
      <c r="BE650" s="66">
        <v>0</v>
      </c>
      <c r="BF650" s="66">
        <v>0.05</v>
      </c>
      <c r="BG650" s="63">
        <v>45596</v>
      </c>
      <c r="BH650" s="2"/>
      <c r="BI650" s="2"/>
      <c r="BJ650" s="2">
        <v>528048</v>
      </c>
      <c r="BK650" s="2">
        <v>27722.52</v>
      </c>
      <c r="BL650" s="1" t="s">
        <v>56</v>
      </c>
    </row>
    <row r="651" spans="1:64" x14ac:dyDescent="0.25">
      <c r="A651" s="81" t="s">
        <v>1551</v>
      </c>
      <c r="B651" s="82" t="s">
        <v>1554</v>
      </c>
      <c r="C651" s="81" t="s">
        <v>1555</v>
      </c>
      <c r="D651" s="16">
        <v>45634</v>
      </c>
      <c r="E651" s="17"/>
      <c r="F651" s="2" t="s">
        <v>1164</v>
      </c>
      <c r="G651" s="2" t="s">
        <v>1165</v>
      </c>
      <c r="H651" s="10" t="s">
        <v>57</v>
      </c>
      <c r="I651" s="11" t="s">
        <v>53</v>
      </c>
      <c r="J651" s="11" t="s">
        <v>1408</v>
      </c>
      <c r="K651" s="61"/>
      <c r="L651" s="11" t="s">
        <v>67</v>
      </c>
      <c r="M651" s="25"/>
      <c r="N651" s="82"/>
      <c r="O651" s="3" t="str">
        <f t="shared" si="228"/>
        <v>A</v>
      </c>
      <c r="P651" s="84">
        <v>12087</v>
      </c>
      <c r="Q651" s="84">
        <v>2911</v>
      </c>
      <c r="R651" s="32"/>
      <c r="S651" s="3" t="str">
        <f t="shared" ref="S651:S669" si="240">IF($A651="","",IF(T651=BA651,"E","A"))</f>
        <v>A</v>
      </c>
      <c r="T651" s="84">
        <v>11174.000004</v>
      </c>
      <c r="U651" s="84">
        <v>3405</v>
      </c>
      <c r="V651" s="32"/>
      <c r="W651" s="3" t="str">
        <f t="shared" si="229"/>
        <v>A</v>
      </c>
      <c r="X651" s="84">
        <v>10700.00001</v>
      </c>
      <c r="Y651" s="84">
        <v>2615</v>
      </c>
      <c r="Z651" s="32"/>
      <c r="AA651" s="3" t="str">
        <f t="shared" si="230"/>
        <v>A</v>
      </c>
      <c r="AB651" s="84">
        <v>12130.999995</v>
      </c>
      <c r="AC651" s="84">
        <v>3490</v>
      </c>
      <c r="AD651" s="36"/>
      <c r="AE651" s="82"/>
      <c r="AF651" s="3" t="str">
        <f t="shared" si="231"/>
        <v>A</v>
      </c>
      <c r="AG651" s="84">
        <v>0</v>
      </c>
      <c r="AH651" s="84">
        <v>0</v>
      </c>
      <c r="AI651" s="39"/>
      <c r="AJ651" s="79" t="s">
        <v>1801</v>
      </c>
      <c r="AK651" s="39"/>
      <c r="AL651" s="4">
        <f t="shared" si="236"/>
        <v>46092.000009000003</v>
      </c>
      <c r="AM651" s="4">
        <f t="shared" si="237"/>
        <v>12421</v>
      </c>
      <c r="AN651" s="4">
        <f t="shared" si="232"/>
        <v>58513.000009000003</v>
      </c>
      <c r="AO651" s="39"/>
      <c r="AP651" s="8">
        <f t="shared" si="238"/>
        <v>0</v>
      </c>
      <c r="AQ651" s="8">
        <f t="shared" si="239"/>
        <v>0</v>
      </c>
      <c r="AR651" s="8">
        <f t="shared" si="233"/>
        <v>0</v>
      </c>
      <c r="AS651" s="42"/>
      <c r="AT651" s="84">
        <v>46092.000009000003</v>
      </c>
      <c r="AU651" s="84">
        <v>12421</v>
      </c>
      <c r="AV651" s="4">
        <f t="shared" si="234"/>
        <v>58513.000009000003</v>
      </c>
      <c r="AW651" s="50" t="str">
        <f t="shared" si="235"/>
        <v/>
      </c>
      <c r="AX651" s="1" t="s">
        <v>1762</v>
      </c>
      <c r="AY651" s="2" t="s">
        <v>1763</v>
      </c>
      <c r="AZ651" s="2">
        <v>163208.56</v>
      </c>
      <c r="BA651" s="73">
        <v>142807.49</v>
      </c>
      <c r="BB651" s="73">
        <v>142807.49</v>
      </c>
      <c r="BC651" s="73">
        <v>163208.56</v>
      </c>
      <c r="BD651" s="73"/>
      <c r="BE651" s="66">
        <v>0</v>
      </c>
      <c r="BF651" s="66">
        <v>0.05</v>
      </c>
      <c r="BG651" s="63">
        <v>45634</v>
      </c>
      <c r="BH651" s="2"/>
      <c r="BI651" s="2"/>
      <c r="BJ651" s="2">
        <v>626238</v>
      </c>
      <c r="BK651" s="2">
        <v>32877.5</v>
      </c>
      <c r="BL651" s="1" t="s">
        <v>56</v>
      </c>
    </row>
    <row r="652" spans="1:64" x14ac:dyDescent="0.25">
      <c r="A652" s="81" t="s">
        <v>1560</v>
      </c>
      <c r="B652" s="82" t="s">
        <v>1560</v>
      </c>
      <c r="C652" s="81" t="s">
        <v>1561</v>
      </c>
      <c r="D652" s="16">
        <v>45029</v>
      </c>
      <c r="E652" s="17"/>
      <c r="F652" s="2" t="s">
        <v>1562</v>
      </c>
      <c r="G652" s="2" t="s">
        <v>1563</v>
      </c>
      <c r="H652" s="10" t="s">
        <v>98</v>
      </c>
      <c r="I652" s="11" t="s">
        <v>53</v>
      </c>
      <c r="J652" s="11" t="s">
        <v>296</v>
      </c>
      <c r="K652" s="61"/>
      <c r="L652" s="11" t="s">
        <v>67</v>
      </c>
      <c r="M652" s="25"/>
      <c r="N652" s="82"/>
      <c r="O652" s="3" t="str">
        <f t="shared" si="228"/>
        <v>A</v>
      </c>
      <c r="P652" s="84">
        <v>154404</v>
      </c>
      <c r="Q652" s="84">
        <v>1188</v>
      </c>
      <c r="R652" s="32"/>
      <c r="S652" s="3" t="str">
        <f t="shared" si="240"/>
        <v>A</v>
      </c>
      <c r="T652" s="84">
        <v>153265</v>
      </c>
      <c r="U652" s="84">
        <v>1584</v>
      </c>
      <c r="V652" s="32"/>
      <c r="W652" s="3" t="str">
        <f t="shared" si="229"/>
        <v>A</v>
      </c>
      <c r="X652" s="84">
        <v>149650</v>
      </c>
      <c r="Y652" s="84">
        <v>1826</v>
      </c>
      <c r="Z652" s="32"/>
      <c r="AA652" s="3" t="str">
        <f t="shared" si="230"/>
        <v>A</v>
      </c>
      <c r="AB652" s="84">
        <v>171049</v>
      </c>
      <c r="AC652" s="84">
        <v>2266</v>
      </c>
      <c r="AD652" s="36"/>
      <c r="AE652" s="82"/>
      <c r="AF652" s="3" t="str">
        <f t="shared" si="231"/>
        <v>A</v>
      </c>
      <c r="AG652" s="84">
        <v>0</v>
      </c>
      <c r="AH652" s="84">
        <v>0</v>
      </c>
      <c r="AI652" s="39"/>
      <c r="AJ652" s="79" t="s">
        <v>1801</v>
      </c>
      <c r="AK652" s="39"/>
      <c r="AL652" s="4">
        <f t="shared" si="236"/>
        <v>628368</v>
      </c>
      <c r="AM652" s="4">
        <f t="shared" si="237"/>
        <v>6864</v>
      </c>
      <c r="AN652" s="4">
        <f t="shared" si="232"/>
        <v>635232</v>
      </c>
      <c r="AO652" s="39"/>
      <c r="AP652" s="8">
        <f t="shared" si="238"/>
        <v>0</v>
      </c>
      <c r="AQ652" s="8">
        <f t="shared" si="239"/>
        <v>0</v>
      </c>
      <c r="AR652" s="8">
        <f t="shared" si="233"/>
        <v>0</v>
      </c>
      <c r="AS652" s="42"/>
      <c r="AT652" s="84">
        <v>628368</v>
      </c>
      <c r="AU652" s="84">
        <v>6864</v>
      </c>
      <c r="AV652" s="4">
        <f t="shared" si="234"/>
        <v>635232</v>
      </c>
      <c r="AW652" s="50" t="str">
        <f t="shared" si="235"/>
        <v/>
      </c>
      <c r="AX652" s="1" t="s">
        <v>1795</v>
      </c>
      <c r="AY652" s="2" t="s">
        <v>1675</v>
      </c>
      <c r="AZ652" s="2">
        <v>150822</v>
      </c>
      <c r="BA652" s="73">
        <v>131969.25</v>
      </c>
      <c r="BB652" s="73">
        <v>131969.25</v>
      </c>
      <c r="BC652" s="73">
        <v>150822</v>
      </c>
      <c r="BD652" s="73"/>
      <c r="BE652" s="66">
        <v>0</v>
      </c>
      <c r="BF652" s="66">
        <v>0.05</v>
      </c>
      <c r="BG652" s="63">
        <v>45026</v>
      </c>
      <c r="BH652" s="2"/>
      <c r="BI652" s="2"/>
      <c r="BJ652" s="2">
        <v>578710</v>
      </c>
      <c r="BK652" s="2">
        <v>28807.279999999999</v>
      </c>
      <c r="BL652" s="1" t="s">
        <v>97</v>
      </c>
    </row>
    <row r="653" spans="1:64" x14ac:dyDescent="0.25">
      <c r="A653" s="81" t="s">
        <v>1560</v>
      </c>
      <c r="B653" s="82" t="s">
        <v>1629</v>
      </c>
      <c r="C653" s="81" t="s">
        <v>1630</v>
      </c>
      <c r="D653" s="16">
        <v>54788</v>
      </c>
      <c r="E653" s="17"/>
      <c r="F653" s="2" t="s">
        <v>1562</v>
      </c>
      <c r="G653" s="2" t="s">
        <v>1563</v>
      </c>
      <c r="H653" s="10" t="s">
        <v>98</v>
      </c>
      <c r="I653" s="11" t="s">
        <v>53</v>
      </c>
      <c r="J653" s="11" t="s">
        <v>296</v>
      </c>
      <c r="K653" s="61"/>
      <c r="L653" s="11" t="s">
        <v>67</v>
      </c>
      <c r="M653" s="25"/>
      <c r="N653" s="82"/>
      <c r="O653" s="3" t="str">
        <f t="shared" si="228"/>
        <v>E</v>
      </c>
      <c r="P653" s="84"/>
      <c r="Q653" s="84"/>
      <c r="R653" s="32"/>
      <c r="S653" s="3" t="str">
        <f t="shared" si="240"/>
        <v>E</v>
      </c>
      <c r="T653" s="84"/>
      <c r="U653" s="84"/>
      <c r="V653" s="32"/>
      <c r="W653" s="3" t="str">
        <f t="shared" si="229"/>
        <v>A</v>
      </c>
      <c r="X653" s="84"/>
      <c r="Y653" s="84"/>
      <c r="Z653" s="32"/>
      <c r="AA653" s="3" t="str">
        <f t="shared" si="230"/>
        <v>A</v>
      </c>
      <c r="AB653" s="84"/>
      <c r="AC653" s="84"/>
      <c r="AD653" s="36"/>
      <c r="AE653" s="82"/>
      <c r="AF653" s="3" t="str">
        <f t="shared" si="231"/>
        <v>A</v>
      </c>
      <c r="AG653" s="84"/>
      <c r="AH653" s="84"/>
      <c r="AI653" s="39"/>
      <c r="AJ653" s="79" t="s">
        <v>38</v>
      </c>
      <c r="AK653" s="39"/>
      <c r="AL653" s="4">
        <f t="shared" si="236"/>
        <v>0</v>
      </c>
      <c r="AM653" s="4">
        <f t="shared" si="237"/>
        <v>0</v>
      </c>
      <c r="AN653" s="4">
        <f t="shared" si="232"/>
        <v>0</v>
      </c>
      <c r="AO653" s="39"/>
      <c r="AP653" s="8">
        <f t="shared" si="238"/>
        <v>0</v>
      </c>
      <c r="AQ653" s="8">
        <f t="shared" si="239"/>
        <v>0</v>
      </c>
      <c r="AR653" s="8">
        <f t="shared" si="233"/>
        <v>0</v>
      </c>
      <c r="AS653" s="42"/>
      <c r="AT653" s="84"/>
      <c r="AU653" s="84"/>
      <c r="AV653" s="4">
        <f t="shared" si="234"/>
        <v>0</v>
      </c>
      <c r="AW653" s="50" t="str">
        <f t="shared" si="235"/>
        <v/>
      </c>
      <c r="AX653" s="1" t="s">
        <v>1795</v>
      </c>
      <c r="AY653" s="2" t="s">
        <v>1675</v>
      </c>
      <c r="AZ653" s="2"/>
      <c r="BA653" s="73"/>
      <c r="BB653" s="73"/>
      <c r="BC653" s="73"/>
      <c r="BD653" s="73"/>
      <c r="BE653" s="66">
        <v>0</v>
      </c>
      <c r="BF653" s="66">
        <v>0.05</v>
      </c>
      <c r="BG653" s="63">
        <v>0</v>
      </c>
      <c r="BH653" s="2"/>
      <c r="BI653" s="2"/>
      <c r="BJ653" s="2">
        <v>210000</v>
      </c>
      <c r="BK653" s="2"/>
      <c r="BL653" s="1" t="s">
        <v>97</v>
      </c>
    </row>
    <row r="654" spans="1:64" x14ac:dyDescent="0.25">
      <c r="A654" s="81" t="s">
        <v>1568</v>
      </c>
      <c r="B654" s="82" t="s">
        <v>1568</v>
      </c>
      <c r="C654" s="81" t="s">
        <v>1569</v>
      </c>
      <c r="D654" s="16">
        <v>45730</v>
      </c>
      <c r="E654" s="17"/>
      <c r="F654" s="2" t="s">
        <v>526</v>
      </c>
      <c r="G654" s="2" t="s">
        <v>527</v>
      </c>
      <c r="H654" s="10" t="s">
        <v>57</v>
      </c>
      <c r="I654" s="11" t="s">
        <v>53</v>
      </c>
      <c r="J654" s="11" t="s">
        <v>387</v>
      </c>
      <c r="K654" s="61"/>
      <c r="L654" s="11" t="s">
        <v>67</v>
      </c>
      <c r="M654" s="25"/>
      <c r="N654" s="82"/>
      <c r="O654" s="3" t="str">
        <f t="shared" si="228"/>
        <v>A</v>
      </c>
      <c r="P654" s="84">
        <v>209171</v>
      </c>
      <c r="Q654" s="84">
        <v>17542</v>
      </c>
      <c r="R654" s="32"/>
      <c r="S654" s="3" t="str">
        <f t="shared" si="240"/>
        <v>A</v>
      </c>
      <c r="T654" s="84">
        <v>176630</v>
      </c>
      <c r="U654" s="84">
        <v>11542</v>
      </c>
      <c r="V654" s="32"/>
      <c r="W654" s="3" t="str">
        <f t="shared" si="229"/>
        <v>A</v>
      </c>
      <c r="X654" s="84">
        <v>168798</v>
      </c>
      <c r="Y654" s="84">
        <v>15250</v>
      </c>
      <c r="Z654" s="32"/>
      <c r="AA654" s="3" t="str">
        <f t="shared" si="230"/>
        <v>A</v>
      </c>
      <c r="AB654" s="84">
        <v>193294</v>
      </c>
      <c r="AC654" s="84">
        <v>14148</v>
      </c>
      <c r="AD654" s="36"/>
      <c r="AE654" s="82"/>
      <c r="AF654" s="3" t="str">
        <f t="shared" si="231"/>
        <v>A</v>
      </c>
      <c r="AG654" s="84">
        <v>0</v>
      </c>
      <c r="AH654" s="84">
        <v>0</v>
      </c>
      <c r="AI654" s="39"/>
      <c r="AJ654" s="79" t="s">
        <v>1801</v>
      </c>
      <c r="AK654" s="39"/>
      <c r="AL654" s="4">
        <f t="shared" si="236"/>
        <v>747893</v>
      </c>
      <c r="AM654" s="4">
        <f t="shared" si="237"/>
        <v>58482</v>
      </c>
      <c r="AN654" s="4">
        <f t="shared" si="232"/>
        <v>806375</v>
      </c>
      <c r="AO654" s="39"/>
      <c r="AP654" s="8">
        <f t="shared" si="238"/>
        <v>0</v>
      </c>
      <c r="AQ654" s="8">
        <f t="shared" si="239"/>
        <v>0</v>
      </c>
      <c r="AR654" s="8">
        <f t="shared" si="233"/>
        <v>0</v>
      </c>
      <c r="AS654" s="42"/>
      <c r="AT654" s="84">
        <v>747893</v>
      </c>
      <c r="AU654" s="84">
        <v>58482</v>
      </c>
      <c r="AV654" s="4">
        <f t="shared" si="234"/>
        <v>806375</v>
      </c>
      <c r="AW654" s="50" t="str">
        <f t="shared" si="235"/>
        <v/>
      </c>
      <c r="AX654" s="1" t="s">
        <v>1721</v>
      </c>
      <c r="AY654" s="2" t="s">
        <v>1722</v>
      </c>
      <c r="AZ654" s="2">
        <v>118564.56</v>
      </c>
      <c r="BA654" s="73">
        <v>103743.99</v>
      </c>
      <c r="BB654" s="73">
        <v>103743.99</v>
      </c>
      <c r="BC654" s="73">
        <v>118564.56</v>
      </c>
      <c r="BD654" s="73"/>
      <c r="BE654" s="66">
        <v>0</v>
      </c>
      <c r="BF654" s="66">
        <v>0.05</v>
      </c>
      <c r="BG654" s="63">
        <v>45730</v>
      </c>
      <c r="BH654" s="2"/>
      <c r="BI654" s="2"/>
      <c r="BJ654" s="2">
        <v>433243</v>
      </c>
      <c r="BK654" s="2">
        <v>121703</v>
      </c>
      <c r="BL654" s="1" t="s">
        <v>56</v>
      </c>
    </row>
    <row r="655" spans="1:64" x14ac:dyDescent="0.25">
      <c r="A655" s="81" t="s">
        <v>1568</v>
      </c>
      <c r="B655" s="82" t="s">
        <v>1631</v>
      </c>
      <c r="C655" s="81" t="s">
        <v>671</v>
      </c>
      <c r="D655" s="16">
        <v>54788</v>
      </c>
      <c r="E655" s="17"/>
      <c r="F655" s="2" t="s">
        <v>526</v>
      </c>
      <c r="G655" s="2" t="s">
        <v>527</v>
      </c>
      <c r="H655" s="10" t="s">
        <v>57</v>
      </c>
      <c r="I655" s="11" t="s">
        <v>53</v>
      </c>
      <c r="J655" s="11" t="s">
        <v>1632</v>
      </c>
      <c r="K655" s="61"/>
      <c r="L655" s="11" t="s">
        <v>67</v>
      </c>
      <c r="M655" s="25"/>
      <c r="N655" s="82"/>
      <c r="O655" s="3" t="str">
        <f t="shared" si="228"/>
        <v>E</v>
      </c>
      <c r="P655" s="84"/>
      <c r="Q655" s="84"/>
      <c r="R655" s="32"/>
      <c r="S655" s="3" t="str">
        <f t="shared" si="240"/>
        <v>E</v>
      </c>
      <c r="T655" s="84"/>
      <c r="U655" s="84"/>
      <c r="V655" s="32"/>
      <c r="W655" s="3" t="str">
        <f t="shared" si="229"/>
        <v>A</v>
      </c>
      <c r="X655" s="84"/>
      <c r="Y655" s="84"/>
      <c r="Z655" s="32"/>
      <c r="AA655" s="3" t="str">
        <f t="shared" si="230"/>
        <v>A</v>
      </c>
      <c r="AB655" s="84"/>
      <c r="AC655" s="84"/>
      <c r="AD655" s="36"/>
      <c r="AE655" s="82"/>
      <c r="AF655" s="3" t="str">
        <f t="shared" si="231"/>
        <v>A</v>
      </c>
      <c r="AG655" s="84"/>
      <c r="AH655" s="84"/>
      <c r="AI655" s="39"/>
      <c r="AJ655" s="79" t="s">
        <v>38</v>
      </c>
      <c r="AK655" s="39"/>
      <c r="AL655" s="4">
        <f t="shared" si="236"/>
        <v>0</v>
      </c>
      <c r="AM655" s="4">
        <f t="shared" si="237"/>
        <v>0</v>
      </c>
      <c r="AN655" s="4">
        <f t="shared" si="232"/>
        <v>0</v>
      </c>
      <c r="AO655" s="39"/>
      <c r="AP655" s="8">
        <f t="shared" si="238"/>
        <v>0</v>
      </c>
      <c r="AQ655" s="8">
        <f t="shared" si="239"/>
        <v>0</v>
      </c>
      <c r="AR655" s="8">
        <f t="shared" si="233"/>
        <v>0</v>
      </c>
      <c r="AS655" s="42"/>
      <c r="AT655" s="84"/>
      <c r="AU655" s="84"/>
      <c r="AV655" s="4">
        <f t="shared" si="234"/>
        <v>0</v>
      </c>
      <c r="AW655" s="50" t="str">
        <f t="shared" si="235"/>
        <v/>
      </c>
      <c r="AX655" s="1" t="s">
        <v>1721</v>
      </c>
      <c r="AY655" s="2" t="s">
        <v>1722</v>
      </c>
      <c r="AZ655" s="2"/>
      <c r="BA655" s="73"/>
      <c r="BB655" s="73"/>
      <c r="BC655" s="73"/>
      <c r="BD655" s="73"/>
      <c r="BE655" s="66">
        <v>0</v>
      </c>
      <c r="BF655" s="66">
        <v>0.05</v>
      </c>
      <c r="BG655" s="63">
        <v>0</v>
      </c>
      <c r="BH655" s="2"/>
      <c r="BI655" s="2"/>
      <c r="BJ655" s="2">
        <v>4001</v>
      </c>
      <c r="BK655" s="2">
        <v>1579</v>
      </c>
      <c r="BL655" s="1" t="s">
        <v>56</v>
      </c>
    </row>
    <row r="656" spans="1:64" x14ac:dyDescent="0.25">
      <c r="A656" s="81" t="s">
        <v>1578</v>
      </c>
      <c r="B656" s="82" t="s">
        <v>1578</v>
      </c>
      <c r="C656" s="81" t="s">
        <v>1579</v>
      </c>
      <c r="D656" s="16">
        <v>54788</v>
      </c>
      <c r="E656" s="17"/>
      <c r="F656" s="2" t="s">
        <v>431</v>
      </c>
      <c r="G656" s="2" t="s">
        <v>432</v>
      </c>
      <c r="H656" s="10" t="s">
        <v>57</v>
      </c>
      <c r="I656" s="11" t="s">
        <v>53</v>
      </c>
      <c r="J656" s="11" t="s">
        <v>397</v>
      </c>
      <c r="K656" s="61"/>
      <c r="L656" s="11" t="s">
        <v>67</v>
      </c>
      <c r="M656" s="25"/>
      <c r="N656" s="82"/>
      <c r="O656" s="3" t="str">
        <f t="shared" si="228"/>
        <v>E</v>
      </c>
      <c r="P656" s="84"/>
      <c r="Q656" s="84"/>
      <c r="R656" s="32"/>
      <c r="S656" s="3" t="str">
        <f t="shared" si="240"/>
        <v>E</v>
      </c>
      <c r="T656" s="84"/>
      <c r="U656" s="84"/>
      <c r="V656" s="32"/>
      <c r="W656" s="3" t="str">
        <f t="shared" si="229"/>
        <v>A</v>
      </c>
      <c r="X656" s="84"/>
      <c r="Y656" s="84"/>
      <c r="Z656" s="32"/>
      <c r="AA656" s="3" t="str">
        <f t="shared" si="230"/>
        <v>A</v>
      </c>
      <c r="AB656" s="84"/>
      <c r="AC656" s="84"/>
      <c r="AD656" s="36"/>
      <c r="AE656" s="82"/>
      <c r="AF656" s="3" t="str">
        <f t="shared" si="231"/>
        <v>A</v>
      </c>
      <c r="AG656" s="84"/>
      <c r="AH656" s="84"/>
      <c r="AI656" s="39"/>
      <c r="AJ656" s="79" t="s">
        <v>38</v>
      </c>
      <c r="AK656" s="39"/>
      <c r="AL656" s="4">
        <f t="shared" si="236"/>
        <v>0</v>
      </c>
      <c r="AM656" s="4">
        <f t="shared" si="237"/>
        <v>0</v>
      </c>
      <c r="AN656" s="4">
        <f t="shared" si="232"/>
        <v>0</v>
      </c>
      <c r="AO656" s="39"/>
      <c r="AP656" s="8">
        <f t="shared" si="238"/>
        <v>0</v>
      </c>
      <c r="AQ656" s="8">
        <f t="shared" si="239"/>
        <v>0</v>
      </c>
      <c r="AR656" s="8">
        <f t="shared" si="233"/>
        <v>0</v>
      </c>
      <c r="AS656" s="42"/>
      <c r="AT656" s="84"/>
      <c r="AU656" s="84"/>
      <c r="AV656" s="4">
        <f t="shared" si="234"/>
        <v>0</v>
      </c>
      <c r="AW656" s="50" t="str">
        <f t="shared" si="235"/>
        <v/>
      </c>
      <c r="AX656" s="1" t="s">
        <v>1707</v>
      </c>
      <c r="AY656" s="2" t="s">
        <v>1708</v>
      </c>
      <c r="AZ656" s="2"/>
      <c r="BA656" s="73"/>
      <c r="BB656" s="73"/>
      <c r="BC656" s="73"/>
      <c r="BD656" s="73"/>
      <c r="BE656" s="66">
        <v>0</v>
      </c>
      <c r="BF656" s="66">
        <v>0.05</v>
      </c>
      <c r="BG656" s="63">
        <v>0</v>
      </c>
      <c r="BH656" s="2"/>
      <c r="BI656" s="2"/>
      <c r="BJ656" s="2">
        <v>555048</v>
      </c>
      <c r="BK656" s="2">
        <v>29140.02</v>
      </c>
      <c r="BL656" s="1" t="s">
        <v>396</v>
      </c>
    </row>
    <row r="657" spans="1:64" x14ac:dyDescent="0.25">
      <c r="A657" s="81" t="s">
        <v>1580</v>
      </c>
      <c r="B657" s="82" t="s">
        <v>1580</v>
      </c>
      <c r="C657" s="81" t="s">
        <v>1581</v>
      </c>
      <c r="D657" s="16">
        <v>43118</v>
      </c>
      <c r="E657" s="17"/>
      <c r="F657" s="2" t="s">
        <v>423</v>
      </c>
      <c r="G657" s="2" t="s">
        <v>424</v>
      </c>
      <c r="H657" s="10" t="s">
        <v>105</v>
      </c>
      <c r="I657" s="11" t="s">
        <v>53</v>
      </c>
      <c r="J657" s="11" t="s">
        <v>312</v>
      </c>
      <c r="K657" s="61"/>
      <c r="L657" s="11" t="s">
        <v>67</v>
      </c>
      <c r="M657" s="25"/>
      <c r="N657" s="82"/>
      <c r="O657" s="3" t="str">
        <f t="shared" si="228"/>
        <v>A</v>
      </c>
      <c r="P657" s="84">
        <v>51389</v>
      </c>
      <c r="Q657" s="84">
        <v>8790</v>
      </c>
      <c r="R657" s="32"/>
      <c r="S657" s="3" t="str">
        <f t="shared" si="240"/>
        <v>A</v>
      </c>
      <c r="T657" s="84">
        <v>41731</v>
      </c>
      <c r="U657" s="84">
        <v>12487</v>
      </c>
      <c r="V657" s="32"/>
      <c r="W657" s="3" t="str">
        <f t="shared" si="229"/>
        <v>A</v>
      </c>
      <c r="X657" s="84">
        <v>37640</v>
      </c>
      <c r="Y657" s="84">
        <v>7435</v>
      </c>
      <c r="Z657" s="32"/>
      <c r="AA657" s="3" t="str">
        <f t="shared" si="230"/>
        <v>A</v>
      </c>
      <c r="AB657" s="84">
        <v>43683</v>
      </c>
      <c r="AC657" s="84">
        <v>10179</v>
      </c>
      <c r="AD657" s="36"/>
      <c r="AE657" s="82"/>
      <c r="AF657" s="3" t="str">
        <f t="shared" si="231"/>
        <v>A</v>
      </c>
      <c r="AG657" s="84">
        <v>0</v>
      </c>
      <c r="AH657" s="84">
        <v>0</v>
      </c>
      <c r="AI657" s="39"/>
      <c r="AJ657" s="79" t="s">
        <v>1801</v>
      </c>
      <c r="AK657" s="39"/>
      <c r="AL657" s="4">
        <f t="shared" si="236"/>
        <v>174443</v>
      </c>
      <c r="AM657" s="4">
        <f t="shared" si="237"/>
        <v>38891</v>
      </c>
      <c r="AN657" s="4">
        <f t="shared" si="232"/>
        <v>213334</v>
      </c>
      <c r="AO657" s="39"/>
      <c r="AP657" s="8">
        <f t="shared" si="238"/>
        <v>0</v>
      </c>
      <c r="AQ657" s="8">
        <f t="shared" si="239"/>
        <v>0</v>
      </c>
      <c r="AR657" s="8">
        <f t="shared" si="233"/>
        <v>0</v>
      </c>
      <c r="AS657" s="42"/>
      <c r="AT657" s="84">
        <v>174443</v>
      </c>
      <c r="AU657" s="84">
        <v>38891</v>
      </c>
      <c r="AV657" s="4">
        <f t="shared" si="234"/>
        <v>213334</v>
      </c>
      <c r="AW657" s="50" t="str">
        <f t="shared" si="235"/>
        <v/>
      </c>
      <c r="AX657" s="1" t="s">
        <v>1705</v>
      </c>
      <c r="AY657" s="2" t="s">
        <v>1706</v>
      </c>
      <c r="AZ657" s="2">
        <v>159942.24</v>
      </c>
      <c r="BA657" s="73">
        <v>139949.46</v>
      </c>
      <c r="BB657" s="73">
        <v>139949.46</v>
      </c>
      <c r="BC657" s="73">
        <v>159942.24</v>
      </c>
      <c r="BD657" s="73"/>
      <c r="BE657" s="66">
        <v>0</v>
      </c>
      <c r="BF657" s="66">
        <v>0.05</v>
      </c>
      <c r="BG657" s="63">
        <v>44925</v>
      </c>
      <c r="BH657" s="2"/>
      <c r="BI657" s="2"/>
      <c r="BJ657" s="2">
        <v>578874.30000000005</v>
      </c>
      <c r="BK657" s="2">
        <v>32252.09</v>
      </c>
      <c r="BL657" s="1" t="s">
        <v>104</v>
      </c>
    </row>
    <row r="658" spans="1:64" x14ac:dyDescent="0.25">
      <c r="A658" s="81" t="s">
        <v>1582</v>
      </c>
      <c r="B658" s="82" t="s">
        <v>1582</v>
      </c>
      <c r="C658" s="81" t="s">
        <v>1583</v>
      </c>
      <c r="D658" s="16">
        <v>54788</v>
      </c>
      <c r="E658" s="17"/>
      <c r="F658" s="2" t="s">
        <v>904</v>
      </c>
      <c r="G658" s="2" t="s">
        <v>906</v>
      </c>
      <c r="H658" s="10" t="s">
        <v>57</v>
      </c>
      <c r="I658" s="11" t="s">
        <v>905</v>
      </c>
      <c r="J658" s="11" t="s">
        <v>338</v>
      </c>
      <c r="K658" s="61" t="s">
        <v>339</v>
      </c>
      <c r="L658" s="11" t="s">
        <v>67</v>
      </c>
      <c r="M658" s="25"/>
      <c r="N658" s="82"/>
      <c r="O658" s="3" t="str">
        <f t="shared" si="228"/>
        <v>E</v>
      </c>
      <c r="P658" s="84"/>
      <c r="Q658" s="84"/>
      <c r="R658" s="32"/>
      <c r="S658" s="3" t="str">
        <f t="shared" si="240"/>
        <v>E</v>
      </c>
      <c r="T658" s="84"/>
      <c r="U658" s="84"/>
      <c r="V658" s="32"/>
      <c r="W658" s="3" t="str">
        <f t="shared" si="229"/>
        <v>A</v>
      </c>
      <c r="X658" s="84"/>
      <c r="Y658" s="84"/>
      <c r="Z658" s="32"/>
      <c r="AA658" s="3" t="str">
        <f t="shared" si="230"/>
        <v>A</v>
      </c>
      <c r="AB658" s="84"/>
      <c r="AC658" s="84"/>
      <c r="AD658" s="36"/>
      <c r="AE658" s="82"/>
      <c r="AF658" s="3" t="str">
        <f t="shared" si="231"/>
        <v>A</v>
      </c>
      <c r="AG658" s="84"/>
      <c r="AH658" s="84"/>
      <c r="AI658" s="39"/>
      <c r="AJ658" s="79" t="s">
        <v>38</v>
      </c>
      <c r="AK658" s="39"/>
      <c r="AL658" s="4">
        <f t="shared" si="236"/>
        <v>0</v>
      </c>
      <c r="AM658" s="4">
        <f t="shared" si="237"/>
        <v>0</v>
      </c>
      <c r="AN658" s="4">
        <f t="shared" si="232"/>
        <v>0</v>
      </c>
      <c r="AO658" s="39"/>
      <c r="AP658" s="8">
        <f t="shared" si="238"/>
        <v>0</v>
      </c>
      <c r="AQ658" s="8">
        <f t="shared" si="239"/>
        <v>0</v>
      </c>
      <c r="AR658" s="8">
        <f t="shared" si="233"/>
        <v>0</v>
      </c>
      <c r="AS658" s="42"/>
      <c r="AT658" s="84"/>
      <c r="AU658" s="84"/>
      <c r="AV658" s="4">
        <f t="shared" si="234"/>
        <v>0</v>
      </c>
      <c r="AW658" s="50" t="str">
        <f t="shared" si="235"/>
        <v/>
      </c>
      <c r="AX658" s="1" t="s">
        <v>1740</v>
      </c>
      <c r="AY658" s="2" t="s">
        <v>1741</v>
      </c>
      <c r="AZ658" s="2"/>
      <c r="BA658" s="73"/>
      <c r="BB658" s="73"/>
      <c r="BC658" s="73"/>
      <c r="BD658" s="73"/>
      <c r="BE658" s="66">
        <v>0</v>
      </c>
      <c r="BF658" s="66">
        <v>0</v>
      </c>
      <c r="BG658" s="63">
        <v>0</v>
      </c>
      <c r="BH658" s="2"/>
      <c r="BI658" s="2"/>
      <c r="BJ658" s="2">
        <v>933103.5</v>
      </c>
      <c r="BK658" s="2">
        <v>48987.93</v>
      </c>
      <c r="BL658" s="1" t="s">
        <v>56</v>
      </c>
    </row>
    <row r="659" spans="1:64" x14ac:dyDescent="0.25">
      <c r="A659" s="81" t="s">
        <v>1586</v>
      </c>
      <c r="B659" s="82" t="s">
        <v>1586</v>
      </c>
      <c r="C659" s="81" t="s">
        <v>1587</v>
      </c>
      <c r="D659" s="16">
        <v>54788</v>
      </c>
      <c r="E659" s="17"/>
      <c r="F659" s="2" t="s">
        <v>1588</v>
      </c>
      <c r="G659" s="2" t="s">
        <v>1589</v>
      </c>
      <c r="H659" s="10" t="s">
        <v>98</v>
      </c>
      <c r="I659" s="11" t="s">
        <v>53</v>
      </c>
      <c r="J659" s="11" t="s">
        <v>99</v>
      </c>
      <c r="K659" s="61"/>
      <c r="L659" s="11" t="s">
        <v>67</v>
      </c>
      <c r="M659" s="25"/>
      <c r="N659" s="82"/>
      <c r="O659" s="3" t="str">
        <f t="shared" si="228"/>
        <v>E</v>
      </c>
      <c r="P659" s="84"/>
      <c r="Q659" s="84"/>
      <c r="R659" s="32"/>
      <c r="S659" s="3" t="str">
        <f t="shared" si="240"/>
        <v>E</v>
      </c>
      <c r="T659" s="84"/>
      <c r="U659" s="84"/>
      <c r="V659" s="32"/>
      <c r="W659" s="3" t="str">
        <f t="shared" si="229"/>
        <v>A</v>
      </c>
      <c r="X659" s="84"/>
      <c r="Y659" s="84"/>
      <c r="Z659" s="32"/>
      <c r="AA659" s="3" t="str">
        <f t="shared" si="230"/>
        <v>A</v>
      </c>
      <c r="AB659" s="84"/>
      <c r="AC659" s="84"/>
      <c r="AD659" s="36"/>
      <c r="AE659" s="82"/>
      <c r="AF659" s="3" t="str">
        <f t="shared" si="231"/>
        <v>A</v>
      </c>
      <c r="AG659" s="84"/>
      <c r="AH659" s="84"/>
      <c r="AI659" s="39"/>
      <c r="AJ659" s="79" t="s">
        <v>38</v>
      </c>
      <c r="AK659" s="39"/>
      <c r="AL659" s="4">
        <f t="shared" si="236"/>
        <v>0</v>
      </c>
      <c r="AM659" s="4">
        <f t="shared" si="237"/>
        <v>0</v>
      </c>
      <c r="AN659" s="4">
        <f t="shared" si="232"/>
        <v>0</v>
      </c>
      <c r="AO659" s="39"/>
      <c r="AP659" s="8">
        <f t="shared" si="238"/>
        <v>0</v>
      </c>
      <c r="AQ659" s="8">
        <f t="shared" si="239"/>
        <v>0</v>
      </c>
      <c r="AR659" s="8">
        <f t="shared" si="233"/>
        <v>0</v>
      </c>
      <c r="AS659" s="42"/>
      <c r="AT659" s="84"/>
      <c r="AU659" s="84"/>
      <c r="AV659" s="4">
        <f t="shared" si="234"/>
        <v>0</v>
      </c>
      <c r="AW659" s="50" t="str">
        <f t="shared" si="235"/>
        <v/>
      </c>
      <c r="AX659" s="1" t="s">
        <v>1796</v>
      </c>
      <c r="AY659" s="2" t="s">
        <v>1797</v>
      </c>
      <c r="AZ659" s="2"/>
      <c r="BA659" s="73"/>
      <c r="BB659" s="73"/>
      <c r="BC659" s="73"/>
      <c r="BD659" s="73"/>
      <c r="BE659" s="66">
        <v>0</v>
      </c>
      <c r="BF659" s="66">
        <v>0.05</v>
      </c>
      <c r="BG659" s="63">
        <v>0</v>
      </c>
      <c r="BH659" s="2"/>
      <c r="BI659" s="2"/>
      <c r="BJ659" s="2">
        <v>552430</v>
      </c>
      <c r="BK659" s="2">
        <v>29002.58</v>
      </c>
      <c r="BL659" s="1" t="s">
        <v>97</v>
      </c>
    </row>
    <row r="660" spans="1:64" x14ac:dyDescent="0.25">
      <c r="A660" s="81" t="s">
        <v>1590</v>
      </c>
      <c r="B660" s="82" t="s">
        <v>1590</v>
      </c>
      <c r="C660" s="81" t="s">
        <v>1591</v>
      </c>
      <c r="D660" s="16">
        <v>0</v>
      </c>
      <c r="E660" s="17"/>
      <c r="F660" s="2" t="s">
        <v>143</v>
      </c>
      <c r="G660" s="2" t="s">
        <v>144</v>
      </c>
      <c r="H660" s="10" t="s">
        <v>105</v>
      </c>
      <c r="I660" s="11" t="s">
        <v>53</v>
      </c>
      <c r="J660" s="11" t="s">
        <v>145</v>
      </c>
      <c r="K660" s="61"/>
      <c r="L660" s="11" t="s">
        <v>67</v>
      </c>
      <c r="M660" s="25"/>
      <c r="N660" s="82"/>
      <c r="O660" s="3" t="str">
        <f t="shared" si="228"/>
        <v>E</v>
      </c>
      <c r="P660" s="84">
        <v>129630.56</v>
      </c>
      <c r="Q660" s="84">
        <v>8306.08</v>
      </c>
      <c r="R660" s="32"/>
      <c r="S660" s="3" t="str">
        <f t="shared" si="240"/>
        <v>E</v>
      </c>
      <c r="T660" s="84">
        <v>113426.74</v>
      </c>
      <c r="U660" s="84">
        <v>7267.82</v>
      </c>
      <c r="V660" s="32"/>
      <c r="W660" s="3" t="str">
        <f t="shared" si="229"/>
        <v>E</v>
      </c>
      <c r="X660" s="84">
        <v>113426.74</v>
      </c>
      <c r="Y660" s="84">
        <v>7267.82</v>
      </c>
      <c r="Z660" s="32"/>
      <c r="AA660" s="3" t="str">
        <f t="shared" si="230"/>
        <v>E</v>
      </c>
      <c r="AB660" s="84">
        <v>129630.56</v>
      </c>
      <c r="AC660" s="84">
        <v>8306.08</v>
      </c>
      <c r="AD660" s="36"/>
      <c r="AE660" s="82"/>
      <c r="AF660" s="3" t="str">
        <f t="shared" si="231"/>
        <v>A</v>
      </c>
      <c r="AG660" s="84"/>
      <c r="AH660" s="84"/>
      <c r="AI660" s="39"/>
      <c r="AJ660" s="79" t="s">
        <v>38</v>
      </c>
      <c r="AK660" s="39"/>
      <c r="AL660" s="4">
        <f t="shared" si="236"/>
        <v>0</v>
      </c>
      <c r="AM660" s="4">
        <f t="shared" si="237"/>
        <v>0</v>
      </c>
      <c r="AN660" s="4">
        <f t="shared" si="232"/>
        <v>0</v>
      </c>
      <c r="AO660" s="39"/>
      <c r="AP660" s="8">
        <f t="shared" si="238"/>
        <v>486114.6</v>
      </c>
      <c r="AQ660" s="8">
        <f t="shared" si="239"/>
        <v>31147.800000000003</v>
      </c>
      <c r="AR660" s="8">
        <f t="shared" si="233"/>
        <v>517262.39999999997</v>
      </c>
      <c r="AS660" s="42"/>
      <c r="AT660" s="84"/>
      <c r="AU660" s="84"/>
      <c r="AV660" s="4">
        <f t="shared" si="234"/>
        <v>0</v>
      </c>
      <c r="AW660" s="50" t="str">
        <f t="shared" si="235"/>
        <v/>
      </c>
      <c r="AX660" s="1" t="s">
        <v>1650</v>
      </c>
      <c r="AY660" s="2" t="s">
        <v>1651</v>
      </c>
      <c r="AZ660" s="2">
        <v>129630.56</v>
      </c>
      <c r="BA660" s="73">
        <v>113426.74</v>
      </c>
      <c r="BB660" s="73">
        <v>113426.74</v>
      </c>
      <c r="BC660" s="73">
        <v>129630.56</v>
      </c>
      <c r="BD660" s="73"/>
      <c r="BE660" s="66">
        <v>0</v>
      </c>
      <c r="BF660" s="66">
        <v>0.05</v>
      </c>
      <c r="BG660" s="63">
        <v>45782</v>
      </c>
      <c r="BH660" s="2"/>
      <c r="BI660" s="2"/>
      <c r="BJ660" s="2">
        <v>489867.86</v>
      </c>
      <c r="BK660" s="2">
        <v>28804.23</v>
      </c>
      <c r="BL660" s="1" t="s">
        <v>104</v>
      </c>
    </row>
    <row r="661" spans="1:64" x14ac:dyDescent="0.25">
      <c r="A661" s="81" t="s">
        <v>1608</v>
      </c>
      <c r="B661" s="82" t="s">
        <v>1608</v>
      </c>
      <c r="C661" s="81" t="s">
        <v>1609</v>
      </c>
      <c r="D661" s="16">
        <v>45836</v>
      </c>
      <c r="E661" s="17"/>
      <c r="F661" s="2" t="s">
        <v>904</v>
      </c>
      <c r="G661" s="2" t="s">
        <v>906</v>
      </c>
      <c r="H661" s="10" t="s">
        <v>57</v>
      </c>
      <c r="I661" s="11" t="s">
        <v>905</v>
      </c>
      <c r="J661" s="11" t="s">
        <v>338</v>
      </c>
      <c r="K661" s="61" t="s">
        <v>1610</v>
      </c>
      <c r="L661" s="11" t="s">
        <v>67</v>
      </c>
      <c r="M661" s="25"/>
      <c r="N661" s="82"/>
      <c r="O661" s="3" t="str">
        <f t="shared" si="228"/>
        <v>E</v>
      </c>
      <c r="P661" s="84"/>
      <c r="Q661" s="84"/>
      <c r="R661" s="32"/>
      <c r="S661" s="3" t="str">
        <f t="shared" si="240"/>
        <v>E</v>
      </c>
      <c r="T661" s="84"/>
      <c r="U661" s="84"/>
      <c r="V661" s="32"/>
      <c r="W661" s="3" t="str">
        <f t="shared" si="229"/>
        <v>A</v>
      </c>
      <c r="X661" s="84">
        <v>0</v>
      </c>
      <c r="Y661" s="84">
        <v>0</v>
      </c>
      <c r="Z661" s="32"/>
      <c r="AA661" s="3" t="str">
        <f t="shared" si="230"/>
        <v>A</v>
      </c>
      <c r="AB661" s="84">
        <v>25072</v>
      </c>
      <c r="AC661" s="84">
        <v>7493</v>
      </c>
      <c r="AD661" s="36"/>
      <c r="AE661" s="82"/>
      <c r="AF661" s="3" t="str">
        <f t="shared" si="231"/>
        <v>A</v>
      </c>
      <c r="AG661" s="84">
        <v>0</v>
      </c>
      <c r="AH661" s="84">
        <v>0</v>
      </c>
      <c r="AI661" s="39"/>
      <c r="AJ661" s="79" t="s">
        <v>38</v>
      </c>
      <c r="AK661" s="39"/>
      <c r="AL661" s="4">
        <f t="shared" si="236"/>
        <v>25072</v>
      </c>
      <c r="AM661" s="4">
        <f t="shared" si="237"/>
        <v>7493</v>
      </c>
      <c r="AN661" s="4">
        <f t="shared" si="232"/>
        <v>32565</v>
      </c>
      <c r="AO661" s="39"/>
      <c r="AP661" s="8">
        <f t="shared" si="238"/>
        <v>0</v>
      </c>
      <c r="AQ661" s="8">
        <f t="shared" si="239"/>
        <v>0</v>
      </c>
      <c r="AR661" s="8">
        <f t="shared" si="233"/>
        <v>0</v>
      </c>
      <c r="AS661" s="42"/>
      <c r="AT661" s="84">
        <v>25072</v>
      </c>
      <c r="AU661" s="84">
        <v>7493</v>
      </c>
      <c r="AV661" s="4">
        <f t="shared" si="234"/>
        <v>32565</v>
      </c>
      <c r="AW661" s="50" t="str">
        <f t="shared" si="235"/>
        <v/>
      </c>
      <c r="AX661" s="1" t="s">
        <v>1740</v>
      </c>
      <c r="AY661" s="2" t="s">
        <v>1741</v>
      </c>
      <c r="AZ661" s="2"/>
      <c r="BA661" s="73"/>
      <c r="BB661" s="73"/>
      <c r="BC661" s="73">
        <v>241595.28</v>
      </c>
      <c r="BD661" s="73"/>
      <c r="BE661" s="66">
        <v>0</v>
      </c>
      <c r="BF661" s="66">
        <v>0</v>
      </c>
      <c r="BG661" s="63">
        <v>45832</v>
      </c>
      <c r="BH661" s="2"/>
      <c r="BI661" s="2"/>
      <c r="BJ661" s="2">
        <v>933193.5</v>
      </c>
      <c r="BK661" s="2">
        <v>48987.93</v>
      </c>
      <c r="BL661" s="1" t="s">
        <v>56</v>
      </c>
    </row>
    <row r="662" spans="1:64" x14ac:dyDescent="0.25">
      <c r="A662" s="81" t="s">
        <v>1611</v>
      </c>
      <c r="B662" s="82" t="s">
        <v>1611</v>
      </c>
      <c r="C662" s="81" t="s">
        <v>1612</v>
      </c>
      <c r="D662" s="16">
        <v>54788</v>
      </c>
      <c r="E662" s="17"/>
      <c r="F662" s="2" t="s">
        <v>904</v>
      </c>
      <c r="G662" s="2" t="s">
        <v>906</v>
      </c>
      <c r="H662" s="10" t="s">
        <v>57</v>
      </c>
      <c r="I662" s="11" t="s">
        <v>905</v>
      </c>
      <c r="J662" s="11" t="s">
        <v>338</v>
      </c>
      <c r="K662" s="61" t="s">
        <v>1610</v>
      </c>
      <c r="L662" s="11" t="s">
        <v>67</v>
      </c>
      <c r="M662" s="25"/>
      <c r="N662" s="82"/>
      <c r="O662" s="3" t="str">
        <f t="shared" si="228"/>
        <v>E</v>
      </c>
      <c r="P662" s="84"/>
      <c r="Q662" s="84"/>
      <c r="R662" s="32"/>
      <c r="S662" s="3" t="str">
        <f t="shared" si="240"/>
        <v>E</v>
      </c>
      <c r="T662" s="84"/>
      <c r="U662" s="84"/>
      <c r="V662" s="32"/>
      <c r="W662" s="3" t="str">
        <f t="shared" si="229"/>
        <v>A</v>
      </c>
      <c r="X662" s="84"/>
      <c r="Y662" s="84"/>
      <c r="Z662" s="32"/>
      <c r="AA662" s="3" t="str">
        <f t="shared" si="230"/>
        <v>A</v>
      </c>
      <c r="AB662" s="84"/>
      <c r="AC662" s="84"/>
      <c r="AD662" s="36"/>
      <c r="AE662" s="82"/>
      <c r="AF662" s="3" t="str">
        <f t="shared" si="231"/>
        <v>A</v>
      </c>
      <c r="AG662" s="84"/>
      <c r="AH662" s="84"/>
      <c r="AI662" s="39"/>
      <c r="AJ662" s="79" t="s">
        <v>38</v>
      </c>
      <c r="AK662" s="39"/>
      <c r="AL662" s="4">
        <f t="shared" si="236"/>
        <v>0</v>
      </c>
      <c r="AM662" s="4">
        <f t="shared" si="237"/>
        <v>0</v>
      </c>
      <c r="AN662" s="4">
        <f t="shared" si="232"/>
        <v>0</v>
      </c>
      <c r="AO662" s="39"/>
      <c r="AP662" s="8">
        <f t="shared" si="238"/>
        <v>0</v>
      </c>
      <c r="AQ662" s="8">
        <f t="shared" si="239"/>
        <v>0</v>
      </c>
      <c r="AR662" s="8">
        <f t="shared" si="233"/>
        <v>0</v>
      </c>
      <c r="AS662" s="42"/>
      <c r="AT662" s="84"/>
      <c r="AU662" s="84"/>
      <c r="AV662" s="4">
        <f t="shared" si="234"/>
        <v>0</v>
      </c>
      <c r="AW662" s="50" t="str">
        <f t="shared" si="235"/>
        <v/>
      </c>
      <c r="AX662" s="1" t="s">
        <v>1740</v>
      </c>
      <c r="AY662" s="2" t="s">
        <v>1741</v>
      </c>
      <c r="AZ662" s="2"/>
      <c r="BA662" s="73"/>
      <c r="BB662" s="73"/>
      <c r="BC662" s="73"/>
      <c r="BD662" s="73"/>
      <c r="BE662" s="66">
        <v>0</v>
      </c>
      <c r="BF662" s="66">
        <v>0</v>
      </c>
      <c r="BG662" s="63">
        <v>0</v>
      </c>
      <c r="BH662" s="2"/>
      <c r="BI662" s="2"/>
      <c r="BJ662" s="2">
        <v>933193.5</v>
      </c>
      <c r="BK662" s="2">
        <v>48987.93</v>
      </c>
      <c r="BL662" s="1" t="s">
        <v>56</v>
      </c>
    </row>
    <row r="663" spans="1:64" x14ac:dyDescent="0.25">
      <c r="A663" s="81" t="s">
        <v>1613</v>
      </c>
      <c r="B663" s="82" t="s">
        <v>1613</v>
      </c>
      <c r="C663" s="81" t="s">
        <v>1614</v>
      </c>
      <c r="D663" s="16">
        <v>45755</v>
      </c>
      <c r="E663" s="17"/>
      <c r="F663" s="2" t="s">
        <v>1164</v>
      </c>
      <c r="G663" s="2" t="s">
        <v>1165</v>
      </c>
      <c r="H663" s="10" t="s">
        <v>57</v>
      </c>
      <c r="I663" s="11" t="s">
        <v>53</v>
      </c>
      <c r="J663" s="11" t="s">
        <v>1166</v>
      </c>
      <c r="K663" s="61"/>
      <c r="L663" s="11" t="s">
        <v>67</v>
      </c>
      <c r="M663" s="25"/>
      <c r="N663" s="82"/>
      <c r="O663" s="3" t="str">
        <f t="shared" si="228"/>
        <v>E</v>
      </c>
      <c r="P663" s="84">
        <v>199033.84</v>
      </c>
      <c r="Q663" s="84">
        <v>26443.040000000001</v>
      </c>
      <c r="R663" s="32"/>
      <c r="S663" s="3" t="str">
        <f t="shared" si="240"/>
        <v>A</v>
      </c>
      <c r="T663" s="84">
        <v>82471</v>
      </c>
      <c r="U663" s="84">
        <v>8656</v>
      </c>
      <c r="V663" s="32"/>
      <c r="W663" s="3" t="str">
        <f t="shared" si="229"/>
        <v>A</v>
      </c>
      <c r="X663" s="84">
        <v>74726</v>
      </c>
      <c r="Y663" s="84">
        <v>7665</v>
      </c>
      <c r="Z663" s="32"/>
      <c r="AA663" s="3" t="str">
        <f t="shared" si="230"/>
        <v>A</v>
      </c>
      <c r="AB663" s="84">
        <v>82441</v>
      </c>
      <c r="AC663" s="84">
        <v>7865</v>
      </c>
      <c r="AD663" s="36"/>
      <c r="AE663" s="82"/>
      <c r="AF663" s="3" t="str">
        <f t="shared" si="231"/>
        <v>A</v>
      </c>
      <c r="AG663" s="84">
        <v>0</v>
      </c>
      <c r="AH663" s="84">
        <v>0</v>
      </c>
      <c r="AI663" s="39"/>
      <c r="AJ663" s="79" t="s">
        <v>38</v>
      </c>
      <c r="AK663" s="39"/>
      <c r="AL663" s="4">
        <f t="shared" si="236"/>
        <v>239638</v>
      </c>
      <c r="AM663" s="4">
        <f t="shared" si="237"/>
        <v>24186</v>
      </c>
      <c r="AN663" s="4">
        <f t="shared" si="232"/>
        <v>263824</v>
      </c>
      <c r="AO663" s="39"/>
      <c r="AP663" s="8">
        <f t="shared" si="238"/>
        <v>199033.84</v>
      </c>
      <c r="AQ663" s="8">
        <f t="shared" si="239"/>
        <v>26443.040000000001</v>
      </c>
      <c r="AR663" s="8">
        <f t="shared" si="233"/>
        <v>225476.88</v>
      </c>
      <c r="AS663" s="42"/>
      <c r="AT663" s="84">
        <v>239638</v>
      </c>
      <c r="AU663" s="84">
        <v>24186</v>
      </c>
      <c r="AV663" s="4">
        <f t="shared" si="234"/>
        <v>263824</v>
      </c>
      <c r="AW663" s="50" t="str">
        <f t="shared" si="235"/>
        <v/>
      </c>
      <c r="AX663" s="1" t="s">
        <v>1762</v>
      </c>
      <c r="AY663" s="2" t="s">
        <v>1763</v>
      </c>
      <c r="AZ663" s="2">
        <v>199033.84</v>
      </c>
      <c r="BA663" s="73">
        <v>174154.61</v>
      </c>
      <c r="BB663" s="73">
        <v>174154.61</v>
      </c>
      <c r="BC663" s="73">
        <v>199033.84</v>
      </c>
      <c r="BD663" s="73"/>
      <c r="BE663" s="66">
        <v>0</v>
      </c>
      <c r="BF663" s="66">
        <v>0.05</v>
      </c>
      <c r="BG663" s="63">
        <v>45755</v>
      </c>
      <c r="BH663" s="2"/>
      <c r="BI663" s="2"/>
      <c r="BJ663" s="2">
        <v>738225.97</v>
      </c>
      <c r="BK663" s="2">
        <v>82025.100000000006</v>
      </c>
      <c r="BL663" s="1" t="s">
        <v>56</v>
      </c>
    </row>
    <row r="664" spans="1:64" x14ac:dyDescent="0.25">
      <c r="A664" s="81" t="s">
        <v>1613</v>
      </c>
      <c r="B664" s="82" t="s">
        <v>1615</v>
      </c>
      <c r="C664" s="81" t="s">
        <v>1616</v>
      </c>
      <c r="D664" s="16">
        <v>45755</v>
      </c>
      <c r="E664" s="17"/>
      <c r="F664" s="2" t="s">
        <v>1164</v>
      </c>
      <c r="G664" s="2" t="s">
        <v>1165</v>
      </c>
      <c r="H664" s="10" t="s">
        <v>57</v>
      </c>
      <c r="I664" s="11" t="s">
        <v>53</v>
      </c>
      <c r="J664" s="11" t="s">
        <v>1166</v>
      </c>
      <c r="K664" s="61"/>
      <c r="L664" s="11" t="s">
        <v>67</v>
      </c>
      <c r="M664" s="25"/>
      <c r="N664" s="82"/>
      <c r="O664" s="3" t="str">
        <f t="shared" si="228"/>
        <v>A</v>
      </c>
      <c r="P664" s="84">
        <v>23023</v>
      </c>
      <c r="Q664" s="84">
        <v>4922</v>
      </c>
      <c r="R664" s="32"/>
      <c r="S664" s="3" t="str">
        <f t="shared" si="240"/>
        <v>A</v>
      </c>
      <c r="T664" s="84">
        <v>15330</v>
      </c>
      <c r="U664" s="84">
        <v>3140</v>
      </c>
      <c r="V664" s="32"/>
      <c r="W664" s="3" t="str">
        <f t="shared" si="229"/>
        <v>A</v>
      </c>
      <c r="X664" s="84">
        <v>13196.93</v>
      </c>
      <c r="Y664" s="84">
        <v>2859</v>
      </c>
      <c r="Z664" s="32"/>
      <c r="AA664" s="3" t="str">
        <f t="shared" si="230"/>
        <v>A</v>
      </c>
      <c r="AB664" s="84">
        <v>16226.07</v>
      </c>
      <c r="AC664" s="84">
        <v>4444</v>
      </c>
      <c r="AD664" s="36"/>
      <c r="AE664" s="82"/>
      <c r="AF664" s="3" t="str">
        <f t="shared" si="231"/>
        <v>A</v>
      </c>
      <c r="AG664" s="84">
        <v>0</v>
      </c>
      <c r="AH664" s="84">
        <v>0</v>
      </c>
      <c r="AI664" s="39"/>
      <c r="AJ664" s="79" t="s">
        <v>1801</v>
      </c>
      <c r="AK664" s="39"/>
      <c r="AL664" s="4">
        <f t="shared" si="236"/>
        <v>67776</v>
      </c>
      <c r="AM664" s="4">
        <f t="shared" si="237"/>
        <v>15365</v>
      </c>
      <c r="AN664" s="4">
        <f t="shared" si="232"/>
        <v>83141</v>
      </c>
      <c r="AO664" s="39"/>
      <c r="AP664" s="8">
        <f t="shared" si="238"/>
        <v>0</v>
      </c>
      <c r="AQ664" s="8">
        <f t="shared" si="239"/>
        <v>0</v>
      </c>
      <c r="AR664" s="8">
        <f t="shared" si="233"/>
        <v>0</v>
      </c>
      <c r="AS664" s="42"/>
      <c r="AT664" s="84">
        <v>67776</v>
      </c>
      <c r="AU664" s="84">
        <v>15365</v>
      </c>
      <c r="AV664" s="4">
        <f t="shared" si="234"/>
        <v>83141</v>
      </c>
      <c r="AW664" s="50" t="str">
        <f t="shared" si="235"/>
        <v/>
      </c>
      <c r="AX664" s="1" t="s">
        <v>1762</v>
      </c>
      <c r="AY664" s="2" t="s">
        <v>1763</v>
      </c>
      <c r="AZ664" s="2">
        <v>86060.4</v>
      </c>
      <c r="BA664" s="73">
        <v>75302.850000000006</v>
      </c>
      <c r="BB664" s="73">
        <v>75302.850000000006</v>
      </c>
      <c r="BC664" s="73">
        <v>86060.4</v>
      </c>
      <c r="BD664" s="73"/>
      <c r="BE664" s="66">
        <v>0</v>
      </c>
      <c r="BF664" s="66">
        <v>0.05</v>
      </c>
      <c r="BG664" s="63">
        <v>45755</v>
      </c>
      <c r="BH664" s="2"/>
      <c r="BI664" s="2"/>
      <c r="BJ664" s="2">
        <v>319202.08</v>
      </c>
      <c r="BK664" s="2">
        <v>169432.33</v>
      </c>
      <c r="BL664" s="1" t="s">
        <v>56</v>
      </c>
    </row>
    <row r="665" spans="1:64" x14ac:dyDescent="0.25">
      <c r="A665" s="81" t="s">
        <v>1621</v>
      </c>
      <c r="B665" s="82" t="s">
        <v>1621</v>
      </c>
      <c r="C665" s="81" t="s">
        <v>1622</v>
      </c>
      <c r="D665" s="16">
        <v>54788</v>
      </c>
      <c r="E665" s="17"/>
      <c r="F665" s="2" t="s">
        <v>1466</v>
      </c>
      <c r="G665" s="2" t="s">
        <v>1467</v>
      </c>
      <c r="H665" s="10" t="s">
        <v>98</v>
      </c>
      <c r="I665" s="11" t="s">
        <v>53</v>
      </c>
      <c r="J665" s="11" t="s">
        <v>224</v>
      </c>
      <c r="K665" s="61"/>
      <c r="L665" s="11" t="s">
        <v>67</v>
      </c>
      <c r="M665" s="25"/>
      <c r="N665" s="82"/>
      <c r="O665" s="3" t="str">
        <f t="shared" si="228"/>
        <v>E</v>
      </c>
      <c r="P665" s="84"/>
      <c r="Q665" s="84"/>
      <c r="R665" s="32"/>
      <c r="S665" s="3" t="str">
        <f t="shared" si="240"/>
        <v>E</v>
      </c>
      <c r="T665" s="84"/>
      <c r="U665" s="84"/>
      <c r="V665" s="32"/>
      <c r="W665" s="3" t="str">
        <f t="shared" si="229"/>
        <v>A</v>
      </c>
      <c r="X665" s="84"/>
      <c r="Y665" s="84"/>
      <c r="Z665" s="32"/>
      <c r="AA665" s="3" t="str">
        <f t="shared" si="230"/>
        <v>A</v>
      </c>
      <c r="AB665" s="84"/>
      <c r="AC665" s="84"/>
      <c r="AD665" s="36"/>
      <c r="AE665" s="82"/>
      <c r="AF665" s="3" t="str">
        <f t="shared" si="231"/>
        <v>A</v>
      </c>
      <c r="AG665" s="84"/>
      <c r="AH665" s="84"/>
      <c r="AI665" s="39"/>
      <c r="AJ665" s="79" t="s">
        <v>38</v>
      </c>
      <c r="AK665" s="39"/>
      <c r="AL665" s="4">
        <f t="shared" si="236"/>
        <v>0</v>
      </c>
      <c r="AM665" s="4">
        <f t="shared" si="237"/>
        <v>0</v>
      </c>
      <c r="AN665" s="4">
        <f t="shared" si="232"/>
        <v>0</v>
      </c>
      <c r="AO665" s="39"/>
      <c r="AP665" s="8">
        <f t="shared" si="238"/>
        <v>0</v>
      </c>
      <c r="AQ665" s="8">
        <f t="shared" si="239"/>
        <v>0</v>
      </c>
      <c r="AR665" s="8">
        <f t="shared" si="233"/>
        <v>0</v>
      </c>
      <c r="AS665" s="42"/>
      <c r="AT665" s="84"/>
      <c r="AU665" s="84"/>
      <c r="AV665" s="4">
        <f t="shared" si="234"/>
        <v>0</v>
      </c>
      <c r="AW665" s="50" t="str">
        <f t="shared" si="235"/>
        <v/>
      </c>
      <c r="AX665" s="1" t="s">
        <v>1783</v>
      </c>
      <c r="AY665" s="2" t="s">
        <v>1784</v>
      </c>
      <c r="AZ665" s="2"/>
      <c r="BA665" s="73"/>
      <c r="BB665" s="73"/>
      <c r="BC665" s="73"/>
      <c r="BD665" s="73"/>
      <c r="BE665" s="66">
        <v>0</v>
      </c>
      <c r="BF665" s="66">
        <v>0.05</v>
      </c>
      <c r="BG665" s="63">
        <v>0</v>
      </c>
      <c r="BH665" s="2"/>
      <c r="BI665" s="2"/>
      <c r="BJ665" s="2">
        <v>1508943</v>
      </c>
      <c r="BK665" s="2">
        <v>15009.44</v>
      </c>
      <c r="BL665" s="1" t="s">
        <v>97</v>
      </c>
    </row>
    <row r="666" spans="1:64" x14ac:dyDescent="0.25">
      <c r="A666" s="81" t="s">
        <v>1623</v>
      </c>
      <c r="B666" s="82" t="s">
        <v>1623</v>
      </c>
      <c r="C666" s="81" t="s">
        <v>1624</v>
      </c>
      <c r="D666" s="16">
        <v>54788</v>
      </c>
      <c r="E666" s="17"/>
      <c r="F666" s="2" t="s">
        <v>1466</v>
      </c>
      <c r="G666" s="2" t="s">
        <v>1467</v>
      </c>
      <c r="H666" s="10" t="s">
        <v>98</v>
      </c>
      <c r="I666" s="11" t="s">
        <v>53</v>
      </c>
      <c r="J666" s="11" t="s">
        <v>224</v>
      </c>
      <c r="K666" s="61"/>
      <c r="L666" s="11" t="s">
        <v>67</v>
      </c>
      <c r="M666" s="25"/>
      <c r="N666" s="82"/>
      <c r="O666" s="3" t="str">
        <f t="shared" si="228"/>
        <v>E</v>
      </c>
      <c r="P666" s="84"/>
      <c r="Q666" s="84"/>
      <c r="R666" s="32"/>
      <c r="S666" s="3" t="str">
        <f t="shared" si="240"/>
        <v>E</v>
      </c>
      <c r="T666" s="84"/>
      <c r="U666" s="84"/>
      <c r="V666" s="32"/>
      <c r="W666" s="3" t="str">
        <f t="shared" si="229"/>
        <v>A</v>
      </c>
      <c r="X666" s="84"/>
      <c r="Y666" s="84"/>
      <c r="Z666" s="32"/>
      <c r="AA666" s="3" t="str">
        <f t="shared" si="230"/>
        <v>A</v>
      </c>
      <c r="AB666" s="84"/>
      <c r="AC666" s="84"/>
      <c r="AD666" s="36"/>
      <c r="AE666" s="82"/>
      <c r="AF666" s="3" t="str">
        <f t="shared" si="231"/>
        <v>A</v>
      </c>
      <c r="AG666" s="84"/>
      <c r="AH666" s="84"/>
      <c r="AI666" s="39"/>
      <c r="AJ666" s="79" t="s">
        <v>38</v>
      </c>
      <c r="AK666" s="39"/>
      <c r="AL666" s="4">
        <f t="shared" si="236"/>
        <v>0</v>
      </c>
      <c r="AM666" s="4">
        <f t="shared" si="237"/>
        <v>0</v>
      </c>
      <c r="AN666" s="4">
        <f t="shared" si="232"/>
        <v>0</v>
      </c>
      <c r="AO666" s="39"/>
      <c r="AP666" s="8">
        <f t="shared" si="238"/>
        <v>0</v>
      </c>
      <c r="AQ666" s="8">
        <f t="shared" si="239"/>
        <v>0</v>
      </c>
      <c r="AR666" s="8">
        <f t="shared" si="233"/>
        <v>0</v>
      </c>
      <c r="AS666" s="42"/>
      <c r="AT666" s="84"/>
      <c r="AU666" s="84"/>
      <c r="AV666" s="4">
        <f t="shared" si="234"/>
        <v>0</v>
      </c>
      <c r="AW666" s="50" t="str">
        <f t="shared" si="235"/>
        <v/>
      </c>
      <c r="AX666" s="1" t="s">
        <v>1783</v>
      </c>
      <c r="AY666" s="2" t="s">
        <v>1784</v>
      </c>
      <c r="AZ666" s="2"/>
      <c r="BA666" s="73"/>
      <c r="BB666" s="73"/>
      <c r="BC666" s="73"/>
      <c r="BD666" s="73"/>
      <c r="BE666" s="66">
        <v>0</v>
      </c>
      <c r="BF666" s="66">
        <v>0.05</v>
      </c>
      <c r="BG666" s="63">
        <v>0</v>
      </c>
      <c r="BH666" s="2"/>
      <c r="BI666" s="2"/>
      <c r="BJ666" s="2">
        <v>584325</v>
      </c>
      <c r="BK666" s="2">
        <v>30677.06</v>
      </c>
      <c r="BL666" s="1" t="s">
        <v>97</v>
      </c>
    </row>
    <row r="667" spans="1:64" x14ac:dyDescent="0.25">
      <c r="A667" s="81" t="s">
        <v>1625</v>
      </c>
      <c r="B667" s="82" t="s">
        <v>1625</v>
      </c>
      <c r="C667" s="81" t="s">
        <v>1626</v>
      </c>
      <c r="D667" s="16">
        <v>54788</v>
      </c>
      <c r="E667" s="17"/>
      <c r="F667" s="2" t="s">
        <v>904</v>
      </c>
      <c r="G667" s="2" t="s">
        <v>906</v>
      </c>
      <c r="H667" s="10" t="s">
        <v>57</v>
      </c>
      <c r="I667" s="11" t="s">
        <v>905</v>
      </c>
      <c r="J667" s="11" t="s">
        <v>190</v>
      </c>
      <c r="K667" s="61" t="s">
        <v>191</v>
      </c>
      <c r="L667" s="11" t="s">
        <v>67</v>
      </c>
      <c r="M667" s="25"/>
      <c r="N667" s="82"/>
      <c r="O667" s="3" t="str">
        <f t="shared" si="228"/>
        <v>E</v>
      </c>
      <c r="P667" s="84"/>
      <c r="Q667" s="84"/>
      <c r="R667" s="32"/>
      <c r="S667" s="3" t="str">
        <f t="shared" si="240"/>
        <v>E</v>
      </c>
      <c r="T667" s="84"/>
      <c r="U667" s="84"/>
      <c r="V667" s="32"/>
      <c r="W667" s="3" t="str">
        <f t="shared" si="229"/>
        <v>A</v>
      </c>
      <c r="X667" s="84"/>
      <c r="Y667" s="84"/>
      <c r="Z667" s="32"/>
      <c r="AA667" s="3" t="str">
        <f t="shared" si="230"/>
        <v>A</v>
      </c>
      <c r="AB667" s="84"/>
      <c r="AC667" s="84"/>
      <c r="AD667" s="36"/>
      <c r="AE667" s="82"/>
      <c r="AF667" s="3" t="str">
        <f t="shared" si="231"/>
        <v>A</v>
      </c>
      <c r="AG667" s="84"/>
      <c r="AH667" s="84"/>
      <c r="AI667" s="39"/>
      <c r="AJ667" s="79" t="s">
        <v>38</v>
      </c>
      <c r="AK667" s="39"/>
      <c r="AL667" s="4">
        <f t="shared" si="236"/>
        <v>0</v>
      </c>
      <c r="AM667" s="4">
        <f t="shared" si="237"/>
        <v>0</v>
      </c>
      <c r="AN667" s="4">
        <f t="shared" si="232"/>
        <v>0</v>
      </c>
      <c r="AO667" s="39"/>
      <c r="AP667" s="8">
        <f t="shared" si="238"/>
        <v>0</v>
      </c>
      <c r="AQ667" s="8">
        <f t="shared" si="239"/>
        <v>0</v>
      </c>
      <c r="AR667" s="8">
        <f t="shared" si="233"/>
        <v>0</v>
      </c>
      <c r="AS667" s="42"/>
      <c r="AT667" s="84"/>
      <c r="AU667" s="84"/>
      <c r="AV667" s="4">
        <f t="shared" si="234"/>
        <v>0</v>
      </c>
      <c r="AW667" s="50" t="str">
        <f t="shared" si="235"/>
        <v/>
      </c>
      <c r="AX667" s="1" t="s">
        <v>1740</v>
      </c>
      <c r="AY667" s="2" t="s">
        <v>1741</v>
      </c>
      <c r="AZ667" s="2"/>
      <c r="BA667" s="73"/>
      <c r="BB667" s="73"/>
      <c r="BC667" s="73"/>
      <c r="BD667" s="73"/>
      <c r="BE667" s="66">
        <v>0</v>
      </c>
      <c r="BF667" s="66">
        <v>0</v>
      </c>
      <c r="BG667" s="63">
        <v>0</v>
      </c>
      <c r="BH667" s="2"/>
      <c r="BI667" s="2"/>
      <c r="BJ667" s="2">
        <v>349343</v>
      </c>
      <c r="BK667" s="2">
        <v>89418</v>
      </c>
      <c r="BL667" s="1" t="s">
        <v>56</v>
      </c>
    </row>
    <row r="668" spans="1:64" x14ac:dyDescent="0.25">
      <c r="A668" s="81" t="s">
        <v>1633</v>
      </c>
      <c r="B668" s="82" t="s">
        <v>1633</v>
      </c>
      <c r="C668" s="81" t="s">
        <v>1634</v>
      </c>
      <c r="D668" s="16">
        <v>54788</v>
      </c>
      <c r="E668" s="17"/>
      <c r="F668" s="2" t="s">
        <v>492</v>
      </c>
      <c r="G668" s="2" t="s">
        <v>493</v>
      </c>
      <c r="H668" s="10" t="s">
        <v>57</v>
      </c>
      <c r="I668" s="11" t="s">
        <v>53</v>
      </c>
      <c r="J668" s="11" t="s">
        <v>387</v>
      </c>
      <c r="K668" s="61"/>
      <c r="L668" s="11" t="s">
        <v>67</v>
      </c>
      <c r="M668" s="25"/>
      <c r="N668" s="82"/>
      <c r="O668" s="3" t="str">
        <f t="shared" si="228"/>
        <v>E</v>
      </c>
      <c r="P668" s="84"/>
      <c r="Q668" s="84"/>
      <c r="R668" s="32"/>
      <c r="S668" s="3" t="str">
        <f t="shared" si="240"/>
        <v>E</v>
      </c>
      <c r="T668" s="84"/>
      <c r="U668" s="84"/>
      <c r="V668" s="32"/>
      <c r="W668" s="3" t="str">
        <f t="shared" si="229"/>
        <v>A</v>
      </c>
      <c r="X668" s="84"/>
      <c r="Y668" s="84"/>
      <c r="Z668" s="32"/>
      <c r="AA668" s="3" t="str">
        <f t="shared" si="230"/>
        <v>A</v>
      </c>
      <c r="AB668" s="84"/>
      <c r="AC668" s="84"/>
      <c r="AD668" s="36"/>
      <c r="AE668" s="82"/>
      <c r="AF668" s="3" t="str">
        <f t="shared" si="231"/>
        <v>A</v>
      </c>
      <c r="AG668" s="84"/>
      <c r="AH668" s="84"/>
      <c r="AI668" s="39"/>
      <c r="AJ668" s="79" t="s">
        <v>38</v>
      </c>
      <c r="AK668" s="39"/>
      <c r="AL668" s="4">
        <f t="shared" si="236"/>
        <v>0</v>
      </c>
      <c r="AM668" s="4">
        <f t="shared" si="237"/>
        <v>0</v>
      </c>
      <c r="AN668" s="4">
        <f t="shared" si="232"/>
        <v>0</v>
      </c>
      <c r="AO668" s="39"/>
      <c r="AP668" s="8">
        <f t="shared" si="238"/>
        <v>0</v>
      </c>
      <c r="AQ668" s="8">
        <f t="shared" si="239"/>
        <v>0</v>
      </c>
      <c r="AR668" s="8">
        <f t="shared" si="233"/>
        <v>0</v>
      </c>
      <c r="AS668" s="42"/>
      <c r="AT668" s="84"/>
      <c r="AU668" s="84"/>
      <c r="AV668" s="4">
        <f t="shared" si="234"/>
        <v>0</v>
      </c>
      <c r="AW668" s="50" t="str">
        <f t="shared" si="235"/>
        <v/>
      </c>
      <c r="AX668" s="1" t="s">
        <v>1713</v>
      </c>
      <c r="AY668" s="2" t="s">
        <v>1714</v>
      </c>
      <c r="AZ668" s="2"/>
      <c r="BA668" s="73"/>
      <c r="BB668" s="73"/>
      <c r="BC668" s="73"/>
      <c r="BD668" s="73"/>
      <c r="BE668" s="66">
        <v>0</v>
      </c>
      <c r="BF668" s="66">
        <v>0.05</v>
      </c>
      <c r="BG668" s="63">
        <v>0</v>
      </c>
      <c r="BH668" s="2"/>
      <c r="BI668" s="2"/>
      <c r="BJ668" s="2">
        <v>435000</v>
      </c>
      <c r="BK668" s="2">
        <v>58201</v>
      </c>
      <c r="BL668" s="1" t="s">
        <v>56</v>
      </c>
    </row>
    <row r="669" spans="1:64" x14ac:dyDescent="0.25">
      <c r="A669" s="81" t="s">
        <v>1635</v>
      </c>
      <c r="B669" s="82" t="s">
        <v>1635</v>
      </c>
      <c r="C669" s="81" t="s">
        <v>1636</v>
      </c>
      <c r="D669" s="16">
        <v>54788</v>
      </c>
      <c r="E669" s="17"/>
      <c r="F669" s="2" t="s">
        <v>1637</v>
      </c>
      <c r="G669" s="2" t="s">
        <v>1638</v>
      </c>
      <c r="H669" s="10" t="s">
        <v>98</v>
      </c>
      <c r="I669" s="11" t="s">
        <v>53</v>
      </c>
      <c r="J669" s="11" t="s">
        <v>296</v>
      </c>
      <c r="K669" s="61"/>
      <c r="L669" s="11" t="s">
        <v>67</v>
      </c>
      <c r="M669" s="25"/>
      <c r="N669" s="82"/>
      <c r="O669" s="3" t="str">
        <f t="shared" si="228"/>
        <v>E</v>
      </c>
      <c r="P669" s="84"/>
      <c r="Q669" s="84"/>
      <c r="R669" s="32"/>
      <c r="S669" s="3" t="str">
        <f t="shared" si="240"/>
        <v>E</v>
      </c>
      <c r="T669" s="84"/>
      <c r="U669" s="84"/>
      <c r="V669" s="32"/>
      <c r="W669" s="3" t="str">
        <f t="shared" si="229"/>
        <v>A</v>
      </c>
      <c r="X669" s="84"/>
      <c r="Y669" s="84"/>
      <c r="Z669" s="32"/>
      <c r="AA669" s="3" t="str">
        <f t="shared" si="230"/>
        <v>A</v>
      </c>
      <c r="AB669" s="84"/>
      <c r="AC669" s="84"/>
      <c r="AD669" s="36"/>
      <c r="AE669" s="82"/>
      <c r="AF669" s="3" t="str">
        <f t="shared" si="231"/>
        <v>A</v>
      </c>
      <c r="AG669" s="84"/>
      <c r="AH669" s="84"/>
      <c r="AI669" s="39"/>
      <c r="AJ669" s="79" t="s">
        <v>38</v>
      </c>
      <c r="AK669" s="39"/>
      <c r="AL669" s="4">
        <f t="shared" si="236"/>
        <v>0</v>
      </c>
      <c r="AM669" s="4">
        <f t="shared" si="237"/>
        <v>0</v>
      </c>
      <c r="AN669" s="4">
        <f t="shared" si="232"/>
        <v>0</v>
      </c>
      <c r="AO669" s="39"/>
      <c r="AP669" s="8">
        <f t="shared" si="238"/>
        <v>0</v>
      </c>
      <c r="AQ669" s="8">
        <f t="shared" si="239"/>
        <v>0</v>
      </c>
      <c r="AR669" s="8">
        <f t="shared" si="233"/>
        <v>0</v>
      </c>
      <c r="AS669" s="42"/>
      <c r="AT669" s="84"/>
      <c r="AU669" s="84"/>
      <c r="AV669" s="4">
        <f t="shared" si="234"/>
        <v>0</v>
      </c>
      <c r="AW669" s="50" t="str">
        <f t="shared" si="235"/>
        <v/>
      </c>
      <c r="AX669" s="1" t="s">
        <v>1798</v>
      </c>
      <c r="AY669" s="2" t="s">
        <v>1799</v>
      </c>
      <c r="AZ669" s="2"/>
      <c r="BA669" s="73"/>
      <c r="BB669" s="73"/>
      <c r="BC669" s="73"/>
      <c r="BD669" s="73"/>
      <c r="BE669" s="66">
        <v>0</v>
      </c>
      <c r="BF669" s="66">
        <v>0.05</v>
      </c>
      <c r="BG669" s="63">
        <v>0</v>
      </c>
      <c r="BH669" s="2"/>
      <c r="BI669" s="2"/>
      <c r="BJ669" s="2">
        <v>580950</v>
      </c>
      <c r="BK669" s="2">
        <v>30499.88</v>
      </c>
      <c r="BL669" s="1" t="s">
        <v>97</v>
      </c>
    </row>
    <row r="670" spans="1:64" x14ac:dyDescent="0.25">
      <c r="A670" s="81"/>
      <c r="B670" s="82"/>
      <c r="C670" s="81" t="s">
        <v>1800</v>
      </c>
      <c r="D670" s="16"/>
      <c r="E670" s="17"/>
      <c r="F670" s="2"/>
      <c r="G670" s="2"/>
      <c r="H670" s="10"/>
      <c r="I670" s="11"/>
      <c r="J670" s="11"/>
      <c r="K670" s="61"/>
      <c r="L670" s="11"/>
      <c r="M670" s="25"/>
      <c r="N670" s="82"/>
      <c r="O670" s="3" t="str">
        <f t="shared" ref="O670:O697" si="241">IF($A670="","",IF(P670=AZ670,"E","A"))</f>
        <v/>
      </c>
      <c r="P670" s="84"/>
      <c r="Q670" s="84"/>
      <c r="R670" s="32"/>
      <c r="S670" s="3" t="str">
        <f t="shared" ref="S670:S697" si="242">IF($A670="","",IF(T670=BA670,"E","A"))</f>
        <v/>
      </c>
      <c r="T670" s="84"/>
      <c r="U670" s="84"/>
      <c r="V670" s="32"/>
      <c r="W670" s="3" t="str">
        <f t="shared" ref="W670:W697" si="243">IF($A670="","",IF(X670=0,"A",IF(X670=BB670,"E","A")))</f>
        <v/>
      </c>
      <c r="X670" s="84"/>
      <c r="Y670" s="84"/>
      <c r="Z670" s="32"/>
      <c r="AA670" s="3" t="str">
        <f t="shared" ref="AA670:AA697" si="244">IF($A670="","",IF(AB670=0,"A",IF(AB670=BC670,"E","A")))</f>
        <v/>
      </c>
      <c r="AB670" s="84"/>
      <c r="AC670" s="84"/>
      <c r="AD670" s="36"/>
      <c r="AE670" s="82"/>
      <c r="AF670" s="3" t="str">
        <f t="shared" ref="AF670:AF697" si="245">IF($A670="","",IF(AG670=0,"A",IF(AG670=BD670,"E","A")))</f>
        <v/>
      </c>
      <c r="AG670" s="84"/>
      <c r="AH670" s="84"/>
      <c r="AI670" s="39"/>
      <c r="AJ670" s="79"/>
      <c r="AK670" s="39"/>
      <c r="AL670" s="4">
        <f>SUM(AL8:AL669)</f>
        <v>230687760.83339283</v>
      </c>
      <c r="AM670" s="4">
        <f>SUM(AM8:AM669)</f>
        <v>35491487.946623005</v>
      </c>
      <c r="AN670" s="4">
        <f t="shared" ref="AN670:AN697" si="246">SUM(AL670:AM670)</f>
        <v>266179248.78001583</v>
      </c>
      <c r="AO670" s="39"/>
      <c r="AP670" s="8">
        <f>SUM(AP8:AP669)</f>
        <v>26924705.410000004</v>
      </c>
      <c r="AQ670" s="8">
        <f>SUM(AQ8:AQ669)</f>
        <v>3384552.4599999995</v>
      </c>
      <c r="AR670" s="8">
        <f t="shared" ref="AR670:AR697" si="247">SUM(AP670:AQ670)</f>
        <v>30309257.870000005</v>
      </c>
      <c r="AS670" s="42"/>
      <c r="AT670" s="84">
        <f>SUM(AT8:AT669)</f>
        <v>230687760.83339283</v>
      </c>
      <c r="AU670" s="84">
        <f>SUM(AU8:AU669)</f>
        <v>35491487.946623005</v>
      </c>
      <c r="AV670" s="4">
        <f t="shared" ref="AV670:AV697" si="248">SUM(AT670:AU670)</f>
        <v>266179248.78001583</v>
      </c>
      <c r="AW670" s="50" t="str">
        <f t="shared" ref="AW670:AW697" si="249">IF(AV670=0,"",IF(AN670=AV670,"","W"))</f>
        <v/>
      </c>
      <c r="AX670" s="1"/>
      <c r="AY670" s="2"/>
      <c r="AZ670" s="2"/>
      <c r="BA670" s="73"/>
      <c r="BB670" s="73"/>
      <c r="BC670" s="73"/>
      <c r="BD670" s="73"/>
      <c r="BE670" s="66"/>
      <c r="BF670" s="66"/>
      <c r="BG670" s="63"/>
      <c r="BH670" s="2"/>
      <c r="BI670" s="2"/>
      <c r="BJ670" s="2"/>
      <c r="BK670" s="2"/>
    </row>
    <row r="671" spans="1:64" x14ac:dyDescent="0.25">
      <c r="A671" s="81"/>
      <c r="B671" s="82"/>
      <c r="C671" s="81"/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82"/>
      <c r="O671" s="3" t="str">
        <f t="shared" si="241"/>
        <v/>
      </c>
      <c r="P671" s="84"/>
      <c r="Q671" s="84"/>
      <c r="R671" s="32"/>
      <c r="S671" s="3" t="str">
        <f t="shared" si="242"/>
        <v/>
      </c>
      <c r="T671" s="84"/>
      <c r="U671" s="84"/>
      <c r="V671" s="32"/>
      <c r="W671" s="3" t="str">
        <f t="shared" si="243"/>
        <v/>
      </c>
      <c r="X671" s="84"/>
      <c r="Y671" s="84"/>
      <c r="Z671" s="32"/>
      <c r="AA671" s="3" t="str">
        <f t="shared" si="244"/>
        <v/>
      </c>
      <c r="AB671" s="84"/>
      <c r="AC671" s="84"/>
      <c r="AD671" s="36"/>
      <c r="AE671" s="82"/>
      <c r="AF671" s="3" t="str">
        <f t="shared" si="245"/>
        <v/>
      </c>
      <c r="AG671" s="84"/>
      <c r="AH671" s="84"/>
      <c r="AI671" s="39"/>
      <c r="AJ671" s="79"/>
      <c r="AK671" s="39"/>
      <c r="AL671" s="4">
        <f t="shared" ref="AL671:AL697" si="250">IF($O671="A",P671,0)+IF($S671="A",T671,0)+IF($W671="A",X671,0)+IF($AA671="A",AB671,0)+IF($AF671="A",AG671,0)</f>
        <v>0</v>
      </c>
      <c r="AM671" s="4">
        <f t="shared" ref="AM671:AM697" si="251">IF($O671="A",Q671,0)+IF($S671="A",U671,0)+IF($W671="A",Y671,0)+IF($AA671="A",AC671,0)+IF($AF671="A",AH671,0)</f>
        <v>0</v>
      </c>
      <c r="AN671" s="4">
        <f t="shared" si="246"/>
        <v>0</v>
      </c>
      <c r="AO671" s="39"/>
      <c r="AP671" s="8">
        <f t="shared" ref="AP671:AP697" si="252">IF($O671="E",P671,0)+IF($S671="E",T671,0)+IF($W671="E",X671,0)+IF($AA671="E",AB671,0)+IF($AF671="E",AG671,0)</f>
        <v>0</v>
      </c>
      <c r="AQ671" s="8">
        <f t="shared" ref="AQ671:AQ697" si="253">IF($O671="E",Q671,0)+IF($S671="E",U671,0)+IF($W671="E",Y671,0)+IF($AA671="E",AC671,0)+IF($AF671="E",AH671,0)</f>
        <v>0</v>
      </c>
      <c r="AR671" s="8">
        <f t="shared" si="247"/>
        <v>0</v>
      </c>
      <c r="AS671" s="42"/>
      <c r="AT671" s="84"/>
      <c r="AU671" s="84"/>
      <c r="AV671" s="4">
        <f t="shared" si="248"/>
        <v>0</v>
      </c>
      <c r="AW671" s="50" t="str">
        <f t="shared" si="249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81"/>
      <c r="B672" s="82"/>
      <c r="C672" s="81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82"/>
      <c r="O672" s="3" t="str">
        <f t="shared" si="241"/>
        <v/>
      </c>
      <c r="P672" s="84"/>
      <c r="Q672" s="84"/>
      <c r="R672" s="32"/>
      <c r="S672" s="3" t="str">
        <f t="shared" si="242"/>
        <v/>
      </c>
      <c r="T672" s="84"/>
      <c r="U672" s="84"/>
      <c r="V672" s="32"/>
      <c r="W672" s="3" t="str">
        <f t="shared" si="243"/>
        <v/>
      </c>
      <c r="X672" s="84"/>
      <c r="Y672" s="84"/>
      <c r="Z672" s="32"/>
      <c r="AA672" s="3" t="str">
        <f t="shared" si="244"/>
        <v/>
      </c>
      <c r="AB672" s="84"/>
      <c r="AC672" s="84"/>
      <c r="AD672" s="36"/>
      <c r="AE672" s="82"/>
      <c r="AF672" s="3" t="str">
        <f t="shared" si="245"/>
        <v/>
      </c>
      <c r="AG672" s="84"/>
      <c r="AH672" s="84"/>
      <c r="AI672" s="39"/>
      <c r="AJ672" s="79"/>
      <c r="AK672" s="39"/>
      <c r="AL672" s="4">
        <f t="shared" si="250"/>
        <v>0</v>
      </c>
      <c r="AM672" s="4">
        <f t="shared" si="251"/>
        <v>0</v>
      </c>
      <c r="AN672" s="4">
        <f t="shared" si="246"/>
        <v>0</v>
      </c>
      <c r="AO672" s="39"/>
      <c r="AP672" s="8">
        <f t="shared" si="252"/>
        <v>0</v>
      </c>
      <c r="AQ672" s="8">
        <f t="shared" si="253"/>
        <v>0</v>
      </c>
      <c r="AR672" s="8">
        <f t="shared" si="247"/>
        <v>0</v>
      </c>
      <c r="AS672" s="42"/>
      <c r="AT672" s="84"/>
      <c r="AU672" s="84"/>
      <c r="AV672" s="4">
        <f t="shared" si="248"/>
        <v>0</v>
      </c>
      <c r="AW672" s="50" t="str">
        <f t="shared" si="249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81"/>
      <c r="B673" s="82"/>
      <c r="C673" s="81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82"/>
      <c r="O673" s="3" t="str">
        <f t="shared" si="241"/>
        <v/>
      </c>
      <c r="P673" s="84"/>
      <c r="Q673" s="84"/>
      <c r="R673" s="32"/>
      <c r="S673" s="3" t="str">
        <f t="shared" si="242"/>
        <v/>
      </c>
      <c r="T673" s="84"/>
      <c r="U673" s="84"/>
      <c r="V673" s="32"/>
      <c r="W673" s="3" t="str">
        <f t="shared" si="243"/>
        <v/>
      </c>
      <c r="X673" s="84"/>
      <c r="Y673" s="84"/>
      <c r="Z673" s="32"/>
      <c r="AA673" s="3" t="str">
        <f t="shared" si="244"/>
        <v/>
      </c>
      <c r="AB673" s="84"/>
      <c r="AC673" s="84"/>
      <c r="AD673" s="36"/>
      <c r="AE673" s="82"/>
      <c r="AF673" s="3" t="str">
        <f t="shared" si="245"/>
        <v/>
      </c>
      <c r="AG673" s="84"/>
      <c r="AH673" s="84"/>
      <c r="AI673" s="39"/>
      <c r="AJ673" s="79"/>
      <c r="AK673" s="39"/>
      <c r="AL673" s="4">
        <f t="shared" si="250"/>
        <v>0</v>
      </c>
      <c r="AM673" s="4">
        <f t="shared" si="251"/>
        <v>0</v>
      </c>
      <c r="AN673" s="4">
        <f t="shared" si="246"/>
        <v>0</v>
      </c>
      <c r="AO673" s="39"/>
      <c r="AP673" s="8">
        <f t="shared" si="252"/>
        <v>0</v>
      </c>
      <c r="AQ673" s="8">
        <f t="shared" si="253"/>
        <v>0</v>
      </c>
      <c r="AR673" s="8">
        <f t="shared" si="247"/>
        <v>0</v>
      </c>
      <c r="AS673" s="42"/>
      <c r="AT673" s="84"/>
      <c r="AU673" s="84"/>
      <c r="AV673" s="4">
        <f t="shared" si="248"/>
        <v>0</v>
      </c>
      <c r="AW673" s="50" t="str">
        <f t="shared" si="249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81"/>
      <c r="B674" s="82"/>
      <c r="C674" s="81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82"/>
      <c r="O674" s="3" t="str">
        <f t="shared" si="241"/>
        <v/>
      </c>
      <c r="P674" s="84"/>
      <c r="Q674" s="84"/>
      <c r="R674" s="32"/>
      <c r="S674" s="3" t="str">
        <f t="shared" si="242"/>
        <v/>
      </c>
      <c r="T674" s="84"/>
      <c r="U674" s="84"/>
      <c r="V674" s="32"/>
      <c r="W674" s="3" t="str">
        <f t="shared" si="243"/>
        <v/>
      </c>
      <c r="X674" s="84"/>
      <c r="Y674" s="84"/>
      <c r="Z674" s="32"/>
      <c r="AA674" s="3" t="str">
        <f t="shared" si="244"/>
        <v/>
      </c>
      <c r="AB674" s="84"/>
      <c r="AC674" s="84"/>
      <c r="AD674" s="36"/>
      <c r="AE674" s="82"/>
      <c r="AF674" s="3" t="str">
        <f t="shared" si="245"/>
        <v/>
      </c>
      <c r="AG674" s="84"/>
      <c r="AH674" s="84"/>
      <c r="AI674" s="39"/>
      <c r="AJ674" s="79"/>
      <c r="AK674" s="39"/>
      <c r="AL674" s="4">
        <f t="shared" si="250"/>
        <v>0</v>
      </c>
      <c r="AM674" s="4">
        <f t="shared" si="251"/>
        <v>0</v>
      </c>
      <c r="AN674" s="4">
        <f t="shared" si="246"/>
        <v>0</v>
      </c>
      <c r="AO674" s="39"/>
      <c r="AP674" s="8">
        <f t="shared" si="252"/>
        <v>0</v>
      </c>
      <c r="AQ674" s="8">
        <f t="shared" si="253"/>
        <v>0</v>
      </c>
      <c r="AR674" s="8">
        <f t="shared" si="247"/>
        <v>0</v>
      </c>
      <c r="AS674" s="42"/>
      <c r="AT674" s="84"/>
      <c r="AU674" s="84"/>
      <c r="AV674" s="4">
        <f t="shared" si="248"/>
        <v>0</v>
      </c>
      <c r="AW674" s="50" t="str">
        <f t="shared" si="249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81"/>
      <c r="B675" s="82"/>
      <c r="C675" s="81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82"/>
      <c r="O675" s="3" t="str">
        <f t="shared" si="241"/>
        <v/>
      </c>
      <c r="P675" s="84"/>
      <c r="Q675" s="84"/>
      <c r="R675" s="32"/>
      <c r="S675" s="3" t="str">
        <f t="shared" si="242"/>
        <v/>
      </c>
      <c r="T675" s="84"/>
      <c r="U675" s="84"/>
      <c r="V675" s="32"/>
      <c r="W675" s="3" t="str">
        <f t="shared" si="243"/>
        <v/>
      </c>
      <c r="X675" s="84"/>
      <c r="Y675" s="84"/>
      <c r="Z675" s="32"/>
      <c r="AA675" s="3" t="str">
        <f t="shared" si="244"/>
        <v/>
      </c>
      <c r="AB675" s="84"/>
      <c r="AC675" s="84"/>
      <c r="AD675" s="36"/>
      <c r="AE675" s="82"/>
      <c r="AF675" s="3" t="str">
        <f t="shared" si="245"/>
        <v/>
      </c>
      <c r="AG675" s="84"/>
      <c r="AH675" s="84"/>
      <c r="AI675" s="39"/>
      <c r="AJ675" s="79"/>
      <c r="AK675" s="39"/>
      <c r="AL675" s="4">
        <f t="shared" si="250"/>
        <v>0</v>
      </c>
      <c r="AM675" s="4">
        <f t="shared" si="251"/>
        <v>0</v>
      </c>
      <c r="AN675" s="4">
        <f t="shared" si="246"/>
        <v>0</v>
      </c>
      <c r="AO675" s="39"/>
      <c r="AP675" s="8">
        <f t="shared" si="252"/>
        <v>0</v>
      </c>
      <c r="AQ675" s="8">
        <f t="shared" si="253"/>
        <v>0</v>
      </c>
      <c r="AR675" s="8">
        <f t="shared" si="247"/>
        <v>0</v>
      </c>
      <c r="AS675" s="42"/>
      <c r="AT675" s="84"/>
      <c r="AU675" s="84"/>
      <c r="AV675" s="4">
        <f t="shared" si="248"/>
        <v>0</v>
      </c>
      <c r="AW675" s="50" t="str">
        <f t="shared" si="249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81"/>
      <c r="B676" s="82"/>
      <c r="C676" s="81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82"/>
      <c r="O676" s="3" t="str">
        <f t="shared" si="241"/>
        <v/>
      </c>
      <c r="P676" s="84"/>
      <c r="Q676" s="84"/>
      <c r="R676" s="32"/>
      <c r="S676" s="3" t="str">
        <f t="shared" si="242"/>
        <v/>
      </c>
      <c r="T676" s="84"/>
      <c r="U676" s="84"/>
      <c r="V676" s="32"/>
      <c r="W676" s="3" t="str">
        <f t="shared" si="243"/>
        <v/>
      </c>
      <c r="X676" s="84"/>
      <c r="Y676" s="84"/>
      <c r="Z676" s="32"/>
      <c r="AA676" s="3" t="str">
        <f t="shared" si="244"/>
        <v/>
      </c>
      <c r="AB676" s="84"/>
      <c r="AC676" s="84"/>
      <c r="AD676" s="36"/>
      <c r="AE676" s="82"/>
      <c r="AF676" s="3" t="str">
        <f t="shared" si="245"/>
        <v/>
      </c>
      <c r="AG676" s="84"/>
      <c r="AH676" s="84"/>
      <c r="AI676" s="39"/>
      <c r="AJ676" s="79"/>
      <c r="AK676" s="39"/>
      <c r="AL676" s="4">
        <f t="shared" si="250"/>
        <v>0</v>
      </c>
      <c r="AM676" s="4">
        <f t="shared" si="251"/>
        <v>0</v>
      </c>
      <c r="AN676" s="4">
        <f t="shared" si="246"/>
        <v>0</v>
      </c>
      <c r="AO676" s="39"/>
      <c r="AP676" s="8">
        <f t="shared" si="252"/>
        <v>0</v>
      </c>
      <c r="AQ676" s="8">
        <f t="shared" si="253"/>
        <v>0</v>
      </c>
      <c r="AR676" s="8">
        <f t="shared" si="247"/>
        <v>0</v>
      </c>
      <c r="AS676" s="42"/>
      <c r="AT676" s="84"/>
      <c r="AU676" s="84"/>
      <c r="AV676" s="4">
        <f t="shared" si="248"/>
        <v>0</v>
      </c>
      <c r="AW676" s="50" t="str">
        <f t="shared" si="249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81"/>
      <c r="B677" s="82"/>
      <c r="C677" s="81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82"/>
      <c r="O677" s="3" t="str">
        <f t="shared" si="241"/>
        <v/>
      </c>
      <c r="P677" s="84"/>
      <c r="Q677" s="84"/>
      <c r="R677" s="32"/>
      <c r="S677" s="3" t="str">
        <f t="shared" si="242"/>
        <v/>
      </c>
      <c r="T677" s="84"/>
      <c r="U677" s="84"/>
      <c r="V677" s="32"/>
      <c r="W677" s="3" t="str">
        <f t="shared" si="243"/>
        <v/>
      </c>
      <c r="X677" s="84"/>
      <c r="Y677" s="84"/>
      <c r="Z677" s="32"/>
      <c r="AA677" s="3" t="str">
        <f t="shared" si="244"/>
        <v/>
      </c>
      <c r="AB677" s="84"/>
      <c r="AC677" s="84"/>
      <c r="AD677" s="36"/>
      <c r="AE677" s="82"/>
      <c r="AF677" s="3" t="str">
        <f t="shared" si="245"/>
        <v/>
      </c>
      <c r="AG677" s="84"/>
      <c r="AH677" s="84"/>
      <c r="AI677" s="39"/>
      <c r="AJ677" s="79"/>
      <c r="AK677" s="39"/>
      <c r="AL677" s="4">
        <f t="shared" si="250"/>
        <v>0</v>
      </c>
      <c r="AM677" s="4">
        <f t="shared" si="251"/>
        <v>0</v>
      </c>
      <c r="AN677" s="4">
        <f t="shared" si="246"/>
        <v>0</v>
      </c>
      <c r="AO677" s="39"/>
      <c r="AP677" s="8">
        <f t="shared" si="252"/>
        <v>0</v>
      </c>
      <c r="AQ677" s="8">
        <f t="shared" si="253"/>
        <v>0</v>
      </c>
      <c r="AR677" s="8">
        <f t="shared" si="247"/>
        <v>0</v>
      </c>
      <c r="AS677" s="42"/>
      <c r="AT677" s="84"/>
      <c r="AU677" s="84"/>
      <c r="AV677" s="4">
        <f t="shared" si="248"/>
        <v>0</v>
      </c>
      <c r="AW677" s="50" t="str">
        <f t="shared" si="249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81"/>
      <c r="B678" s="82"/>
      <c r="C678" s="81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241"/>
        <v/>
      </c>
      <c r="P678" s="84"/>
      <c r="Q678" s="84"/>
      <c r="R678" s="32"/>
      <c r="S678" s="3" t="str">
        <f t="shared" si="242"/>
        <v/>
      </c>
      <c r="T678" s="84"/>
      <c r="U678" s="84"/>
      <c r="V678" s="32"/>
      <c r="W678" s="3" t="str">
        <f t="shared" si="243"/>
        <v/>
      </c>
      <c r="X678" s="84"/>
      <c r="Y678" s="84"/>
      <c r="Z678" s="32"/>
      <c r="AA678" s="3" t="str">
        <f t="shared" si="244"/>
        <v/>
      </c>
      <c r="AB678" s="84"/>
      <c r="AC678" s="84"/>
      <c r="AD678" s="36"/>
      <c r="AE678" s="82"/>
      <c r="AF678" s="3" t="str">
        <f t="shared" si="245"/>
        <v/>
      </c>
      <c r="AG678" s="84"/>
      <c r="AH678" s="84"/>
      <c r="AI678" s="39"/>
      <c r="AJ678" s="79"/>
      <c r="AK678" s="39"/>
      <c r="AL678" s="4">
        <f t="shared" si="250"/>
        <v>0</v>
      </c>
      <c r="AM678" s="4">
        <f t="shared" si="251"/>
        <v>0</v>
      </c>
      <c r="AN678" s="4">
        <f t="shared" si="246"/>
        <v>0</v>
      </c>
      <c r="AO678" s="39"/>
      <c r="AP678" s="8">
        <f t="shared" si="252"/>
        <v>0</v>
      </c>
      <c r="AQ678" s="8">
        <f t="shared" si="253"/>
        <v>0</v>
      </c>
      <c r="AR678" s="8">
        <f t="shared" si="247"/>
        <v>0</v>
      </c>
      <c r="AS678" s="42"/>
      <c r="AT678" s="84"/>
      <c r="AU678" s="84"/>
      <c r="AV678" s="4">
        <f t="shared" si="248"/>
        <v>0</v>
      </c>
      <c r="AW678" s="50" t="str">
        <f t="shared" si="249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241"/>
        <v/>
      </c>
      <c r="P679" s="84"/>
      <c r="Q679" s="84"/>
      <c r="R679" s="32"/>
      <c r="S679" s="3" t="str">
        <f t="shared" si="242"/>
        <v/>
      </c>
      <c r="T679" s="84"/>
      <c r="U679" s="84"/>
      <c r="V679" s="32"/>
      <c r="W679" s="3" t="str">
        <f t="shared" si="243"/>
        <v/>
      </c>
      <c r="X679" s="84"/>
      <c r="Y679" s="84"/>
      <c r="Z679" s="32"/>
      <c r="AA679" s="3" t="str">
        <f t="shared" si="244"/>
        <v/>
      </c>
      <c r="AB679" s="84"/>
      <c r="AC679" s="84"/>
      <c r="AD679" s="36"/>
      <c r="AE679" s="82"/>
      <c r="AF679" s="3" t="str">
        <f t="shared" si="245"/>
        <v/>
      </c>
      <c r="AG679" s="84"/>
      <c r="AH679" s="84"/>
      <c r="AI679" s="39"/>
      <c r="AJ679" s="79"/>
      <c r="AK679" s="39"/>
      <c r="AL679" s="4">
        <f t="shared" si="250"/>
        <v>0</v>
      </c>
      <c r="AM679" s="4">
        <f t="shared" si="251"/>
        <v>0</v>
      </c>
      <c r="AN679" s="4">
        <f t="shared" si="246"/>
        <v>0</v>
      </c>
      <c r="AO679" s="39"/>
      <c r="AP679" s="8">
        <f t="shared" si="252"/>
        <v>0</v>
      </c>
      <c r="AQ679" s="8">
        <f t="shared" si="253"/>
        <v>0</v>
      </c>
      <c r="AR679" s="8">
        <f t="shared" si="247"/>
        <v>0</v>
      </c>
      <c r="AS679" s="42"/>
      <c r="AT679" s="84"/>
      <c r="AU679" s="84"/>
      <c r="AV679" s="4">
        <f t="shared" si="248"/>
        <v>0</v>
      </c>
      <c r="AW679" s="50" t="str">
        <f t="shared" si="249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241"/>
        <v/>
      </c>
      <c r="P680" s="84"/>
      <c r="Q680" s="84"/>
      <c r="R680" s="32"/>
      <c r="S680" s="3" t="str">
        <f t="shared" si="242"/>
        <v/>
      </c>
      <c r="T680" s="84"/>
      <c r="U680" s="84"/>
      <c r="V680" s="32"/>
      <c r="W680" s="3" t="str">
        <f t="shared" si="243"/>
        <v/>
      </c>
      <c r="X680" s="84"/>
      <c r="Y680" s="84"/>
      <c r="Z680" s="32"/>
      <c r="AA680" s="3" t="str">
        <f t="shared" si="244"/>
        <v/>
      </c>
      <c r="AB680" s="84"/>
      <c r="AC680" s="84"/>
      <c r="AD680" s="36"/>
      <c r="AE680" s="82"/>
      <c r="AF680" s="3" t="str">
        <f t="shared" si="245"/>
        <v/>
      </c>
      <c r="AG680" s="84"/>
      <c r="AH680" s="84"/>
      <c r="AI680" s="39"/>
      <c r="AJ680" s="79"/>
      <c r="AK680" s="39"/>
      <c r="AL680" s="4">
        <f t="shared" si="250"/>
        <v>0</v>
      </c>
      <c r="AM680" s="4">
        <f t="shared" si="251"/>
        <v>0</v>
      </c>
      <c r="AN680" s="4">
        <f t="shared" si="246"/>
        <v>0</v>
      </c>
      <c r="AO680" s="39"/>
      <c r="AP680" s="8">
        <f t="shared" si="252"/>
        <v>0</v>
      </c>
      <c r="AQ680" s="8">
        <f t="shared" si="253"/>
        <v>0</v>
      </c>
      <c r="AR680" s="8">
        <f t="shared" si="247"/>
        <v>0</v>
      </c>
      <c r="AS680" s="42"/>
      <c r="AT680" s="84"/>
      <c r="AU680" s="84"/>
      <c r="AV680" s="4">
        <f t="shared" si="248"/>
        <v>0</v>
      </c>
      <c r="AW680" s="50" t="str">
        <f t="shared" si="249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241"/>
        <v/>
      </c>
      <c r="P681" s="84"/>
      <c r="Q681" s="84"/>
      <c r="R681" s="32"/>
      <c r="S681" s="3" t="str">
        <f t="shared" si="242"/>
        <v/>
      </c>
      <c r="T681" s="84"/>
      <c r="U681" s="84"/>
      <c r="V681" s="32"/>
      <c r="W681" s="3" t="str">
        <f t="shared" si="243"/>
        <v/>
      </c>
      <c r="X681" s="84"/>
      <c r="Y681" s="84"/>
      <c r="Z681" s="32"/>
      <c r="AA681" s="3" t="str">
        <f t="shared" si="244"/>
        <v/>
      </c>
      <c r="AB681" s="84"/>
      <c r="AC681" s="84"/>
      <c r="AD681" s="36"/>
      <c r="AE681" s="82"/>
      <c r="AF681" s="3" t="str">
        <f t="shared" si="245"/>
        <v/>
      </c>
      <c r="AG681" s="84"/>
      <c r="AH681" s="84"/>
      <c r="AI681" s="39"/>
      <c r="AJ681" s="79"/>
      <c r="AK681" s="39"/>
      <c r="AL681" s="4">
        <f t="shared" si="250"/>
        <v>0</v>
      </c>
      <c r="AM681" s="4">
        <f t="shared" si="251"/>
        <v>0</v>
      </c>
      <c r="AN681" s="4">
        <f t="shared" si="246"/>
        <v>0</v>
      </c>
      <c r="AO681" s="39"/>
      <c r="AP681" s="8">
        <f t="shared" si="252"/>
        <v>0</v>
      </c>
      <c r="AQ681" s="8">
        <f t="shared" si="253"/>
        <v>0</v>
      </c>
      <c r="AR681" s="8">
        <f t="shared" si="247"/>
        <v>0</v>
      </c>
      <c r="AS681" s="42"/>
      <c r="AT681" s="84"/>
      <c r="AU681" s="84"/>
      <c r="AV681" s="4">
        <f t="shared" si="248"/>
        <v>0</v>
      </c>
      <c r="AW681" s="50" t="str">
        <f t="shared" si="249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241"/>
        <v/>
      </c>
      <c r="P682" s="84"/>
      <c r="Q682" s="84"/>
      <c r="R682" s="32"/>
      <c r="S682" s="3" t="str">
        <f t="shared" si="242"/>
        <v/>
      </c>
      <c r="T682" s="84"/>
      <c r="U682" s="84"/>
      <c r="V682" s="32"/>
      <c r="W682" s="3" t="str">
        <f t="shared" si="243"/>
        <v/>
      </c>
      <c r="X682" s="84"/>
      <c r="Y682" s="84"/>
      <c r="Z682" s="32"/>
      <c r="AA682" s="3" t="str">
        <f t="shared" si="244"/>
        <v/>
      </c>
      <c r="AB682" s="84"/>
      <c r="AC682" s="84"/>
      <c r="AD682" s="36"/>
      <c r="AE682" s="82"/>
      <c r="AF682" s="3" t="str">
        <f t="shared" si="245"/>
        <v/>
      </c>
      <c r="AG682" s="84"/>
      <c r="AH682" s="84"/>
      <c r="AI682" s="39"/>
      <c r="AJ682" s="79"/>
      <c r="AK682" s="39"/>
      <c r="AL682" s="4">
        <f t="shared" si="250"/>
        <v>0</v>
      </c>
      <c r="AM682" s="4">
        <f t="shared" si="251"/>
        <v>0</v>
      </c>
      <c r="AN682" s="4">
        <f t="shared" si="246"/>
        <v>0</v>
      </c>
      <c r="AO682" s="39"/>
      <c r="AP682" s="8">
        <f t="shared" si="252"/>
        <v>0</v>
      </c>
      <c r="AQ682" s="8">
        <f t="shared" si="253"/>
        <v>0</v>
      </c>
      <c r="AR682" s="8">
        <f t="shared" si="247"/>
        <v>0</v>
      </c>
      <c r="AS682" s="42"/>
      <c r="AT682" s="84"/>
      <c r="AU682" s="84"/>
      <c r="AV682" s="4">
        <f t="shared" si="248"/>
        <v>0</v>
      </c>
      <c r="AW682" s="50" t="str">
        <f t="shared" si="249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241"/>
        <v/>
      </c>
      <c r="P683" s="84"/>
      <c r="Q683" s="84"/>
      <c r="R683" s="32"/>
      <c r="S683" s="3" t="str">
        <f t="shared" si="242"/>
        <v/>
      </c>
      <c r="T683" s="84"/>
      <c r="U683" s="84"/>
      <c r="V683" s="32"/>
      <c r="W683" s="3" t="str">
        <f t="shared" si="243"/>
        <v/>
      </c>
      <c r="X683" s="84"/>
      <c r="Y683" s="84"/>
      <c r="Z683" s="32"/>
      <c r="AA683" s="3" t="str">
        <f t="shared" si="244"/>
        <v/>
      </c>
      <c r="AB683" s="84"/>
      <c r="AC683" s="84"/>
      <c r="AD683" s="36"/>
      <c r="AE683" s="82"/>
      <c r="AF683" s="3" t="str">
        <f t="shared" si="245"/>
        <v/>
      </c>
      <c r="AG683" s="84"/>
      <c r="AH683" s="84"/>
      <c r="AI683" s="39"/>
      <c r="AJ683" s="79"/>
      <c r="AK683" s="39"/>
      <c r="AL683" s="4">
        <f t="shared" si="250"/>
        <v>0</v>
      </c>
      <c r="AM683" s="4">
        <f t="shared" si="251"/>
        <v>0</v>
      </c>
      <c r="AN683" s="4">
        <f t="shared" si="246"/>
        <v>0</v>
      </c>
      <c r="AO683" s="39"/>
      <c r="AP683" s="8">
        <f t="shared" si="252"/>
        <v>0</v>
      </c>
      <c r="AQ683" s="8">
        <f t="shared" si="253"/>
        <v>0</v>
      </c>
      <c r="AR683" s="8">
        <f t="shared" si="247"/>
        <v>0</v>
      </c>
      <c r="AS683" s="42"/>
      <c r="AT683" s="84"/>
      <c r="AU683" s="84"/>
      <c r="AV683" s="4">
        <f t="shared" si="248"/>
        <v>0</v>
      </c>
      <c r="AW683" s="50" t="str">
        <f t="shared" si="249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241"/>
        <v/>
      </c>
      <c r="P684" s="84"/>
      <c r="Q684" s="84"/>
      <c r="R684" s="32"/>
      <c r="S684" s="3" t="str">
        <f t="shared" si="242"/>
        <v/>
      </c>
      <c r="T684" s="84"/>
      <c r="U684" s="84"/>
      <c r="V684" s="32"/>
      <c r="W684" s="3" t="str">
        <f t="shared" si="243"/>
        <v/>
      </c>
      <c r="X684" s="84"/>
      <c r="Y684" s="84"/>
      <c r="Z684" s="32"/>
      <c r="AA684" s="3" t="str">
        <f t="shared" si="244"/>
        <v/>
      </c>
      <c r="AB684" s="84"/>
      <c r="AC684" s="84"/>
      <c r="AD684" s="36"/>
      <c r="AE684" s="82"/>
      <c r="AF684" s="3" t="str">
        <f t="shared" si="245"/>
        <v/>
      </c>
      <c r="AG684" s="84"/>
      <c r="AH684" s="84"/>
      <c r="AI684" s="39"/>
      <c r="AJ684" s="79"/>
      <c r="AK684" s="39"/>
      <c r="AL684" s="4">
        <f t="shared" si="250"/>
        <v>0</v>
      </c>
      <c r="AM684" s="4">
        <f t="shared" si="251"/>
        <v>0</v>
      </c>
      <c r="AN684" s="4">
        <f t="shared" si="246"/>
        <v>0</v>
      </c>
      <c r="AO684" s="39"/>
      <c r="AP684" s="8">
        <f t="shared" si="252"/>
        <v>0</v>
      </c>
      <c r="AQ684" s="8">
        <f t="shared" si="253"/>
        <v>0</v>
      </c>
      <c r="AR684" s="8">
        <f t="shared" si="247"/>
        <v>0</v>
      </c>
      <c r="AS684" s="42"/>
      <c r="AT684" s="84"/>
      <c r="AU684" s="84"/>
      <c r="AV684" s="4">
        <f t="shared" si="248"/>
        <v>0</v>
      </c>
      <c r="AW684" s="50" t="str">
        <f t="shared" si="249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241"/>
        <v/>
      </c>
      <c r="P685" s="84"/>
      <c r="Q685" s="84"/>
      <c r="R685" s="32"/>
      <c r="S685" s="3" t="str">
        <f t="shared" si="242"/>
        <v/>
      </c>
      <c r="T685" s="84"/>
      <c r="U685" s="84"/>
      <c r="V685" s="32"/>
      <c r="W685" s="3" t="str">
        <f t="shared" si="243"/>
        <v/>
      </c>
      <c r="X685" s="84"/>
      <c r="Y685" s="84"/>
      <c r="Z685" s="32"/>
      <c r="AA685" s="3" t="str">
        <f t="shared" si="244"/>
        <v/>
      </c>
      <c r="AB685" s="84"/>
      <c r="AC685" s="84"/>
      <c r="AD685" s="36"/>
      <c r="AE685" s="82"/>
      <c r="AF685" s="3" t="str">
        <f t="shared" si="245"/>
        <v/>
      </c>
      <c r="AG685" s="84"/>
      <c r="AH685" s="84"/>
      <c r="AI685" s="39"/>
      <c r="AJ685" s="79"/>
      <c r="AK685" s="39"/>
      <c r="AL685" s="4">
        <f t="shared" si="250"/>
        <v>0</v>
      </c>
      <c r="AM685" s="4">
        <f t="shared" si="251"/>
        <v>0</v>
      </c>
      <c r="AN685" s="4">
        <f t="shared" si="246"/>
        <v>0</v>
      </c>
      <c r="AO685" s="39"/>
      <c r="AP685" s="8">
        <f t="shared" si="252"/>
        <v>0</v>
      </c>
      <c r="AQ685" s="8">
        <f t="shared" si="253"/>
        <v>0</v>
      </c>
      <c r="AR685" s="8">
        <f t="shared" si="247"/>
        <v>0</v>
      </c>
      <c r="AS685" s="42"/>
      <c r="AT685" s="84"/>
      <c r="AU685" s="84"/>
      <c r="AV685" s="4">
        <f t="shared" si="248"/>
        <v>0</v>
      </c>
      <c r="AW685" s="50" t="str">
        <f t="shared" si="249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241"/>
        <v/>
      </c>
      <c r="P686" s="84"/>
      <c r="Q686" s="84"/>
      <c r="R686" s="32"/>
      <c r="S686" s="3" t="str">
        <f t="shared" si="242"/>
        <v/>
      </c>
      <c r="T686" s="84"/>
      <c r="U686" s="84"/>
      <c r="V686" s="32"/>
      <c r="W686" s="3" t="str">
        <f t="shared" si="243"/>
        <v/>
      </c>
      <c r="X686" s="84"/>
      <c r="Y686" s="84"/>
      <c r="Z686" s="32"/>
      <c r="AA686" s="3" t="str">
        <f t="shared" si="244"/>
        <v/>
      </c>
      <c r="AB686" s="84"/>
      <c r="AC686" s="84"/>
      <c r="AD686" s="36"/>
      <c r="AE686" s="82"/>
      <c r="AF686" s="3" t="str">
        <f t="shared" si="245"/>
        <v/>
      </c>
      <c r="AG686" s="84"/>
      <c r="AH686" s="84"/>
      <c r="AI686" s="39"/>
      <c r="AJ686" s="79"/>
      <c r="AK686" s="39"/>
      <c r="AL686" s="4">
        <f t="shared" si="250"/>
        <v>0</v>
      </c>
      <c r="AM686" s="4">
        <f t="shared" si="251"/>
        <v>0</v>
      </c>
      <c r="AN686" s="4">
        <f t="shared" si="246"/>
        <v>0</v>
      </c>
      <c r="AO686" s="39"/>
      <c r="AP686" s="8">
        <f t="shared" si="252"/>
        <v>0</v>
      </c>
      <c r="AQ686" s="8">
        <f t="shared" si="253"/>
        <v>0</v>
      </c>
      <c r="AR686" s="8">
        <f t="shared" si="247"/>
        <v>0</v>
      </c>
      <c r="AS686" s="42"/>
      <c r="AT686" s="84"/>
      <c r="AU686" s="84"/>
      <c r="AV686" s="4">
        <f t="shared" si="248"/>
        <v>0</v>
      </c>
      <c r="AW686" s="50" t="str">
        <f t="shared" si="249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si="241"/>
        <v/>
      </c>
      <c r="P687" s="84"/>
      <c r="Q687" s="84"/>
      <c r="R687" s="32"/>
      <c r="S687" s="3" t="str">
        <f t="shared" si="242"/>
        <v/>
      </c>
      <c r="T687" s="84"/>
      <c r="U687" s="84"/>
      <c r="V687" s="32"/>
      <c r="W687" s="3" t="str">
        <f t="shared" si="243"/>
        <v/>
      </c>
      <c r="X687" s="84"/>
      <c r="Y687" s="84"/>
      <c r="Z687" s="32"/>
      <c r="AA687" s="3" t="str">
        <f t="shared" si="244"/>
        <v/>
      </c>
      <c r="AB687" s="84"/>
      <c r="AC687" s="84"/>
      <c r="AD687" s="36"/>
      <c r="AE687" s="82"/>
      <c r="AF687" s="3" t="str">
        <f t="shared" si="245"/>
        <v/>
      </c>
      <c r="AG687" s="84"/>
      <c r="AH687" s="84"/>
      <c r="AI687" s="39"/>
      <c r="AJ687" s="79"/>
      <c r="AK687" s="39"/>
      <c r="AL687" s="4">
        <f t="shared" si="250"/>
        <v>0</v>
      </c>
      <c r="AM687" s="4">
        <f t="shared" si="251"/>
        <v>0</v>
      </c>
      <c r="AN687" s="4">
        <f t="shared" si="246"/>
        <v>0</v>
      </c>
      <c r="AO687" s="39"/>
      <c r="AP687" s="8">
        <f t="shared" si="252"/>
        <v>0</v>
      </c>
      <c r="AQ687" s="8">
        <f t="shared" si="253"/>
        <v>0</v>
      </c>
      <c r="AR687" s="8">
        <f t="shared" si="247"/>
        <v>0</v>
      </c>
      <c r="AS687" s="42"/>
      <c r="AT687" s="84"/>
      <c r="AU687" s="84"/>
      <c r="AV687" s="4">
        <f t="shared" si="248"/>
        <v>0</v>
      </c>
      <c r="AW687" s="50" t="str">
        <f t="shared" si="249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241"/>
        <v/>
      </c>
      <c r="P688" s="84"/>
      <c r="Q688" s="84"/>
      <c r="R688" s="32"/>
      <c r="S688" s="3" t="str">
        <f t="shared" si="242"/>
        <v/>
      </c>
      <c r="T688" s="84"/>
      <c r="U688" s="84"/>
      <c r="V688" s="32"/>
      <c r="W688" s="3" t="str">
        <f t="shared" si="243"/>
        <v/>
      </c>
      <c r="X688" s="84"/>
      <c r="Y688" s="84"/>
      <c r="Z688" s="32"/>
      <c r="AA688" s="3" t="str">
        <f t="shared" si="244"/>
        <v/>
      </c>
      <c r="AB688" s="84"/>
      <c r="AC688" s="84"/>
      <c r="AD688" s="36"/>
      <c r="AE688" s="82"/>
      <c r="AF688" s="3" t="str">
        <f t="shared" si="245"/>
        <v/>
      </c>
      <c r="AG688" s="84"/>
      <c r="AH688" s="84"/>
      <c r="AI688" s="39"/>
      <c r="AJ688" s="79"/>
      <c r="AK688" s="39"/>
      <c r="AL688" s="4">
        <f t="shared" si="250"/>
        <v>0</v>
      </c>
      <c r="AM688" s="4">
        <f t="shared" si="251"/>
        <v>0</v>
      </c>
      <c r="AN688" s="4">
        <f t="shared" si="246"/>
        <v>0</v>
      </c>
      <c r="AO688" s="39"/>
      <c r="AP688" s="8">
        <f t="shared" si="252"/>
        <v>0</v>
      </c>
      <c r="AQ688" s="8">
        <f t="shared" si="253"/>
        <v>0</v>
      </c>
      <c r="AR688" s="8">
        <f t="shared" si="247"/>
        <v>0</v>
      </c>
      <c r="AS688" s="42"/>
      <c r="AT688" s="84"/>
      <c r="AU688" s="84"/>
      <c r="AV688" s="4">
        <f t="shared" si="248"/>
        <v>0</v>
      </c>
      <c r="AW688" s="50" t="str">
        <f t="shared" si="249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241"/>
        <v/>
      </c>
      <c r="P689" s="84"/>
      <c r="Q689" s="84"/>
      <c r="R689" s="32"/>
      <c r="S689" s="3" t="str">
        <f t="shared" si="242"/>
        <v/>
      </c>
      <c r="T689" s="84"/>
      <c r="U689" s="84"/>
      <c r="V689" s="32"/>
      <c r="W689" s="3" t="str">
        <f t="shared" si="243"/>
        <v/>
      </c>
      <c r="X689" s="84"/>
      <c r="Y689" s="84"/>
      <c r="Z689" s="32"/>
      <c r="AA689" s="3" t="str">
        <f t="shared" si="244"/>
        <v/>
      </c>
      <c r="AB689" s="84"/>
      <c r="AC689" s="84"/>
      <c r="AD689" s="36"/>
      <c r="AE689" s="82"/>
      <c r="AF689" s="3" t="str">
        <f t="shared" si="245"/>
        <v/>
      </c>
      <c r="AG689" s="84"/>
      <c r="AH689" s="84"/>
      <c r="AI689" s="39"/>
      <c r="AJ689" s="79"/>
      <c r="AK689" s="39"/>
      <c r="AL689" s="4">
        <f t="shared" si="250"/>
        <v>0</v>
      </c>
      <c r="AM689" s="4">
        <f t="shared" si="251"/>
        <v>0</v>
      </c>
      <c r="AN689" s="4">
        <f t="shared" si="246"/>
        <v>0</v>
      </c>
      <c r="AO689" s="39"/>
      <c r="AP689" s="8">
        <f t="shared" si="252"/>
        <v>0</v>
      </c>
      <c r="AQ689" s="8">
        <f t="shared" si="253"/>
        <v>0</v>
      </c>
      <c r="AR689" s="8">
        <f t="shared" si="247"/>
        <v>0</v>
      </c>
      <c r="AS689" s="42"/>
      <c r="AT689" s="84"/>
      <c r="AU689" s="84"/>
      <c r="AV689" s="4">
        <f t="shared" si="248"/>
        <v>0</v>
      </c>
      <c r="AW689" s="50" t="str">
        <f t="shared" si="249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241"/>
        <v/>
      </c>
      <c r="P690" s="84"/>
      <c r="Q690" s="84"/>
      <c r="R690" s="32"/>
      <c r="S690" s="3" t="str">
        <f t="shared" si="242"/>
        <v/>
      </c>
      <c r="T690" s="84"/>
      <c r="U690" s="84"/>
      <c r="V690" s="32"/>
      <c r="W690" s="3" t="str">
        <f t="shared" si="243"/>
        <v/>
      </c>
      <c r="X690" s="84"/>
      <c r="Y690" s="84"/>
      <c r="Z690" s="32"/>
      <c r="AA690" s="3" t="str">
        <f t="shared" si="244"/>
        <v/>
      </c>
      <c r="AB690" s="84"/>
      <c r="AC690" s="84"/>
      <c r="AD690" s="36"/>
      <c r="AE690" s="82"/>
      <c r="AF690" s="3" t="str">
        <f t="shared" si="245"/>
        <v/>
      </c>
      <c r="AG690" s="84"/>
      <c r="AH690" s="84"/>
      <c r="AI690" s="39"/>
      <c r="AJ690" s="79"/>
      <c r="AK690" s="39"/>
      <c r="AL690" s="4">
        <f t="shared" si="250"/>
        <v>0</v>
      </c>
      <c r="AM690" s="4">
        <f t="shared" si="251"/>
        <v>0</v>
      </c>
      <c r="AN690" s="4">
        <f t="shared" si="246"/>
        <v>0</v>
      </c>
      <c r="AO690" s="39"/>
      <c r="AP690" s="8">
        <f t="shared" si="252"/>
        <v>0</v>
      </c>
      <c r="AQ690" s="8">
        <f t="shared" si="253"/>
        <v>0</v>
      </c>
      <c r="AR690" s="8">
        <f t="shared" si="247"/>
        <v>0</v>
      </c>
      <c r="AS690" s="42"/>
      <c r="AT690" s="84"/>
      <c r="AU690" s="84"/>
      <c r="AV690" s="4">
        <f t="shared" si="248"/>
        <v>0</v>
      </c>
      <c r="AW690" s="50" t="str">
        <f t="shared" si="249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241"/>
        <v/>
      </c>
      <c r="P691" s="84"/>
      <c r="Q691" s="84"/>
      <c r="R691" s="32"/>
      <c r="S691" s="3" t="str">
        <f t="shared" si="242"/>
        <v/>
      </c>
      <c r="T691" s="84"/>
      <c r="U691" s="84"/>
      <c r="V691" s="32"/>
      <c r="W691" s="3" t="str">
        <f t="shared" si="243"/>
        <v/>
      </c>
      <c r="X691" s="84"/>
      <c r="Y691" s="84"/>
      <c r="Z691" s="32"/>
      <c r="AA691" s="3" t="str">
        <f t="shared" si="244"/>
        <v/>
      </c>
      <c r="AB691" s="84"/>
      <c r="AC691" s="84"/>
      <c r="AD691" s="36"/>
      <c r="AE691" s="82"/>
      <c r="AF691" s="3" t="str">
        <f t="shared" si="245"/>
        <v/>
      </c>
      <c r="AG691" s="84"/>
      <c r="AH691" s="84"/>
      <c r="AI691" s="39"/>
      <c r="AJ691" s="79"/>
      <c r="AK691" s="39"/>
      <c r="AL691" s="4">
        <f t="shared" si="250"/>
        <v>0</v>
      </c>
      <c r="AM691" s="4">
        <f t="shared" si="251"/>
        <v>0</v>
      </c>
      <c r="AN691" s="4">
        <f t="shared" si="246"/>
        <v>0</v>
      </c>
      <c r="AO691" s="39"/>
      <c r="AP691" s="8">
        <f t="shared" si="252"/>
        <v>0</v>
      </c>
      <c r="AQ691" s="8">
        <f t="shared" si="253"/>
        <v>0</v>
      </c>
      <c r="AR691" s="8">
        <f t="shared" si="247"/>
        <v>0</v>
      </c>
      <c r="AS691" s="42"/>
      <c r="AT691" s="84"/>
      <c r="AU691" s="84"/>
      <c r="AV691" s="4">
        <f t="shared" si="248"/>
        <v>0</v>
      </c>
      <c r="AW691" s="50" t="str">
        <f t="shared" si="249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si="241"/>
        <v/>
      </c>
      <c r="P692" s="84"/>
      <c r="Q692" s="84"/>
      <c r="R692" s="32"/>
      <c r="S692" s="3" t="str">
        <f t="shared" si="242"/>
        <v/>
      </c>
      <c r="T692" s="84"/>
      <c r="U692" s="84"/>
      <c r="V692" s="32"/>
      <c r="W692" s="3" t="str">
        <f t="shared" si="243"/>
        <v/>
      </c>
      <c r="X692" s="84"/>
      <c r="Y692" s="84"/>
      <c r="Z692" s="32"/>
      <c r="AA692" s="3" t="str">
        <f t="shared" si="244"/>
        <v/>
      </c>
      <c r="AB692" s="84"/>
      <c r="AC692" s="84"/>
      <c r="AD692" s="36"/>
      <c r="AE692" s="82"/>
      <c r="AF692" s="3" t="str">
        <f t="shared" si="245"/>
        <v/>
      </c>
      <c r="AG692" s="84"/>
      <c r="AH692" s="84"/>
      <c r="AI692" s="39"/>
      <c r="AJ692" s="79"/>
      <c r="AK692" s="39"/>
      <c r="AL692" s="4">
        <f t="shared" si="250"/>
        <v>0</v>
      </c>
      <c r="AM692" s="4">
        <f t="shared" si="251"/>
        <v>0</v>
      </c>
      <c r="AN692" s="4">
        <f t="shared" si="246"/>
        <v>0</v>
      </c>
      <c r="AO692" s="39"/>
      <c r="AP692" s="8">
        <f t="shared" si="252"/>
        <v>0</v>
      </c>
      <c r="AQ692" s="8">
        <f t="shared" si="253"/>
        <v>0</v>
      </c>
      <c r="AR692" s="8">
        <f t="shared" si="247"/>
        <v>0</v>
      </c>
      <c r="AS692" s="42"/>
      <c r="AT692" s="84"/>
      <c r="AU692" s="84"/>
      <c r="AV692" s="4">
        <f t="shared" si="248"/>
        <v>0</v>
      </c>
      <c r="AW692" s="50" t="str">
        <f t="shared" si="249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241"/>
        <v/>
      </c>
      <c r="P693" s="84"/>
      <c r="Q693" s="84"/>
      <c r="R693" s="32"/>
      <c r="S693" s="3" t="str">
        <f t="shared" si="242"/>
        <v/>
      </c>
      <c r="T693" s="84"/>
      <c r="U693" s="84"/>
      <c r="V693" s="32"/>
      <c r="W693" s="3" t="str">
        <f t="shared" si="243"/>
        <v/>
      </c>
      <c r="X693" s="84"/>
      <c r="Y693" s="84"/>
      <c r="Z693" s="32"/>
      <c r="AA693" s="3" t="str">
        <f t="shared" si="244"/>
        <v/>
      </c>
      <c r="AB693" s="84"/>
      <c r="AC693" s="84"/>
      <c r="AD693" s="36"/>
      <c r="AE693" s="82"/>
      <c r="AF693" s="3" t="str">
        <f t="shared" si="245"/>
        <v/>
      </c>
      <c r="AG693" s="84"/>
      <c r="AH693" s="84"/>
      <c r="AI693" s="39"/>
      <c r="AJ693" s="79"/>
      <c r="AK693" s="39"/>
      <c r="AL693" s="4">
        <f t="shared" si="250"/>
        <v>0</v>
      </c>
      <c r="AM693" s="4">
        <f t="shared" si="251"/>
        <v>0</v>
      </c>
      <c r="AN693" s="4">
        <f t="shared" si="246"/>
        <v>0</v>
      </c>
      <c r="AO693" s="39"/>
      <c r="AP693" s="8">
        <f t="shared" si="252"/>
        <v>0</v>
      </c>
      <c r="AQ693" s="8">
        <f t="shared" si="253"/>
        <v>0</v>
      </c>
      <c r="AR693" s="8">
        <f t="shared" si="247"/>
        <v>0</v>
      </c>
      <c r="AS693" s="42"/>
      <c r="AT693" s="84"/>
      <c r="AU693" s="84"/>
      <c r="AV693" s="4">
        <f t="shared" si="248"/>
        <v>0</v>
      </c>
      <c r="AW693" s="50" t="str">
        <f t="shared" si="249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241"/>
        <v/>
      </c>
      <c r="P694" s="84"/>
      <c r="Q694" s="84"/>
      <c r="R694" s="32"/>
      <c r="S694" s="3" t="str">
        <f t="shared" si="242"/>
        <v/>
      </c>
      <c r="T694" s="84"/>
      <c r="U694" s="84"/>
      <c r="V694" s="32"/>
      <c r="W694" s="3" t="str">
        <f t="shared" si="243"/>
        <v/>
      </c>
      <c r="X694" s="84"/>
      <c r="Y694" s="84"/>
      <c r="Z694" s="32"/>
      <c r="AA694" s="3" t="str">
        <f t="shared" si="244"/>
        <v/>
      </c>
      <c r="AB694" s="84"/>
      <c r="AC694" s="84"/>
      <c r="AD694" s="36"/>
      <c r="AE694" s="82"/>
      <c r="AF694" s="3" t="str">
        <f t="shared" si="245"/>
        <v/>
      </c>
      <c r="AG694" s="84"/>
      <c r="AH694" s="84"/>
      <c r="AI694" s="39"/>
      <c r="AJ694" s="79"/>
      <c r="AK694" s="39"/>
      <c r="AL694" s="4">
        <f t="shared" si="250"/>
        <v>0</v>
      </c>
      <c r="AM694" s="4">
        <f t="shared" si="251"/>
        <v>0</v>
      </c>
      <c r="AN694" s="4">
        <f t="shared" si="246"/>
        <v>0</v>
      </c>
      <c r="AO694" s="39"/>
      <c r="AP694" s="8">
        <f t="shared" si="252"/>
        <v>0</v>
      </c>
      <c r="AQ694" s="8">
        <f t="shared" si="253"/>
        <v>0</v>
      </c>
      <c r="AR694" s="8">
        <f t="shared" si="247"/>
        <v>0</v>
      </c>
      <c r="AS694" s="42"/>
      <c r="AT694" s="84"/>
      <c r="AU694" s="84"/>
      <c r="AV694" s="4">
        <f t="shared" si="248"/>
        <v>0</v>
      </c>
      <c r="AW694" s="50" t="str">
        <f t="shared" si="249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si="241"/>
        <v/>
      </c>
      <c r="P695" s="84"/>
      <c r="Q695" s="84"/>
      <c r="R695" s="32"/>
      <c r="S695" s="3" t="str">
        <f t="shared" si="242"/>
        <v/>
      </c>
      <c r="T695" s="84"/>
      <c r="U695" s="84"/>
      <c r="V695" s="32"/>
      <c r="W695" s="3" t="str">
        <f t="shared" si="243"/>
        <v/>
      </c>
      <c r="X695" s="84"/>
      <c r="Y695" s="84"/>
      <c r="Z695" s="32"/>
      <c r="AA695" s="3" t="str">
        <f t="shared" si="244"/>
        <v/>
      </c>
      <c r="AB695" s="84"/>
      <c r="AC695" s="84"/>
      <c r="AD695" s="36"/>
      <c r="AE695" s="82"/>
      <c r="AF695" s="3" t="str">
        <f t="shared" si="245"/>
        <v/>
      </c>
      <c r="AG695" s="84"/>
      <c r="AH695" s="84"/>
      <c r="AI695" s="39"/>
      <c r="AJ695" s="79"/>
      <c r="AK695" s="39"/>
      <c r="AL695" s="4">
        <f t="shared" si="250"/>
        <v>0</v>
      </c>
      <c r="AM695" s="4">
        <f t="shared" si="251"/>
        <v>0</v>
      </c>
      <c r="AN695" s="4">
        <f t="shared" si="246"/>
        <v>0</v>
      </c>
      <c r="AO695" s="39"/>
      <c r="AP695" s="8">
        <f t="shared" si="252"/>
        <v>0</v>
      </c>
      <c r="AQ695" s="8">
        <f t="shared" si="253"/>
        <v>0</v>
      </c>
      <c r="AR695" s="8">
        <f t="shared" si="247"/>
        <v>0</v>
      </c>
      <c r="AS695" s="42"/>
      <c r="AT695" s="84"/>
      <c r="AU695" s="84"/>
      <c r="AV695" s="4">
        <f t="shared" si="248"/>
        <v>0</v>
      </c>
      <c r="AW695" s="50" t="str">
        <f t="shared" si="249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241"/>
        <v/>
      </c>
      <c r="P696" s="84"/>
      <c r="Q696" s="84"/>
      <c r="R696" s="32"/>
      <c r="S696" s="3" t="str">
        <f t="shared" si="242"/>
        <v/>
      </c>
      <c r="T696" s="84"/>
      <c r="U696" s="84"/>
      <c r="V696" s="32"/>
      <c r="W696" s="3" t="str">
        <f t="shared" si="243"/>
        <v/>
      </c>
      <c r="X696" s="84"/>
      <c r="Y696" s="84"/>
      <c r="Z696" s="32"/>
      <c r="AA696" s="3" t="str">
        <f t="shared" si="244"/>
        <v/>
      </c>
      <c r="AB696" s="84"/>
      <c r="AC696" s="84"/>
      <c r="AD696" s="36"/>
      <c r="AE696" s="82"/>
      <c r="AF696" s="3" t="str">
        <f t="shared" si="245"/>
        <v/>
      </c>
      <c r="AG696" s="84"/>
      <c r="AH696" s="84"/>
      <c r="AI696" s="39"/>
      <c r="AJ696" s="79"/>
      <c r="AK696" s="39"/>
      <c r="AL696" s="4">
        <f t="shared" si="250"/>
        <v>0</v>
      </c>
      <c r="AM696" s="4">
        <f t="shared" si="251"/>
        <v>0</v>
      </c>
      <c r="AN696" s="4">
        <f t="shared" si="246"/>
        <v>0</v>
      </c>
      <c r="AO696" s="39"/>
      <c r="AP696" s="8">
        <f t="shared" si="252"/>
        <v>0</v>
      </c>
      <c r="AQ696" s="8">
        <f t="shared" si="253"/>
        <v>0</v>
      </c>
      <c r="AR696" s="8">
        <f t="shared" si="247"/>
        <v>0</v>
      </c>
      <c r="AS696" s="42"/>
      <c r="AT696" s="84"/>
      <c r="AU696" s="84"/>
      <c r="AV696" s="4">
        <f t="shared" si="248"/>
        <v>0</v>
      </c>
      <c r="AW696" s="50" t="str">
        <f t="shared" si="249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241"/>
        <v/>
      </c>
      <c r="P697" s="84"/>
      <c r="Q697" s="84"/>
      <c r="R697" s="32"/>
      <c r="S697" s="3" t="str">
        <f t="shared" si="242"/>
        <v/>
      </c>
      <c r="T697" s="84"/>
      <c r="U697" s="84"/>
      <c r="V697" s="32"/>
      <c r="W697" s="3" t="str">
        <f t="shared" si="243"/>
        <v/>
      </c>
      <c r="X697" s="84"/>
      <c r="Y697" s="84"/>
      <c r="Z697" s="32"/>
      <c r="AA697" s="3" t="str">
        <f t="shared" si="244"/>
        <v/>
      </c>
      <c r="AB697" s="84"/>
      <c r="AC697" s="84"/>
      <c r="AD697" s="36"/>
      <c r="AE697" s="82"/>
      <c r="AF697" s="3" t="str">
        <f t="shared" si="245"/>
        <v/>
      </c>
      <c r="AG697" s="84"/>
      <c r="AH697" s="84"/>
      <c r="AI697" s="39"/>
      <c r="AJ697" s="79"/>
      <c r="AK697" s="39"/>
      <c r="AL697" s="4">
        <f t="shared" si="250"/>
        <v>0</v>
      </c>
      <c r="AM697" s="4">
        <f t="shared" si="251"/>
        <v>0</v>
      </c>
      <c r="AN697" s="4">
        <f t="shared" si="246"/>
        <v>0</v>
      </c>
      <c r="AO697" s="39"/>
      <c r="AP697" s="8">
        <f t="shared" si="252"/>
        <v>0</v>
      </c>
      <c r="AQ697" s="8">
        <f t="shared" si="253"/>
        <v>0</v>
      </c>
      <c r="AR697" s="8">
        <f t="shared" si="247"/>
        <v>0</v>
      </c>
      <c r="AS697" s="42"/>
      <c r="AT697" s="84"/>
      <c r="AU697" s="84"/>
      <c r="AV697" s="4">
        <f t="shared" si="248"/>
        <v>0</v>
      </c>
      <c r="AW697" s="50" t="str">
        <f t="shared" si="249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ref="O698:O761" si="254">IF($A698="","",IF(P698=AZ698,"E","A"))</f>
        <v/>
      </c>
      <c r="P698" s="84"/>
      <c r="Q698" s="84"/>
      <c r="R698" s="32"/>
      <c r="S698" s="3" t="str">
        <f t="shared" ref="S698:S761" si="255">IF($A698="","",IF(T698=BA698,"E","A"))</f>
        <v/>
      </c>
      <c r="T698" s="84"/>
      <c r="U698" s="84"/>
      <c r="V698" s="32"/>
      <c r="W698" s="3" t="str">
        <f t="shared" ref="W698:W761" si="256">IF($A698="","",IF(X698=0,"A",IF(X698=BB698,"E","A")))</f>
        <v/>
      </c>
      <c r="X698" s="84"/>
      <c r="Y698" s="84"/>
      <c r="Z698" s="32"/>
      <c r="AA698" s="3" t="str">
        <f t="shared" ref="AA698:AA761" si="257">IF($A698="","",IF(AB698=0,"A",IF(AB698=BC698,"E","A")))</f>
        <v/>
      </c>
      <c r="AB698" s="84"/>
      <c r="AC698" s="84"/>
      <c r="AD698" s="36"/>
      <c r="AE698" s="82"/>
      <c r="AF698" s="3" t="str">
        <f t="shared" ref="AF698:AF761" si="258">IF($A698="","",IF(AG698=0,"A",IF(AG698=BD698,"E","A")))</f>
        <v/>
      </c>
      <c r="AG698" s="84"/>
      <c r="AH698" s="84"/>
      <c r="AI698" s="39"/>
      <c r="AJ698" s="79"/>
      <c r="AK698" s="39"/>
      <c r="AL698" s="4">
        <f t="shared" ref="AL698:AL761" si="259">IF($O698="A",P698,0)+IF($S698="A",T698,0)+IF($W698="A",X698,0)+IF($AA698="A",AB698,0)+IF($AF698="A",AG698,0)</f>
        <v>0</v>
      </c>
      <c r="AM698" s="4">
        <f t="shared" ref="AM698:AM761" si="260">IF($O698="A",Q698,0)+IF($S698="A",U698,0)+IF($W698="A",Y698,0)+IF($AA698="A",AC698,0)+IF($AF698="A",AH698,0)</f>
        <v>0</v>
      </c>
      <c r="AN698" s="4">
        <f t="shared" ref="AN698:AN761" si="261">SUM(AL698:AM698)</f>
        <v>0</v>
      </c>
      <c r="AO698" s="39"/>
      <c r="AP698" s="8">
        <f t="shared" ref="AP698:AP761" si="262">IF($O698="E",P698,0)+IF($S698="E",T698,0)+IF($W698="E",X698,0)+IF($AA698="E",AB698,0)+IF($AF698="E",AG698,0)</f>
        <v>0</v>
      </c>
      <c r="AQ698" s="8">
        <f t="shared" ref="AQ698:AQ761" si="263">IF($O698="E",Q698,0)+IF($S698="E",U698,0)+IF($W698="E",Y698,0)+IF($AA698="E",AC698,0)+IF($AF698="E",AH698,0)</f>
        <v>0</v>
      </c>
      <c r="AR698" s="8">
        <f t="shared" ref="AR698:AR761" si="264">SUM(AP698:AQ698)</f>
        <v>0</v>
      </c>
      <c r="AS698" s="42"/>
      <c r="AT698" s="84"/>
      <c r="AU698" s="84"/>
      <c r="AV698" s="4">
        <f t="shared" ref="AV698:AV761" si="265">SUM(AT698:AU698)</f>
        <v>0</v>
      </c>
      <c r="AW698" s="50" t="str">
        <f t="shared" ref="AW698:AW761" si="266">IF(AV698=0,"",IF(AN698=AV698,"","W"))</f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254"/>
        <v/>
      </c>
      <c r="P699" s="84"/>
      <c r="Q699" s="84"/>
      <c r="R699" s="32"/>
      <c r="S699" s="3" t="str">
        <f t="shared" si="255"/>
        <v/>
      </c>
      <c r="T699" s="84"/>
      <c r="U699" s="84"/>
      <c r="V699" s="32"/>
      <c r="W699" s="3" t="str">
        <f t="shared" si="256"/>
        <v/>
      </c>
      <c r="X699" s="84"/>
      <c r="Y699" s="84"/>
      <c r="Z699" s="32"/>
      <c r="AA699" s="3" t="str">
        <f t="shared" si="257"/>
        <v/>
      </c>
      <c r="AB699" s="84"/>
      <c r="AC699" s="84"/>
      <c r="AD699" s="36"/>
      <c r="AE699" s="82"/>
      <c r="AF699" s="3" t="str">
        <f t="shared" si="258"/>
        <v/>
      </c>
      <c r="AG699" s="84"/>
      <c r="AH699" s="84"/>
      <c r="AI699" s="39"/>
      <c r="AJ699" s="79"/>
      <c r="AK699" s="39"/>
      <c r="AL699" s="4">
        <f t="shared" si="259"/>
        <v>0</v>
      </c>
      <c r="AM699" s="4">
        <f t="shared" si="260"/>
        <v>0</v>
      </c>
      <c r="AN699" s="4">
        <f t="shared" si="261"/>
        <v>0</v>
      </c>
      <c r="AO699" s="39"/>
      <c r="AP699" s="8">
        <f t="shared" si="262"/>
        <v>0</v>
      </c>
      <c r="AQ699" s="8">
        <f t="shared" si="263"/>
        <v>0</v>
      </c>
      <c r="AR699" s="8">
        <f t="shared" si="264"/>
        <v>0</v>
      </c>
      <c r="AS699" s="42"/>
      <c r="AT699" s="84"/>
      <c r="AU699" s="84"/>
      <c r="AV699" s="4">
        <f t="shared" si="265"/>
        <v>0</v>
      </c>
      <c r="AW699" s="50" t="str">
        <f t="shared" si="266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254"/>
        <v/>
      </c>
      <c r="P700" s="84"/>
      <c r="Q700" s="84"/>
      <c r="R700" s="32"/>
      <c r="S700" s="3" t="str">
        <f t="shared" si="255"/>
        <v/>
      </c>
      <c r="T700" s="84"/>
      <c r="U700" s="84"/>
      <c r="V700" s="32"/>
      <c r="W700" s="3" t="str">
        <f t="shared" si="256"/>
        <v/>
      </c>
      <c r="X700" s="84"/>
      <c r="Y700" s="84"/>
      <c r="Z700" s="32"/>
      <c r="AA700" s="3" t="str">
        <f t="shared" si="257"/>
        <v/>
      </c>
      <c r="AB700" s="84"/>
      <c r="AC700" s="84"/>
      <c r="AD700" s="36"/>
      <c r="AE700" s="82"/>
      <c r="AF700" s="3" t="str">
        <f t="shared" si="258"/>
        <v/>
      </c>
      <c r="AG700" s="84"/>
      <c r="AH700" s="84"/>
      <c r="AI700" s="39"/>
      <c r="AJ700" s="79"/>
      <c r="AK700" s="39"/>
      <c r="AL700" s="4">
        <f t="shared" si="259"/>
        <v>0</v>
      </c>
      <c r="AM700" s="4">
        <f t="shared" si="260"/>
        <v>0</v>
      </c>
      <c r="AN700" s="4">
        <f t="shared" si="261"/>
        <v>0</v>
      </c>
      <c r="AO700" s="39"/>
      <c r="AP700" s="8">
        <f t="shared" si="262"/>
        <v>0</v>
      </c>
      <c r="AQ700" s="8">
        <f t="shared" si="263"/>
        <v>0</v>
      </c>
      <c r="AR700" s="8">
        <f t="shared" si="264"/>
        <v>0</v>
      </c>
      <c r="AS700" s="42"/>
      <c r="AT700" s="84"/>
      <c r="AU700" s="84"/>
      <c r="AV700" s="4">
        <f t="shared" si="265"/>
        <v>0</v>
      </c>
      <c r="AW700" s="50" t="str">
        <f t="shared" si="266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254"/>
        <v/>
      </c>
      <c r="P701" s="84"/>
      <c r="Q701" s="84"/>
      <c r="R701" s="32"/>
      <c r="S701" s="3" t="str">
        <f t="shared" si="255"/>
        <v/>
      </c>
      <c r="T701" s="84"/>
      <c r="U701" s="84"/>
      <c r="V701" s="32"/>
      <c r="W701" s="3" t="str">
        <f t="shared" si="256"/>
        <v/>
      </c>
      <c r="X701" s="84"/>
      <c r="Y701" s="84"/>
      <c r="Z701" s="32"/>
      <c r="AA701" s="3" t="str">
        <f t="shared" si="257"/>
        <v/>
      </c>
      <c r="AB701" s="84"/>
      <c r="AC701" s="84"/>
      <c r="AD701" s="36"/>
      <c r="AE701" s="82"/>
      <c r="AF701" s="3" t="str">
        <f t="shared" si="258"/>
        <v/>
      </c>
      <c r="AG701" s="84"/>
      <c r="AH701" s="84"/>
      <c r="AI701" s="39"/>
      <c r="AJ701" s="79"/>
      <c r="AK701" s="39"/>
      <c r="AL701" s="4">
        <f t="shared" si="259"/>
        <v>0</v>
      </c>
      <c r="AM701" s="4">
        <f t="shared" si="260"/>
        <v>0</v>
      </c>
      <c r="AN701" s="4">
        <f t="shared" si="261"/>
        <v>0</v>
      </c>
      <c r="AO701" s="39"/>
      <c r="AP701" s="8">
        <f t="shared" si="262"/>
        <v>0</v>
      </c>
      <c r="AQ701" s="8">
        <f t="shared" si="263"/>
        <v>0</v>
      </c>
      <c r="AR701" s="8">
        <f t="shared" si="264"/>
        <v>0</v>
      </c>
      <c r="AS701" s="42"/>
      <c r="AT701" s="84"/>
      <c r="AU701" s="84"/>
      <c r="AV701" s="4">
        <f t="shared" si="265"/>
        <v>0</v>
      </c>
      <c r="AW701" s="50" t="str">
        <f t="shared" si="266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254"/>
        <v/>
      </c>
      <c r="P702" s="84"/>
      <c r="Q702" s="84"/>
      <c r="R702" s="32"/>
      <c r="S702" s="3" t="str">
        <f t="shared" si="255"/>
        <v/>
      </c>
      <c r="T702" s="84"/>
      <c r="U702" s="84"/>
      <c r="V702" s="32"/>
      <c r="W702" s="3" t="str">
        <f t="shared" si="256"/>
        <v/>
      </c>
      <c r="X702" s="84"/>
      <c r="Y702" s="84"/>
      <c r="Z702" s="32"/>
      <c r="AA702" s="3" t="str">
        <f t="shared" si="257"/>
        <v/>
      </c>
      <c r="AB702" s="84"/>
      <c r="AC702" s="84"/>
      <c r="AD702" s="36"/>
      <c r="AE702" s="82"/>
      <c r="AF702" s="3" t="str">
        <f t="shared" si="258"/>
        <v/>
      </c>
      <c r="AG702" s="84"/>
      <c r="AH702" s="84"/>
      <c r="AI702" s="39"/>
      <c r="AJ702" s="79"/>
      <c r="AK702" s="39"/>
      <c r="AL702" s="4">
        <f t="shared" si="259"/>
        <v>0</v>
      </c>
      <c r="AM702" s="4">
        <f t="shared" si="260"/>
        <v>0</v>
      </c>
      <c r="AN702" s="4">
        <f t="shared" si="261"/>
        <v>0</v>
      </c>
      <c r="AO702" s="39"/>
      <c r="AP702" s="8">
        <f t="shared" si="262"/>
        <v>0</v>
      </c>
      <c r="AQ702" s="8">
        <f t="shared" si="263"/>
        <v>0</v>
      </c>
      <c r="AR702" s="8">
        <f t="shared" si="264"/>
        <v>0</v>
      </c>
      <c r="AS702" s="42"/>
      <c r="AT702" s="84"/>
      <c r="AU702" s="84"/>
      <c r="AV702" s="4">
        <f t="shared" si="265"/>
        <v>0</v>
      </c>
      <c r="AW702" s="50" t="str">
        <f t="shared" si="266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254"/>
        <v/>
      </c>
      <c r="P703" s="84"/>
      <c r="Q703" s="84"/>
      <c r="R703" s="32"/>
      <c r="S703" s="3" t="str">
        <f t="shared" si="255"/>
        <v/>
      </c>
      <c r="T703" s="84"/>
      <c r="U703" s="84"/>
      <c r="V703" s="32"/>
      <c r="W703" s="3" t="str">
        <f t="shared" si="256"/>
        <v/>
      </c>
      <c r="X703" s="84"/>
      <c r="Y703" s="84"/>
      <c r="Z703" s="32"/>
      <c r="AA703" s="3" t="str">
        <f t="shared" si="257"/>
        <v/>
      </c>
      <c r="AB703" s="84"/>
      <c r="AC703" s="84"/>
      <c r="AD703" s="36"/>
      <c r="AE703" s="82"/>
      <c r="AF703" s="3" t="str">
        <f t="shared" si="258"/>
        <v/>
      </c>
      <c r="AG703" s="84"/>
      <c r="AH703" s="84"/>
      <c r="AI703" s="39"/>
      <c r="AJ703" s="79"/>
      <c r="AK703" s="39"/>
      <c r="AL703" s="4">
        <f t="shared" si="259"/>
        <v>0</v>
      </c>
      <c r="AM703" s="4">
        <f t="shared" si="260"/>
        <v>0</v>
      </c>
      <c r="AN703" s="4">
        <f t="shared" si="261"/>
        <v>0</v>
      </c>
      <c r="AO703" s="39"/>
      <c r="AP703" s="8">
        <f t="shared" si="262"/>
        <v>0</v>
      </c>
      <c r="AQ703" s="8">
        <f t="shared" si="263"/>
        <v>0</v>
      </c>
      <c r="AR703" s="8">
        <f t="shared" si="264"/>
        <v>0</v>
      </c>
      <c r="AS703" s="42"/>
      <c r="AT703" s="84"/>
      <c r="AU703" s="84"/>
      <c r="AV703" s="4">
        <f t="shared" si="265"/>
        <v>0</v>
      </c>
      <c r="AW703" s="50" t="str">
        <f t="shared" si="266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254"/>
        <v/>
      </c>
      <c r="P704" s="84"/>
      <c r="Q704" s="84"/>
      <c r="R704" s="32"/>
      <c r="S704" s="3" t="str">
        <f t="shared" si="255"/>
        <v/>
      </c>
      <c r="T704" s="84"/>
      <c r="U704" s="84"/>
      <c r="V704" s="32"/>
      <c r="W704" s="3" t="str">
        <f t="shared" si="256"/>
        <v/>
      </c>
      <c r="X704" s="84"/>
      <c r="Y704" s="84"/>
      <c r="Z704" s="32"/>
      <c r="AA704" s="3" t="str">
        <f t="shared" si="257"/>
        <v/>
      </c>
      <c r="AB704" s="84"/>
      <c r="AC704" s="84"/>
      <c r="AD704" s="36"/>
      <c r="AE704" s="82"/>
      <c r="AF704" s="3" t="str">
        <f t="shared" si="258"/>
        <v/>
      </c>
      <c r="AG704" s="84"/>
      <c r="AH704" s="84"/>
      <c r="AI704" s="39"/>
      <c r="AJ704" s="79"/>
      <c r="AK704" s="39"/>
      <c r="AL704" s="4">
        <f t="shared" si="259"/>
        <v>0</v>
      </c>
      <c r="AM704" s="4">
        <f t="shared" si="260"/>
        <v>0</v>
      </c>
      <c r="AN704" s="4">
        <f t="shared" si="261"/>
        <v>0</v>
      </c>
      <c r="AO704" s="39"/>
      <c r="AP704" s="8">
        <f t="shared" si="262"/>
        <v>0</v>
      </c>
      <c r="AQ704" s="8">
        <f t="shared" si="263"/>
        <v>0</v>
      </c>
      <c r="AR704" s="8">
        <f t="shared" si="264"/>
        <v>0</v>
      </c>
      <c r="AS704" s="42"/>
      <c r="AT704" s="84"/>
      <c r="AU704" s="84"/>
      <c r="AV704" s="4">
        <f t="shared" si="265"/>
        <v>0</v>
      </c>
      <c r="AW704" s="50" t="str">
        <f t="shared" si="266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254"/>
        <v/>
      </c>
      <c r="P705" s="84"/>
      <c r="Q705" s="84"/>
      <c r="R705" s="32"/>
      <c r="S705" s="3" t="str">
        <f t="shared" si="255"/>
        <v/>
      </c>
      <c r="T705" s="84"/>
      <c r="U705" s="84"/>
      <c r="V705" s="32"/>
      <c r="W705" s="3" t="str">
        <f t="shared" si="256"/>
        <v/>
      </c>
      <c r="X705" s="84"/>
      <c r="Y705" s="84"/>
      <c r="Z705" s="32"/>
      <c r="AA705" s="3" t="str">
        <f t="shared" si="257"/>
        <v/>
      </c>
      <c r="AB705" s="84"/>
      <c r="AC705" s="84"/>
      <c r="AD705" s="36"/>
      <c r="AE705" s="82"/>
      <c r="AF705" s="3" t="str">
        <f t="shared" si="258"/>
        <v/>
      </c>
      <c r="AG705" s="84"/>
      <c r="AH705" s="84"/>
      <c r="AI705" s="39"/>
      <c r="AJ705" s="79"/>
      <c r="AK705" s="39"/>
      <c r="AL705" s="4">
        <f t="shared" si="259"/>
        <v>0</v>
      </c>
      <c r="AM705" s="4">
        <f t="shared" si="260"/>
        <v>0</v>
      </c>
      <c r="AN705" s="4">
        <f t="shared" si="261"/>
        <v>0</v>
      </c>
      <c r="AO705" s="39"/>
      <c r="AP705" s="8">
        <f t="shared" si="262"/>
        <v>0</v>
      </c>
      <c r="AQ705" s="8">
        <f t="shared" si="263"/>
        <v>0</v>
      </c>
      <c r="AR705" s="8">
        <f t="shared" si="264"/>
        <v>0</v>
      </c>
      <c r="AS705" s="42"/>
      <c r="AT705" s="84"/>
      <c r="AU705" s="84"/>
      <c r="AV705" s="4">
        <f t="shared" si="265"/>
        <v>0</v>
      </c>
      <c r="AW705" s="50" t="str">
        <f t="shared" si="266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254"/>
        <v/>
      </c>
      <c r="P706" s="84"/>
      <c r="Q706" s="84"/>
      <c r="R706" s="32"/>
      <c r="S706" s="3" t="str">
        <f t="shared" si="255"/>
        <v/>
      </c>
      <c r="T706" s="84"/>
      <c r="U706" s="84"/>
      <c r="V706" s="32"/>
      <c r="W706" s="3" t="str">
        <f t="shared" si="256"/>
        <v/>
      </c>
      <c r="X706" s="84"/>
      <c r="Y706" s="84"/>
      <c r="Z706" s="32"/>
      <c r="AA706" s="3" t="str">
        <f t="shared" si="257"/>
        <v/>
      </c>
      <c r="AB706" s="84"/>
      <c r="AC706" s="84"/>
      <c r="AD706" s="36"/>
      <c r="AE706" s="82"/>
      <c r="AF706" s="3" t="str">
        <f t="shared" si="258"/>
        <v/>
      </c>
      <c r="AG706" s="84"/>
      <c r="AH706" s="84"/>
      <c r="AI706" s="39"/>
      <c r="AJ706" s="79"/>
      <c r="AK706" s="39"/>
      <c r="AL706" s="4">
        <f t="shared" si="259"/>
        <v>0</v>
      </c>
      <c r="AM706" s="4">
        <f t="shared" si="260"/>
        <v>0</v>
      </c>
      <c r="AN706" s="4">
        <f t="shared" si="261"/>
        <v>0</v>
      </c>
      <c r="AO706" s="39"/>
      <c r="AP706" s="8">
        <f t="shared" si="262"/>
        <v>0</v>
      </c>
      <c r="AQ706" s="8">
        <f t="shared" si="263"/>
        <v>0</v>
      </c>
      <c r="AR706" s="8">
        <f t="shared" si="264"/>
        <v>0</v>
      </c>
      <c r="AS706" s="42"/>
      <c r="AT706" s="84"/>
      <c r="AU706" s="84"/>
      <c r="AV706" s="4">
        <f t="shared" si="265"/>
        <v>0</v>
      </c>
      <c r="AW706" s="50" t="str">
        <f t="shared" si="266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254"/>
        <v/>
      </c>
      <c r="P707" s="84"/>
      <c r="Q707" s="84"/>
      <c r="R707" s="32"/>
      <c r="S707" s="3" t="str">
        <f t="shared" si="255"/>
        <v/>
      </c>
      <c r="T707" s="84"/>
      <c r="U707" s="84"/>
      <c r="V707" s="32"/>
      <c r="W707" s="3" t="str">
        <f t="shared" si="256"/>
        <v/>
      </c>
      <c r="X707" s="84"/>
      <c r="Y707" s="84"/>
      <c r="Z707" s="32"/>
      <c r="AA707" s="3" t="str">
        <f t="shared" si="257"/>
        <v/>
      </c>
      <c r="AB707" s="84"/>
      <c r="AC707" s="84"/>
      <c r="AD707" s="36"/>
      <c r="AE707" s="82"/>
      <c r="AF707" s="3" t="str">
        <f t="shared" si="258"/>
        <v/>
      </c>
      <c r="AG707" s="84"/>
      <c r="AH707" s="84"/>
      <c r="AI707" s="39"/>
      <c r="AJ707" s="79"/>
      <c r="AK707" s="39"/>
      <c r="AL707" s="4">
        <f t="shared" si="259"/>
        <v>0</v>
      </c>
      <c r="AM707" s="4">
        <f t="shared" si="260"/>
        <v>0</v>
      </c>
      <c r="AN707" s="4">
        <f t="shared" si="261"/>
        <v>0</v>
      </c>
      <c r="AO707" s="39"/>
      <c r="AP707" s="8">
        <f t="shared" si="262"/>
        <v>0</v>
      </c>
      <c r="AQ707" s="8">
        <f t="shared" si="263"/>
        <v>0</v>
      </c>
      <c r="AR707" s="8">
        <f t="shared" si="264"/>
        <v>0</v>
      </c>
      <c r="AS707" s="42"/>
      <c r="AT707" s="84"/>
      <c r="AU707" s="84"/>
      <c r="AV707" s="4">
        <f t="shared" si="265"/>
        <v>0</v>
      </c>
      <c r="AW707" s="50" t="str">
        <f t="shared" si="266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254"/>
        <v/>
      </c>
      <c r="P708" s="84"/>
      <c r="Q708" s="84"/>
      <c r="R708" s="32"/>
      <c r="S708" s="3" t="str">
        <f t="shared" si="255"/>
        <v/>
      </c>
      <c r="T708" s="84"/>
      <c r="U708" s="84"/>
      <c r="V708" s="32"/>
      <c r="W708" s="3" t="str">
        <f t="shared" si="256"/>
        <v/>
      </c>
      <c r="X708" s="84"/>
      <c r="Y708" s="84"/>
      <c r="Z708" s="32"/>
      <c r="AA708" s="3" t="str">
        <f t="shared" si="257"/>
        <v/>
      </c>
      <c r="AB708" s="84"/>
      <c r="AC708" s="84"/>
      <c r="AD708" s="36"/>
      <c r="AE708" s="82"/>
      <c r="AF708" s="3" t="str">
        <f t="shared" si="258"/>
        <v/>
      </c>
      <c r="AG708" s="84"/>
      <c r="AH708" s="84"/>
      <c r="AI708" s="39"/>
      <c r="AJ708" s="79"/>
      <c r="AK708" s="39"/>
      <c r="AL708" s="4">
        <f t="shared" si="259"/>
        <v>0</v>
      </c>
      <c r="AM708" s="4">
        <f t="shared" si="260"/>
        <v>0</v>
      </c>
      <c r="AN708" s="4">
        <f t="shared" si="261"/>
        <v>0</v>
      </c>
      <c r="AO708" s="39"/>
      <c r="AP708" s="8">
        <f t="shared" si="262"/>
        <v>0</v>
      </c>
      <c r="AQ708" s="8">
        <f t="shared" si="263"/>
        <v>0</v>
      </c>
      <c r="AR708" s="8">
        <f t="shared" si="264"/>
        <v>0</v>
      </c>
      <c r="AS708" s="42"/>
      <c r="AT708" s="84"/>
      <c r="AU708" s="84"/>
      <c r="AV708" s="4">
        <f t="shared" si="265"/>
        <v>0</v>
      </c>
      <c r="AW708" s="50" t="str">
        <f t="shared" si="266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254"/>
        <v/>
      </c>
      <c r="P709" s="84"/>
      <c r="Q709" s="84"/>
      <c r="R709" s="32"/>
      <c r="S709" s="3" t="str">
        <f t="shared" si="255"/>
        <v/>
      </c>
      <c r="T709" s="84"/>
      <c r="U709" s="84"/>
      <c r="V709" s="32"/>
      <c r="W709" s="3" t="str">
        <f t="shared" si="256"/>
        <v/>
      </c>
      <c r="X709" s="84"/>
      <c r="Y709" s="84"/>
      <c r="Z709" s="32"/>
      <c r="AA709" s="3" t="str">
        <f t="shared" si="257"/>
        <v/>
      </c>
      <c r="AB709" s="84"/>
      <c r="AC709" s="84"/>
      <c r="AD709" s="36"/>
      <c r="AE709" s="82"/>
      <c r="AF709" s="3" t="str">
        <f t="shared" si="258"/>
        <v/>
      </c>
      <c r="AG709" s="84"/>
      <c r="AH709" s="84"/>
      <c r="AI709" s="39"/>
      <c r="AJ709" s="79"/>
      <c r="AK709" s="39"/>
      <c r="AL709" s="4">
        <f t="shared" si="259"/>
        <v>0</v>
      </c>
      <c r="AM709" s="4">
        <f t="shared" si="260"/>
        <v>0</v>
      </c>
      <c r="AN709" s="4">
        <f t="shared" si="261"/>
        <v>0</v>
      </c>
      <c r="AO709" s="39"/>
      <c r="AP709" s="8">
        <f t="shared" si="262"/>
        <v>0</v>
      </c>
      <c r="AQ709" s="8">
        <f t="shared" si="263"/>
        <v>0</v>
      </c>
      <c r="AR709" s="8">
        <f t="shared" si="264"/>
        <v>0</v>
      </c>
      <c r="AS709" s="42"/>
      <c r="AT709" s="84"/>
      <c r="AU709" s="84"/>
      <c r="AV709" s="4">
        <f t="shared" si="265"/>
        <v>0</v>
      </c>
      <c r="AW709" s="50" t="str">
        <f t="shared" si="266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254"/>
        <v/>
      </c>
      <c r="P710" s="84"/>
      <c r="Q710" s="84"/>
      <c r="R710" s="32"/>
      <c r="S710" s="3" t="str">
        <f t="shared" si="255"/>
        <v/>
      </c>
      <c r="T710" s="84"/>
      <c r="U710" s="84"/>
      <c r="V710" s="32"/>
      <c r="W710" s="3" t="str">
        <f t="shared" si="256"/>
        <v/>
      </c>
      <c r="X710" s="84"/>
      <c r="Y710" s="84"/>
      <c r="Z710" s="32"/>
      <c r="AA710" s="3" t="str">
        <f t="shared" si="257"/>
        <v/>
      </c>
      <c r="AB710" s="84"/>
      <c r="AC710" s="84"/>
      <c r="AD710" s="36"/>
      <c r="AE710" s="82"/>
      <c r="AF710" s="3" t="str">
        <f t="shared" si="258"/>
        <v/>
      </c>
      <c r="AG710" s="84"/>
      <c r="AH710" s="84"/>
      <c r="AI710" s="39"/>
      <c r="AJ710" s="79"/>
      <c r="AK710" s="39"/>
      <c r="AL710" s="4">
        <f t="shared" si="259"/>
        <v>0</v>
      </c>
      <c r="AM710" s="4">
        <f t="shared" si="260"/>
        <v>0</v>
      </c>
      <c r="AN710" s="4">
        <f t="shared" si="261"/>
        <v>0</v>
      </c>
      <c r="AO710" s="39"/>
      <c r="AP710" s="8">
        <f t="shared" si="262"/>
        <v>0</v>
      </c>
      <c r="AQ710" s="8">
        <f t="shared" si="263"/>
        <v>0</v>
      </c>
      <c r="AR710" s="8">
        <f t="shared" si="264"/>
        <v>0</v>
      </c>
      <c r="AS710" s="42"/>
      <c r="AT710" s="84"/>
      <c r="AU710" s="84"/>
      <c r="AV710" s="4">
        <f t="shared" si="265"/>
        <v>0</v>
      </c>
      <c r="AW710" s="50" t="str">
        <f t="shared" si="266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254"/>
        <v/>
      </c>
      <c r="P711" s="84"/>
      <c r="Q711" s="84"/>
      <c r="R711" s="32"/>
      <c r="S711" s="3" t="str">
        <f t="shared" si="255"/>
        <v/>
      </c>
      <c r="T711" s="84"/>
      <c r="U711" s="84"/>
      <c r="V711" s="32"/>
      <c r="W711" s="3" t="str">
        <f t="shared" si="256"/>
        <v/>
      </c>
      <c r="X711" s="84"/>
      <c r="Y711" s="84"/>
      <c r="Z711" s="32"/>
      <c r="AA711" s="3" t="str">
        <f t="shared" si="257"/>
        <v/>
      </c>
      <c r="AB711" s="84"/>
      <c r="AC711" s="84"/>
      <c r="AD711" s="36"/>
      <c r="AE711" s="82"/>
      <c r="AF711" s="3" t="str">
        <f t="shared" si="258"/>
        <v/>
      </c>
      <c r="AG711" s="84"/>
      <c r="AH711" s="84"/>
      <c r="AI711" s="39"/>
      <c r="AJ711" s="79"/>
      <c r="AK711" s="39"/>
      <c r="AL711" s="4">
        <f t="shared" si="259"/>
        <v>0</v>
      </c>
      <c r="AM711" s="4">
        <f t="shared" si="260"/>
        <v>0</v>
      </c>
      <c r="AN711" s="4">
        <f t="shared" si="261"/>
        <v>0</v>
      </c>
      <c r="AO711" s="39"/>
      <c r="AP711" s="8">
        <f t="shared" si="262"/>
        <v>0</v>
      </c>
      <c r="AQ711" s="8">
        <f t="shared" si="263"/>
        <v>0</v>
      </c>
      <c r="AR711" s="8">
        <f t="shared" si="264"/>
        <v>0</v>
      </c>
      <c r="AS711" s="42"/>
      <c r="AT711" s="84"/>
      <c r="AU711" s="84"/>
      <c r="AV711" s="4">
        <f t="shared" si="265"/>
        <v>0</v>
      </c>
      <c r="AW711" s="50" t="str">
        <f t="shared" si="266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254"/>
        <v/>
      </c>
      <c r="P712" s="84"/>
      <c r="Q712" s="84"/>
      <c r="R712" s="32"/>
      <c r="S712" s="3" t="str">
        <f t="shared" si="255"/>
        <v/>
      </c>
      <c r="T712" s="84"/>
      <c r="U712" s="84"/>
      <c r="V712" s="32"/>
      <c r="W712" s="3" t="str">
        <f t="shared" si="256"/>
        <v/>
      </c>
      <c r="X712" s="84"/>
      <c r="Y712" s="84"/>
      <c r="Z712" s="32"/>
      <c r="AA712" s="3" t="str">
        <f t="shared" si="257"/>
        <v/>
      </c>
      <c r="AB712" s="84"/>
      <c r="AC712" s="84"/>
      <c r="AD712" s="36"/>
      <c r="AE712" s="82"/>
      <c r="AF712" s="3" t="str">
        <f t="shared" si="258"/>
        <v/>
      </c>
      <c r="AG712" s="84"/>
      <c r="AH712" s="84"/>
      <c r="AI712" s="39"/>
      <c r="AJ712" s="79"/>
      <c r="AK712" s="39"/>
      <c r="AL712" s="4">
        <f t="shared" si="259"/>
        <v>0</v>
      </c>
      <c r="AM712" s="4">
        <f t="shared" si="260"/>
        <v>0</v>
      </c>
      <c r="AN712" s="4">
        <f t="shared" si="261"/>
        <v>0</v>
      </c>
      <c r="AO712" s="39"/>
      <c r="AP712" s="8">
        <f t="shared" si="262"/>
        <v>0</v>
      </c>
      <c r="AQ712" s="8">
        <f t="shared" si="263"/>
        <v>0</v>
      </c>
      <c r="AR712" s="8">
        <f t="shared" si="264"/>
        <v>0</v>
      </c>
      <c r="AS712" s="42"/>
      <c r="AT712" s="84"/>
      <c r="AU712" s="84"/>
      <c r="AV712" s="4">
        <f t="shared" si="265"/>
        <v>0</v>
      </c>
      <c r="AW712" s="50" t="str">
        <f t="shared" si="266"/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254"/>
        <v/>
      </c>
      <c r="P713" s="84"/>
      <c r="Q713" s="84"/>
      <c r="R713" s="32"/>
      <c r="S713" s="3" t="str">
        <f t="shared" si="255"/>
        <v/>
      </c>
      <c r="T713" s="84"/>
      <c r="U713" s="84"/>
      <c r="V713" s="32"/>
      <c r="W713" s="3" t="str">
        <f t="shared" si="256"/>
        <v/>
      </c>
      <c r="X713" s="84"/>
      <c r="Y713" s="84"/>
      <c r="Z713" s="32"/>
      <c r="AA713" s="3" t="str">
        <f t="shared" si="257"/>
        <v/>
      </c>
      <c r="AB713" s="84"/>
      <c r="AC713" s="84"/>
      <c r="AD713" s="36"/>
      <c r="AE713" s="82"/>
      <c r="AF713" s="3" t="str">
        <f t="shared" si="258"/>
        <v/>
      </c>
      <c r="AG713" s="84"/>
      <c r="AH713" s="84"/>
      <c r="AI713" s="39"/>
      <c r="AJ713" s="79"/>
      <c r="AK713" s="39"/>
      <c r="AL713" s="4">
        <f t="shared" si="259"/>
        <v>0</v>
      </c>
      <c r="AM713" s="4">
        <f t="shared" si="260"/>
        <v>0</v>
      </c>
      <c r="AN713" s="4">
        <f t="shared" si="261"/>
        <v>0</v>
      </c>
      <c r="AO713" s="39"/>
      <c r="AP713" s="8">
        <f t="shared" si="262"/>
        <v>0</v>
      </c>
      <c r="AQ713" s="8">
        <f t="shared" si="263"/>
        <v>0</v>
      </c>
      <c r="AR713" s="8">
        <f t="shared" si="264"/>
        <v>0</v>
      </c>
      <c r="AS713" s="42"/>
      <c r="AT713" s="84"/>
      <c r="AU713" s="84"/>
      <c r="AV713" s="4">
        <f t="shared" si="265"/>
        <v>0</v>
      </c>
      <c r="AW713" s="50" t="str">
        <f t="shared" si="266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254"/>
        <v/>
      </c>
      <c r="P714" s="84"/>
      <c r="Q714" s="84"/>
      <c r="R714" s="32"/>
      <c r="S714" s="3" t="str">
        <f t="shared" si="255"/>
        <v/>
      </c>
      <c r="T714" s="84"/>
      <c r="U714" s="84"/>
      <c r="V714" s="32"/>
      <c r="W714" s="3" t="str">
        <f t="shared" si="256"/>
        <v/>
      </c>
      <c r="X714" s="84"/>
      <c r="Y714" s="84"/>
      <c r="Z714" s="32"/>
      <c r="AA714" s="3" t="str">
        <f t="shared" si="257"/>
        <v/>
      </c>
      <c r="AB714" s="84"/>
      <c r="AC714" s="84"/>
      <c r="AD714" s="36"/>
      <c r="AE714" s="82"/>
      <c r="AF714" s="3" t="str">
        <f t="shared" si="258"/>
        <v/>
      </c>
      <c r="AG714" s="84"/>
      <c r="AH714" s="84"/>
      <c r="AI714" s="39"/>
      <c r="AJ714" s="79"/>
      <c r="AK714" s="39"/>
      <c r="AL714" s="4">
        <f t="shared" si="259"/>
        <v>0</v>
      </c>
      <c r="AM714" s="4">
        <f t="shared" si="260"/>
        <v>0</v>
      </c>
      <c r="AN714" s="4">
        <f t="shared" si="261"/>
        <v>0</v>
      </c>
      <c r="AO714" s="39"/>
      <c r="AP714" s="8">
        <f t="shared" si="262"/>
        <v>0</v>
      </c>
      <c r="AQ714" s="8">
        <f t="shared" si="263"/>
        <v>0</v>
      </c>
      <c r="AR714" s="8">
        <f t="shared" si="264"/>
        <v>0</v>
      </c>
      <c r="AS714" s="42"/>
      <c r="AT714" s="84"/>
      <c r="AU714" s="84"/>
      <c r="AV714" s="4">
        <f t="shared" si="265"/>
        <v>0</v>
      </c>
      <c r="AW714" s="50" t="str">
        <f t="shared" si="266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254"/>
        <v/>
      </c>
      <c r="P715" s="84"/>
      <c r="Q715" s="84"/>
      <c r="R715" s="32"/>
      <c r="S715" s="3" t="str">
        <f t="shared" si="255"/>
        <v/>
      </c>
      <c r="T715" s="84"/>
      <c r="U715" s="84"/>
      <c r="V715" s="32"/>
      <c r="W715" s="3" t="str">
        <f t="shared" si="256"/>
        <v/>
      </c>
      <c r="X715" s="84"/>
      <c r="Y715" s="84"/>
      <c r="Z715" s="32"/>
      <c r="AA715" s="3" t="str">
        <f t="shared" si="257"/>
        <v/>
      </c>
      <c r="AB715" s="84"/>
      <c r="AC715" s="84"/>
      <c r="AD715" s="36"/>
      <c r="AE715" s="82"/>
      <c r="AF715" s="3" t="str">
        <f t="shared" si="258"/>
        <v/>
      </c>
      <c r="AG715" s="84"/>
      <c r="AH715" s="84"/>
      <c r="AI715" s="39"/>
      <c r="AJ715" s="79"/>
      <c r="AK715" s="39"/>
      <c r="AL715" s="4">
        <f t="shared" si="259"/>
        <v>0</v>
      </c>
      <c r="AM715" s="4">
        <f t="shared" si="260"/>
        <v>0</v>
      </c>
      <c r="AN715" s="4">
        <f t="shared" si="261"/>
        <v>0</v>
      </c>
      <c r="AO715" s="39"/>
      <c r="AP715" s="8">
        <f t="shared" si="262"/>
        <v>0</v>
      </c>
      <c r="AQ715" s="8">
        <f t="shared" si="263"/>
        <v>0</v>
      </c>
      <c r="AR715" s="8">
        <f t="shared" si="264"/>
        <v>0</v>
      </c>
      <c r="AS715" s="42"/>
      <c r="AT715" s="84"/>
      <c r="AU715" s="84"/>
      <c r="AV715" s="4">
        <f t="shared" si="265"/>
        <v>0</v>
      </c>
      <c r="AW715" s="50" t="str">
        <f t="shared" si="266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254"/>
        <v/>
      </c>
      <c r="P716" s="84"/>
      <c r="Q716" s="84"/>
      <c r="R716" s="32"/>
      <c r="S716" s="3" t="str">
        <f t="shared" si="255"/>
        <v/>
      </c>
      <c r="T716" s="84"/>
      <c r="U716" s="84"/>
      <c r="V716" s="32"/>
      <c r="W716" s="3" t="str">
        <f t="shared" si="256"/>
        <v/>
      </c>
      <c r="X716" s="84"/>
      <c r="Y716" s="84"/>
      <c r="Z716" s="32"/>
      <c r="AA716" s="3" t="str">
        <f t="shared" si="257"/>
        <v/>
      </c>
      <c r="AB716" s="84"/>
      <c r="AC716" s="84"/>
      <c r="AD716" s="36"/>
      <c r="AE716" s="82"/>
      <c r="AF716" s="3" t="str">
        <f t="shared" si="258"/>
        <v/>
      </c>
      <c r="AG716" s="84"/>
      <c r="AH716" s="84"/>
      <c r="AI716" s="39"/>
      <c r="AJ716" s="79"/>
      <c r="AK716" s="39"/>
      <c r="AL716" s="4">
        <f t="shared" si="259"/>
        <v>0</v>
      </c>
      <c r="AM716" s="4">
        <f t="shared" si="260"/>
        <v>0</v>
      </c>
      <c r="AN716" s="4">
        <f t="shared" si="261"/>
        <v>0</v>
      </c>
      <c r="AO716" s="39"/>
      <c r="AP716" s="8">
        <f t="shared" si="262"/>
        <v>0</v>
      </c>
      <c r="AQ716" s="8">
        <f t="shared" si="263"/>
        <v>0</v>
      </c>
      <c r="AR716" s="8">
        <f t="shared" si="264"/>
        <v>0</v>
      </c>
      <c r="AS716" s="42"/>
      <c r="AT716" s="84"/>
      <c r="AU716" s="84"/>
      <c r="AV716" s="4">
        <f t="shared" si="265"/>
        <v>0</v>
      </c>
      <c r="AW716" s="50" t="str">
        <f t="shared" si="266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254"/>
        <v/>
      </c>
      <c r="P717" s="84"/>
      <c r="Q717" s="84"/>
      <c r="R717" s="32"/>
      <c r="S717" s="3" t="str">
        <f t="shared" si="255"/>
        <v/>
      </c>
      <c r="T717" s="84"/>
      <c r="U717" s="84"/>
      <c r="V717" s="32"/>
      <c r="W717" s="3" t="str">
        <f t="shared" si="256"/>
        <v/>
      </c>
      <c r="X717" s="84"/>
      <c r="Y717" s="84"/>
      <c r="Z717" s="32"/>
      <c r="AA717" s="3" t="str">
        <f t="shared" si="257"/>
        <v/>
      </c>
      <c r="AB717" s="84"/>
      <c r="AC717" s="84"/>
      <c r="AD717" s="36"/>
      <c r="AE717" s="82"/>
      <c r="AF717" s="3" t="str">
        <f t="shared" si="258"/>
        <v/>
      </c>
      <c r="AG717" s="84"/>
      <c r="AH717" s="84"/>
      <c r="AI717" s="39"/>
      <c r="AJ717" s="79"/>
      <c r="AK717" s="39"/>
      <c r="AL717" s="4">
        <f t="shared" si="259"/>
        <v>0</v>
      </c>
      <c r="AM717" s="4">
        <f t="shared" si="260"/>
        <v>0</v>
      </c>
      <c r="AN717" s="4">
        <f t="shared" si="261"/>
        <v>0</v>
      </c>
      <c r="AO717" s="39"/>
      <c r="AP717" s="8">
        <f t="shared" si="262"/>
        <v>0</v>
      </c>
      <c r="AQ717" s="8">
        <f t="shared" si="263"/>
        <v>0</v>
      </c>
      <c r="AR717" s="8">
        <f t="shared" si="264"/>
        <v>0</v>
      </c>
      <c r="AS717" s="42"/>
      <c r="AT717" s="84"/>
      <c r="AU717" s="84"/>
      <c r="AV717" s="4">
        <f t="shared" si="265"/>
        <v>0</v>
      </c>
      <c r="AW717" s="50" t="str">
        <f t="shared" si="266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254"/>
        <v/>
      </c>
      <c r="P718" s="84"/>
      <c r="Q718" s="84"/>
      <c r="R718" s="32"/>
      <c r="S718" s="3" t="str">
        <f t="shared" si="255"/>
        <v/>
      </c>
      <c r="T718" s="84"/>
      <c r="U718" s="84"/>
      <c r="V718" s="32"/>
      <c r="W718" s="3" t="str">
        <f t="shared" si="256"/>
        <v/>
      </c>
      <c r="X718" s="84"/>
      <c r="Y718" s="84"/>
      <c r="Z718" s="32"/>
      <c r="AA718" s="3" t="str">
        <f t="shared" si="257"/>
        <v/>
      </c>
      <c r="AB718" s="84"/>
      <c r="AC718" s="84"/>
      <c r="AD718" s="36"/>
      <c r="AE718" s="82"/>
      <c r="AF718" s="3" t="str">
        <f t="shared" si="258"/>
        <v/>
      </c>
      <c r="AG718" s="84"/>
      <c r="AH718" s="84"/>
      <c r="AI718" s="39"/>
      <c r="AJ718" s="79"/>
      <c r="AK718" s="39"/>
      <c r="AL718" s="4">
        <f t="shared" si="259"/>
        <v>0</v>
      </c>
      <c r="AM718" s="4">
        <f t="shared" si="260"/>
        <v>0</v>
      </c>
      <c r="AN718" s="4">
        <f t="shared" si="261"/>
        <v>0</v>
      </c>
      <c r="AO718" s="39"/>
      <c r="AP718" s="8">
        <f t="shared" si="262"/>
        <v>0</v>
      </c>
      <c r="AQ718" s="8">
        <f t="shared" si="263"/>
        <v>0</v>
      </c>
      <c r="AR718" s="8">
        <f t="shared" si="264"/>
        <v>0</v>
      </c>
      <c r="AS718" s="42"/>
      <c r="AT718" s="84"/>
      <c r="AU718" s="84"/>
      <c r="AV718" s="4">
        <f t="shared" si="265"/>
        <v>0</v>
      </c>
      <c r="AW718" s="50" t="str">
        <f t="shared" si="266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254"/>
        <v/>
      </c>
      <c r="P719" s="84"/>
      <c r="Q719" s="84"/>
      <c r="R719" s="32"/>
      <c r="S719" s="3" t="str">
        <f t="shared" si="255"/>
        <v/>
      </c>
      <c r="T719" s="84"/>
      <c r="U719" s="84"/>
      <c r="V719" s="32"/>
      <c r="W719" s="3" t="str">
        <f t="shared" si="256"/>
        <v/>
      </c>
      <c r="X719" s="84"/>
      <c r="Y719" s="84"/>
      <c r="Z719" s="32"/>
      <c r="AA719" s="3" t="str">
        <f t="shared" si="257"/>
        <v/>
      </c>
      <c r="AB719" s="84"/>
      <c r="AC719" s="84"/>
      <c r="AD719" s="36"/>
      <c r="AE719" s="82"/>
      <c r="AF719" s="3" t="str">
        <f t="shared" si="258"/>
        <v/>
      </c>
      <c r="AG719" s="84"/>
      <c r="AH719" s="84"/>
      <c r="AI719" s="39"/>
      <c r="AJ719" s="79"/>
      <c r="AK719" s="39"/>
      <c r="AL719" s="4">
        <f t="shared" si="259"/>
        <v>0</v>
      </c>
      <c r="AM719" s="4">
        <f t="shared" si="260"/>
        <v>0</v>
      </c>
      <c r="AN719" s="4">
        <f t="shared" si="261"/>
        <v>0</v>
      </c>
      <c r="AO719" s="39"/>
      <c r="AP719" s="8">
        <f t="shared" si="262"/>
        <v>0</v>
      </c>
      <c r="AQ719" s="8">
        <f t="shared" si="263"/>
        <v>0</v>
      </c>
      <c r="AR719" s="8">
        <f t="shared" si="264"/>
        <v>0</v>
      </c>
      <c r="AS719" s="42"/>
      <c r="AT719" s="84"/>
      <c r="AU719" s="84"/>
      <c r="AV719" s="4">
        <f t="shared" si="265"/>
        <v>0</v>
      </c>
      <c r="AW719" s="50" t="str">
        <f t="shared" si="266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254"/>
        <v/>
      </c>
      <c r="P720" s="84"/>
      <c r="Q720" s="84"/>
      <c r="R720" s="32"/>
      <c r="S720" s="3" t="str">
        <f t="shared" si="255"/>
        <v/>
      </c>
      <c r="T720" s="84"/>
      <c r="U720" s="84"/>
      <c r="V720" s="32"/>
      <c r="W720" s="3" t="str">
        <f t="shared" si="256"/>
        <v/>
      </c>
      <c r="X720" s="84"/>
      <c r="Y720" s="84"/>
      <c r="Z720" s="32"/>
      <c r="AA720" s="3" t="str">
        <f t="shared" si="257"/>
        <v/>
      </c>
      <c r="AB720" s="84"/>
      <c r="AC720" s="84"/>
      <c r="AD720" s="36"/>
      <c r="AE720" s="82"/>
      <c r="AF720" s="3" t="str">
        <f t="shared" si="258"/>
        <v/>
      </c>
      <c r="AG720" s="84"/>
      <c r="AH720" s="84"/>
      <c r="AI720" s="39"/>
      <c r="AJ720" s="79"/>
      <c r="AK720" s="39"/>
      <c r="AL720" s="4">
        <f t="shared" si="259"/>
        <v>0</v>
      </c>
      <c r="AM720" s="4">
        <f t="shared" si="260"/>
        <v>0</v>
      </c>
      <c r="AN720" s="4">
        <f t="shared" si="261"/>
        <v>0</v>
      </c>
      <c r="AO720" s="39"/>
      <c r="AP720" s="8">
        <f t="shared" si="262"/>
        <v>0</v>
      </c>
      <c r="AQ720" s="8">
        <f t="shared" si="263"/>
        <v>0</v>
      </c>
      <c r="AR720" s="8">
        <f t="shared" si="264"/>
        <v>0</v>
      </c>
      <c r="AS720" s="42"/>
      <c r="AT720" s="84"/>
      <c r="AU720" s="84"/>
      <c r="AV720" s="4">
        <f t="shared" si="265"/>
        <v>0</v>
      </c>
      <c r="AW720" s="50" t="str">
        <f t="shared" si="266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254"/>
        <v/>
      </c>
      <c r="P721" s="84"/>
      <c r="Q721" s="84"/>
      <c r="R721" s="32"/>
      <c r="S721" s="3" t="str">
        <f t="shared" si="255"/>
        <v/>
      </c>
      <c r="T721" s="84"/>
      <c r="U721" s="84"/>
      <c r="V721" s="32"/>
      <c r="W721" s="3" t="str">
        <f t="shared" si="256"/>
        <v/>
      </c>
      <c r="X721" s="84"/>
      <c r="Y721" s="84"/>
      <c r="Z721" s="32"/>
      <c r="AA721" s="3" t="str">
        <f t="shared" si="257"/>
        <v/>
      </c>
      <c r="AB721" s="84"/>
      <c r="AC721" s="84"/>
      <c r="AD721" s="36"/>
      <c r="AE721" s="82"/>
      <c r="AF721" s="3" t="str">
        <f t="shared" si="258"/>
        <v/>
      </c>
      <c r="AG721" s="84"/>
      <c r="AH721" s="84"/>
      <c r="AI721" s="39"/>
      <c r="AJ721" s="79"/>
      <c r="AK721" s="39"/>
      <c r="AL721" s="4">
        <f t="shared" si="259"/>
        <v>0</v>
      </c>
      <c r="AM721" s="4">
        <f t="shared" si="260"/>
        <v>0</v>
      </c>
      <c r="AN721" s="4">
        <f t="shared" si="261"/>
        <v>0</v>
      </c>
      <c r="AO721" s="39"/>
      <c r="AP721" s="8">
        <f t="shared" si="262"/>
        <v>0</v>
      </c>
      <c r="AQ721" s="8">
        <f t="shared" si="263"/>
        <v>0</v>
      </c>
      <c r="AR721" s="8">
        <f t="shared" si="264"/>
        <v>0</v>
      </c>
      <c r="AS721" s="42"/>
      <c r="AT721" s="84"/>
      <c r="AU721" s="84"/>
      <c r="AV721" s="4">
        <f t="shared" si="265"/>
        <v>0</v>
      </c>
      <c r="AW721" s="50" t="str">
        <f t="shared" si="266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254"/>
        <v/>
      </c>
      <c r="P722" s="84"/>
      <c r="Q722" s="84"/>
      <c r="R722" s="32"/>
      <c r="S722" s="3" t="str">
        <f t="shared" si="255"/>
        <v/>
      </c>
      <c r="T722" s="84"/>
      <c r="U722" s="84"/>
      <c r="V722" s="32"/>
      <c r="W722" s="3" t="str">
        <f t="shared" si="256"/>
        <v/>
      </c>
      <c r="X722" s="84"/>
      <c r="Y722" s="84"/>
      <c r="Z722" s="32"/>
      <c r="AA722" s="3" t="str">
        <f t="shared" si="257"/>
        <v/>
      </c>
      <c r="AB722" s="84"/>
      <c r="AC722" s="84"/>
      <c r="AD722" s="36"/>
      <c r="AE722" s="82"/>
      <c r="AF722" s="3" t="str">
        <f t="shared" si="258"/>
        <v/>
      </c>
      <c r="AG722" s="84"/>
      <c r="AH722" s="84"/>
      <c r="AI722" s="39"/>
      <c r="AJ722" s="79"/>
      <c r="AK722" s="39"/>
      <c r="AL722" s="4">
        <f t="shared" si="259"/>
        <v>0</v>
      </c>
      <c r="AM722" s="4">
        <f t="shared" si="260"/>
        <v>0</v>
      </c>
      <c r="AN722" s="4">
        <f t="shared" si="261"/>
        <v>0</v>
      </c>
      <c r="AO722" s="39"/>
      <c r="AP722" s="8">
        <f t="shared" si="262"/>
        <v>0</v>
      </c>
      <c r="AQ722" s="8">
        <f t="shared" si="263"/>
        <v>0</v>
      </c>
      <c r="AR722" s="8">
        <f t="shared" si="264"/>
        <v>0</v>
      </c>
      <c r="AS722" s="42"/>
      <c r="AT722" s="84"/>
      <c r="AU722" s="84"/>
      <c r="AV722" s="4">
        <f t="shared" si="265"/>
        <v>0</v>
      </c>
      <c r="AW722" s="50" t="str">
        <f t="shared" si="266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254"/>
        <v/>
      </c>
      <c r="P723" s="84"/>
      <c r="Q723" s="84"/>
      <c r="R723" s="32"/>
      <c r="S723" s="3" t="str">
        <f t="shared" si="255"/>
        <v/>
      </c>
      <c r="T723" s="84"/>
      <c r="U723" s="84"/>
      <c r="V723" s="32"/>
      <c r="W723" s="3" t="str">
        <f t="shared" si="256"/>
        <v/>
      </c>
      <c r="X723" s="84"/>
      <c r="Y723" s="84"/>
      <c r="Z723" s="32"/>
      <c r="AA723" s="3" t="str">
        <f t="shared" si="257"/>
        <v/>
      </c>
      <c r="AB723" s="84"/>
      <c r="AC723" s="84"/>
      <c r="AD723" s="36"/>
      <c r="AE723" s="82"/>
      <c r="AF723" s="3" t="str">
        <f t="shared" si="258"/>
        <v/>
      </c>
      <c r="AG723" s="84"/>
      <c r="AH723" s="84"/>
      <c r="AI723" s="39"/>
      <c r="AJ723" s="79"/>
      <c r="AK723" s="39"/>
      <c r="AL723" s="4">
        <f t="shared" si="259"/>
        <v>0</v>
      </c>
      <c r="AM723" s="4">
        <f t="shared" si="260"/>
        <v>0</v>
      </c>
      <c r="AN723" s="4">
        <f t="shared" si="261"/>
        <v>0</v>
      </c>
      <c r="AO723" s="39"/>
      <c r="AP723" s="8">
        <f t="shared" si="262"/>
        <v>0</v>
      </c>
      <c r="AQ723" s="8">
        <f t="shared" si="263"/>
        <v>0</v>
      </c>
      <c r="AR723" s="8">
        <f t="shared" si="264"/>
        <v>0</v>
      </c>
      <c r="AS723" s="42"/>
      <c r="AT723" s="84"/>
      <c r="AU723" s="84"/>
      <c r="AV723" s="4">
        <f t="shared" si="265"/>
        <v>0</v>
      </c>
      <c r="AW723" s="50" t="str">
        <f t="shared" si="266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254"/>
        <v/>
      </c>
      <c r="P724" s="84"/>
      <c r="Q724" s="84"/>
      <c r="R724" s="32"/>
      <c r="S724" s="3" t="str">
        <f t="shared" si="255"/>
        <v/>
      </c>
      <c r="T724" s="84"/>
      <c r="U724" s="84"/>
      <c r="V724" s="32"/>
      <c r="W724" s="3" t="str">
        <f t="shared" si="256"/>
        <v/>
      </c>
      <c r="X724" s="84"/>
      <c r="Y724" s="84"/>
      <c r="Z724" s="32"/>
      <c r="AA724" s="3" t="str">
        <f t="shared" si="257"/>
        <v/>
      </c>
      <c r="AB724" s="84"/>
      <c r="AC724" s="84"/>
      <c r="AD724" s="36"/>
      <c r="AE724" s="82"/>
      <c r="AF724" s="3" t="str">
        <f t="shared" si="258"/>
        <v/>
      </c>
      <c r="AG724" s="84"/>
      <c r="AH724" s="84"/>
      <c r="AI724" s="39"/>
      <c r="AJ724" s="79"/>
      <c r="AK724" s="39"/>
      <c r="AL724" s="4">
        <f t="shared" si="259"/>
        <v>0</v>
      </c>
      <c r="AM724" s="4">
        <f t="shared" si="260"/>
        <v>0</v>
      </c>
      <c r="AN724" s="4">
        <f t="shared" si="261"/>
        <v>0</v>
      </c>
      <c r="AO724" s="39"/>
      <c r="AP724" s="8">
        <f t="shared" si="262"/>
        <v>0</v>
      </c>
      <c r="AQ724" s="8">
        <f t="shared" si="263"/>
        <v>0</v>
      </c>
      <c r="AR724" s="8">
        <f t="shared" si="264"/>
        <v>0</v>
      </c>
      <c r="AS724" s="42"/>
      <c r="AT724" s="84"/>
      <c r="AU724" s="84"/>
      <c r="AV724" s="4">
        <f t="shared" si="265"/>
        <v>0</v>
      </c>
      <c r="AW724" s="50" t="str">
        <f t="shared" si="266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254"/>
        <v/>
      </c>
      <c r="P725" s="84"/>
      <c r="Q725" s="84"/>
      <c r="R725" s="32"/>
      <c r="S725" s="3" t="str">
        <f t="shared" si="255"/>
        <v/>
      </c>
      <c r="T725" s="84"/>
      <c r="U725" s="84"/>
      <c r="V725" s="32"/>
      <c r="W725" s="3" t="str">
        <f t="shared" si="256"/>
        <v/>
      </c>
      <c r="X725" s="84"/>
      <c r="Y725" s="84"/>
      <c r="Z725" s="32"/>
      <c r="AA725" s="3" t="str">
        <f t="shared" si="257"/>
        <v/>
      </c>
      <c r="AB725" s="84"/>
      <c r="AC725" s="84"/>
      <c r="AD725" s="36"/>
      <c r="AE725" s="82"/>
      <c r="AF725" s="3" t="str">
        <f t="shared" si="258"/>
        <v/>
      </c>
      <c r="AG725" s="84"/>
      <c r="AH725" s="84"/>
      <c r="AI725" s="39"/>
      <c r="AJ725" s="79"/>
      <c r="AK725" s="39"/>
      <c r="AL725" s="4">
        <f t="shared" si="259"/>
        <v>0</v>
      </c>
      <c r="AM725" s="4">
        <f t="shared" si="260"/>
        <v>0</v>
      </c>
      <c r="AN725" s="4">
        <f t="shared" si="261"/>
        <v>0</v>
      </c>
      <c r="AO725" s="39"/>
      <c r="AP725" s="8">
        <f t="shared" si="262"/>
        <v>0</v>
      </c>
      <c r="AQ725" s="8">
        <f t="shared" si="263"/>
        <v>0</v>
      </c>
      <c r="AR725" s="8">
        <f t="shared" si="264"/>
        <v>0</v>
      </c>
      <c r="AS725" s="42"/>
      <c r="AT725" s="84"/>
      <c r="AU725" s="84"/>
      <c r="AV725" s="4">
        <f t="shared" si="265"/>
        <v>0</v>
      </c>
      <c r="AW725" s="50" t="str">
        <f t="shared" si="266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254"/>
        <v/>
      </c>
      <c r="P726" s="84"/>
      <c r="Q726" s="84"/>
      <c r="R726" s="32"/>
      <c r="S726" s="3" t="str">
        <f t="shared" si="255"/>
        <v/>
      </c>
      <c r="T726" s="84"/>
      <c r="U726" s="84"/>
      <c r="V726" s="32"/>
      <c r="W726" s="3" t="str">
        <f t="shared" si="256"/>
        <v/>
      </c>
      <c r="X726" s="84"/>
      <c r="Y726" s="84"/>
      <c r="Z726" s="32"/>
      <c r="AA726" s="3" t="str">
        <f t="shared" si="257"/>
        <v/>
      </c>
      <c r="AB726" s="84"/>
      <c r="AC726" s="84"/>
      <c r="AD726" s="36"/>
      <c r="AE726" s="82"/>
      <c r="AF726" s="3" t="str">
        <f t="shared" si="258"/>
        <v/>
      </c>
      <c r="AG726" s="84"/>
      <c r="AH726" s="84"/>
      <c r="AI726" s="39"/>
      <c r="AJ726" s="79"/>
      <c r="AK726" s="39"/>
      <c r="AL726" s="4">
        <f t="shared" si="259"/>
        <v>0</v>
      </c>
      <c r="AM726" s="4">
        <f t="shared" si="260"/>
        <v>0</v>
      </c>
      <c r="AN726" s="4">
        <f t="shared" si="261"/>
        <v>0</v>
      </c>
      <c r="AO726" s="39"/>
      <c r="AP726" s="8">
        <f t="shared" si="262"/>
        <v>0</v>
      </c>
      <c r="AQ726" s="8">
        <f t="shared" si="263"/>
        <v>0</v>
      </c>
      <c r="AR726" s="8">
        <f t="shared" si="264"/>
        <v>0</v>
      </c>
      <c r="AS726" s="42"/>
      <c r="AT726" s="84"/>
      <c r="AU726" s="84"/>
      <c r="AV726" s="4">
        <f t="shared" si="265"/>
        <v>0</v>
      </c>
      <c r="AW726" s="50" t="str">
        <f t="shared" si="266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254"/>
        <v/>
      </c>
      <c r="P727" s="84"/>
      <c r="Q727" s="84"/>
      <c r="R727" s="32"/>
      <c r="S727" s="3" t="str">
        <f t="shared" si="255"/>
        <v/>
      </c>
      <c r="T727" s="84"/>
      <c r="U727" s="84"/>
      <c r="V727" s="32"/>
      <c r="W727" s="3" t="str">
        <f t="shared" si="256"/>
        <v/>
      </c>
      <c r="X727" s="84"/>
      <c r="Y727" s="84"/>
      <c r="Z727" s="32"/>
      <c r="AA727" s="3" t="str">
        <f t="shared" si="257"/>
        <v/>
      </c>
      <c r="AB727" s="84"/>
      <c r="AC727" s="84"/>
      <c r="AD727" s="36"/>
      <c r="AE727" s="82"/>
      <c r="AF727" s="3" t="str">
        <f t="shared" si="258"/>
        <v/>
      </c>
      <c r="AG727" s="84"/>
      <c r="AH727" s="84"/>
      <c r="AI727" s="39"/>
      <c r="AJ727" s="79"/>
      <c r="AK727" s="39"/>
      <c r="AL727" s="4">
        <f t="shared" si="259"/>
        <v>0</v>
      </c>
      <c r="AM727" s="4">
        <f t="shared" si="260"/>
        <v>0</v>
      </c>
      <c r="AN727" s="4">
        <f t="shared" si="261"/>
        <v>0</v>
      </c>
      <c r="AO727" s="39"/>
      <c r="AP727" s="8">
        <f t="shared" si="262"/>
        <v>0</v>
      </c>
      <c r="AQ727" s="8">
        <f t="shared" si="263"/>
        <v>0</v>
      </c>
      <c r="AR727" s="8">
        <f t="shared" si="264"/>
        <v>0</v>
      </c>
      <c r="AS727" s="42"/>
      <c r="AT727" s="84"/>
      <c r="AU727" s="84"/>
      <c r="AV727" s="4">
        <f t="shared" si="265"/>
        <v>0</v>
      </c>
      <c r="AW727" s="50" t="str">
        <f t="shared" si="266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254"/>
        <v/>
      </c>
      <c r="P728" s="84"/>
      <c r="Q728" s="84"/>
      <c r="R728" s="32"/>
      <c r="S728" s="3" t="str">
        <f t="shared" si="255"/>
        <v/>
      </c>
      <c r="T728" s="84"/>
      <c r="U728" s="84"/>
      <c r="V728" s="32"/>
      <c r="W728" s="3" t="str">
        <f t="shared" si="256"/>
        <v/>
      </c>
      <c r="X728" s="84"/>
      <c r="Y728" s="84"/>
      <c r="Z728" s="32"/>
      <c r="AA728" s="3" t="str">
        <f t="shared" si="257"/>
        <v/>
      </c>
      <c r="AB728" s="84"/>
      <c r="AC728" s="84"/>
      <c r="AD728" s="36"/>
      <c r="AE728" s="82"/>
      <c r="AF728" s="3" t="str">
        <f t="shared" si="258"/>
        <v/>
      </c>
      <c r="AG728" s="84"/>
      <c r="AH728" s="84"/>
      <c r="AI728" s="39"/>
      <c r="AJ728" s="79"/>
      <c r="AK728" s="39"/>
      <c r="AL728" s="4">
        <f t="shared" si="259"/>
        <v>0</v>
      </c>
      <c r="AM728" s="4">
        <f t="shared" si="260"/>
        <v>0</v>
      </c>
      <c r="AN728" s="4">
        <f t="shared" si="261"/>
        <v>0</v>
      </c>
      <c r="AO728" s="39"/>
      <c r="AP728" s="8">
        <f t="shared" si="262"/>
        <v>0</v>
      </c>
      <c r="AQ728" s="8">
        <f t="shared" si="263"/>
        <v>0</v>
      </c>
      <c r="AR728" s="8">
        <f t="shared" si="264"/>
        <v>0</v>
      </c>
      <c r="AS728" s="42"/>
      <c r="AT728" s="84"/>
      <c r="AU728" s="84"/>
      <c r="AV728" s="4">
        <f t="shared" si="265"/>
        <v>0</v>
      </c>
      <c r="AW728" s="50" t="str">
        <f t="shared" si="266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254"/>
        <v/>
      </c>
      <c r="P729" s="84"/>
      <c r="Q729" s="84"/>
      <c r="R729" s="32"/>
      <c r="S729" s="3" t="str">
        <f t="shared" si="255"/>
        <v/>
      </c>
      <c r="T729" s="84"/>
      <c r="U729" s="84"/>
      <c r="V729" s="32"/>
      <c r="W729" s="3" t="str">
        <f t="shared" si="256"/>
        <v/>
      </c>
      <c r="X729" s="84"/>
      <c r="Y729" s="84"/>
      <c r="Z729" s="32"/>
      <c r="AA729" s="3" t="str">
        <f t="shared" si="257"/>
        <v/>
      </c>
      <c r="AB729" s="84"/>
      <c r="AC729" s="84"/>
      <c r="AD729" s="36"/>
      <c r="AE729" s="82"/>
      <c r="AF729" s="3" t="str">
        <f t="shared" si="258"/>
        <v/>
      </c>
      <c r="AG729" s="84"/>
      <c r="AH729" s="84"/>
      <c r="AI729" s="39"/>
      <c r="AJ729" s="79"/>
      <c r="AK729" s="39"/>
      <c r="AL729" s="4">
        <f t="shared" si="259"/>
        <v>0</v>
      </c>
      <c r="AM729" s="4">
        <f t="shared" si="260"/>
        <v>0</v>
      </c>
      <c r="AN729" s="4">
        <f t="shared" si="261"/>
        <v>0</v>
      </c>
      <c r="AO729" s="39"/>
      <c r="AP729" s="8">
        <f t="shared" si="262"/>
        <v>0</v>
      </c>
      <c r="AQ729" s="8">
        <f t="shared" si="263"/>
        <v>0</v>
      </c>
      <c r="AR729" s="8">
        <f t="shared" si="264"/>
        <v>0</v>
      </c>
      <c r="AS729" s="42"/>
      <c r="AT729" s="84"/>
      <c r="AU729" s="84"/>
      <c r="AV729" s="4">
        <f t="shared" si="265"/>
        <v>0</v>
      </c>
      <c r="AW729" s="50" t="str">
        <f t="shared" si="266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254"/>
        <v/>
      </c>
      <c r="P730" s="84"/>
      <c r="Q730" s="84"/>
      <c r="R730" s="32"/>
      <c r="S730" s="3" t="str">
        <f t="shared" si="255"/>
        <v/>
      </c>
      <c r="T730" s="84"/>
      <c r="U730" s="84"/>
      <c r="V730" s="32"/>
      <c r="W730" s="3" t="str">
        <f t="shared" si="256"/>
        <v/>
      </c>
      <c r="X730" s="84"/>
      <c r="Y730" s="84"/>
      <c r="Z730" s="32"/>
      <c r="AA730" s="3" t="str">
        <f t="shared" si="257"/>
        <v/>
      </c>
      <c r="AB730" s="84"/>
      <c r="AC730" s="84"/>
      <c r="AD730" s="36"/>
      <c r="AE730" s="82"/>
      <c r="AF730" s="3" t="str">
        <f t="shared" si="258"/>
        <v/>
      </c>
      <c r="AG730" s="84"/>
      <c r="AH730" s="84"/>
      <c r="AI730" s="39"/>
      <c r="AJ730" s="79"/>
      <c r="AK730" s="39"/>
      <c r="AL730" s="4">
        <f t="shared" si="259"/>
        <v>0</v>
      </c>
      <c r="AM730" s="4">
        <f t="shared" si="260"/>
        <v>0</v>
      </c>
      <c r="AN730" s="4">
        <f t="shared" si="261"/>
        <v>0</v>
      </c>
      <c r="AO730" s="39"/>
      <c r="AP730" s="8">
        <f t="shared" si="262"/>
        <v>0</v>
      </c>
      <c r="AQ730" s="8">
        <f t="shared" si="263"/>
        <v>0</v>
      </c>
      <c r="AR730" s="8">
        <f t="shared" si="264"/>
        <v>0</v>
      </c>
      <c r="AS730" s="42"/>
      <c r="AT730" s="84"/>
      <c r="AU730" s="84"/>
      <c r="AV730" s="4">
        <f t="shared" si="265"/>
        <v>0</v>
      </c>
      <c r="AW730" s="50" t="str">
        <f t="shared" si="266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254"/>
        <v/>
      </c>
      <c r="P731" s="84"/>
      <c r="Q731" s="84"/>
      <c r="R731" s="32"/>
      <c r="S731" s="3" t="str">
        <f t="shared" si="255"/>
        <v/>
      </c>
      <c r="T731" s="84"/>
      <c r="U731" s="84"/>
      <c r="V731" s="32"/>
      <c r="W731" s="3" t="str">
        <f t="shared" si="256"/>
        <v/>
      </c>
      <c r="X731" s="84"/>
      <c r="Y731" s="84"/>
      <c r="Z731" s="32"/>
      <c r="AA731" s="3" t="str">
        <f t="shared" si="257"/>
        <v/>
      </c>
      <c r="AB731" s="84"/>
      <c r="AC731" s="84"/>
      <c r="AD731" s="36"/>
      <c r="AE731" s="82"/>
      <c r="AF731" s="3" t="str">
        <f t="shared" si="258"/>
        <v/>
      </c>
      <c r="AG731" s="84"/>
      <c r="AH731" s="84"/>
      <c r="AI731" s="39"/>
      <c r="AJ731" s="79"/>
      <c r="AK731" s="39"/>
      <c r="AL731" s="4">
        <f t="shared" si="259"/>
        <v>0</v>
      </c>
      <c r="AM731" s="4">
        <f t="shared" si="260"/>
        <v>0</v>
      </c>
      <c r="AN731" s="4">
        <f t="shared" si="261"/>
        <v>0</v>
      </c>
      <c r="AO731" s="39"/>
      <c r="AP731" s="8">
        <f t="shared" si="262"/>
        <v>0</v>
      </c>
      <c r="AQ731" s="8">
        <f t="shared" si="263"/>
        <v>0</v>
      </c>
      <c r="AR731" s="8">
        <f t="shared" si="264"/>
        <v>0</v>
      </c>
      <c r="AS731" s="42"/>
      <c r="AT731" s="84"/>
      <c r="AU731" s="84"/>
      <c r="AV731" s="4">
        <f t="shared" si="265"/>
        <v>0</v>
      </c>
      <c r="AW731" s="50" t="str">
        <f t="shared" si="266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254"/>
        <v/>
      </c>
      <c r="P732" s="84"/>
      <c r="Q732" s="84"/>
      <c r="R732" s="32"/>
      <c r="S732" s="3" t="str">
        <f t="shared" si="255"/>
        <v/>
      </c>
      <c r="T732" s="84"/>
      <c r="U732" s="84"/>
      <c r="V732" s="32"/>
      <c r="W732" s="3" t="str">
        <f t="shared" si="256"/>
        <v/>
      </c>
      <c r="X732" s="84"/>
      <c r="Y732" s="84"/>
      <c r="Z732" s="32"/>
      <c r="AA732" s="3" t="str">
        <f t="shared" si="257"/>
        <v/>
      </c>
      <c r="AB732" s="84"/>
      <c r="AC732" s="84"/>
      <c r="AD732" s="36"/>
      <c r="AE732" s="82"/>
      <c r="AF732" s="3" t="str">
        <f t="shared" si="258"/>
        <v/>
      </c>
      <c r="AG732" s="84"/>
      <c r="AH732" s="84"/>
      <c r="AI732" s="39"/>
      <c r="AJ732" s="79"/>
      <c r="AK732" s="39"/>
      <c r="AL732" s="4">
        <f t="shared" si="259"/>
        <v>0</v>
      </c>
      <c r="AM732" s="4">
        <f t="shared" si="260"/>
        <v>0</v>
      </c>
      <c r="AN732" s="4">
        <f t="shared" si="261"/>
        <v>0</v>
      </c>
      <c r="AO732" s="39"/>
      <c r="AP732" s="8">
        <f t="shared" si="262"/>
        <v>0</v>
      </c>
      <c r="AQ732" s="8">
        <f t="shared" si="263"/>
        <v>0</v>
      </c>
      <c r="AR732" s="8">
        <f t="shared" si="264"/>
        <v>0</v>
      </c>
      <c r="AS732" s="42"/>
      <c r="AT732" s="84"/>
      <c r="AU732" s="84"/>
      <c r="AV732" s="4">
        <f t="shared" si="265"/>
        <v>0</v>
      </c>
      <c r="AW732" s="50" t="str">
        <f t="shared" si="266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254"/>
        <v/>
      </c>
      <c r="P733" s="84"/>
      <c r="Q733" s="84"/>
      <c r="R733" s="32"/>
      <c r="S733" s="3" t="str">
        <f t="shared" si="255"/>
        <v/>
      </c>
      <c r="T733" s="84"/>
      <c r="U733" s="84"/>
      <c r="V733" s="32"/>
      <c r="W733" s="3" t="str">
        <f t="shared" si="256"/>
        <v/>
      </c>
      <c r="X733" s="84"/>
      <c r="Y733" s="84"/>
      <c r="Z733" s="32"/>
      <c r="AA733" s="3" t="str">
        <f t="shared" si="257"/>
        <v/>
      </c>
      <c r="AB733" s="84"/>
      <c r="AC733" s="84"/>
      <c r="AD733" s="36"/>
      <c r="AE733" s="82"/>
      <c r="AF733" s="3" t="str">
        <f t="shared" si="258"/>
        <v/>
      </c>
      <c r="AG733" s="84"/>
      <c r="AH733" s="84"/>
      <c r="AI733" s="39"/>
      <c r="AJ733" s="79"/>
      <c r="AK733" s="39"/>
      <c r="AL733" s="4">
        <f t="shared" si="259"/>
        <v>0</v>
      </c>
      <c r="AM733" s="4">
        <f t="shared" si="260"/>
        <v>0</v>
      </c>
      <c r="AN733" s="4">
        <f t="shared" si="261"/>
        <v>0</v>
      </c>
      <c r="AO733" s="39"/>
      <c r="AP733" s="8">
        <f t="shared" si="262"/>
        <v>0</v>
      </c>
      <c r="AQ733" s="8">
        <f t="shared" si="263"/>
        <v>0</v>
      </c>
      <c r="AR733" s="8">
        <f t="shared" si="264"/>
        <v>0</v>
      </c>
      <c r="AS733" s="42"/>
      <c r="AT733" s="84"/>
      <c r="AU733" s="84"/>
      <c r="AV733" s="4">
        <f t="shared" si="265"/>
        <v>0</v>
      </c>
      <c r="AW733" s="50" t="str">
        <f t="shared" si="266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254"/>
        <v/>
      </c>
      <c r="P734" s="84"/>
      <c r="Q734" s="84"/>
      <c r="R734" s="32"/>
      <c r="S734" s="3" t="str">
        <f t="shared" si="255"/>
        <v/>
      </c>
      <c r="T734" s="84"/>
      <c r="U734" s="84"/>
      <c r="V734" s="32"/>
      <c r="W734" s="3" t="str">
        <f t="shared" si="256"/>
        <v/>
      </c>
      <c r="X734" s="84"/>
      <c r="Y734" s="84"/>
      <c r="Z734" s="32"/>
      <c r="AA734" s="3" t="str">
        <f t="shared" si="257"/>
        <v/>
      </c>
      <c r="AB734" s="84"/>
      <c r="AC734" s="84"/>
      <c r="AD734" s="36"/>
      <c r="AE734" s="82"/>
      <c r="AF734" s="3" t="str">
        <f t="shared" si="258"/>
        <v/>
      </c>
      <c r="AG734" s="84"/>
      <c r="AH734" s="84"/>
      <c r="AI734" s="39"/>
      <c r="AJ734" s="79"/>
      <c r="AK734" s="39"/>
      <c r="AL734" s="4">
        <f t="shared" si="259"/>
        <v>0</v>
      </c>
      <c r="AM734" s="4">
        <f t="shared" si="260"/>
        <v>0</v>
      </c>
      <c r="AN734" s="4">
        <f t="shared" si="261"/>
        <v>0</v>
      </c>
      <c r="AO734" s="39"/>
      <c r="AP734" s="8">
        <f t="shared" si="262"/>
        <v>0</v>
      </c>
      <c r="AQ734" s="8">
        <f t="shared" si="263"/>
        <v>0</v>
      </c>
      <c r="AR734" s="8">
        <f t="shared" si="264"/>
        <v>0</v>
      </c>
      <c r="AS734" s="42"/>
      <c r="AT734" s="84"/>
      <c r="AU734" s="84"/>
      <c r="AV734" s="4">
        <f t="shared" si="265"/>
        <v>0</v>
      </c>
      <c r="AW734" s="50" t="str">
        <f t="shared" si="266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254"/>
        <v/>
      </c>
      <c r="P735" s="84"/>
      <c r="Q735" s="84"/>
      <c r="R735" s="32"/>
      <c r="S735" s="3" t="str">
        <f t="shared" si="255"/>
        <v/>
      </c>
      <c r="T735" s="84"/>
      <c r="U735" s="84"/>
      <c r="V735" s="32"/>
      <c r="W735" s="3" t="str">
        <f t="shared" si="256"/>
        <v/>
      </c>
      <c r="X735" s="84"/>
      <c r="Y735" s="84"/>
      <c r="Z735" s="32"/>
      <c r="AA735" s="3" t="str">
        <f t="shared" si="257"/>
        <v/>
      </c>
      <c r="AB735" s="84"/>
      <c r="AC735" s="84"/>
      <c r="AD735" s="36"/>
      <c r="AE735" s="82"/>
      <c r="AF735" s="3" t="str">
        <f t="shared" si="258"/>
        <v/>
      </c>
      <c r="AG735" s="84"/>
      <c r="AH735" s="84"/>
      <c r="AI735" s="39"/>
      <c r="AJ735" s="79"/>
      <c r="AK735" s="39"/>
      <c r="AL735" s="4">
        <f t="shared" si="259"/>
        <v>0</v>
      </c>
      <c r="AM735" s="4">
        <f t="shared" si="260"/>
        <v>0</v>
      </c>
      <c r="AN735" s="4">
        <f t="shared" si="261"/>
        <v>0</v>
      </c>
      <c r="AO735" s="39"/>
      <c r="AP735" s="8">
        <f t="shared" si="262"/>
        <v>0</v>
      </c>
      <c r="AQ735" s="8">
        <f t="shared" si="263"/>
        <v>0</v>
      </c>
      <c r="AR735" s="8">
        <f t="shared" si="264"/>
        <v>0</v>
      </c>
      <c r="AS735" s="42"/>
      <c r="AT735" s="84"/>
      <c r="AU735" s="84"/>
      <c r="AV735" s="4">
        <f t="shared" si="265"/>
        <v>0</v>
      </c>
      <c r="AW735" s="50" t="str">
        <f t="shared" si="266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254"/>
        <v/>
      </c>
      <c r="P736" s="84"/>
      <c r="Q736" s="84"/>
      <c r="R736" s="32"/>
      <c r="S736" s="3" t="str">
        <f t="shared" si="255"/>
        <v/>
      </c>
      <c r="T736" s="84"/>
      <c r="U736" s="84"/>
      <c r="V736" s="32"/>
      <c r="W736" s="3" t="str">
        <f t="shared" si="256"/>
        <v/>
      </c>
      <c r="X736" s="84"/>
      <c r="Y736" s="84"/>
      <c r="Z736" s="32"/>
      <c r="AA736" s="3" t="str">
        <f t="shared" si="257"/>
        <v/>
      </c>
      <c r="AB736" s="84"/>
      <c r="AC736" s="84"/>
      <c r="AD736" s="36"/>
      <c r="AE736" s="82"/>
      <c r="AF736" s="3" t="str">
        <f t="shared" si="258"/>
        <v/>
      </c>
      <c r="AG736" s="84"/>
      <c r="AH736" s="84"/>
      <c r="AI736" s="39"/>
      <c r="AJ736" s="79"/>
      <c r="AK736" s="39"/>
      <c r="AL736" s="4">
        <f t="shared" si="259"/>
        <v>0</v>
      </c>
      <c r="AM736" s="4">
        <f t="shared" si="260"/>
        <v>0</v>
      </c>
      <c r="AN736" s="4">
        <f t="shared" si="261"/>
        <v>0</v>
      </c>
      <c r="AO736" s="39"/>
      <c r="AP736" s="8">
        <f t="shared" si="262"/>
        <v>0</v>
      </c>
      <c r="AQ736" s="8">
        <f t="shared" si="263"/>
        <v>0</v>
      </c>
      <c r="AR736" s="8">
        <f t="shared" si="264"/>
        <v>0</v>
      </c>
      <c r="AS736" s="42"/>
      <c r="AT736" s="84"/>
      <c r="AU736" s="84"/>
      <c r="AV736" s="4">
        <f t="shared" si="265"/>
        <v>0</v>
      </c>
      <c r="AW736" s="50" t="str">
        <f t="shared" si="266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254"/>
        <v/>
      </c>
      <c r="P737" s="84"/>
      <c r="Q737" s="84"/>
      <c r="R737" s="32"/>
      <c r="S737" s="3" t="str">
        <f t="shared" si="255"/>
        <v/>
      </c>
      <c r="T737" s="84"/>
      <c r="U737" s="84"/>
      <c r="V737" s="32"/>
      <c r="W737" s="3" t="str">
        <f t="shared" si="256"/>
        <v/>
      </c>
      <c r="X737" s="84"/>
      <c r="Y737" s="84"/>
      <c r="Z737" s="32"/>
      <c r="AA737" s="3" t="str">
        <f t="shared" si="257"/>
        <v/>
      </c>
      <c r="AB737" s="84"/>
      <c r="AC737" s="84"/>
      <c r="AD737" s="36"/>
      <c r="AE737" s="82"/>
      <c r="AF737" s="3" t="str">
        <f t="shared" si="258"/>
        <v/>
      </c>
      <c r="AG737" s="84"/>
      <c r="AH737" s="84"/>
      <c r="AI737" s="39"/>
      <c r="AJ737" s="79"/>
      <c r="AK737" s="39"/>
      <c r="AL737" s="4">
        <f t="shared" si="259"/>
        <v>0</v>
      </c>
      <c r="AM737" s="4">
        <f t="shared" si="260"/>
        <v>0</v>
      </c>
      <c r="AN737" s="4">
        <f t="shared" si="261"/>
        <v>0</v>
      </c>
      <c r="AO737" s="39"/>
      <c r="AP737" s="8">
        <f t="shared" si="262"/>
        <v>0</v>
      </c>
      <c r="AQ737" s="8">
        <f t="shared" si="263"/>
        <v>0</v>
      </c>
      <c r="AR737" s="8">
        <f t="shared" si="264"/>
        <v>0</v>
      </c>
      <c r="AS737" s="42"/>
      <c r="AT737" s="84"/>
      <c r="AU737" s="84"/>
      <c r="AV737" s="4">
        <f t="shared" si="265"/>
        <v>0</v>
      </c>
      <c r="AW737" s="50" t="str">
        <f t="shared" si="266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254"/>
        <v/>
      </c>
      <c r="P738" s="84"/>
      <c r="Q738" s="84"/>
      <c r="R738" s="32"/>
      <c r="S738" s="3" t="str">
        <f t="shared" si="255"/>
        <v/>
      </c>
      <c r="T738" s="84"/>
      <c r="U738" s="84"/>
      <c r="V738" s="32"/>
      <c r="W738" s="3" t="str">
        <f t="shared" si="256"/>
        <v/>
      </c>
      <c r="X738" s="84"/>
      <c r="Y738" s="84"/>
      <c r="Z738" s="32"/>
      <c r="AA738" s="3" t="str">
        <f t="shared" si="257"/>
        <v/>
      </c>
      <c r="AB738" s="84"/>
      <c r="AC738" s="84"/>
      <c r="AD738" s="36"/>
      <c r="AE738" s="82"/>
      <c r="AF738" s="3" t="str">
        <f t="shared" si="258"/>
        <v/>
      </c>
      <c r="AG738" s="84"/>
      <c r="AH738" s="84"/>
      <c r="AI738" s="39"/>
      <c r="AJ738" s="79"/>
      <c r="AK738" s="39"/>
      <c r="AL738" s="4">
        <f t="shared" si="259"/>
        <v>0</v>
      </c>
      <c r="AM738" s="4">
        <f t="shared" si="260"/>
        <v>0</v>
      </c>
      <c r="AN738" s="4">
        <f t="shared" si="261"/>
        <v>0</v>
      </c>
      <c r="AO738" s="39"/>
      <c r="AP738" s="8">
        <f t="shared" si="262"/>
        <v>0</v>
      </c>
      <c r="AQ738" s="8">
        <f t="shared" si="263"/>
        <v>0</v>
      </c>
      <c r="AR738" s="8">
        <f t="shared" si="264"/>
        <v>0</v>
      </c>
      <c r="AS738" s="42"/>
      <c r="AT738" s="84"/>
      <c r="AU738" s="84"/>
      <c r="AV738" s="4">
        <f t="shared" si="265"/>
        <v>0</v>
      </c>
      <c r="AW738" s="50" t="str">
        <f t="shared" si="266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254"/>
        <v/>
      </c>
      <c r="P739" s="84"/>
      <c r="Q739" s="84"/>
      <c r="R739" s="32"/>
      <c r="S739" s="3" t="str">
        <f t="shared" si="255"/>
        <v/>
      </c>
      <c r="T739" s="84"/>
      <c r="U739" s="84"/>
      <c r="V739" s="32"/>
      <c r="W739" s="3" t="str">
        <f t="shared" si="256"/>
        <v/>
      </c>
      <c r="X739" s="84"/>
      <c r="Y739" s="84"/>
      <c r="Z739" s="32"/>
      <c r="AA739" s="3" t="str">
        <f t="shared" si="257"/>
        <v/>
      </c>
      <c r="AB739" s="84"/>
      <c r="AC739" s="84"/>
      <c r="AD739" s="36"/>
      <c r="AE739" s="82"/>
      <c r="AF739" s="3" t="str">
        <f t="shared" si="258"/>
        <v/>
      </c>
      <c r="AG739" s="84"/>
      <c r="AH739" s="84"/>
      <c r="AI739" s="39"/>
      <c r="AJ739" s="79"/>
      <c r="AK739" s="39"/>
      <c r="AL739" s="4">
        <f t="shared" si="259"/>
        <v>0</v>
      </c>
      <c r="AM739" s="4">
        <f t="shared" si="260"/>
        <v>0</v>
      </c>
      <c r="AN739" s="4">
        <f t="shared" si="261"/>
        <v>0</v>
      </c>
      <c r="AO739" s="39"/>
      <c r="AP739" s="8">
        <f t="shared" si="262"/>
        <v>0</v>
      </c>
      <c r="AQ739" s="8">
        <f t="shared" si="263"/>
        <v>0</v>
      </c>
      <c r="AR739" s="8">
        <f t="shared" si="264"/>
        <v>0</v>
      </c>
      <c r="AS739" s="42"/>
      <c r="AT739" s="84"/>
      <c r="AU739" s="84"/>
      <c r="AV739" s="4">
        <f t="shared" si="265"/>
        <v>0</v>
      </c>
      <c r="AW739" s="50" t="str">
        <f t="shared" si="266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254"/>
        <v/>
      </c>
      <c r="P740" s="84"/>
      <c r="Q740" s="84"/>
      <c r="R740" s="32"/>
      <c r="S740" s="3" t="str">
        <f t="shared" si="255"/>
        <v/>
      </c>
      <c r="T740" s="84"/>
      <c r="U740" s="84"/>
      <c r="V740" s="32"/>
      <c r="W740" s="3" t="str">
        <f t="shared" si="256"/>
        <v/>
      </c>
      <c r="X740" s="84"/>
      <c r="Y740" s="84"/>
      <c r="Z740" s="32"/>
      <c r="AA740" s="3" t="str">
        <f t="shared" si="257"/>
        <v/>
      </c>
      <c r="AB740" s="84"/>
      <c r="AC740" s="84"/>
      <c r="AD740" s="36"/>
      <c r="AE740" s="82"/>
      <c r="AF740" s="3" t="str">
        <f t="shared" si="258"/>
        <v/>
      </c>
      <c r="AG740" s="84"/>
      <c r="AH740" s="84"/>
      <c r="AI740" s="39"/>
      <c r="AJ740" s="79"/>
      <c r="AK740" s="39"/>
      <c r="AL740" s="4">
        <f t="shared" si="259"/>
        <v>0</v>
      </c>
      <c r="AM740" s="4">
        <f t="shared" si="260"/>
        <v>0</v>
      </c>
      <c r="AN740" s="4">
        <f t="shared" si="261"/>
        <v>0</v>
      </c>
      <c r="AO740" s="39"/>
      <c r="AP740" s="8">
        <f t="shared" si="262"/>
        <v>0</v>
      </c>
      <c r="AQ740" s="8">
        <f t="shared" si="263"/>
        <v>0</v>
      </c>
      <c r="AR740" s="8">
        <f t="shared" si="264"/>
        <v>0</v>
      </c>
      <c r="AS740" s="42"/>
      <c r="AT740" s="84"/>
      <c r="AU740" s="84"/>
      <c r="AV740" s="4">
        <f t="shared" si="265"/>
        <v>0</v>
      </c>
      <c r="AW740" s="50" t="str">
        <f t="shared" si="266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254"/>
        <v/>
      </c>
      <c r="P741" s="84"/>
      <c r="Q741" s="84"/>
      <c r="R741" s="32"/>
      <c r="S741" s="3" t="str">
        <f t="shared" si="255"/>
        <v/>
      </c>
      <c r="T741" s="84"/>
      <c r="U741" s="84"/>
      <c r="V741" s="32"/>
      <c r="W741" s="3" t="str">
        <f t="shared" si="256"/>
        <v/>
      </c>
      <c r="X741" s="84"/>
      <c r="Y741" s="84"/>
      <c r="Z741" s="32"/>
      <c r="AA741" s="3" t="str">
        <f t="shared" si="257"/>
        <v/>
      </c>
      <c r="AB741" s="84"/>
      <c r="AC741" s="84"/>
      <c r="AD741" s="36"/>
      <c r="AE741" s="82"/>
      <c r="AF741" s="3" t="str">
        <f t="shared" si="258"/>
        <v/>
      </c>
      <c r="AG741" s="84"/>
      <c r="AH741" s="84"/>
      <c r="AI741" s="39"/>
      <c r="AJ741" s="79"/>
      <c r="AK741" s="39"/>
      <c r="AL741" s="4">
        <f t="shared" si="259"/>
        <v>0</v>
      </c>
      <c r="AM741" s="4">
        <f t="shared" si="260"/>
        <v>0</v>
      </c>
      <c r="AN741" s="4">
        <f t="shared" si="261"/>
        <v>0</v>
      </c>
      <c r="AO741" s="39"/>
      <c r="AP741" s="8">
        <f t="shared" si="262"/>
        <v>0</v>
      </c>
      <c r="AQ741" s="8">
        <f t="shared" si="263"/>
        <v>0</v>
      </c>
      <c r="AR741" s="8">
        <f t="shared" si="264"/>
        <v>0</v>
      </c>
      <c r="AS741" s="42"/>
      <c r="AT741" s="84"/>
      <c r="AU741" s="84"/>
      <c r="AV741" s="4">
        <f t="shared" si="265"/>
        <v>0</v>
      </c>
      <c r="AW741" s="50" t="str">
        <f t="shared" si="266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254"/>
        <v/>
      </c>
      <c r="P742" s="84"/>
      <c r="Q742" s="84"/>
      <c r="R742" s="32"/>
      <c r="S742" s="3" t="str">
        <f t="shared" si="255"/>
        <v/>
      </c>
      <c r="T742" s="84"/>
      <c r="U742" s="84"/>
      <c r="V742" s="32"/>
      <c r="W742" s="3" t="str">
        <f t="shared" si="256"/>
        <v/>
      </c>
      <c r="X742" s="84"/>
      <c r="Y742" s="84"/>
      <c r="Z742" s="32"/>
      <c r="AA742" s="3" t="str">
        <f t="shared" si="257"/>
        <v/>
      </c>
      <c r="AB742" s="84"/>
      <c r="AC742" s="84"/>
      <c r="AD742" s="36"/>
      <c r="AE742" s="82"/>
      <c r="AF742" s="3" t="str">
        <f t="shared" si="258"/>
        <v/>
      </c>
      <c r="AG742" s="84"/>
      <c r="AH742" s="84"/>
      <c r="AI742" s="39"/>
      <c r="AJ742" s="79"/>
      <c r="AK742" s="39"/>
      <c r="AL742" s="4">
        <f t="shared" si="259"/>
        <v>0</v>
      </c>
      <c r="AM742" s="4">
        <f t="shared" si="260"/>
        <v>0</v>
      </c>
      <c r="AN742" s="4">
        <f t="shared" si="261"/>
        <v>0</v>
      </c>
      <c r="AO742" s="39"/>
      <c r="AP742" s="8">
        <f t="shared" si="262"/>
        <v>0</v>
      </c>
      <c r="AQ742" s="8">
        <f t="shared" si="263"/>
        <v>0</v>
      </c>
      <c r="AR742" s="8">
        <f t="shared" si="264"/>
        <v>0</v>
      </c>
      <c r="AS742" s="42"/>
      <c r="AT742" s="84"/>
      <c r="AU742" s="84"/>
      <c r="AV742" s="4">
        <f t="shared" si="265"/>
        <v>0</v>
      </c>
      <c r="AW742" s="50" t="str">
        <f t="shared" si="266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254"/>
        <v/>
      </c>
      <c r="P743" s="84"/>
      <c r="Q743" s="84"/>
      <c r="R743" s="32"/>
      <c r="S743" s="3" t="str">
        <f t="shared" si="255"/>
        <v/>
      </c>
      <c r="T743" s="84"/>
      <c r="U743" s="84"/>
      <c r="V743" s="32"/>
      <c r="W743" s="3" t="str">
        <f t="shared" si="256"/>
        <v/>
      </c>
      <c r="X743" s="84"/>
      <c r="Y743" s="84"/>
      <c r="Z743" s="32"/>
      <c r="AA743" s="3" t="str">
        <f t="shared" si="257"/>
        <v/>
      </c>
      <c r="AB743" s="84"/>
      <c r="AC743" s="84"/>
      <c r="AD743" s="36"/>
      <c r="AE743" s="82"/>
      <c r="AF743" s="3" t="str">
        <f t="shared" si="258"/>
        <v/>
      </c>
      <c r="AG743" s="84"/>
      <c r="AH743" s="84"/>
      <c r="AI743" s="39"/>
      <c r="AJ743" s="79"/>
      <c r="AK743" s="39"/>
      <c r="AL743" s="4">
        <f t="shared" si="259"/>
        <v>0</v>
      </c>
      <c r="AM743" s="4">
        <f t="shared" si="260"/>
        <v>0</v>
      </c>
      <c r="AN743" s="4">
        <f t="shared" si="261"/>
        <v>0</v>
      </c>
      <c r="AO743" s="39"/>
      <c r="AP743" s="8">
        <f t="shared" si="262"/>
        <v>0</v>
      </c>
      <c r="AQ743" s="8">
        <f t="shared" si="263"/>
        <v>0</v>
      </c>
      <c r="AR743" s="8">
        <f t="shared" si="264"/>
        <v>0</v>
      </c>
      <c r="AS743" s="42"/>
      <c r="AT743" s="84"/>
      <c r="AU743" s="84"/>
      <c r="AV743" s="4">
        <f t="shared" si="265"/>
        <v>0</v>
      </c>
      <c r="AW743" s="50" t="str">
        <f t="shared" si="266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254"/>
        <v/>
      </c>
      <c r="P744" s="84"/>
      <c r="Q744" s="84"/>
      <c r="R744" s="32"/>
      <c r="S744" s="3" t="str">
        <f t="shared" si="255"/>
        <v/>
      </c>
      <c r="T744" s="84"/>
      <c r="U744" s="84"/>
      <c r="V744" s="32"/>
      <c r="W744" s="3" t="str">
        <f t="shared" si="256"/>
        <v/>
      </c>
      <c r="X744" s="84"/>
      <c r="Y744" s="84"/>
      <c r="Z744" s="32"/>
      <c r="AA744" s="3" t="str">
        <f t="shared" si="257"/>
        <v/>
      </c>
      <c r="AB744" s="84"/>
      <c r="AC744" s="84"/>
      <c r="AD744" s="36"/>
      <c r="AE744" s="82"/>
      <c r="AF744" s="3" t="str">
        <f t="shared" si="258"/>
        <v/>
      </c>
      <c r="AG744" s="84"/>
      <c r="AH744" s="84"/>
      <c r="AI744" s="39"/>
      <c r="AJ744" s="79"/>
      <c r="AK744" s="39"/>
      <c r="AL744" s="4">
        <f t="shared" si="259"/>
        <v>0</v>
      </c>
      <c r="AM744" s="4">
        <f t="shared" si="260"/>
        <v>0</v>
      </c>
      <c r="AN744" s="4">
        <f t="shared" si="261"/>
        <v>0</v>
      </c>
      <c r="AO744" s="39"/>
      <c r="AP744" s="8">
        <f t="shared" si="262"/>
        <v>0</v>
      </c>
      <c r="AQ744" s="8">
        <f t="shared" si="263"/>
        <v>0</v>
      </c>
      <c r="AR744" s="8">
        <f t="shared" si="264"/>
        <v>0</v>
      </c>
      <c r="AS744" s="42"/>
      <c r="AT744" s="84"/>
      <c r="AU744" s="84"/>
      <c r="AV744" s="4">
        <f t="shared" si="265"/>
        <v>0</v>
      </c>
      <c r="AW744" s="50" t="str">
        <f t="shared" si="266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254"/>
        <v/>
      </c>
      <c r="P745" s="84"/>
      <c r="Q745" s="84"/>
      <c r="R745" s="32"/>
      <c r="S745" s="3" t="str">
        <f t="shared" si="255"/>
        <v/>
      </c>
      <c r="T745" s="84"/>
      <c r="U745" s="84"/>
      <c r="V745" s="32"/>
      <c r="W745" s="3" t="str">
        <f t="shared" si="256"/>
        <v/>
      </c>
      <c r="X745" s="84"/>
      <c r="Y745" s="84"/>
      <c r="Z745" s="32"/>
      <c r="AA745" s="3" t="str">
        <f t="shared" si="257"/>
        <v/>
      </c>
      <c r="AB745" s="84"/>
      <c r="AC745" s="84"/>
      <c r="AD745" s="36"/>
      <c r="AE745" s="82"/>
      <c r="AF745" s="3" t="str">
        <f t="shared" si="258"/>
        <v/>
      </c>
      <c r="AG745" s="84"/>
      <c r="AH745" s="84"/>
      <c r="AI745" s="39"/>
      <c r="AJ745" s="79"/>
      <c r="AK745" s="39"/>
      <c r="AL745" s="4">
        <f t="shared" si="259"/>
        <v>0</v>
      </c>
      <c r="AM745" s="4">
        <f t="shared" si="260"/>
        <v>0</v>
      </c>
      <c r="AN745" s="4">
        <f t="shared" si="261"/>
        <v>0</v>
      </c>
      <c r="AO745" s="39"/>
      <c r="AP745" s="8">
        <f t="shared" si="262"/>
        <v>0</v>
      </c>
      <c r="AQ745" s="8">
        <f t="shared" si="263"/>
        <v>0</v>
      </c>
      <c r="AR745" s="8">
        <f t="shared" si="264"/>
        <v>0</v>
      </c>
      <c r="AS745" s="42"/>
      <c r="AT745" s="84"/>
      <c r="AU745" s="84"/>
      <c r="AV745" s="4">
        <f t="shared" si="265"/>
        <v>0</v>
      </c>
      <c r="AW745" s="50" t="str">
        <f t="shared" si="266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254"/>
        <v/>
      </c>
      <c r="P746" s="84"/>
      <c r="Q746" s="84"/>
      <c r="R746" s="32"/>
      <c r="S746" s="3" t="str">
        <f t="shared" si="255"/>
        <v/>
      </c>
      <c r="T746" s="84"/>
      <c r="U746" s="84"/>
      <c r="V746" s="32"/>
      <c r="W746" s="3" t="str">
        <f t="shared" si="256"/>
        <v/>
      </c>
      <c r="X746" s="84"/>
      <c r="Y746" s="84"/>
      <c r="Z746" s="32"/>
      <c r="AA746" s="3" t="str">
        <f t="shared" si="257"/>
        <v/>
      </c>
      <c r="AB746" s="84"/>
      <c r="AC746" s="84"/>
      <c r="AD746" s="36"/>
      <c r="AE746" s="82"/>
      <c r="AF746" s="3" t="str">
        <f t="shared" si="258"/>
        <v/>
      </c>
      <c r="AG746" s="84"/>
      <c r="AH746" s="84"/>
      <c r="AI746" s="39"/>
      <c r="AJ746" s="79"/>
      <c r="AK746" s="39"/>
      <c r="AL746" s="4">
        <f t="shared" si="259"/>
        <v>0</v>
      </c>
      <c r="AM746" s="4">
        <f t="shared" si="260"/>
        <v>0</v>
      </c>
      <c r="AN746" s="4">
        <f t="shared" si="261"/>
        <v>0</v>
      </c>
      <c r="AO746" s="39"/>
      <c r="AP746" s="8">
        <f t="shared" si="262"/>
        <v>0</v>
      </c>
      <c r="AQ746" s="8">
        <f t="shared" si="263"/>
        <v>0</v>
      </c>
      <c r="AR746" s="8">
        <f t="shared" si="264"/>
        <v>0</v>
      </c>
      <c r="AS746" s="42"/>
      <c r="AT746" s="84"/>
      <c r="AU746" s="84"/>
      <c r="AV746" s="4">
        <f t="shared" si="265"/>
        <v>0</v>
      </c>
      <c r="AW746" s="50" t="str">
        <f t="shared" si="266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254"/>
        <v/>
      </c>
      <c r="P747" s="84"/>
      <c r="Q747" s="84"/>
      <c r="R747" s="32"/>
      <c r="S747" s="3" t="str">
        <f t="shared" si="255"/>
        <v/>
      </c>
      <c r="T747" s="84"/>
      <c r="U747" s="84"/>
      <c r="V747" s="32"/>
      <c r="W747" s="3" t="str">
        <f t="shared" si="256"/>
        <v/>
      </c>
      <c r="X747" s="84"/>
      <c r="Y747" s="84"/>
      <c r="Z747" s="32"/>
      <c r="AA747" s="3" t="str">
        <f t="shared" si="257"/>
        <v/>
      </c>
      <c r="AB747" s="84"/>
      <c r="AC747" s="84"/>
      <c r="AD747" s="36"/>
      <c r="AE747" s="82"/>
      <c r="AF747" s="3" t="str">
        <f t="shared" si="258"/>
        <v/>
      </c>
      <c r="AG747" s="84"/>
      <c r="AH747" s="84"/>
      <c r="AI747" s="39"/>
      <c r="AJ747" s="79"/>
      <c r="AK747" s="39"/>
      <c r="AL747" s="4">
        <f t="shared" si="259"/>
        <v>0</v>
      </c>
      <c r="AM747" s="4">
        <f t="shared" si="260"/>
        <v>0</v>
      </c>
      <c r="AN747" s="4">
        <f t="shared" si="261"/>
        <v>0</v>
      </c>
      <c r="AO747" s="39"/>
      <c r="AP747" s="8">
        <f t="shared" si="262"/>
        <v>0</v>
      </c>
      <c r="AQ747" s="8">
        <f t="shared" si="263"/>
        <v>0</v>
      </c>
      <c r="AR747" s="8">
        <f t="shared" si="264"/>
        <v>0</v>
      </c>
      <c r="AS747" s="42"/>
      <c r="AT747" s="84"/>
      <c r="AU747" s="84"/>
      <c r="AV747" s="4">
        <f t="shared" si="265"/>
        <v>0</v>
      </c>
      <c r="AW747" s="50" t="str">
        <f t="shared" si="266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254"/>
        <v/>
      </c>
      <c r="P748" s="84"/>
      <c r="Q748" s="84"/>
      <c r="R748" s="32"/>
      <c r="S748" s="3" t="str">
        <f t="shared" si="255"/>
        <v/>
      </c>
      <c r="T748" s="84"/>
      <c r="U748" s="84"/>
      <c r="V748" s="32"/>
      <c r="W748" s="3" t="str">
        <f t="shared" si="256"/>
        <v/>
      </c>
      <c r="X748" s="84"/>
      <c r="Y748" s="84"/>
      <c r="Z748" s="32"/>
      <c r="AA748" s="3" t="str">
        <f t="shared" si="257"/>
        <v/>
      </c>
      <c r="AB748" s="84"/>
      <c r="AC748" s="84"/>
      <c r="AD748" s="36"/>
      <c r="AE748" s="82"/>
      <c r="AF748" s="3" t="str">
        <f t="shared" si="258"/>
        <v/>
      </c>
      <c r="AG748" s="84"/>
      <c r="AH748" s="84"/>
      <c r="AI748" s="39"/>
      <c r="AJ748" s="79"/>
      <c r="AK748" s="39"/>
      <c r="AL748" s="4">
        <f t="shared" si="259"/>
        <v>0</v>
      </c>
      <c r="AM748" s="4">
        <f t="shared" si="260"/>
        <v>0</v>
      </c>
      <c r="AN748" s="4">
        <f t="shared" si="261"/>
        <v>0</v>
      </c>
      <c r="AO748" s="39"/>
      <c r="AP748" s="8">
        <f t="shared" si="262"/>
        <v>0</v>
      </c>
      <c r="AQ748" s="8">
        <f t="shared" si="263"/>
        <v>0</v>
      </c>
      <c r="AR748" s="8">
        <f t="shared" si="264"/>
        <v>0</v>
      </c>
      <c r="AS748" s="42"/>
      <c r="AT748" s="84"/>
      <c r="AU748" s="84"/>
      <c r="AV748" s="4">
        <f t="shared" si="265"/>
        <v>0</v>
      </c>
      <c r="AW748" s="50" t="str">
        <f t="shared" si="266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254"/>
        <v/>
      </c>
      <c r="P749" s="84"/>
      <c r="Q749" s="84"/>
      <c r="R749" s="32"/>
      <c r="S749" s="3" t="str">
        <f t="shared" si="255"/>
        <v/>
      </c>
      <c r="T749" s="84"/>
      <c r="U749" s="84"/>
      <c r="V749" s="32"/>
      <c r="W749" s="3" t="str">
        <f t="shared" si="256"/>
        <v/>
      </c>
      <c r="X749" s="84"/>
      <c r="Y749" s="84"/>
      <c r="Z749" s="32"/>
      <c r="AA749" s="3" t="str">
        <f t="shared" si="257"/>
        <v/>
      </c>
      <c r="AB749" s="84"/>
      <c r="AC749" s="84"/>
      <c r="AD749" s="36"/>
      <c r="AE749" s="82"/>
      <c r="AF749" s="3" t="str">
        <f t="shared" si="258"/>
        <v/>
      </c>
      <c r="AG749" s="84"/>
      <c r="AH749" s="84"/>
      <c r="AI749" s="39"/>
      <c r="AJ749" s="79"/>
      <c r="AK749" s="39"/>
      <c r="AL749" s="4">
        <f t="shared" si="259"/>
        <v>0</v>
      </c>
      <c r="AM749" s="4">
        <f t="shared" si="260"/>
        <v>0</v>
      </c>
      <c r="AN749" s="4">
        <f t="shared" si="261"/>
        <v>0</v>
      </c>
      <c r="AO749" s="39"/>
      <c r="AP749" s="8">
        <f t="shared" si="262"/>
        <v>0</v>
      </c>
      <c r="AQ749" s="8">
        <f t="shared" si="263"/>
        <v>0</v>
      </c>
      <c r="AR749" s="8">
        <f t="shared" si="264"/>
        <v>0</v>
      </c>
      <c r="AS749" s="42"/>
      <c r="AT749" s="84"/>
      <c r="AU749" s="84"/>
      <c r="AV749" s="4">
        <f t="shared" si="265"/>
        <v>0</v>
      </c>
      <c r="AW749" s="50" t="str">
        <f t="shared" si="266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254"/>
        <v/>
      </c>
      <c r="P750" s="84"/>
      <c r="Q750" s="84"/>
      <c r="R750" s="32"/>
      <c r="S750" s="3" t="str">
        <f t="shared" si="255"/>
        <v/>
      </c>
      <c r="T750" s="84"/>
      <c r="U750" s="84"/>
      <c r="V750" s="32"/>
      <c r="W750" s="3" t="str">
        <f t="shared" si="256"/>
        <v/>
      </c>
      <c r="X750" s="84"/>
      <c r="Y750" s="84"/>
      <c r="Z750" s="32"/>
      <c r="AA750" s="3" t="str">
        <f t="shared" si="257"/>
        <v/>
      </c>
      <c r="AB750" s="84"/>
      <c r="AC750" s="84"/>
      <c r="AD750" s="36"/>
      <c r="AE750" s="82"/>
      <c r="AF750" s="3" t="str">
        <f t="shared" si="258"/>
        <v/>
      </c>
      <c r="AG750" s="84"/>
      <c r="AH750" s="84"/>
      <c r="AI750" s="39"/>
      <c r="AJ750" s="79"/>
      <c r="AK750" s="39"/>
      <c r="AL750" s="4">
        <f t="shared" si="259"/>
        <v>0</v>
      </c>
      <c r="AM750" s="4">
        <f t="shared" si="260"/>
        <v>0</v>
      </c>
      <c r="AN750" s="4">
        <f t="shared" si="261"/>
        <v>0</v>
      </c>
      <c r="AO750" s="39"/>
      <c r="AP750" s="8">
        <f t="shared" si="262"/>
        <v>0</v>
      </c>
      <c r="AQ750" s="8">
        <f t="shared" si="263"/>
        <v>0</v>
      </c>
      <c r="AR750" s="8">
        <f t="shared" si="264"/>
        <v>0</v>
      </c>
      <c r="AS750" s="42"/>
      <c r="AT750" s="84"/>
      <c r="AU750" s="84"/>
      <c r="AV750" s="4">
        <f t="shared" si="265"/>
        <v>0</v>
      </c>
      <c r="AW750" s="50" t="str">
        <f t="shared" si="266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si="254"/>
        <v/>
      </c>
      <c r="P751" s="84"/>
      <c r="Q751" s="84"/>
      <c r="R751" s="32"/>
      <c r="S751" s="3" t="str">
        <f t="shared" si="255"/>
        <v/>
      </c>
      <c r="T751" s="84"/>
      <c r="U751" s="84"/>
      <c r="V751" s="32"/>
      <c r="W751" s="3" t="str">
        <f t="shared" si="256"/>
        <v/>
      </c>
      <c r="X751" s="84"/>
      <c r="Y751" s="84"/>
      <c r="Z751" s="32"/>
      <c r="AA751" s="3" t="str">
        <f t="shared" si="257"/>
        <v/>
      </c>
      <c r="AB751" s="84"/>
      <c r="AC751" s="84"/>
      <c r="AD751" s="36"/>
      <c r="AE751" s="82"/>
      <c r="AF751" s="3" t="str">
        <f t="shared" si="258"/>
        <v/>
      </c>
      <c r="AG751" s="84"/>
      <c r="AH751" s="84"/>
      <c r="AI751" s="39"/>
      <c r="AJ751" s="79"/>
      <c r="AK751" s="39"/>
      <c r="AL751" s="4">
        <f t="shared" si="259"/>
        <v>0</v>
      </c>
      <c r="AM751" s="4">
        <f t="shared" si="260"/>
        <v>0</v>
      </c>
      <c r="AN751" s="4">
        <f t="shared" si="261"/>
        <v>0</v>
      </c>
      <c r="AO751" s="39"/>
      <c r="AP751" s="8">
        <f t="shared" si="262"/>
        <v>0</v>
      </c>
      <c r="AQ751" s="8">
        <f t="shared" si="263"/>
        <v>0</v>
      </c>
      <c r="AR751" s="8">
        <f t="shared" si="264"/>
        <v>0</v>
      </c>
      <c r="AS751" s="42"/>
      <c r="AT751" s="84"/>
      <c r="AU751" s="84"/>
      <c r="AV751" s="4">
        <f t="shared" si="265"/>
        <v>0</v>
      </c>
      <c r="AW751" s="50" t="str">
        <f t="shared" si="266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254"/>
        <v/>
      </c>
      <c r="P752" s="84"/>
      <c r="Q752" s="84"/>
      <c r="R752" s="32"/>
      <c r="S752" s="3" t="str">
        <f t="shared" si="255"/>
        <v/>
      </c>
      <c r="T752" s="84"/>
      <c r="U752" s="84"/>
      <c r="V752" s="32"/>
      <c r="W752" s="3" t="str">
        <f t="shared" si="256"/>
        <v/>
      </c>
      <c r="X752" s="84"/>
      <c r="Y752" s="84"/>
      <c r="Z752" s="32"/>
      <c r="AA752" s="3" t="str">
        <f t="shared" si="257"/>
        <v/>
      </c>
      <c r="AB752" s="84"/>
      <c r="AC752" s="84"/>
      <c r="AD752" s="36"/>
      <c r="AE752" s="82"/>
      <c r="AF752" s="3" t="str">
        <f t="shared" si="258"/>
        <v/>
      </c>
      <c r="AG752" s="84"/>
      <c r="AH752" s="84"/>
      <c r="AI752" s="39"/>
      <c r="AJ752" s="79"/>
      <c r="AK752" s="39"/>
      <c r="AL752" s="4">
        <f t="shared" si="259"/>
        <v>0</v>
      </c>
      <c r="AM752" s="4">
        <f t="shared" si="260"/>
        <v>0</v>
      </c>
      <c r="AN752" s="4">
        <f t="shared" si="261"/>
        <v>0</v>
      </c>
      <c r="AO752" s="39"/>
      <c r="AP752" s="8">
        <f t="shared" si="262"/>
        <v>0</v>
      </c>
      <c r="AQ752" s="8">
        <f t="shared" si="263"/>
        <v>0</v>
      </c>
      <c r="AR752" s="8">
        <f t="shared" si="264"/>
        <v>0</v>
      </c>
      <c r="AS752" s="42"/>
      <c r="AT752" s="84"/>
      <c r="AU752" s="84"/>
      <c r="AV752" s="4">
        <f t="shared" si="265"/>
        <v>0</v>
      </c>
      <c r="AW752" s="50" t="str">
        <f t="shared" si="266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254"/>
        <v/>
      </c>
      <c r="P753" s="84"/>
      <c r="Q753" s="84"/>
      <c r="R753" s="32"/>
      <c r="S753" s="3" t="str">
        <f t="shared" si="255"/>
        <v/>
      </c>
      <c r="T753" s="84"/>
      <c r="U753" s="84"/>
      <c r="V753" s="32"/>
      <c r="W753" s="3" t="str">
        <f t="shared" si="256"/>
        <v/>
      </c>
      <c r="X753" s="84"/>
      <c r="Y753" s="84"/>
      <c r="Z753" s="32"/>
      <c r="AA753" s="3" t="str">
        <f t="shared" si="257"/>
        <v/>
      </c>
      <c r="AB753" s="84"/>
      <c r="AC753" s="84"/>
      <c r="AD753" s="36"/>
      <c r="AE753" s="82"/>
      <c r="AF753" s="3" t="str">
        <f t="shared" si="258"/>
        <v/>
      </c>
      <c r="AG753" s="84"/>
      <c r="AH753" s="84"/>
      <c r="AI753" s="39"/>
      <c r="AJ753" s="79"/>
      <c r="AK753" s="39"/>
      <c r="AL753" s="4">
        <f t="shared" si="259"/>
        <v>0</v>
      </c>
      <c r="AM753" s="4">
        <f t="shared" si="260"/>
        <v>0</v>
      </c>
      <c r="AN753" s="4">
        <f t="shared" si="261"/>
        <v>0</v>
      </c>
      <c r="AO753" s="39"/>
      <c r="AP753" s="8">
        <f t="shared" si="262"/>
        <v>0</v>
      </c>
      <c r="AQ753" s="8">
        <f t="shared" si="263"/>
        <v>0</v>
      </c>
      <c r="AR753" s="8">
        <f t="shared" si="264"/>
        <v>0</v>
      </c>
      <c r="AS753" s="42"/>
      <c r="AT753" s="84"/>
      <c r="AU753" s="84"/>
      <c r="AV753" s="4">
        <f t="shared" si="265"/>
        <v>0</v>
      </c>
      <c r="AW753" s="50" t="str">
        <f t="shared" si="266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254"/>
        <v/>
      </c>
      <c r="P754" s="84"/>
      <c r="Q754" s="84"/>
      <c r="R754" s="32"/>
      <c r="S754" s="3" t="str">
        <f t="shared" si="255"/>
        <v/>
      </c>
      <c r="T754" s="84"/>
      <c r="U754" s="84"/>
      <c r="V754" s="32"/>
      <c r="W754" s="3" t="str">
        <f t="shared" si="256"/>
        <v/>
      </c>
      <c r="X754" s="84"/>
      <c r="Y754" s="84"/>
      <c r="Z754" s="32"/>
      <c r="AA754" s="3" t="str">
        <f t="shared" si="257"/>
        <v/>
      </c>
      <c r="AB754" s="84"/>
      <c r="AC754" s="84"/>
      <c r="AD754" s="36"/>
      <c r="AE754" s="82"/>
      <c r="AF754" s="3" t="str">
        <f t="shared" si="258"/>
        <v/>
      </c>
      <c r="AG754" s="84"/>
      <c r="AH754" s="84"/>
      <c r="AI754" s="39"/>
      <c r="AJ754" s="79"/>
      <c r="AK754" s="39"/>
      <c r="AL754" s="4">
        <f t="shared" si="259"/>
        <v>0</v>
      </c>
      <c r="AM754" s="4">
        <f t="shared" si="260"/>
        <v>0</v>
      </c>
      <c r="AN754" s="4">
        <f t="shared" si="261"/>
        <v>0</v>
      </c>
      <c r="AO754" s="39"/>
      <c r="AP754" s="8">
        <f t="shared" si="262"/>
        <v>0</v>
      </c>
      <c r="AQ754" s="8">
        <f t="shared" si="263"/>
        <v>0</v>
      </c>
      <c r="AR754" s="8">
        <f t="shared" si="264"/>
        <v>0</v>
      </c>
      <c r="AS754" s="42"/>
      <c r="AT754" s="84"/>
      <c r="AU754" s="84"/>
      <c r="AV754" s="4">
        <f t="shared" si="265"/>
        <v>0</v>
      </c>
      <c r="AW754" s="50" t="str">
        <f t="shared" si="266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254"/>
        <v/>
      </c>
      <c r="P755" s="84"/>
      <c r="Q755" s="84"/>
      <c r="R755" s="32"/>
      <c r="S755" s="3" t="str">
        <f t="shared" si="255"/>
        <v/>
      </c>
      <c r="T755" s="84"/>
      <c r="U755" s="84"/>
      <c r="V755" s="32"/>
      <c r="W755" s="3" t="str">
        <f t="shared" si="256"/>
        <v/>
      </c>
      <c r="X755" s="84"/>
      <c r="Y755" s="84"/>
      <c r="Z755" s="32"/>
      <c r="AA755" s="3" t="str">
        <f t="shared" si="257"/>
        <v/>
      </c>
      <c r="AB755" s="84"/>
      <c r="AC755" s="84"/>
      <c r="AD755" s="36"/>
      <c r="AE755" s="82"/>
      <c r="AF755" s="3" t="str">
        <f t="shared" si="258"/>
        <v/>
      </c>
      <c r="AG755" s="84"/>
      <c r="AH755" s="84"/>
      <c r="AI755" s="39"/>
      <c r="AJ755" s="79"/>
      <c r="AK755" s="39"/>
      <c r="AL755" s="4">
        <f t="shared" si="259"/>
        <v>0</v>
      </c>
      <c r="AM755" s="4">
        <f t="shared" si="260"/>
        <v>0</v>
      </c>
      <c r="AN755" s="4">
        <f t="shared" si="261"/>
        <v>0</v>
      </c>
      <c r="AO755" s="39"/>
      <c r="AP755" s="8">
        <f t="shared" si="262"/>
        <v>0</v>
      </c>
      <c r="AQ755" s="8">
        <f t="shared" si="263"/>
        <v>0</v>
      </c>
      <c r="AR755" s="8">
        <f t="shared" si="264"/>
        <v>0</v>
      </c>
      <c r="AS755" s="42"/>
      <c r="AT755" s="84"/>
      <c r="AU755" s="84"/>
      <c r="AV755" s="4">
        <f t="shared" si="265"/>
        <v>0</v>
      </c>
      <c r="AW755" s="50" t="str">
        <f t="shared" si="266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si="254"/>
        <v/>
      </c>
      <c r="P756" s="84"/>
      <c r="Q756" s="84"/>
      <c r="R756" s="32"/>
      <c r="S756" s="3" t="str">
        <f t="shared" si="255"/>
        <v/>
      </c>
      <c r="T756" s="84"/>
      <c r="U756" s="84"/>
      <c r="V756" s="32"/>
      <c r="W756" s="3" t="str">
        <f t="shared" si="256"/>
        <v/>
      </c>
      <c r="X756" s="84"/>
      <c r="Y756" s="84"/>
      <c r="Z756" s="32"/>
      <c r="AA756" s="3" t="str">
        <f t="shared" si="257"/>
        <v/>
      </c>
      <c r="AB756" s="84"/>
      <c r="AC756" s="84"/>
      <c r="AD756" s="36"/>
      <c r="AE756" s="82"/>
      <c r="AF756" s="3" t="str">
        <f t="shared" si="258"/>
        <v/>
      </c>
      <c r="AG756" s="84"/>
      <c r="AH756" s="84"/>
      <c r="AI756" s="39"/>
      <c r="AJ756" s="79"/>
      <c r="AK756" s="39"/>
      <c r="AL756" s="4">
        <f t="shared" si="259"/>
        <v>0</v>
      </c>
      <c r="AM756" s="4">
        <f t="shared" si="260"/>
        <v>0</v>
      </c>
      <c r="AN756" s="4">
        <f t="shared" si="261"/>
        <v>0</v>
      </c>
      <c r="AO756" s="39"/>
      <c r="AP756" s="8">
        <f t="shared" si="262"/>
        <v>0</v>
      </c>
      <c r="AQ756" s="8">
        <f t="shared" si="263"/>
        <v>0</v>
      </c>
      <c r="AR756" s="8">
        <f t="shared" si="264"/>
        <v>0</v>
      </c>
      <c r="AS756" s="42"/>
      <c r="AT756" s="84"/>
      <c r="AU756" s="84"/>
      <c r="AV756" s="4">
        <f t="shared" si="265"/>
        <v>0</v>
      </c>
      <c r="AW756" s="50" t="str">
        <f t="shared" si="266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254"/>
        <v/>
      </c>
      <c r="P757" s="84"/>
      <c r="Q757" s="84"/>
      <c r="R757" s="32"/>
      <c r="S757" s="3" t="str">
        <f t="shared" si="255"/>
        <v/>
      </c>
      <c r="T757" s="84"/>
      <c r="U757" s="84"/>
      <c r="V757" s="32"/>
      <c r="W757" s="3" t="str">
        <f t="shared" si="256"/>
        <v/>
      </c>
      <c r="X757" s="84"/>
      <c r="Y757" s="84"/>
      <c r="Z757" s="32"/>
      <c r="AA757" s="3" t="str">
        <f t="shared" si="257"/>
        <v/>
      </c>
      <c r="AB757" s="84"/>
      <c r="AC757" s="84"/>
      <c r="AD757" s="36"/>
      <c r="AE757" s="82"/>
      <c r="AF757" s="3" t="str">
        <f t="shared" si="258"/>
        <v/>
      </c>
      <c r="AG757" s="84"/>
      <c r="AH757" s="84"/>
      <c r="AI757" s="39"/>
      <c r="AJ757" s="79"/>
      <c r="AK757" s="39"/>
      <c r="AL757" s="4">
        <f t="shared" si="259"/>
        <v>0</v>
      </c>
      <c r="AM757" s="4">
        <f t="shared" si="260"/>
        <v>0</v>
      </c>
      <c r="AN757" s="4">
        <f t="shared" si="261"/>
        <v>0</v>
      </c>
      <c r="AO757" s="39"/>
      <c r="AP757" s="8">
        <f t="shared" si="262"/>
        <v>0</v>
      </c>
      <c r="AQ757" s="8">
        <f t="shared" si="263"/>
        <v>0</v>
      </c>
      <c r="AR757" s="8">
        <f t="shared" si="264"/>
        <v>0</v>
      </c>
      <c r="AS757" s="42"/>
      <c r="AT757" s="84"/>
      <c r="AU757" s="84"/>
      <c r="AV757" s="4">
        <f t="shared" si="265"/>
        <v>0</v>
      </c>
      <c r="AW757" s="50" t="str">
        <f t="shared" si="266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254"/>
        <v/>
      </c>
      <c r="P758" s="84"/>
      <c r="Q758" s="84"/>
      <c r="R758" s="32"/>
      <c r="S758" s="3" t="str">
        <f t="shared" si="255"/>
        <v/>
      </c>
      <c r="T758" s="84"/>
      <c r="U758" s="84"/>
      <c r="V758" s="32"/>
      <c r="W758" s="3" t="str">
        <f t="shared" si="256"/>
        <v/>
      </c>
      <c r="X758" s="84"/>
      <c r="Y758" s="84"/>
      <c r="Z758" s="32"/>
      <c r="AA758" s="3" t="str">
        <f t="shared" si="257"/>
        <v/>
      </c>
      <c r="AB758" s="84"/>
      <c r="AC758" s="84"/>
      <c r="AD758" s="36"/>
      <c r="AE758" s="82"/>
      <c r="AF758" s="3" t="str">
        <f t="shared" si="258"/>
        <v/>
      </c>
      <c r="AG758" s="84"/>
      <c r="AH758" s="84"/>
      <c r="AI758" s="39"/>
      <c r="AJ758" s="79"/>
      <c r="AK758" s="39"/>
      <c r="AL758" s="4">
        <f t="shared" si="259"/>
        <v>0</v>
      </c>
      <c r="AM758" s="4">
        <f t="shared" si="260"/>
        <v>0</v>
      </c>
      <c r="AN758" s="4">
        <f t="shared" si="261"/>
        <v>0</v>
      </c>
      <c r="AO758" s="39"/>
      <c r="AP758" s="8">
        <f t="shared" si="262"/>
        <v>0</v>
      </c>
      <c r="AQ758" s="8">
        <f t="shared" si="263"/>
        <v>0</v>
      </c>
      <c r="AR758" s="8">
        <f t="shared" si="264"/>
        <v>0</v>
      </c>
      <c r="AS758" s="42"/>
      <c r="AT758" s="84"/>
      <c r="AU758" s="84"/>
      <c r="AV758" s="4">
        <f t="shared" si="265"/>
        <v>0</v>
      </c>
      <c r="AW758" s="50" t="str">
        <f t="shared" si="266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si="254"/>
        <v/>
      </c>
      <c r="P759" s="84"/>
      <c r="Q759" s="84"/>
      <c r="R759" s="32"/>
      <c r="S759" s="3" t="str">
        <f t="shared" si="255"/>
        <v/>
      </c>
      <c r="T759" s="84"/>
      <c r="U759" s="84"/>
      <c r="V759" s="32"/>
      <c r="W759" s="3" t="str">
        <f t="shared" si="256"/>
        <v/>
      </c>
      <c r="X759" s="84"/>
      <c r="Y759" s="84"/>
      <c r="Z759" s="32"/>
      <c r="AA759" s="3" t="str">
        <f t="shared" si="257"/>
        <v/>
      </c>
      <c r="AB759" s="84"/>
      <c r="AC759" s="84"/>
      <c r="AD759" s="36"/>
      <c r="AE759" s="82"/>
      <c r="AF759" s="3" t="str">
        <f t="shared" si="258"/>
        <v/>
      </c>
      <c r="AG759" s="84"/>
      <c r="AH759" s="84"/>
      <c r="AI759" s="39"/>
      <c r="AJ759" s="79"/>
      <c r="AK759" s="39"/>
      <c r="AL759" s="4">
        <f t="shared" si="259"/>
        <v>0</v>
      </c>
      <c r="AM759" s="4">
        <f t="shared" si="260"/>
        <v>0</v>
      </c>
      <c r="AN759" s="4">
        <f t="shared" si="261"/>
        <v>0</v>
      </c>
      <c r="AO759" s="39"/>
      <c r="AP759" s="8">
        <f t="shared" si="262"/>
        <v>0</v>
      </c>
      <c r="AQ759" s="8">
        <f t="shared" si="263"/>
        <v>0</v>
      </c>
      <c r="AR759" s="8">
        <f t="shared" si="264"/>
        <v>0</v>
      </c>
      <c r="AS759" s="42"/>
      <c r="AT759" s="84"/>
      <c r="AU759" s="84"/>
      <c r="AV759" s="4">
        <f t="shared" si="265"/>
        <v>0</v>
      </c>
      <c r="AW759" s="50" t="str">
        <f t="shared" si="266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254"/>
        <v/>
      </c>
      <c r="P760" s="84"/>
      <c r="Q760" s="84"/>
      <c r="R760" s="32"/>
      <c r="S760" s="3" t="str">
        <f t="shared" si="255"/>
        <v/>
      </c>
      <c r="T760" s="84"/>
      <c r="U760" s="84"/>
      <c r="V760" s="32"/>
      <c r="W760" s="3" t="str">
        <f t="shared" si="256"/>
        <v/>
      </c>
      <c r="X760" s="84"/>
      <c r="Y760" s="84"/>
      <c r="Z760" s="32"/>
      <c r="AA760" s="3" t="str">
        <f t="shared" si="257"/>
        <v/>
      </c>
      <c r="AB760" s="84"/>
      <c r="AC760" s="84"/>
      <c r="AD760" s="36"/>
      <c r="AE760" s="82"/>
      <c r="AF760" s="3" t="str">
        <f t="shared" si="258"/>
        <v/>
      </c>
      <c r="AG760" s="84"/>
      <c r="AH760" s="84"/>
      <c r="AI760" s="39"/>
      <c r="AJ760" s="79"/>
      <c r="AK760" s="39"/>
      <c r="AL760" s="4">
        <f t="shared" si="259"/>
        <v>0</v>
      </c>
      <c r="AM760" s="4">
        <f t="shared" si="260"/>
        <v>0</v>
      </c>
      <c r="AN760" s="4">
        <f t="shared" si="261"/>
        <v>0</v>
      </c>
      <c r="AO760" s="39"/>
      <c r="AP760" s="8">
        <f t="shared" si="262"/>
        <v>0</v>
      </c>
      <c r="AQ760" s="8">
        <f t="shared" si="263"/>
        <v>0</v>
      </c>
      <c r="AR760" s="8">
        <f t="shared" si="264"/>
        <v>0</v>
      </c>
      <c r="AS760" s="42"/>
      <c r="AT760" s="84"/>
      <c r="AU760" s="84"/>
      <c r="AV760" s="4">
        <f t="shared" si="265"/>
        <v>0</v>
      </c>
      <c r="AW760" s="50" t="str">
        <f t="shared" si="266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254"/>
        <v/>
      </c>
      <c r="P761" s="84"/>
      <c r="Q761" s="84"/>
      <c r="R761" s="32"/>
      <c r="S761" s="3" t="str">
        <f t="shared" si="255"/>
        <v/>
      </c>
      <c r="T761" s="84"/>
      <c r="U761" s="84"/>
      <c r="V761" s="32"/>
      <c r="W761" s="3" t="str">
        <f t="shared" si="256"/>
        <v/>
      </c>
      <c r="X761" s="84"/>
      <c r="Y761" s="84"/>
      <c r="Z761" s="32"/>
      <c r="AA761" s="3" t="str">
        <f t="shared" si="257"/>
        <v/>
      </c>
      <c r="AB761" s="84"/>
      <c r="AC761" s="84"/>
      <c r="AD761" s="36"/>
      <c r="AE761" s="82"/>
      <c r="AF761" s="3" t="str">
        <f t="shared" si="258"/>
        <v/>
      </c>
      <c r="AG761" s="84"/>
      <c r="AH761" s="84"/>
      <c r="AI761" s="39"/>
      <c r="AJ761" s="79"/>
      <c r="AK761" s="39"/>
      <c r="AL761" s="4">
        <f t="shared" si="259"/>
        <v>0</v>
      </c>
      <c r="AM761" s="4">
        <f t="shared" si="260"/>
        <v>0</v>
      </c>
      <c r="AN761" s="4">
        <f t="shared" si="261"/>
        <v>0</v>
      </c>
      <c r="AO761" s="39"/>
      <c r="AP761" s="8">
        <f t="shared" si="262"/>
        <v>0</v>
      </c>
      <c r="AQ761" s="8">
        <f t="shared" si="263"/>
        <v>0</v>
      </c>
      <c r="AR761" s="8">
        <f t="shared" si="264"/>
        <v>0</v>
      </c>
      <c r="AS761" s="42"/>
      <c r="AT761" s="84"/>
      <c r="AU761" s="84"/>
      <c r="AV761" s="4">
        <f t="shared" si="265"/>
        <v>0</v>
      </c>
      <c r="AW761" s="50" t="str">
        <f t="shared" si="266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ref="O762:O825" si="267">IF($A762="","",IF(P762=AZ762,"E","A"))</f>
        <v/>
      </c>
      <c r="P762" s="84"/>
      <c r="Q762" s="84"/>
      <c r="R762" s="32"/>
      <c r="S762" s="3" t="str">
        <f t="shared" ref="S762:S825" si="268">IF($A762="","",IF(T762=BA762,"E","A"))</f>
        <v/>
      </c>
      <c r="T762" s="84"/>
      <c r="U762" s="84"/>
      <c r="V762" s="32"/>
      <c r="W762" s="3" t="str">
        <f t="shared" ref="W762:W825" si="269">IF($A762="","",IF(X762=0,"A",IF(X762=BB762,"E","A")))</f>
        <v/>
      </c>
      <c r="X762" s="84"/>
      <c r="Y762" s="84"/>
      <c r="Z762" s="32"/>
      <c r="AA762" s="3" t="str">
        <f t="shared" ref="AA762:AA825" si="270">IF($A762="","",IF(AB762=0,"A",IF(AB762=BC762,"E","A")))</f>
        <v/>
      </c>
      <c r="AB762" s="84"/>
      <c r="AC762" s="84"/>
      <c r="AD762" s="36"/>
      <c r="AE762" s="82"/>
      <c r="AF762" s="3" t="str">
        <f t="shared" ref="AF762:AF825" si="271">IF($A762="","",IF(AG762=0,"A",IF(AG762=BD762,"E","A")))</f>
        <v/>
      </c>
      <c r="AG762" s="84"/>
      <c r="AH762" s="84"/>
      <c r="AI762" s="39"/>
      <c r="AJ762" s="79"/>
      <c r="AK762" s="39"/>
      <c r="AL762" s="4">
        <f t="shared" ref="AL762:AL825" si="272">IF($O762="A",P762,0)+IF($S762="A",T762,0)+IF($W762="A",X762,0)+IF($AA762="A",AB762,0)+IF($AF762="A",AG762,0)</f>
        <v>0</v>
      </c>
      <c r="AM762" s="4">
        <f t="shared" ref="AM762:AM825" si="273">IF($O762="A",Q762,0)+IF($S762="A",U762,0)+IF($W762="A",Y762,0)+IF($AA762="A",AC762,0)+IF($AF762="A",AH762,0)</f>
        <v>0</v>
      </c>
      <c r="AN762" s="4">
        <f t="shared" ref="AN762:AN825" si="274">SUM(AL762:AM762)</f>
        <v>0</v>
      </c>
      <c r="AO762" s="39"/>
      <c r="AP762" s="8">
        <f t="shared" ref="AP762:AP825" si="275">IF($O762="E",P762,0)+IF($S762="E",T762,0)+IF($W762="E",X762,0)+IF($AA762="E",AB762,0)+IF($AF762="E",AG762,0)</f>
        <v>0</v>
      </c>
      <c r="AQ762" s="8">
        <f t="shared" ref="AQ762:AQ825" si="276">IF($O762="E",Q762,0)+IF($S762="E",U762,0)+IF($W762="E",Y762,0)+IF($AA762="E",AC762,0)+IF($AF762="E",AH762,0)</f>
        <v>0</v>
      </c>
      <c r="AR762" s="8">
        <f t="shared" ref="AR762:AR825" si="277">SUM(AP762:AQ762)</f>
        <v>0</v>
      </c>
      <c r="AS762" s="42"/>
      <c r="AT762" s="84"/>
      <c r="AU762" s="84"/>
      <c r="AV762" s="4">
        <f t="shared" ref="AV762:AV825" si="278">SUM(AT762:AU762)</f>
        <v>0</v>
      </c>
      <c r="AW762" s="50" t="str">
        <f t="shared" ref="AW762:AW825" si="279">IF(AV762=0,"",IF(AN762=AV762,"","W"))</f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267"/>
        <v/>
      </c>
      <c r="P763" s="84"/>
      <c r="Q763" s="84"/>
      <c r="R763" s="32"/>
      <c r="S763" s="3" t="str">
        <f t="shared" si="268"/>
        <v/>
      </c>
      <c r="T763" s="84"/>
      <c r="U763" s="84"/>
      <c r="V763" s="32"/>
      <c r="W763" s="3" t="str">
        <f t="shared" si="269"/>
        <v/>
      </c>
      <c r="X763" s="84"/>
      <c r="Y763" s="84"/>
      <c r="Z763" s="32"/>
      <c r="AA763" s="3" t="str">
        <f t="shared" si="270"/>
        <v/>
      </c>
      <c r="AB763" s="84"/>
      <c r="AC763" s="84"/>
      <c r="AD763" s="36"/>
      <c r="AE763" s="82"/>
      <c r="AF763" s="3" t="str">
        <f t="shared" si="271"/>
        <v/>
      </c>
      <c r="AG763" s="84"/>
      <c r="AH763" s="84"/>
      <c r="AI763" s="39"/>
      <c r="AJ763" s="79"/>
      <c r="AK763" s="39"/>
      <c r="AL763" s="4">
        <f t="shared" si="272"/>
        <v>0</v>
      </c>
      <c r="AM763" s="4">
        <f t="shared" si="273"/>
        <v>0</v>
      </c>
      <c r="AN763" s="4">
        <f t="shared" si="274"/>
        <v>0</v>
      </c>
      <c r="AO763" s="39"/>
      <c r="AP763" s="8">
        <f t="shared" si="275"/>
        <v>0</v>
      </c>
      <c r="AQ763" s="8">
        <f t="shared" si="276"/>
        <v>0</v>
      </c>
      <c r="AR763" s="8">
        <f t="shared" si="277"/>
        <v>0</v>
      </c>
      <c r="AS763" s="42"/>
      <c r="AT763" s="84"/>
      <c r="AU763" s="84"/>
      <c r="AV763" s="4">
        <f t="shared" si="278"/>
        <v>0</v>
      </c>
      <c r="AW763" s="50" t="str">
        <f t="shared" si="279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267"/>
        <v/>
      </c>
      <c r="P764" s="84"/>
      <c r="Q764" s="84"/>
      <c r="R764" s="32"/>
      <c r="S764" s="3" t="str">
        <f t="shared" si="268"/>
        <v/>
      </c>
      <c r="T764" s="84"/>
      <c r="U764" s="84"/>
      <c r="V764" s="32"/>
      <c r="W764" s="3" t="str">
        <f t="shared" si="269"/>
        <v/>
      </c>
      <c r="X764" s="84"/>
      <c r="Y764" s="84"/>
      <c r="Z764" s="32"/>
      <c r="AA764" s="3" t="str">
        <f t="shared" si="270"/>
        <v/>
      </c>
      <c r="AB764" s="84"/>
      <c r="AC764" s="84"/>
      <c r="AD764" s="36"/>
      <c r="AE764" s="82"/>
      <c r="AF764" s="3" t="str">
        <f t="shared" si="271"/>
        <v/>
      </c>
      <c r="AG764" s="84"/>
      <c r="AH764" s="84"/>
      <c r="AI764" s="39"/>
      <c r="AJ764" s="79"/>
      <c r="AK764" s="39"/>
      <c r="AL764" s="4">
        <f t="shared" si="272"/>
        <v>0</v>
      </c>
      <c r="AM764" s="4">
        <f t="shared" si="273"/>
        <v>0</v>
      </c>
      <c r="AN764" s="4">
        <f t="shared" si="274"/>
        <v>0</v>
      </c>
      <c r="AO764" s="39"/>
      <c r="AP764" s="8">
        <f t="shared" si="275"/>
        <v>0</v>
      </c>
      <c r="AQ764" s="8">
        <f t="shared" si="276"/>
        <v>0</v>
      </c>
      <c r="AR764" s="8">
        <f t="shared" si="277"/>
        <v>0</v>
      </c>
      <c r="AS764" s="42"/>
      <c r="AT764" s="84"/>
      <c r="AU764" s="84"/>
      <c r="AV764" s="4">
        <f t="shared" si="278"/>
        <v>0</v>
      </c>
      <c r="AW764" s="50" t="str">
        <f t="shared" si="279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267"/>
        <v/>
      </c>
      <c r="P765" s="84"/>
      <c r="Q765" s="84"/>
      <c r="R765" s="32"/>
      <c r="S765" s="3" t="str">
        <f t="shared" si="268"/>
        <v/>
      </c>
      <c r="T765" s="84"/>
      <c r="U765" s="84"/>
      <c r="V765" s="32"/>
      <c r="W765" s="3" t="str">
        <f t="shared" si="269"/>
        <v/>
      </c>
      <c r="X765" s="84"/>
      <c r="Y765" s="84"/>
      <c r="Z765" s="32"/>
      <c r="AA765" s="3" t="str">
        <f t="shared" si="270"/>
        <v/>
      </c>
      <c r="AB765" s="84"/>
      <c r="AC765" s="84"/>
      <c r="AD765" s="36"/>
      <c r="AE765" s="82"/>
      <c r="AF765" s="3" t="str">
        <f t="shared" si="271"/>
        <v/>
      </c>
      <c r="AG765" s="84"/>
      <c r="AH765" s="84"/>
      <c r="AI765" s="39"/>
      <c r="AJ765" s="79"/>
      <c r="AK765" s="39"/>
      <c r="AL765" s="4">
        <f t="shared" si="272"/>
        <v>0</v>
      </c>
      <c r="AM765" s="4">
        <f t="shared" si="273"/>
        <v>0</v>
      </c>
      <c r="AN765" s="4">
        <f t="shared" si="274"/>
        <v>0</v>
      </c>
      <c r="AO765" s="39"/>
      <c r="AP765" s="8">
        <f t="shared" si="275"/>
        <v>0</v>
      </c>
      <c r="AQ765" s="8">
        <f t="shared" si="276"/>
        <v>0</v>
      </c>
      <c r="AR765" s="8">
        <f t="shared" si="277"/>
        <v>0</v>
      </c>
      <c r="AS765" s="42"/>
      <c r="AT765" s="84"/>
      <c r="AU765" s="84"/>
      <c r="AV765" s="4">
        <f t="shared" si="278"/>
        <v>0</v>
      </c>
      <c r="AW765" s="50" t="str">
        <f t="shared" si="279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267"/>
        <v/>
      </c>
      <c r="P766" s="84"/>
      <c r="Q766" s="84"/>
      <c r="R766" s="32"/>
      <c r="S766" s="3" t="str">
        <f t="shared" si="268"/>
        <v/>
      </c>
      <c r="T766" s="84"/>
      <c r="U766" s="84"/>
      <c r="V766" s="32"/>
      <c r="W766" s="3" t="str">
        <f t="shared" si="269"/>
        <v/>
      </c>
      <c r="X766" s="84"/>
      <c r="Y766" s="84"/>
      <c r="Z766" s="32"/>
      <c r="AA766" s="3" t="str">
        <f t="shared" si="270"/>
        <v/>
      </c>
      <c r="AB766" s="84"/>
      <c r="AC766" s="84"/>
      <c r="AD766" s="36"/>
      <c r="AE766" s="82"/>
      <c r="AF766" s="3" t="str">
        <f t="shared" si="271"/>
        <v/>
      </c>
      <c r="AG766" s="84"/>
      <c r="AH766" s="84"/>
      <c r="AI766" s="39"/>
      <c r="AJ766" s="79"/>
      <c r="AK766" s="39"/>
      <c r="AL766" s="4">
        <f t="shared" si="272"/>
        <v>0</v>
      </c>
      <c r="AM766" s="4">
        <f t="shared" si="273"/>
        <v>0</v>
      </c>
      <c r="AN766" s="4">
        <f t="shared" si="274"/>
        <v>0</v>
      </c>
      <c r="AO766" s="39"/>
      <c r="AP766" s="8">
        <f t="shared" si="275"/>
        <v>0</v>
      </c>
      <c r="AQ766" s="8">
        <f t="shared" si="276"/>
        <v>0</v>
      </c>
      <c r="AR766" s="8">
        <f t="shared" si="277"/>
        <v>0</v>
      </c>
      <c r="AS766" s="42"/>
      <c r="AT766" s="84"/>
      <c r="AU766" s="84"/>
      <c r="AV766" s="4">
        <f t="shared" si="278"/>
        <v>0</v>
      </c>
      <c r="AW766" s="50" t="str">
        <f t="shared" si="279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267"/>
        <v/>
      </c>
      <c r="P767" s="84"/>
      <c r="Q767" s="84"/>
      <c r="R767" s="32"/>
      <c r="S767" s="3" t="str">
        <f t="shared" si="268"/>
        <v/>
      </c>
      <c r="T767" s="84"/>
      <c r="U767" s="84"/>
      <c r="V767" s="32"/>
      <c r="W767" s="3" t="str">
        <f t="shared" si="269"/>
        <v/>
      </c>
      <c r="X767" s="84"/>
      <c r="Y767" s="84"/>
      <c r="Z767" s="32"/>
      <c r="AA767" s="3" t="str">
        <f t="shared" si="270"/>
        <v/>
      </c>
      <c r="AB767" s="84"/>
      <c r="AC767" s="84"/>
      <c r="AD767" s="36"/>
      <c r="AE767" s="82"/>
      <c r="AF767" s="3" t="str">
        <f t="shared" si="271"/>
        <v/>
      </c>
      <c r="AG767" s="84"/>
      <c r="AH767" s="84"/>
      <c r="AI767" s="39"/>
      <c r="AJ767" s="79"/>
      <c r="AK767" s="39"/>
      <c r="AL767" s="4">
        <f t="shared" si="272"/>
        <v>0</v>
      </c>
      <c r="AM767" s="4">
        <f t="shared" si="273"/>
        <v>0</v>
      </c>
      <c r="AN767" s="4">
        <f t="shared" si="274"/>
        <v>0</v>
      </c>
      <c r="AO767" s="39"/>
      <c r="AP767" s="8">
        <f t="shared" si="275"/>
        <v>0</v>
      </c>
      <c r="AQ767" s="8">
        <f t="shared" si="276"/>
        <v>0</v>
      </c>
      <c r="AR767" s="8">
        <f t="shared" si="277"/>
        <v>0</v>
      </c>
      <c r="AS767" s="42"/>
      <c r="AT767" s="84"/>
      <c r="AU767" s="84"/>
      <c r="AV767" s="4">
        <f t="shared" si="278"/>
        <v>0</v>
      </c>
      <c r="AW767" s="50" t="str">
        <f t="shared" si="279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267"/>
        <v/>
      </c>
      <c r="P768" s="84"/>
      <c r="Q768" s="84"/>
      <c r="R768" s="32"/>
      <c r="S768" s="3" t="str">
        <f t="shared" si="268"/>
        <v/>
      </c>
      <c r="T768" s="84"/>
      <c r="U768" s="84"/>
      <c r="V768" s="32"/>
      <c r="W768" s="3" t="str">
        <f t="shared" si="269"/>
        <v/>
      </c>
      <c r="X768" s="84"/>
      <c r="Y768" s="84"/>
      <c r="Z768" s="32"/>
      <c r="AA768" s="3" t="str">
        <f t="shared" si="270"/>
        <v/>
      </c>
      <c r="AB768" s="84"/>
      <c r="AC768" s="84"/>
      <c r="AD768" s="36"/>
      <c r="AE768" s="82"/>
      <c r="AF768" s="3" t="str">
        <f t="shared" si="271"/>
        <v/>
      </c>
      <c r="AG768" s="84"/>
      <c r="AH768" s="84"/>
      <c r="AI768" s="39"/>
      <c r="AJ768" s="79"/>
      <c r="AK768" s="39"/>
      <c r="AL768" s="4">
        <f t="shared" si="272"/>
        <v>0</v>
      </c>
      <c r="AM768" s="4">
        <f t="shared" si="273"/>
        <v>0</v>
      </c>
      <c r="AN768" s="4">
        <f t="shared" si="274"/>
        <v>0</v>
      </c>
      <c r="AO768" s="39"/>
      <c r="AP768" s="8">
        <f t="shared" si="275"/>
        <v>0</v>
      </c>
      <c r="AQ768" s="8">
        <f t="shared" si="276"/>
        <v>0</v>
      </c>
      <c r="AR768" s="8">
        <f t="shared" si="277"/>
        <v>0</v>
      </c>
      <c r="AS768" s="42"/>
      <c r="AT768" s="84"/>
      <c r="AU768" s="84"/>
      <c r="AV768" s="4">
        <f t="shared" si="278"/>
        <v>0</v>
      </c>
      <c r="AW768" s="50" t="str">
        <f t="shared" si="279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267"/>
        <v/>
      </c>
      <c r="P769" s="84"/>
      <c r="Q769" s="84"/>
      <c r="R769" s="32"/>
      <c r="S769" s="3" t="str">
        <f t="shared" si="268"/>
        <v/>
      </c>
      <c r="T769" s="84"/>
      <c r="U769" s="84"/>
      <c r="V769" s="32"/>
      <c r="W769" s="3" t="str">
        <f t="shared" si="269"/>
        <v/>
      </c>
      <c r="X769" s="84"/>
      <c r="Y769" s="84"/>
      <c r="Z769" s="32"/>
      <c r="AA769" s="3" t="str">
        <f t="shared" si="270"/>
        <v/>
      </c>
      <c r="AB769" s="84"/>
      <c r="AC769" s="84"/>
      <c r="AD769" s="36"/>
      <c r="AE769" s="82"/>
      <c r="AF769" s="3" t="str">
        <f t="shared" si="271"/>
        <v/>
      </c>
      <c r="AG769" s="84"/>
      <c r="AH769" s="84"/>
      <c r="AI769" s="39"/>
      <c r="AJ769" s="79"/>
      <c r="AK769" s="39"/>
      <c r="AL769" s="4">
        <f t="shared" si="272"/>
        <v>0</v>
      </c>
      <c r="AM769" s="4">
        <f t="shared" si="273"/>
        <v>0</v>
      </c>
      <c r="AN769" s="4">
        <f t="shared" si="274"/>
        <v>0</v>
      </c>
      <c r="AO769" s="39"/>
      <c r="AP769" s="8">
        <f t="shared" si="275"/>
        <v>0</v>
      </c>
      <c r="AQ769" s="8">
        <f t="shared" si="276"/>
        <v>0</v>
      </c>
      <c r="AR769" s="8">
        <f t="shared" si="277"/>
        <v>0</v>
      </c>
      <c r="AS769" s="42"/>
      <c r="AT769" s="84"/>
      <c r="AU769" s="84"/>
      <c r="AV769" s="4">
        <f t="shared" si="278"/>
        <v>0</v>
      </c>
      <c r="AW769" s="50" t="str">
        <f t="shared" si="279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267"/>
        <v/>
      </c>
      <c r="P770" s="84"/>
      <c r="Q770" s="84"/>
      <c r="R770" s="32"/>
      <c r="S770" s="3" t="str">
        <f t="shared" si="268"/>
        <v/>
      </c>
      <c r="T770" s="84"/>
      <c r="U770" s="84"/>
      <c r="V770" s="32"/>
      <c r="W770" s="3" t="str">
        <f t="shared" si="269"/>
        <v/>
      </c>
      <c r="X770" s="84"/>
      <c r="Y770" s="84"/>
      <c r="Z770" s="32"/>
      <c r="AA770" s="3" t="str">
        <f t="shared" si="270"/>
        <v/>
      </c>
      <c r="AB770" s="84"/>
      <c r="AC770" s="84"/>
      <c r="AD770" s="36"/>
      <c r="AE770" s="82"/>
      <c r="AF770" s="3" t="str">
        <f t="shared" si="271"/>
        <v/>
      </c>
      <c r="AG770" s="84"/>
      <c r="AH770" s="84"/>
      <c r="AI770" s="39"/>
      <c r="AJ770" s="79"/>
      <c r="AK770" s="39"/>
      <c r="AL770" s="4">
        <f t="shared" si="272"/>
        <v>0</v>
      </c>
      <c r="AM770" s="4">
        <f t="shared" si="273"/>
        <v>0</v>
      </c>
      <c r="AN770" s="4">
        <f t="shared" si="274"/>
        <v>0</v>
      </c>
      <c r="AO770" s="39"/>
      <c r="AP770" s="8">
        <f t="shared" si="275"/>
        <v>0</v>
      </c>
      <c r="AQ770" s="8">
        <f t="shared" si="276"/>
        <v>0</v>
      </c>
      <c r="AR770" s="8">
        <f t="shared" si="277"/>
        <v>0</v>
      </c>
      <c r="AS770" s="42"/>
      <c r="AT770" s="84"/>
      <c r="AU770" s="84"/>
      <c r="AV770" s="4">
        <f t="shared" si="278"/>
        <v>0</v>
      </c>
      <c r="AW770" s="50" t="str">
        <f t="shared" si="279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267"/>
        <v/>
      </c>
      <c r="P771" s="84"/>
      <c r="Q771" s="84"/>
      <c r="R771" s="32"/>
      <c r="S771" s="3" t="str">
        <f t="shared" si="268"/>
        <v/>
      </c>
      <c r="T771" s="84"/>
      <c r="U771" s="84"/>
      <c r="V771" s="32"/>
      <c r="W771" s="3" t="str">
        <f t="shared" si="269"/>
        <v/>
      </c>
      <c r="X771" s="84"/>
      <c r="Y771" s="84"/>
      <c r="Z771" s="32"/>
      <c r="AA771" s="3" t="str">
        <f t="shared" si="270"/>
        <v/>
      </c>
      <c r="AB771" s="84"/>
      <c r="AC771" s="84"/>
      <c r="AD771" s="36"/>
      <c r="AE771" s="82"/>
      <c r="AF771" s="3" t="str">
        <f t="shared" si="271"/>
        <v/>
      </c>
      <c r="AG771" s="84"/>
      <c r="AH771" s="84"/>
      <c r="AI771" s="39"/>
      <c r="AJ771" s="79"/>
      <c r="AK771" s="39"/>
      <c r="AL771" s="4">
        <f t="shared" si="272"/>
        <v>0</v>
      </c>
      <c r="AM771" s="4">
        <f t="shared" si="273"/>
        <v>0</v>
      </c>
      <c r="AN771" s="4">
        <f t="shared" si="274"/>
        <v>0</v>
      </c>
      <c r="AO771" s="39"/>
      <c r="AP771" s="8">
        <f t="shared" si="275"/>
        <v>0</v>
      </c>
      <c r="AQ771" s="8">
        <f t="shared" si="276"/>
        <v>0</v>
      </c>
      <c r="AR771" s="8">
        <f t="shared" si="277"/>
        <v>0</v>
      </c>
      <c r="AS771" s="42"/>
      <c r="AT771" s="84"/>
      <c r="AU771" s="84"/>
      <c r="AV771" s="4">
        <f t="shared" si="278"/>
        <v>0</v>
      </c>
      <c r="AW771" s="50" t="str">
        <f t="shared" si="279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267"/>
        <v/>
      </c>
      <c r="P772" s="84"/>
      <c r="Q772" s="84"/>
      <c r="R772" s="32"/>
      <c r="S772" s="3" t="str">
        <f t="shared" si="268"/>
        <v/>
      </c>
      <c r="T772" s="84"/>
      <c r="U772" s="84"/>
      <c r="V772" s="32"/>
      <c r="W772" s="3" t="str">
        <f t="shared" si="269"/>
        <v/>
      </c>
      <c r="X772" s="84"/>
      <c r="Y772" s="84"/>
      <c r="Z772" s="32"/>
      <c r="AA772" s="3" t="str">
        <f t="shared" si="270"/>
        <v/>
      </c>
      <c r="AB772" s="84"/>
      <c r="AC772" s="84"/>
      <c r="AD772" s="36"/>
      <c r="AE772" s="82"/>
      <c r="AF772" s="3" t="str">
        <f t="shared" si="271"/>
        <v/>
      </c>
      <c r="AG772" s="84"/>
      <c r="AH772" s="84"/>
      <c r="AI772" s="39"/>
      <c r="AJ772" s="79"/>
      <c r="AK772" s="39"/>
      <c r="AL772" s="4">
        <f t="shared" si="272"/>
        <v>0</v>
      </c>
      <c r="AM772" s="4">
        <f t="shared" si="273"/>
        <v>0</v>
      </c>
      <c r="AN772" s="4">
        <f t="shared" si="274"/>
        <v>0</v>
      </c>
      <c r="AO772" s="39"/>
      <c r="AP772" s="8">
        <f t="shared" si="275"/>
        <v>0</v>
      </c>
      <c r="AQ772" s="8">
        <f t="shared" si="276"/>
        <v>0</v>
      </c>
      <c r="AR772" s="8">
        <f t="shared" si="277"/>
        <v>0</v>
      </c>
      <c r="AS772" s="42"/>
      <c r="AT772" s="84"/>
      <c r="AU772" s="84"/>
      <c r="AV772" s="4">
        <f t="shared" si="278"/>
        <v>0</v>
      </c>
      <c r="AW772" s="50" t="str">
        <f t="shared" si="279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267"/>
        <v/>
      </c>
      <c r="P773" s="84"/>
      <c r="Q773" s="84"/>
      <c r="R773" s="32"/>
      <c r="S773" s="3" t="str">
        <f t="shared" si="268"/>
        <v/>
      </c>
      <c r="T773" s="84"/>
      <c r="U773" s="84"/>
      <c r="V773" s="32"/>
      <c r="W773" s="3" t="str">
        <f t="shared" si="269"/>
        <v/>
      </c>
      <c r="X773" s="84"/>
      <c r="Y773" s="84"/>
      <c r="Z773" s="32"/>
      <c r="AA773" s="3" t="str">
        <f t="shared" si="270"/>
        <v/>
      </c>
      <c r="AB773" s="84"/>
      <c r="AC773" s="84"/>
      <c r="AD773" s="36"/>
      <c r="AE773" s="82"/>
      <c r="AF773" s="3" t="str">
        <f t="shared" si="271"/>
        <v/>
      </c>
      <c r="AG773" s="84"/>
      <c r="AH773" s="84"/>
      <c r="AI773" s="39"/>
      <c r="AJ773" s="79"/>
      <c r="AK773" s="39"/>
      <c r="AL773" s="4">
        <f t="shared" si="272"/>
        <v>0</v>
      </c>
      <c r="AM773" s="4">
        <f t="shared" si="273"/>
        <v>0</v>
      </c>
      <c r="AN773" s="4">
        <f t="shared" si="274"/>
        <v>0</v>
      </c>
      <c r="AO773" s="39"/>
      <c r="AP773" s="8">
        <f t="shared" si="275"/>
        <v>0</v>
      </c>
      <c r="AQ773" s="8">
        <f t="shared" si="276"/>
        <v>0</v>
      </c>
      <c r="AR773" s="8">
        <f t="shared" si="277"/>
        <v>0</v>
      </c>
      <c r="AS773" s="42"/>
      <c r="AT773" s="84"/>
      <c r="AU773" s="84"/>
      <c r="AV773" s="4">
        <f t="shared" si="278"/>
        <v>0</v>
      </c>
      <c r="AW773" s="50" t="str">
        <f t="shared" si="279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267"/>
        <v/>
      </c>
      <c r="P774" s="84"/>
      <c r="Q774" s="84"/>
      <c r="R774" s="32"/>
      <c r="S774" s="3" t="str">
        <f t="shared" si="268"/>
        <v/>
      </c>
      <c r="T774" s="84"/>
      <c r="U774" s="84"/>
      <c r="V774" s="32"/>
      <c r="W774" s="3" t="str">
        <f t="shared" si="269"/>
        <v/>
      </c>
      <c r="X774" s="84"/>
      <c r="Y774" s="84"/>
      <c r="Z774" s="32"/>
      <c r="AA774" s="3" t="str">
        <f t="shared" si="270"/>
        <v/>
      </c>
      <c r="AB774" s="84"/>
      <c r="AC774" s="84"/>
      <c r="AD774" s="36"/>
      <c r="AE774" s="82"/>
      <c r="AF774" s="3" t="str">
        <f t="shared" si="271"/>
        <v/>
      </c>
      <c r="AG774" s="84"/>
      <c r="AH774" s="84"/>
      <c r="AI774" s="39"/>
      <c r="AJ774" s="79"/>
      <c r="AK774" s="39"/>
      <c r="AL774" s="4">
        <f t="shared" si="272"/>
        <v>0</v>
      </c>
      <c r="AM774" s="4">
        <f t="shared" si="273"/>
        <v>0</v>
      </c>
      <c r="AN774" s="4">
        <f t="shared" si="274"/>
        <v>0</v>
      </c>
      <c r="AO774" s="39"/>
      <c r="AP774" s="8">
        <f t="shared" si="275"/>
        <v>0</v>
      </c>
      <c r="AQ774" s="8">
        <f t="shared" si="276"/>
        <v>0</v>
      </c>
      <c r="AR774" s="8">
        <f t="shared" si="277"/>
        <v>0</v>
      </c>
      <c r="AS774" s="42"/>
      <c r="AT774" s="84"/>
      <c r="AU774" s="84"/>
      <c r="AV774" s="4">
        <f t="shared" si="278"/>
        <v>0</v>
      </c>
      <c r="AW774" s="50" t="str">
        <f t="shared" si="279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267"/>
        <v/>
      </c>
      <c r="P775" s="84"/>
      <c r="Q775" s="84"/>
      <c r="R775" s="32"/>
      <c r="S775" s="3" t="str">
        <f t="shared" si="268"/>
        <v/>
      </c>
      <c r="T775" s="84"/>
      <c r="U775" s="84"/>
      <c r="V775" s="32"/>
      <c r="W775" s="3" t="str">
        <f t="shared" si="269"/>
        <v/>
      </c>
      <c r="X775" s="84"/>
      <c r="Y775" s="84"/>
      <c r="Z775" s="32"/>
      <c r="AA775" s="3" t="str">
        <f t="shared" si="270"/>
        <v/>
      </c>
      <c r="AB775" s="84"/>
      <c r="AC775" s="84"/>
      <c r="AD775" s="36"/>
      <c r="AE775" s="82"/>
      <c r="AF775" s="3" t="str">
        <f t="shared" si="271"/>
        <v/>
      </c>
      <c r="AG775" s="84"/>
      <c r="AH775" s="84"/>
      <c r="AI775" s="39"/>
      <c r="AJ775" s="79"/>
      <c r="AK775" s="39"/>
      <c r="AL775" s="4">
        <f t="shared" si="272"/>
        <v>0</v>
      </c>
      <c r="AM775" s="4">
        <f t="shared" si="273"/>
        <v>0</v>
      </c>
      <c r="AN775" s="4">
        <f t="shared" si="274"/>
        <v>0</v>
      </c>
      <c r="AO775" s="39"/>
      <c r="AP775" s="8">
        <f t="shared" si="275"/>
        <v>0</v>
      </c>
      <c r="AQ775" s="8">
        <f t="shared" si="276"/>
        <v>0</v>
      </c>
      <c r="AR775" s="8">
        <f t="shared" si="277"/>
        <v>0</v>
      </c>
      <c r="AS775" s="42"/>
      <c r="AT775" s="84"/>
      <c r="AU775" s="84"/>
      <c r="AV775" s="4">
        <f t="shared" si="278"/>
        <v>0</v>
      </c>
      <c r="AW775" s="50" t="str">
        <f t="shared" si="279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267"/>
        <v/>
      </c>
      <c r="P776" s="84"/>
      <c r="Q776" s="84"/>
      <c r="R776" s="32"/>
      <c r="S776" s="3" t="str">
        <f t="shared" si="268"/>
        <v/>
      </c>
      <c r="T776" s="84"/>
      <c r="U776" s="84"/>
      <c r="V776" s="32"/>
      <c r="W776" s="3" t="str">
        <f t="shared" si="269"/>
        <v/>
      </c>
      <c r="X776" s="84"/>
      <c r="Y776" s="84"/>
      <c r="Z776" s="32"/>
      <c r="AA776" s="3" t="str">
        <f t="shared" si="270"/>
        <v/>
      </c>
      <c r="AB776" s="84"/>
      <c r="AC776" s="84"/>
      <c r="AD776" s="36"/>
      <c r="AE776" s="82"/>
      <c r="AF776" s="3" t="str">
        <f t="shared" si="271"/>
        <v/>
      </c>
      <c r="AG776" s="84"/>
      <c r="AH776" s="84"/>
      <c r="AI776" s="39"/>
      <c r="AJ776" s="79"/>
      <c r="AK776" s="39"/>
      <c r="AL776" s="4">
        <f t="shared" si="272"/>
        <v>0</v>
      </c>
      <c r="AM776" s="4">
        <f t="shared" si="273"/>
        <v>0</v>
      </c>
      <c r="AN776" s="4">
        <f t="shared" si="274"/>
        <v>0</v>
      </c>
      <c r="AO776" s="39"/>
      <c r="AP776" s="8">
        <f t="shared" si="275"/>
        <v>0</v>
      </c>
      <c r="AQ776" s="8">
        <f t="shared" si="276"/>
        <v>0</v>
      </c>
      <c r="AR776" s="8">
        <f t="shared" si="277"/>
        <v>0</v>
      </c>
      <c r="AS776" s="42"/>
      <c r="AT776" s="84"/>
      <c r="AU776" s="84"/>
      <c r="AV776" s="4">
        <f t="shared" si="278"/>
        <v>0</v>
      </c>
      <c r="AW776" s="50" t="str">
        <f t="shared" si="279"/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267"/>
        <v/>
      </c>
      <c r="P777" s="84"/>
      <c r="Q777" s="84"/>
      <c r="R777" s="32"/>
      <c r="S777" s="3" t="str">
        <f t="shared" si="268"/>
        <v/>
      </c>
      <c r="T777" s="84"/>
      <c r="U777" s="84"/>
      <c r="V777" s="32"/>
      <c r="W777" s="3" t="str">
        <f t="shared" si="269"/>
        <v/>
      </c>
      <c r="X777" s="84"/>
      <c r="Y777" s="84"/>
      <c r="Z777" s="32"/>
      <c r="AA777" s="3" t="str">
        <f t="shared" si="270"/>
        <v/>
      </c>
      <c r="AB777" s="84"/>
      <c r="AC777" s="84"/>
      <c r="AD777" s="36"/>
      <c r="AE777" s="82"/>
      <c r="AF777" s="3" t="str">
        <f t="shared" si="271"/>
        <v/>
      </c>
      <c r="AG777" s="84"/>
      <c r="AH777" s="84"/>
      <c r="AI777" s="39"/>
      <c r="AJ777" s="79"/>
      <c r="AK777" s="39"/>
      <c r="AL777" s="4">
        <f t="shared" si="272"/>
        <v>0</v>
      </c>
      <c r="AM777" s="4">
        <f t="shared" si="273"/>
        <v>0</v>
      </c>
      <c r="AN777" s="4">
        <f t="shared" si="274"/>
        <v>0</v>
      </c>
      <c r="AO777" s="39"/>
      <c r="AP777" s="8">
        <f t="shared" si="275"/>
        <v>0</v>
      </c>
      <c r="AQ777" s="8">
        <f t="shared" si="276"/>
        <v>0</v>
      </c>
      <c r="AR777" s="8">
        <f t="shared" si="277"/>
        <v>0</v>
      </c>
      <c r="AS777" s="42"/>
      <c r="AT777" s="84"/>
      <c r="AU777" s="84"/>
      <c r="AV777" s="4">
        <f t="shared" si="278"/>
        <v>0</v>
      </c>
      <c r="AW777" s="50" t="str">
        <f t="shared" si="279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267"/>
        <v/>
      </c>
      <c r="P778" s="84"/>
      <c r="Q778" s="84"/>
      <c r="R778" s="32"/>
      <c r="S778" s="3" t="str">
        <f t="shared" si="268"/>
        <v/>
      </c>
      <c r="T778" s="84"/>
      <c r="U778" s="84"/>
      <c r="V778" s="32"/>
      <c r="W778" s="3" t="str">
        <f t="shared" si="269"/>
        <v/>
      </c>
      <c r="X778" s="84"/>
      <c r="Y778" s="84"/>
      <c r="Z778" s="32"/>
      <c r="AA778" s="3" t="str">
        <f t="shared" si="270"/>
        <v/>
      </c>
      <c r="AB778" s="84"/>
      <c r="AC778" s="84"/>
      <c r="AD778" s="36"/>
      <c r="AE778" s="82"/>
      <c r="AF778" s="3" t="str">
        <f t="shared" si="271"/>
        <v/>
      </c>
      <c r="AG778" s="84"/>
      <c r="AH778" s="84"/>
      <c r="AI778" s="39"/>
      <c r="AJ778" s="79"/>
      <c r="AK778" s="39"/>
      <c r="AL778" s="4">
        <f t="shared" si="272"/>
        <v>0</v>
      </c>
      <c r="AM778" s="4">
        <f t="shared" si="273"/>
        <v>0</v>
      </c>
      <c r="AN778" s="4">
        <f t="shared" si="274"/>
        <v>0</v>
      </c>
      <c r="AO778" s="39"/>
      <c r="AP778" s="8">
        <f t="shared" si="275"/>
        <v>0</v>
      </c>
      <c r="AQ778" s="8">
        <f t="shared" si="276"/>
        <v>0</v>
      </c>
      <c r="AR778" s="8">
        <f t="shared" si="277"/>
        <v>0</v>
      </c>
      <c r="AS778" s="42"/>
      <c r="AT778" s="84"/>
      <c r="AU778" s="84"/>
      <c r="AV778" s="4">
        <f t="shared" si="278"/>
        <v>0</v>
      </c>
      <c r="AW778" s="50" t="str">
        <f t="shared" si="279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267"/>
        <v/>
      </c>
      <c r="P779" s="84"/>
      <c r="Q779" s="84"/>
      <c r="R779" s="32"/>
      <c r="S779" s="3" t="str">
        <f t="shared" si="268"/>
        <v/>
      </c>
      <c r="T779" s="84"/>
      <c r="U779" s="84"/>
      <c r="V779" s="32"/>
      <c r="W779" s="3" t="str">
        <f t="shared" si="269"/>
        <v/>
      </c>
      <c r="X779" s="84"/>
      <c r="Y779" s="84"/>
      <c r="Z779" s="32"/>
      <c r="AA779" s="3" t="str">
        <f t="shared" si="270"/>
        <v/>
      </c>
      <c r="AB779" s="84"/>
      <c r="AC779" s="84"/>
      <c r="AD779" s="36"/>
      <c r="AE779" s="82"/>
      <c r="AF779" s="3" t="str">
        <f t="shared" si="271"/>
        <v/>
      </c>
      <c r="AG779" s="84"/>
      <c r="AH779" s="84"/>
      <c r="AI779" s="39"/>
      <c r="AJ779" s="79"/>
      <c r="AK779" s="39"/>
      <c r="AL779" s="4">
        <f t="shared" si="272"/>
        <v>0</v>
      </c>
      <c r="AM779" s="4">
        <f t="shared" si="273"/>
        <v>0</v>
      </c>
      <c r="AN779" s="4">
        <f t="shared" si="274"/>
        <v>0</v>
      </c>
      <c r="AO779" s="39"/>
      <c r="AP779" s="8">
        <f t="shared" si="275"/>
        <v>0</v>
      </c>
      <c r="AQ779" s="8">
        <f t="shared" si="276"/>
        <v>0</v>
      </c>
      <c r="AR779" s="8">
        <f t="shared" si="277"/>
        <v>0</v>
      </c>
      <c r="AS779" s="42"/>
      <c r="AT779" s="84"/>
      <c r="AU779" s="84"/>
      <c r="AV779" s="4">
        <f t="shared" si="278"/>
        <v>0</v>
      </c>
      <c r="AW779" s="50" t="str">
        <f t="shared" si="279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267"/>
        <v/>
      </c>
      <c r="P780" s="84"/>
      <c r="Q780" s="84"/>
      <c r="R780" s="32"/>
      <c r="S780" s="3" t="str">
        <f t="shared" si="268"/>
        <v/>
      </c>
      <c r="T780" s="84"/>
      <c r="U780" s="84"/>
      <c r="V780" s="32"/>
      <c r="W780" s="3" t="str">
        <f t="shared" si="269"/>
        <v/>
      </c>
      <c r="X780" s="84"/>
      <c r="Y780" s="84"/>
      <c r="Z780" s="32"/>
      <c r="AA780" s="3" t="str">
        <f t="shared" si="270"/>
        <v/>
      </c>
      <c r="AB780" s="84"/>
      <c r="AC780" s="84"/>
      <c r="AD780" s="36"/>
      <c r="AE780" s="82"/>
      <c r="AF780" s="3" t="str">
        <f t="shared" si="271"/>
        <v/>
      </c>
      <c r="AG780" s="84"/>
      <c r="AH780" s="84"/>
      <c r="AI780" s="39"/>
      <c r="AJ780" s="79"/>
      <c r="AK780" s="39"/>
      <c r="AL780" s="4">
        <f t="shared" si="272"/>
        <v>0</v>
      </c>
      <c r="AM780" s="4">
        <f t="shared" si="273"/>
        <v>0</v>
      </c>
      <c r="AN780" s="4">
        <f t="shared" si="274"/>
        <v>0</v>
      </c>
      <c r="AO780" s="39"/>
      <c r="AP780" s="8">
        <f t="shared" si="275"/>
        <v>0</v>
      </c>
      <c r="AQ780" s="8">
        <f t="shared" si="276"/>
        <v>0</v>
      </c>
      <c r="AR780" s="8">
        <f t="shared" si="277"/>
        <v>0</v>
      </c>
      <c r="AS780" s="42"/>
      <c r="AT780" s="84"/>
      <c r="AU780" s="84"/>
      <c r="AV780" s="4">
        <f t="shared" si="278"/>
        <v>0</v>
      </c>
      <c r="AW780" s="50" t="str">
        <f t="shared" si="279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267"/>
        <v/>
      </c>
      <c r="P781" s="84"/>
      <c r="Q781" s="84"/>
      <c r="R781" s="32"/>
      <c r="S781" s="3" t="str">
        <f t="shared" si="268"/>
        <v/>
      </c>
      <c r="T781" s="84"/>
      <c r="U781" s="84"/>
      <c r="V781" s="32"/>
      <c r="W781" s="3" t="str">
        <f t="shared" si="269"/>
        <v/>
      </c>
      <c r="X781" s="84"/>
      <c r="Y781" s="84"/>
      <c r="Z781" s="32"/>
      <c r="AA781" s="3" t="str">
        <f t="shared" si="270"/>
        <v/>
      </c>
      <c r="AB781" s="84"/>
      <c r="AC781" s="84"/>
      <c r="AD781" s="36"/>
      <c r="AE781" s="82"/>
      <c r="AF781" s="3" t="str">
        <f t="shared" si="271"/>
        <v/>
      </c>
      <c r="AG781" s="84"/>
      <c r="AH781" s="84"/>
      <c r="AI781" s="39"/>
      <c r="AJ781" s="79"/>
      <c r="AK781" s="39"/>
      <c r="AL781" s="4">
        <f t="shared" si="272"/>
        <v>0</v>
      </c>
      <c r="AM781" s="4">
        <f t="shared" si="273"/>
        <v>0</v>
      </c>
      <c r="AN781" s="4">
        <f t="shared" si="274"/>
        <v>0</v>
      </c>
      <c r="AO781" s="39"/>
      <c r="AP781" s="8">
        <f t="shared" si="275"/>
        <v>0</v>
      </c>
      <c r="AQ781" s="8">
        <f t="shared" si="276"/>
        <v>0</v>
      </c>
      <c r="AR781" s="8">
        <f t="shared" si="277"/>
        <v>0</v>
      </c>
      <c r="AS781" s="42"/>
      <c r="AT781" s="84"/>
      <c r="AU781" s="84"/>
      <c r="AV781" s="4">
        <f t="shared" si="278"/>
        <v>0</v>
      </c>
      <c r="AW781" s="50" t="str">
        <f t="shared" si="279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267"/>
        <v/>
      </c>
      <c r="P782" s="84"/>
      <c r="Q782" s="84"/>
      <c r="R782" s="32"/>
      <c r="S782" s="3" t="str">
        <f t="shared" si="268"/>
        <v/>
      </c>
      <c r="T782" s="84"/>
      <c r="U782" s="84"/>
      <c r="V782" s="32"/>
      <c r="W782" s="3" t="str">
        <f t="shared" si="269"/>
        <v/>
      </c>
      <c r="X782" s="84"/>
      <c r="Y782" s="84"/>
      <c r="Z782" s="32"/>
      <c r="AA782" s="3" t="str">
        <f t="shared" si="270"/>
        <v/>
      </c>
      <c r="AB782" s="84"/>
      <c r="AC782" s="84"/>
      <c r="AD782" s="36"/>
      <c r="AE782" s="82"/>
      <c r="AF782" s="3" t="str">
        <f t="shared" si="271"/>
        <v/>
      </c>
      <c r="AG782" s="84"/>
      <c r="AH782" s="84"/>
      <c r="AI782" s="39"/>
      <c r="AJ782" s="79"/>
      <c r="AK782" s="39"/>
      <c r="AL782" s="4">
        <f t="shared" si="272"/>
        <v>0</v>
      </c>
      <c r="AM782" s="4">
        <f t="shared" si="273"/>
        <v>0</v>
      </c>
      <c r="AN782" s="4">
        <f t="shared" si="274"/>
        <v>0</v>
      </c>
      <c r="AO782" s="39"/>
      <c r="AP782" s="8">
        <f t="shared" si="275"/>
        <v>0</v>
      </c>
      <c r="AQ782" s="8">
        <f t="shared" si="276"/>
        <v>0</v>
      </c>
      <c r="AR782" s="8">
        <f t="shared" si="277"/>
        <v>0</v>
      </c>
      <c r="AS782" s="42"/>
      <c r="AT782" s="84"/>
      <c r="AU782" s="84"/>
      <c r="AV782" s="4">
        <f t="shared" si="278"/>
        <v>0</v>
      </c>
      <c r="AW782" s="50" t="str">
        <f t="shared" si="279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267"/>
        <v/>
      </c>
      <c r="P783" s="84"/>
      <c r="Q783" s="84"/>
      <c r="R783" s="32"/>
      <c r="S783" s="3" t="str">
        <f t="shared" si="268"/>
        <v/>
      </c>
      <c r="T783" s="84"/>
      <c r="U783" s="84"/>
      <c r="V783" s="32"/>
      <c r="W783" s="3" t="str">
        <f t="shared" si="269"/>
        <v/>
      </c>
      <c r="X783" s="84"/>
      <c r="Y783" s="84"/>
      <c r="Z783" s="32"/>
      <c r="AA783" s="3" t="str">
        <f t="shared" si="270"/>
        <v/>
      </c>
      <c r="AB783" s="84"/>
      <c r="AC783" s="84"/>
      <c r="AD783" s="36"/>
      <c r="AE783" s="82"/>
      <c r="AF783" s="3" t="str">
        <f t="shared" si="271"/>
        <v/>
      </c>
      <c r="AG783" s="84"/>
      <c r="AH783" s="84"/>
      <c r="AI783" s="39"/>
      <c r="AJ783" s="79"/>
      <c r="AK783" s="39"/>
      <c r="AL783" s="4">
        <f t="shared" si="272"/>
        <v>0</v>
      </c>
      <c r="AM783" s="4">
        <f t="shared" si="273"/>
        <v>0</v>
      </c>
      <c r="AN783" s="4">
        <f t="shared" si="274"/>
        <v>0</v>
      </c>
      <c r="AO783" s="39"/>
      <c r="AP783" s="8">
        <f t="shared" si="275"/>
        <v>0</v>
      </c>
      <c r="AQ783" s="8">
        <f t="shared" si="276"/>
        <v>0</v>
      </c>
      <c r="AR783" s="8">
        <f t="shared" si="277"/>
        <v>0</v>
      </c>
      <c r="AS783" s="42"/>
      <c r="AT783" s="84"/>
      <c r="AU783" s="84"/>
      <c r="AV783" s="4">
        <f t="shared" si="278"/>
        <v>0</v>
      </c>
      <c r="AW783" s="50" t="str">
        <f t="shared" si="279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267"/>
        <v/>
      </c>
      <c r="P784" s="84"/>
      <c r="Q784" s="84"/>
      <c r="R784" s="32"/>
      <c r="S784" s="3" t="str">
        <f t="shared" si="268"/>
        <v/>
      </c>
      <c r="T784" s="84"/>
      <c r="U784" s="84"/>
      <c r="V784" s="32"/>
      <c r="W784" s="3" t="str">
        <f t="shared" si="269"/>
        <v/>
      </c>
      <c r="X784" s="84"/>
      <c r="Y784" s="84"/>
      <c r="Z784" s="32"/>
      <c r="AA784" s="3" t="str">
        <f t="shared" si="270"/>
        <v/>
      </c>
      <c r="AB784" s="84"/>
      <c r="AC784" s="84"/>
      <c r="AD784" s="36"/>
      <c r="AE784" s="82"/>
      <c r="AF784" s="3" t="str">
        <f t="shared" si="271"/>
        <v/>
      </c>
      <c r="AG784" s="84"/>
      <c r="AH784" s="84"/>
      <c r="AI784" s="39"/>
      <c r="AJ784" s="79"/>
      <c r="AK784" s="39"/>
      <c r="AL784" s="4">
        <f t="shared" si="272"/>
        <v>0</v>
      </c>
      <c r="AM784" s="4">
        <f t="shared" si="273"/>
        <v>0</v>
      </c>
      <c r="AN784" s="4">
        <f t="shared" si="274"/>
        <v>0</v>
      </c>
      <c r="AO784" s="39"/>
      <c r="AP784" s="8">
        <f t="shared" si="275"/>
        <v>0</v>
      </c>
      <c r="AQ784" s="8">
        <f t="shared" si="276"/>
        <v>0</v>
      </c>
      <c r="AR784" s="8">
        <f t="shared" si="277"/>
        <v>0</v>
      </c>
      <c r="AS784" s="42"/>
      <c r="AT784" s="84"/>
      <c r="AU784" s="84"/>
      <c r="AV784" s="4">
        <f t="shared" si="278"/>
        <v>0</v>
      </c>
      <c r="AW784" s="50" t="str">
        <f t="shared" si="279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267"/>
        <v/>
      </c>
      <c r="P785" s="84"/>
      <c r="Q785" s="84"/>
      <c r="R785" s="32"/>
      <c r="S785" s="3" t="str">
        <f t="shared" si="268"/>
        <v/>
      </c>
      <c r="T785" s="84"/>
      <c r="U785" s="84"/>
      <c r="V785" s="32"/>
      <c r="W785" s="3" t="str">
        <f t="shared" si="269"/>
        <v/>
      </c>
      <c r="X785" s="84"/>
      <c r="Y785" s="84"/>
      <c r="Z785" s="32"/>
      <c r="AA785" s="3" t="str">
        <f t="shared" si="270"/>
        <v/>
      </c>
      <c r="AB785" s="84"/>
      <c r="AC785" s="84"/>
      <c r="AD785" s="36"/>
      <c r="AE785" s="82"/>
      <c r="AF785" s="3" t="str">
        <f t="shared" si="271"/>
        <v/>
      </c>
      <c r="AG785" s="84"/>
      <c r="AH785" s="84"/>
      <c r="AI785" s="39"/>
      <c r="AJ785" s="79"/>
      <c r="AK785" s="39"/>
      <c r="AL785" s="4">
        <f t="shared" si="272"/>
        <v>0</v>
      </c>
      <c r="AM785" s="4">
        <f t="shared" si="273"/>
        <v>0</v>
      </c>
      <c r="AN785" s="4">
        <f t="shared" si="274"/>
        <v>0</v>
      </c>
      <c r="AO785" s="39"/>
      <c r="AP785" s="8">
        <f t="shared" si="275"/>
        <v>0</v>
      </c>
      <c r="AQ785" s="8">
        <f t="shared" si="276"/>
        <v>0</v>
      </c>
      <c r="AR785" s="8">
        <f t="shared" si="277"/>
        <v>0</v>
      </c>
      <c r="AS785" s="42"/>
      <c r="AT785" s="84"/>
      <c r="AU785" s="84"/>
      <c r="AV785" s="4">
        <f t="shared" si="278"/>
        <v>0</v>
      </c>
      <c r="AW785" s="50" t="str">
        <f t="shared" si="279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267"/>
        <v/>
      </c>
      <c r="P786" s="84"/>
      <c r="Q786" s="84"/>
      <c r="R786" s="32"/>
      <c r="S786" s="3" t="str">
        <f t="shared" si="268"/>
        <v/>
      </c>
      <c r="T786" s="84"/>
      <c r="U786" s="84"/>
      <c r="V786" s="32"/>
      <c r="W786" s="3" t="str">
        <f t="shared" si="269"/>
        <v/>
      </c>
      <c r="X786" s="84"/>
      <c r="Y786" s="84"/>
      <c r="Z786" s="32"/>
      <c r="AA786" s="3" t="str">
        <f t="shared" si="270"/>
        <v/>
      </c>
      <c r="AB786" s="84"/>
      <c r="AC786" s="84"/>
      <c r="AD786" s="36"/>
      <c r="AE786" s="82"/>
      <c r="AF786" s="3" t="str">
        <f t="shared" si="271"/>
        <v/>
      </c>
      <c r="AG786" s="84"/>
      <c r="AH786" s="84"/>
      <c r="AI786" s="39"/>
      <c r="AJ786" s="79"/>
      <c r="AK786" s="39"/>
      <c r="AL786" s="4">
        <f t="shared" si="272"/>
        <v>0</v>
      </c>
      <c r="AM786" s="4">
        <f t="shared" si="273"/>
        <v>0</v>
      </c>
      <c r="AN786" s="4">
        <f t="shared" si="274"/>
        <v>0</v>
      </c>
      <c r="AO786" s="39"/>
      <c r="AP786" s="8">
        <f t="shared" si="275"/>
        <v>0</v>
      </c>
      <c r="AQ786" s="8">
        <f t="shared" si="276"/>
        <v>0</v>
      </c>
      <c r="AR786" s="8">
        <f t="shared" si="277"/>
        <v>0</v>
      </c>
      <c r="AS786" s="42"/>
      <c r="AT786" s="84"/>
      <c r="AU786" s="84"/>
      <c r="AV786" s="4">
        <f t="shared" si="278"/>
        <v>0</v>
      </c>
      <c r="AW786" s="50" t="str">
        <f t="shared" si="279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267"/>
        <v/>
      </c>
      <c r="P787" s="84"/>
      <c r="Q787" s="84"/>
      <c r="R787" s="32"/>
      <c r="S787" s="3" t="str">
        <f t="shared" si="268"/>
        <v/>
      </c>
      <c r="T787" s="84"/>
      <c r="U787" s="84"/>
      <c r="V787" s="32"/>
      <c r="W787" s="3" t="str">
        <f t="shared" si="269"/>
        <v/>
      </c>
      <c r="X787" s="84"/>
      <c r="Y787" s="84"/>
      <c r="Z787" s="32"/>
      <c r="AA787" s="3" t="str">
        <f t="shared" si="270"/>
        <v/>
      </c>
      <c r="AB787" s="84"/>
      <c r="AC787" s="84"/>
      <c r="AD787" s="36"/>
      <c r="AE787" s="82"/>
      <c r="AF787" s="3" t="str">
        <f t="shared" si="271"/>
        <v/>
      </c>
      <c r="AG787" s="84"/>
      <c r="AH787" s="84"/>
      <c r="AI787" s="39"/>
      <c r="AJ787" s="79"/>
      <c r="AK787" s="39"/>
      <c r="AL787" s="4">
        <f t="shared" si="272"/>
        <v>0</v>
      </c>
      <c r="AM787" s="4">
        <f t="shared" si="273"/>
        <v>0</v>
      </c>
      <c r="AN787" s="4">
        <f t="shared" si="274"/>
        <v>0</v>
      </c>
      <c r="AO787" s="39"/>
      <c r="AP787" s="8">
        <f t="shared" si="275"/>
        <v>0</v>
      </c>
      <c r="AQ787" s="8">
        <f t="shared" si="276"/>
        <v>0</v>
      </c>
      <c r="AR787" s="8">
        <f t="shared" si="277"/>
        <v>0</v>
      </c>
      <c r="AS787" s="42"/>
      <c r="AT787" s="84"/>
      <c r="AU787" s="84"/>
      <c r="AV787" s="4">
        <f t="shared" si="278"/>
        <v>0</v>
      </c>
      <c r="AW787" s="50" t="str">
        <f t="shared" si="279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267"/>
        <v/>
      </c>
      <c r="P788" s="84"/>
      <c r="Q788" s="84"/>
      <c r="R788" s="32"/>
      <c r="S788" s="3" t="str">
        <f t="shared" si="268"/>
        <v/>
      </c>
      <c r="T788" s="84"/>
      <c r="U788" s="84"/>
      <c r="V788" s="32"/>
      <c r="W788" s="3" t="str">
        <f t="shared" si="269"/>
        <v/>
      </c>
      <c r="X788" s="84"/>
      <c r="Y788" s="84"/>
      <c r="Z788" s="32"/>
      <c r="AA788" s="3" t="str">
        <f t="shared" si="270"/>
        <v/>
      </c>
      <c r="AB788" s="84"/>
      <c r="AC788" s="84"/>
      <c r="AD788" s="36"/>
      <c r="AE788" s="82"/>
      <c r="AF788" s="3" t="str">
        <f t="shared" si="271"/>
        <v/>
      </c>
      <c r="AG788" s="84"/>
      <c r="AH788" s="84"/>
      <c r="AI788" s="39"/>
      <c r="AJ788" s="79"/>
      <c r="AK788" s="39"/>
      <c r="AL788" s="4">
        <f t="shared" si="272"/>
        <v>0</v>
      </c>
      <c r="AM788" s="4">
        <f t="shared" si="273"/>
        <v>0</v>
      </c>
      <c r="AN788" s="4">
        <f t="shared" si="274"/>
        <v>0</v>
      </c>
      <c r="AO788" s="39"/>
      <c r="AP788" s="8">
        <f t="shared" si="275"/>
        <v>0</v>
      </c>
      <c r="AQ788" s="8">
        <f t="shared" si="276"/>
        <v>0</v>
      </c>
      <c r="AR788" s="8">
        <f t="shared" si="277"/>
        <v>0</v>
      </c>
      <c r="AS788" s="42"/>
      <c r="AT788" s="84"/>
      <c r="AU788" s="84"/>
      <c r="AV788" s="4">
        <f t="shared" si="278"/>
        <v>0</v>
      </c>
      <c r="AW788" s="50" t="str">
        <f t="shared" si="279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267"/>
        <v/>
      </c>
      <c r="P789" s="84"/>
      <c r="Q789" s="84"/>
      <c r="R789" s="32"/>
      <c r="S789" s="3" t="str">
        <f t="shared" si="268"/>
        <v/>
      </c>
      <c r="T789" s="84"/>
      <c r="U789" s="84"/>
      <c r="V789" s="32"/>
      <c r="W789" s="3" t="str">
        <f t="shared" si="269"/>
        <v/>
      </c>
      <c r="X789" s="84"/>
      <c r="Y789" s="84"/>
      <c r="Z789" s="32"/>
      <c r="AA789" s="3" t="str">
        <f t="shared" si="270"/>
        <v/>
      </c>
      <c r="AB789" s="84"/>
      <c r="AC789" s="84"/>
      <c r="AD789" s="36"/>
      <c r="AE789" s="82"/>
      <c r="AF789" s="3" t="str">
        <f t="shared" si="271"/>
        <v/>
      </c>
      <c r="AG789" s="84"/>
      <c r="AH789" s="84"/>
      <c r="AI789" s="39"/>
      <c r="AJ789" s="79"/>
      <c r="AK789" s="39"/>
      <c r="AL789" s="4">
        <f t="shared" si="272"/>
        <v>0</v>
      </c>
      <c r="AM789" s="4">
        <f t="shared" si="273"/>
        <v>0</v>
      </c>
      <c r="AN789" s="4">
        <f t="shared" si="274"/>
        <v>0</v>
      </c>
      <c r="AO789" s="39"/>
      <c r="AP789" s="8">
        <f t="shared" si="275"/>
        <v>0</v>
      </c>
      <c r="AQ789" s="8">
        <f t="shared" si="276"/>
        <v>0</v>
      </c>
      <c r="AR789" s="8">
        <f t="shared" si="277"/>
        <v>0</v>
      </c>
      <c r="AS789" s="42"/>
      <c r="AT789" s="84"/>
      <c r="AU789" s="84"/>
      <c r="AV789" s="4">
        <f t="shared" si="278"/>
        <v>0</v>
      </c>
      <c r="AW789" s="50" t="str">
        <f t="shared" si="279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267"/>
        <v/>
      </c>
      <c r="P790" s="84"/>
      <c r="Q790" s="84"/>
      <c r="R790" s="32"/>
      <c r="S790" s="3" t="str">
        <f t="shared" si="268"/>
        <v/>
      </c>
      <c r="T790" s="84"/>
      <c r="U790" s="84"/>
      <c r="V790" s="32"/>
      <c r="W790" s="3" t="str">
        <f t="shared" si="269"/>
        <v/>
      </c>
      <c r="X790" s="84"/>
      <c r="Y790" s="84"/>
      <c r="Z790" s="32"/>
      <c r="AA790" s="3" t="str">
        <f t="shared" si="270"/>
        <v/>
      </c>
      <c r="AB790" s="84"/>
      <c r="AC790" s="84"/>
      <c r="AD790" s="36"/>
      <c r="AE790" s="82"/>
      <c r="AF790" s="3" t="str">
        <f t="shared" si="271"/>
        <v/>
      </c>
      <c r="AG790" s="84"/>
      <c r="AH790" s="84"/>
      <c r="AI790" s="39"/>
      <c r="AJ790" s="79"/>
      <c r="AK790" s="39"/>
      <c r="AL790" s="4">
        <f t="shared" si="272"/>
        <v>0</v>
      </c>
      <c r="AM790" s="4">
        <f t="shared" si="273"/>
        <v>0</v>
      </c>
      <c r="AN790" s="4">
        <f t="shared" si="274"/>
        <v>0</v>
      </c>
      <c r="AO790" s="39"/>
      <c r="AP790" s="8">
        <f t="shared" si="275"/>
        <v>0</v>
      </c>
      <c r="AQ790" s="8">
        <f t="shared" si="276"/>
        <v>0</v>
      </c>
      <c r="AR790" s="8">
        <f t="shared" si="277"/>
        <v>0</v>
      </c>
      <c r="AS790" s="42"/>
      <c r="AT790" s="84"/>
      <c r="AU790" s="84"/>
      <c r="AV790" s="4">
        <f t="shared" si="278"/>
        <v>0</v>
      </c>
      <c r="AW790" s="50" t="str">
        <f t="shared" si="279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267"/>
        <v/>
      </c>
      <c r="P791" s="84"/>
      <c r="Q791" s="84"/>
      <c r="R791" s="32"/>
      <c r="S791" s="3" t="str">
        <f t="shared" si="268"/>
        <v/>
      </c>
      <c r="T791" s="84"/>
      <c r="U791" s="84"/>
      <c r="V791" s="32"/>
      <c r="W791" s="3" t="str">
        <f t="shared" si="269"/>
        <v/>
      </c>
      <c r="X791" s="84"/>
      <c r="Y791" s="84"/>
      <c r="Z791" s="32"/>
      <c r="AA791" s="3" t="str">
        <f t="shared" si="270"/>
        <v/>
      </c>
      <c r="AB791" s="84"/>
      <c r="AC791" s="84"/>
      <c r="AD791" s="36"/>
      <c r="AE791" s="82"/>
      <c r="AF791" s="3" t="str">
        <f t="shared" si="271"/>
        <v/>
      </c>
      <c r="AG791" s="84"/>
      <c r="AH791" s="84"/>
      <c r="AI791" s="39"/>
      <c r="AJ791" s="79"/>
      <c r="AK791" s="39"/>
      <c r="AL791" s="4">
        <f t="shared" si="272"/>
        <v>0</v>
      </c>
      <c r="AM791" s="4">
        <f t="shared" si="273"/>
        <v>0</v>
      </c>
      <c r="AN791" s="4">
        <f t="shared" si="274"/>
        <v>0</v>
      </c>
      <c r="AO791" s="39"/>
      <c r="AP791" s="8">
        <f t="shared" si="275"/>
        <v>0</v>
      </c>
      <c r="AQ791" s="8">
        <f t="shared" si="276"/>
        <v>0</v>
      </c>
      <c r="AR791" s="8">
        <f t="shared" si="277"/>
        <v>0</v>
      </c>
      <c r="AS791" s="42"/>
      <c r="AT791" s="84"/>
      <c r="AU791" s="84"/>
      <c r="AV791" s="4">
        <f t="shared" si="278"/>
        <v>0</v>
      </c>
      <c r="AW791" s="50" t="str">
        <f t="shared" si="279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267"/>
        <v/>
      </c>
      <c r="P792" s="84"/>
      <c r="Q792" s="84"/>
      <c r="R792" s="32"/>
      <c r="S792" s="3" t="str">
        <f t="shared" si="268"/>
        <v/>
      </c>
      <c r="T792" s="84"/>
      <c r="U792" s="84"/>
      <c r="V792" s="32"/>
      <c r="W792" s="3" t="str">
        <f t="shared" si="269"/>
        <v/>
      </c>
      <c r="X792" s="84"/>
      <c r="Y792" s="84"/>
      <c r="Z792" s="32"/>
      <c r="AA792" s="3" t="str">
        <f t="shared" si="270"/>
        <v/>
      </c>
      <c r="AB792" s="84"/>
      <c r="AC792" s="84"/>
      <c r="AD792" s="36"/>
      <c r="AE792" s="82"/>
      <c r="AF792" s="3" t="str">
        <f t="shared" si="271"/>
        <v/>
      </c>
      <c r="AG792" s="84"/>
      <c r="AH792" s="84"/>
      <c r="AI792" s="39"/>
      <c r="AJ792" s="79"/>
      <c r="AK792" s="39"/>
      <c r="AL792" s="4">
        <f t="shared" si="272"/>
        <v>0</v>
      </c>
      <c r="AM792" s="4">
        <f t="shared" si="273"/>
        <v>0</v>
      </c>
      <c r="AN792" s="4">
        <f t="shared" si="274"/>
        <v>0</v>
      </c>
      <c r="AO792" s="39"/>
      <c r="AP792" s="8">
        <f t="shared" si="275"/>
        <v>0</v>
      </c>
      <c r="AQ792" s="8">
        <f t="shared" si="276"/>
        <v>0</v>
      </c>
      <c r="AR792" s="8">
        <f t="shared" si="277"/>
        <v>0</v>
      </c>
      <c r="AS792" s="42"/>
      <c r="AT792" s="84"/>
      <c r="AU792" s="84"/>
      <c r="AV792" s="4">
        <f t="shared" si="278"/>
        <v>0</v>
      </c>
      <c r="AW792" s="50" t="str">
        <f t="shared" si="279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267"/>
        <v/>
      </c>
      <c r="P793" s="84"/>
      <c r="Q793" s="84"/>
      <c r="R793" s="32"/>
      <c r="S793" s="3" t="str">
        <f t="shared" si="268"/>
        <v/>
      </c>
      <c r="T793" s="84"/>
      <c r="U793" s="84"/>
      <c r="V793" s="32"/>
      <c r="W793" s="3" t="str">
        <f t="shared" si="269"/>
        <v/>
      </c>
      <c r="X793" s="84"/>
      <c r="Y793" s="84"/>
      <c r="Z793" s="32"/>
      <c r="AA793" s="3" t="str">
        <f t="shared" si="270"/>
        <v/>
      </c>
      <c r="AB793" s="84"/>
      <c r="AC793" s="84"/>
      <c r="AD793" s="36"/>
      <c r="AE793" s="82"/>
      <c r="AF793" s="3" t="str">
        <f t="shared" si="271"/>
        <v/>
      </c>
      <c r="AG793" s="84"/>
      <c r="AH793" s="84"/>
      <c r="AI793" s="39"/>
      <c r="AJ793" s="79"/>
      <c r="AK793" s="39"/>
      <c r="AL793" s="4">
        <f t="shared" si="272"/>
        <v>0</v>
      </c>
      <c r="AM793" s="4">
        <f t="shared" si="273"/>
        <v>0</v>
      </c>
      <c r="AN793" s="4">
        <f t="shared" si="274"/>
        <v>0</v>
      </c>
      <c r="AO793" s="39"/>
      <c r="AP793" s="8">
        <f t="shared" si="275"/>
        <v>0</v>
      </c>
      <c r="AQ793" s="8">
        <f t="shared" si="276"/>
        <v>0</v>
      </c>
      <c r="AR793" s="8">
        <f t="shared" si="277"/>
        <v>0</v>
      </c>
      <c r="AS793" s="42"/>
      <c r="AT793" s="84"/>
      <c r="AU793" s="84"/>
      <c r="AV793" s="4">
        <f t="shared" si="278"/>
        <v>0</v>
      </c>
      <c r="AW793" s="50" t="str">
        <f t="shared" si="279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267"/>
        <v/>
      </c>
      <c r="P794" s="84"/>
      <c r="Q794" s="84"/>
      <c r="R794" s="32"/>
      <c r="S794" s="3" t="str">
        <f t="shared" si="268"/>
        <v/>
      </c>
      <c r="T794" s="84"/>
      <c r="U794" s="84"/>
      <c r="V794" s="32"/>
      <c r="W794" s="3" t="str">
        <f t="shared" si="269"/>
        <v/>
      </c>
      <c r="X794" s="84"/>
      <c r="Y794" s="84"/>
      <c r="Z794" s="32"/>
      <c r="AA794" s="3" t="str">
        <f t="shared" si="270"/>
        <v/>
      </c>
      <c r="AB794" s="84"/>
      <c r="AC794" s="84"/>
      <c r="AD794" s="36"/>
      <c r="AE794" s="82"/>
      <c r="AF794" s="3" t="str">
        <f t="shared" si="271"/>
        <v/>
      </c>
      <c r="AG794" s="84"/>
      <c r="AH794" s="84"/>
      <c r="AI794" s="39"/>
      <c r="AJ794" s="79"/>
      <c r="AK794" s="39"/>
      <c r="AL794" s="4">
        <f t="shared" si="272"/>
        <v>0</v>
      </c>
      <c r="AM794" s="4">
        <f t="shared" si="273"/>
        <v>0</v>
      </c>
      <c r="AN794" s="4">
        <f t="shared" si="274"/>
        <v>0</v>
      </c>
      <c r="AO794" s="39"/>
      <c r="AP794" s="8">
        <f t="shared" si="275"/>
        <v>0</v>
      </c>
      <c r="AQ794" s="8">
        <f t="shared" si="276"/>
        <v>0</v>
      </c>
      <c r="AR794" s="8">
        <f t="shared" si="277"/>
        <v>0</v>
      </c>
      <c r="AS794" s="42"/>
      <c r="AT794" s="84"/>
      <c r="AU794" s="84"/>
      <c r="AV794" s="4">
        <f t="shared" si="278"/>
        <v>0</v>
      </c>
      <c r="AW794" s="50" t="str">
        <f t="shared" si="279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267"/>
        <v/>
      </c>
      <c r="P795" s="84"/>
      <c r="Q795" s="84"/>
      <c r="R795" s="32"/>
      <c r="S795" s="3" t="str">
        <f t="shared" si="268"/>
        <v/>
      </c>
      <c r="T795" s="84"/>
      <c r="U795" s="84"/>
      <c r="V795" s="32"/>
      <c r="W795" s="3" t="str">
        <f t="shared" si="269"/>
        <v/>
      </c>
      <c r="X795" s="84"/>
      <c r="Y795" s="84"/>
      <c r="Z795" s="32"/>
      <c r="AA795" s="3" t="str">
        <f t="shared" si="270"/>
        <v/>
      </c>
      <c r="AB795" s="84"/>
      <c r="AC795" s="84"/>
      <c r="AD795" s="36"/>
      <c r="AE795" s="82"/>
      <c r="AF795" s="3" t="str">
        <f t="shared" si="271"/>
        <v/>
      </c>
      <c r="AG795" s="84"/>
      <c r="AH795" s="84"/>
      <c r="AI795" s="39"/>
      <c r="AJ795" s="79"/>
      <c r="AK795" s="39"/>
      <c r="AL795" s="4">
        <f t="shared" si="272"/>
        <v>0</v>
      </c>
      <c r="AM795" s="4">
        <f t="shared" si="273"/>
        <v>0</v>
      </c>
      <c r="AN795" s="4">
        <f t="shared" si="274"/>
        <v>0</v>
      </c>
      <c r="AO795" s="39"/>
      <c r="AP795" s="8">
        <f t="shared" si="275"/>
        <v>0</v>
      </c>
      <c r="AQ795" s="8">
        <f t="shared" si="276"/>
        <v>0</v>
      </c>
      <c r="AR795" s="8">
        <f t="shared" si="277"/>
        <v>0</v>
      </c>
      <c r="AS795" s="42"/>
      <c r="AT795" s="84"/>
      <c r="AU795" s="84"/>
      <c r="AV795" s="4">
        <f t="shared" si="278"/>
        <v>0</v>
      </c>
      <c r="AW795" s="50" t="str">
        <f t="shared" si="279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267"/>
        <v/>
      </c>
      <c r="P796" s="84"/>
      <c r="Q796" s="84"/>
      <c r="R796" s="32"/>
      <c r="S796" s="3" t="str">
        <f t="shared" si="268"/>
        <v/>
      </c>
      <c r="T796" s="84"/>
      <c r="U796" s="84"/>
      <c r="V796" s="32"/>
      <c r="W796" s="3" t="str">
        <f t="shared" si="269"/>
        <v/>
      </c>
      <c r="X796" s="84"/>
      <c r="Y796" s="84"/>
      <c r="Z796" s="32"/>
      <c r="AA796" s="3" t="str">
        <f t="shared" si="270"/>
        <v/>
      </c>
      <c r="AB796" s="84"/>
      <c r="AC796" s="84"/>
      <c r="AD796" s="36"/>
      <c r="AE796" s="82"/>
      <c r="AF796" s="3" t="str">
        <f t="shared" si="271"/>
        <v/>
      </c>
      <c r="AG796" s="84"/>
      <c r="AH796" s="84"/>
      <c r="AI796" s="39"/>
      <c r="AJ796" s="79"/>
      <c r="AK796" s="39"/>
      <c r="AL796" s="4">
        <f t="shared" si="272"/>
        <v>0</v>
      </c>
      <c r="AM796" s="4">
        <f t="shared" si="273"/>
        <v>0</v>
      </c>
      <c r="AN796" s="4">
        <f t="shared" si="274"/>
        <v>0</v>
      </c>
      <c r="AO796" s="39"/>
      <c r="AP796" s="8">
        <f t="shared" si="275"/>
        <v>0</v>
      </c>
      <c r="AQ796" s="8">
        <f t="shared" si="276"/>
        <v>0</v>
      </c>
      <c r="AR796" s="8">
        <f t="shared" si="277"/>
        <v>0</v>
      </c>
      <c r="AS796" s="42"/>
      <c r="AT796" s="84"/>
      <c r="AU796" s="84"/>
      <c r="AV796" s="4">
        <f t="shared" si="278"/>
        <v>0</v>
      </c>
      <c r="AW796" s="50" t="str">
        <f t="shared" si="279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267"/>
        <v/>
      </c>
      <c r="P797" s="84"/>
      <c r="Q797" s="84"/>
      <c r="R797" s="32"/>
      <c r="S797" s="3" t="str">
        <f t="shared" si="268"/>
        <v/>
      </c>
      <c r="T797" s="84"/>
      <c r="U797" s="84"/>
      <c r="V797" s="32"/>
      <c r="W797" s="3" t="str">
        <f t="shared" si="269"/>
        <v/>
      </c>
      <c r="X797" s="84"/>
      <c r="Y797" s="84"/>
      <c r="Z797" s="32"/>
      <c r="AA797" s="3" t="str">
        <f t="shared" si="270"/>
        <v/>
      </c>
      <c r="AB797" s="84"/>
      <c r="AC797" s="84"/>
      <c r="AD797" s="36"/>
      <c r="AE797" s="82"/>
      <c r="AF797" s="3" t="str">
        <f t="shared" si="271"/>
        <v/>
      </c>
      <c r="AG797" s="84"/>
      <c r="AH797" s="84"/>
      <c r="AI797" s="39"/>
      <c r="AJ797" s="79"/>
      <c r="AK797" s="39"/>
      <c r="AL797" s="4">
        <f t="shared" si="272"/>
        <v>0</v>
      </c>
      <c r="AM797" s="4">
        <f t="shared" si="273"/>
        <v>0</v>
      </c>
      <c r="AN797" s="4">
        <f t="shared" si="274"/>
        <v>0</v>
      </c>
      <c r="AO797" s="39"/>
      <c r="AP797" s="8">
        <f t="shared" si="275"/>
        <v>0</v>
      </c>
      <c r="AQ797" s="8">
        <f t="shared" si="276"/>
        <v>0</v>
      </c>
      <c r="AR797" s="8">
        <f t="shared" si="277"/>
        <v>0</v>
      </c>
      <c r="AS797" s="42"/>
      <c r="AT797" s="84"/>
      <c r="AU797" s="84"/>
      <c r="AV797" s="4">
        <f t="shared" si="278"/>
        <v>0</v>
      </c>
      <c r="AW797" s="50" t="str">
        <f t="shared" si="279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267"/>
        <v/>
      </c>
      <c r="P798" s="84"/>
      <c r="Q798" s="84"/>
      <c r="R798" s="32"/>
      <c r="S798" s="3" t="str">
        <f t="shared" si="268"/>
        <v/>
      </c>
      <c r="T798" s="84"/>
      <c r="U798" s="84"/>
      <c r="V798" s="32"/>
      <c r="W798" s="3" t="str">
        <f t="shared" si="269"/>
        <v/>
      </c>
      <c r="X798" s="84"/>
      <c r="Y798" s="84"/>
      <c r="Z798" s="32"/>
      <c r="AA798" s="3" t="str">
        <f t="shared" si="270"/>
        <v/>
      </c>
      <c r="AB798" s="84"/>
      <c r="AC798" s="84"/>
      <c r="AD798" s="36"/>
      <c r="AE798" s="82"/>
      <c r="AF798" s="3" t="str">
        <f t="shared" si="271"/>
        <v/>
      </c>
      <c r="AG798" s="84"/>
      <c r="AH798" s="84"/>
      <c r="AI798" s="39"/>
      <c r="AJ798" s="79"/>
      <c r="AK798" s="39"/>
      <c r="AL798" s="4">
        <f t="shared" si="272"/>
        <v>0</v>
      </c>
      <c r="AM798" s="4">
        <f t="shared" si="273"/>
        <v>0</v>
      </c>
      <c r="AN798" s="4">
        <f t="shared" si="274"/>
        <v>0</v>
      </c>
      <c r="AO798" s="39"/>
      <c r="AP798" s="8">
        <f t="shared" si="275"/>
        <v>0</v>
      </c>
      <c r="AQ798" s="8">
        <f t="shared" si="276"/>
        <v>0</v>
      </c>
      <c r="AR798" s="8">
        <f t="shared" si="277"/>
        <v>0</v>
      </c>
      <c r="AS798" s="42"/>
      <c r="AT798" s="84"/>
      <c r="AU798" s="84"/>
      <c r="AV798" s="4">
        <f t="shared" si="278"/>
        <v>0</v>
      </c>
      <c r="AW798" s="50" t="str">
        <f t="shared" si="279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267"/>
        <v/>
      </c>
      <c r="P799" s="84"/>
      <c r="Q799" s="84"/>
      <c r="R799" s="32"/>
      <c r="S799" s="3" t="str">
        <f t="shared" si="268"/>
        <v/>
      </c>
      <c r="T799" s="84"/>
      <c r="U799" s="84"/>
      <c r="V799" s="32"/>
      <c r="W799" s="3" t="str">
        <f t="shared" si="269"/>
        <v/>
      </c>
      <c r="X799" s="84"/>
      <c r="Y799" s="84"/>
      <c r="Z799" s="32"/>
      <c r="AA799" s="3" t="str">
        <f t="shared" si="270"/>
        <v/>
      </c>
      <c r="AB799" s="84"/>
      <c r="AC799" s="84"/>
      <c r="AD799" s="36"/>
      <c r="AE799" s="82"/>
      <c r="AF799" s="3" t="str">
        <f t="shared" si="271"/>
        <v/>
      </c>
      <c r="AG799" s="84"/>
      <c r="AH799" s="84"/>
      <c r="AI799" s="39"/>
      <c r="AJ799" s="79"/>
      <c r="AK799" s="39"/>
      <c r="AL799" s="4">
        <f t="shared" si="272"/>
        <v>0</v>
      </c>
      <c r="AM799" s="4">
        <f t="shared" si="273"/>
        <v>0</v>
      </c>
      <c r="AN799" s="4">
        <f t="shared" si="274"/>
        <v>0</v>
      </c>
      <c r="AO799" s="39"/>
      <c r="AP799" s="8">
        <f t="shared" si="275"/>
        <v>0</v>
      </c>
      <c r="AQ799" s="8">
        <f t="shared" si="276"/>
        <v>0</v>
      </c>
      <c r="AR799" s="8">
        <f t="shared" si="277"/>
        <v>0</v>
      </c>
      <c r="AS799" s="42"/>
      <c r="AT799" s="84"/>
      <c r="AU799" s="84"/>
      <c r="AV799" s="4">
        <f t="shared" si="278"/>
        <v>0</v>
      </c>
      <c r="AW799" s="50" t="str">
        <f t="shared" si="279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267"/>
        <v/>
      </c>
      <c r="P800" s="84"/>
      <c r="Q800" s="84"/>
      <c r="R800" s="32"/>
      <c r="S800" s="3" t="str">
        <f t="shared" si="268"/>
        <v/>
      </c>
      <c r="T800" s="84"/>
      <c r="U800" s="84"/>
      <c r="V800" s="32"/>
      <c r="W800" s="3" t="str">
        <f t="shared" si="269"/>
        <v/>
      </c>
      <c r="X800" s="84"/>
      <c r="Y800" s="84"/>
      <c r="Z800" s="32"/>
      <c r="AA800" s="3" t="str">
        <f t="shared" si="270"/>
        <v/>
      </c>
      <c r="AB800" s="84"/>
      <c r="AC800" s="84"/>
      <c r="AD800" s="36"/>
      <c r="AE800" s="82"/>
      <c r="AF800" s="3" t="str">
        <f t="shared" si="271"/>
        <v/>
      </c>
      <c r="AG800" s="84"/>
      <c r="AH800" s="84"/>
      <c r="AI800" s="39"/>
      <c r="AJ800" s="79"/>
      <c r="AK800" s="39"/>
      <c r="AL800" s="4">
        <f t="shared" si="272"/>
        <v>0</v>
      </c>
      <c r="AM800" s="4">
        <f t="shared" si="273"/>
        <v>0</v>
      </c>
      <c r="AN800" s="4">
        <f t="shared" si="274"/>
        <v>0</v>
      </c>
      <c r="AO800" s="39"/>
      <c r="AP800" s="8">
        <f t="shared" si="275"/>
        <v>0</v>
      </c>
      <c r="AQ800" s="8">
        <f t="shared" si="276"/>
        <v>0</v>
      </c>
      <c r="AR800" s="8">
        <f t="shared" si="277"/>
        <v>0</v>
      </c>
      <c r="AS800" s="42"/>
      <c r="AT800" s="84"/>
      <c r="AU800" s="84"/>
      <c r="AV800" s="4">
        <f t="shared" si="278"/>
        <v>0</v>
      </c>
      <c r="AW800" s="50" t="str">
        <f t="shared" si="279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267"/>
        <v/>
      </c>
      <c r="P801" s="84"/>
      <c r="Q801" s="84"/>
      <c r="R801" s="32"/>
      <c r="S801" s="3" t="str">
        <f t="shared" si="268"/>
        <v/>
      </c>
      <c r="T801" s="84"/>
      <c r="U801" s="84"/>
      <c r="V801" s="32"/>
      <c r="W801" s="3" t="str">
        <f t="shared" si="269"/>
        <v/>
      </c>
      <c r="X801" s="84"/>
      <c r="Y801" s="84"/>
      <c r="Z801" s="32"/>
      <c r="AA801" s="3" t="str">
        <f t="shared" si="270"/>
        <v/>
      </c>
      <c r="AB801" s="84"/>
      <c r="AC801" s="84"/>
      <c r="AD801" s="36"/>
      <c r="AE801" s="82"/>
      <c r="AF801" s="3" t="str">
        <f t="shared" si="271"/>
        <v/>
      </c>
      <c r="AG801" s="84"/>
      <c r="AH801" s="84"/>
      <c r="AI801" s="39"/>
      <c r="AJ801" s="79"/>
      <c r="AK801" s="39"/>
      <c r="AL801" s="4">
        <f t="shared" si="272"/>
        <v>0</v>
      </c>
      <c r="AM801" s="4">
        <f t="shared" si="273"/>
        <v>0</v>
      </c>
      <c r="AN801" s="4">
        <f t="shared" si="274"/>
        <v>0</v>
      </c>
      <c r="AO801" s="39"/>
      <c r="AP801" s="8">
        <f t="shared" si="275"/>
        <v>0</v>
      </c>
      <c r="AQ801" s="8">
        <f t="shared" si="276"/>
        <v>0</v>
      </c>
      <c r="AR801" s="8">
        <f t="shared" si="277"/>
        <v>0</v>
      </c>
      <c r="AS801" s="42"/>
      <c r="AT801" s="84"/>
      <c r="AU801" s="84"/>
      <c r="AV801" s="4">
        <f t="shared" si="278"/>
        <v>0</v>
      </c>
      <c r="AW801" s="50" t="str">
        <f t="shared" si="279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267"/>
        <v/>
      </c>
      <c r="P802" s="84"/>
      <c r="Q802" s="84"/>
      <c r="R802" s="32"/>
      <c r="S802" s="3" t="str">
        <f t="shared" si="268"/>
        <v/>
      </c>
      <c r="T802" s="84"/>
      <c r="U802" s="84"/>
      <c r="V802" s="32"/>
      <c r="W802" s="3" t="str">
        <f t="shared" si="269"/>
        <v/>
      </c>
      <c r="X802" s="84"/>
      <c r="Y802" s="84"/>
      <c r="Z802" s="32"/>
      <c r="AA802" s="3" t="str">
        <f t="shared" si="270"/>
        <v/>
      </c>
      <c r="AB802" s="84"/>
      <c r="AC802" s="84"/>
      <c r="AD802" s="36"/>
      <c r="AE802" s="82"/>
      <c r="AF802" s="3" t="str">
        <f t="shared" si="271"/>
        <v/>
      </c>
      <c r="AG802" s="84"/>
      <c r="AH802" s="84"/>
      <c r="AI802" s="39"/>
      <c r="AJ802" s="79"/>
      <c r="AK802" s="39"/>
      <c r="AL802" s="4">
        <f t="shared" si="272"/>
        <v>0</v>
      </c>
      <c r="AM802" s="4">
        <f t="shared" si="273"/>
        <v>0</v>
      </c>
      <c r="AN802" s="4">
        <f t="shared" si="274"/>
        <v>0</v>
      </c>
      <c r="AO802" s="39"/>
      <c r="AP802" s="8">
        <f t="shared" si="275"/>
        <v>0</v>
      </c>
      <c r="AQ802" s="8">
        <f t="shared" si="276"/>
        <v>0</v>
      </c>
      <c r="AR802" s="8">
        <f t="shared" si="277"/>
        <v>0</v>
      </c>
      <c r="AS802" s="42"/>
      <c r="AT802" s="84"/>
      <c r="AU802" s="84"/>
      <c r="AV802" s="4">
        <f t="shared" si="278"/>
        <v>0</v>
      </c>
      <c r="AW802" s="50" t="str">
        <f t="shared" si="279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267"/>
        <v/>
      </c>
      <c r="P803" s="84"/>
      <c r="Q803" s="84"/>
      <c r="R803" s="32"/>
      <c r="S803" s="3" t="str">
        <f t="shared" si="268"/>
        <v/>
      </c>
      <c r="T803" s="84"/>
      <c r="U803" s="84"/>
      <c r="V803" s="32"/>
      <c r="W803" s="3" t="str">
        <f t="shared" si="269"/>
        <v/>
      </c>
      <c r="X803" s="84"/>
      <c r="Y803" s="84"/>
      <c r="Z803" s="32"/>
      <c r="AA803" s="3" t="str">
        <f t="shared" si="270"/>
        <v/>
      </c>
      <c r="AB803" s="84"/>
      <c r="AC803" s="84"/>
      <c r="AD803" s="36"/>
      <c r="AE803" s="82"/>
      <c r="AF803" s="3" t="str">
        <f t="shared" si="271"/>
        <v/>
      </c>
      <c r="AG803" s="84"/>
      <c r="AH803" s="84"/>
      <c r="AI803" s="39"/>
      <c r="AJ803" s="79"/>
      <c r="AK803" s="39"/>
      <c r="AL803" s="4">
        <f t="shared" si="272"/>
        <v>0</v>
      </c>
      <c r="AM803" s="4">
        <f t="shared" si="273"/>
        <v>0</v>
      </c>
      <c r="AN803" s="4">
        <f t="shared" si="274"/>
        <v>0</v>
      </c>
      <c r="AO803" s="39"/>
      <c r="AP803" s="8">
        <f t="shared" si="275"/>
        <v>0</v>
      </c>
      <c r="AQ803" s="8">
        <f t="shared" si="276"/>
        <v>0</v>
      </c>
      <c r="AR803" s="8">
        <f t="shared" si="277"/>
        <v>0</v>
      </c>
      <c r="AS803" s="42"/>
      <c r="AT803" s="84"/>
      <c r="AU803" s="84"/>
      <c r="AV803" s="4">
        <f t="shared" si="278"/>
        <v>0</v>
      </c>
      <c r="AW803" s="50" t="str">
        <f t="shared" si="279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267"/>
        <v/>
      </c>
      <c r="P804" s="84"/>
      <c r="Q804" s="84"/>
      <c r="R804" s="32"/>
      <c r="S804" s="3" t="str">
        <f t="shared" si="268"/>
        <v/>
      </c>
      <c r="T804" s="84"/>
      <c r="U804" s="84"/>
      <c r="V804" s="32"/>
      <c r="W804" s="3" t="str">
        <f t="shared" si="269"/>
        <v/>
      </c>
      <c r="X804" s="84"/>
      <c r="Y804" s="84"/>
      <c r="Z804" s="32"/>
      <c r="AA804" s="3" t="str">
        <f t="shared" si="270"/>
        <v/>
      </c>
      <c r="AB804" s="84"/>
      <c r="AC804" s="84"/>
      <c r="AD804" s="36"/>
      <c r="AE804" s="82"/>
      <c r="AF804" s="3" t="str">
        <f t="shared" si="271"/>
        <v/>
      </c>
      <c r="AG804" s="84"/>
      <c r="AH804" s="84"/>
      <c r="AI804" s="39"/>
      <c r="AJ804" s="79"/>
      <c r="AK804" s="39"/>
      <c r="AL804" s="4">
        <f t="shared" si="272"/>
        <v>0</v>
      </c>
      <c r="AM804" s="4">
        <f t="shared" si="273"/>
        <v>0</v>
      </c>
      <c r="AN804" s="4">
        <f t="shared" si="274"/>
        <v>0</v>
      </c>
      <c r="AO804" s="39"/>
      <c r="AP804" s="8">
        <f t="shared" si="275"/>
        <v>0</v>
      </c>
      <c r="AQ804" s="8">
        <f t="shared" si="276"/>
        <v>0</v>
      </c>
      <c r="AR804" s="8">
        <f t="shared" si="277"/>
        <v>0</v>
      </c>
      <c r="AS804" s="42"/>
      <c r="AT804" s="84"/>
      <c r="AU804" s="84"/>
      <c r="AV804" s="4">
        <f t="shared" si="278"/>
        <v>0</v>
      </c>
      <c r="AW804" s="50" t="str">
        <f t="shared" si="279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267"/>
        <v/>
      </c>
      <c r="P805" s="84"/>
      <c r="Q805" s="84"/>
      <c r="R805" s="32"/>
      <c r="S805" s="3" t="str">
        <f t="shared" si="268"/>
        <v/>
      </c>
      <c r="T805" s="84"/>
      <c r="U805" s="84"/>
      <c r="V805" s="32"/>
      <c r="W805" s="3" t="str">
        <f t="shared" si="269"/>
        <v/>
      </c>
      <c r="X805" s="84"/>
      <c r="Y805" s="84"/>
      <c r="Z805" s="32"/>
      <c r="AA805" s="3" t="str">
        <f t="shared" si="270"/>
        <v/>
      </c>
      <c r="AB805" s="84"/>
      <c r="AC805" s="84"/>
      <c r="AD805" s="36"/>
      <c r="AE805" s="82"/>
      <c r="AF805" s="3" t="str">
        <f t="shared" si="271"/>
        <v/>
      </c>
      <c r="AG805" s="84"/>
      <c r="AH805" s="84"/>
      <c r="AI805" s="39"/>
      <c r="AJ805" s="79"/>
      <c r="AK805" s="39"/>
      <c r="AL805" s="4">
        <f t="shared" si="272"/>
        <v>0</v>
      </c>
      <c r="AM805" s="4">
        <f t="shared" si="273"/>
        <v>0</v>
      </c>
      <c r="AN805" s="4">
        <f t="shared" si="274"/>
        <v>0</v>
      </c>
      <c r="AO805" s="39"/>
      <c r="AP805" s="8">
        <f t="shared" si="275"/>
        <v>0</v>
      </c>
      <c r="AQ805" s="8">
        <f t="shared" si="276"/>
        <v>0</v>
      </c>
      <c r="AR805" s="8">
        <f t="shared" si="277"/>
        <v>0</v>
      </c>
      <c r="AS805" s="42"/>
      <c r="AT805" s="84"/>
      <c r="AU805" s="84"/>
      <c r="AV805" s="4">
        <f t="shared" si="278"/>
        <v>0</v>
      </c>
      <c r="AW805" s="50" t="str">
        <f t="shared" si="279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267"/>
        <v/>
      </c>
      <c r="P806" s="84"/>
      <c r="Q806" s="84"/>
      <c r="R806" s="32"/>
      <c r="S806" s="3" t="str">
        <f t="shared" si="268"/>
        <v/>
      </c>
      <c r="T806" s="84"/>
      <c r="U806" s="84"/>
      <c r="V806" s="32"/>
      <c r="W806" s="3" t="str">
        <f t="shared" si="269"/>
        <v/>
      </c>
      <c r="X806" s="84"/>
      <c r="Y806" s="84"/>
      <c r="Z806" s="32"/>
      <c r="AA806" s="3" t="str">
        <f t="shared" si="270"/>
        <v/>
      </c>
      <c r="AB806" s="84"/>
      <c r="AC806" s="84"/>
      <c r="AD806" s="36"/>
      <c r="AE806" s="82"/>
      <c r="AF806" s="3" t="str">
        <f t="shared" si="271"/>
        <v/>
      </c>
      <c r="AG806" s="84"/>
      <c r="AH806" s="84"/>
      <c r="AI806" s="39"/>
      <c r="AJ806" s="79"/>
      <c r="AK806" s="39"/>
      <c r="AL806" s="4">
        <f t="shared" si="272"/>
        <v>0</v>
      </c>
      <c r="AM806" s="4">
        <f t="shared" si="273"/>
        <v>0</v>
      </c>
      <c r="AN806" s="4">
        <f t="shared" si="274"/>
        <v>0</v>
      </c>
      <c r="AO806" s="39"/>
      <c r="AP806" s="8">
        <f t="shared" si="275"/>
        <v>0</v>
      </c>
      <c r="AQ806" s="8">
        <f t="shared" si="276"/>
        <v>0</v>
      </c>
      <c r="AR806" s="8">
        <f t="shared" si="277"/>
        <v>0</v>
      </c>
      <c r="AS806" s="42"/>
      <c r="AT806" s="84"/>
      <c r="AU806" s="84"/>
      <c r="AV806" s="4">
        <f t="shared" si="278"/>
        <v>0</v>
      </c>
      <c r="AW806" s="50" t="str">
        <f t="shared" si="279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267"/>
        <v/>
      </c>
      <c r="P807" s="84"/>
      <c r="Q807" s="84"/>
      <c r="R807" s="32"/>
      <c r="S807" s="3" t="str">
        <f t="shared" si="268"/>
        <v/>
      </c>
      <c r="T807" s="84"/>
      <c r="U807" s="84"/>
      <c r="V807" s="32"/>
      <c r="W807" s="3" t="str">
        <f t="shared" si="269"/>
        <v/>
      </c>
      <c r="X807" s="84"/>
      <c r="Y807" s="84"/>
      <c r="Z807" s="32"/>
      <c r="AA807" s="3" t="str">
        <f t="shared" si="270"/>
        <v/>
      </c>
      <c r="AB807" s="84"/>
      <c r="AC807" s="84"/>
      <c r="AD807" s="36"/>
      <c r="AE807" s="82"/>
      <c r="AF807" s="3" t="str">
        <f t="shared" si="271"/>
        <v/>
      </c>
      <c r="AG807" s="84"/>
      <c r="AH807" s="84"/>
      <c r="AI807" s="39"/>
      <c r="AJ807" s="79"/>
      <c r="AK807" s="39"/>
      <c r="AL807" s="4">
        <f t="shared" si="272"/>
        <v>0</v>
      </c>
      <c r="AM807" s="4">
        <f t="shared" si="273"/>
        <v>0</v>
      </c>
      <c r="AN807" s="4">
        <f t="shared" si="274"/>
        <v>0</v>
      </c>
      <c r="AO807" s="39"/>
      <c r="AP807" s="8">
        <f t="shared" si="275"/>
        <v>0</v>
      </c>
      <c r="AQ807" s="8">
        <f t="shared" si="276"/>
        <v>0</v>
      </c>
      <c r="AR807" s="8">
        <f t="shared" si="277"/>
        <v>0</v>
      </c>
      <c r="AS807" s="42"/>
      <c r="AT807" s="84"/>
      <c r="AU807" s="84"/>
      <c r="AV807" s="4">
        <f t="shared" si="278"/>
        <v>0</v>
      </c>
      <c r="AW807" s="50" t="str">
        <f t="shared" si="279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267"/>
        <v/>
      </c>
      <c r="P808" s="84"/>
      <c r="Q808" s="84"/>
      <c r="R808" s="32"/>
      <c r="S808" s="3" t="str">
        <f t="shared" si="268"/>
        <v/>
      </c>
      <c r="T808" s="84"/>
      <c r="U808" s="84"/>
      <c r="V808" s="32"/>
      <c r="W808" s="3" t="str">
        <f t="shared" si="269"/>
        <v/>
      </c>
      <c r="X808" s="84"/>
      <c r="Y808" s="84"/>
      <c r="Z808" s="32"/>
      <c r="AA808" s="3" t="str">
        <f t="shared" si="270"/>
        <v/>
      </c>
      <c r="AB808" s="84"/>
      <c r="AC808" s="84"/>
      <c r="AD808" s="36"/>
      <c r="AE808" s="82"/>
      <c r="AF808" s="3" t="str">
        <f t="shared" si="271"/>
        <v/>
      </c>
      <c r="AG808" s="84"/>
      <c r="AH808" s="84"/>
      <c r="AI808" s="39"/>
      <c r="AJ808" s="79"/>
      <c r="AK808" s="39"/>
      <c r="AL808" s="4">
        <f t="shared" si="272"/>
        <v>0</v>
      </c>
      <c r="AM808" s="4">
        <f t="shared" si="273"/>
        <v>0</v>
      </c>
      <c r="AN808" s="4">
        <f t="shared" si="274"/>
        <v>0</v>
      </c>
      <c r="AO808" s="39"/>
      <c r="AP808" s="8">
        <f t="shared" si="275"/>
        <v>0</v>
      </c>
      <c r="AQ808" s="8">
        <f t="shared" si="276"/>
        <v>0</v>
      </c>
      <c r="AR808" s="8">
        <f t="shared" si="277"/>
        <v>0</v>
      </c>
      <c r="AS808" s="42"/>
      <c r="AT808" s="84"/>
      <c r="AU808" s="84"/>
      <c r="AV808" s="4">
        <f t="shared" si="278"/>
        <v>0</v>
      </c>
      <c r="AW808" s="50" t="str">
        <f t="shared" si="279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267"/>
        <v/>
      </c>
      <c r="P809" s="84"/>
      <c r="Q809" s="84"/>
      <c r="R809" s="32"/>
      <c r="S809" s="3" t="str">
        <f t="shared" si="268"/>
        <v/>
      </c>
      <c r="T809" s="84"/>
      <c r="U809" s="84"/>
      <c r="V809" s="32"/>
      <c r="W809" s="3" t="str">
        <f t="shared" si="269"/>
        <v/>
      </c>
      <c r="X809" s="84"/>
      <c r="Y809" s="84"/>
      <c r="Z809" s="32"/>
      <c r="AA809" s="3" t="str">
        <f t="shared" si="270"/>
        <v/>
      </c>
      <c r="AB809" s="84"/>
      <c r="AC809" s="84"/>
      <c r="AD809" s="36"/>
      <c r="AE809" s="82"/>
      <c r="AF809" s="3" t="str">
        <f t="shared" si="271"/>
        <v/>
      </c>
      <c r="AG809" s="84"/>
      <c r="AH809" s="84"/>
      <c r="AI809" s="39"/>
      <c r="AJ809" s="79"/>
      <c r="AK809" s="39"/>
      <c r="AL809" s="4">
        <f t="shared" si="272"/>
        <v>0</v>
      </c>
      <c r="AM809" s="4">
        <f t="shared" si="273"/>
        <v>0</v>
      </c>
      <c r="AN809" s="4">
        <f t="shared" si="274"/>
        <v>0</v>
      </c>
      <c r="AO809" s="39"/>
      <c r="AP809" s="8">
        <f t="shared" si="275"/>
        <v>0</v>
      </c>
      <c r="AQ809" s="8">
        <f t="shared" si="276"/>
        <v>0</v>
      </c>
      <c r="AR809" s="8">
        <f t="shared" si="277"/>
        <v>0</v>
      </c>
      <c r="AS809" s="42"/>
      <c r="AT809" s="84"/>
      <c r="AU809" s="84"/>
      <c r="AV809" s="4">
        <f t="shared" si="278"/>
        <v>0</v>
      </c>
      <c r="AW809" s="50" t="str">
        <f t="shared" si="279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267"/>
        <v/>
      </c>
      <c r="P810" s="84"/>
      <c r="Q810" s="84"/>
      <c r="R810" s="32"/>
      <c r="S810" s="3" t="str">
        <f t="shared" si="268"/>
        <v/>
      </c>
      <c r="T810" s="84"/>
      <c r="U810" s="84"/>
      <c r="V810" s="32"/>
      <c r="W810" s="3" t="str">
        <f t="shared" si="269"/>
        <v/>
      </c>
      <c r="X810" s="84"/>
      <c r="Y810" s="84"/>
      <c r="Z810" s="32"/>
      <c r="AA810" s="3" t="str">
        <f t="shared" si="270"/>
        <v/>
      </c>
      <c r="AB810" s="84"/>
      <c r="AC810" s="84"/>
      <c r="AD810" s="36"/>
      <c r="AE810" s="82"/>
      <c r="AF810" s="3" t="str">
        <f t="shared" si="271"/>
        <v/>
      </c>
      <c r="AG810" s="84"/>
      <c r="AH810" s="84"/>
      <c r="AI810" s="39"/>
      <c r="AJ810" s="79"/>
      <c r="AK810" s="39"/>
      <c r="AL810" s="4">
        <f t="shared" si="272"/>
        <v>0</v>
      </c>
      <c r="AM810" s="4">
        <f t="shared" si="273"/>
        <v>0</v>
      </c>
      <c r="AN810" s="4">
        <f t="shared" si="274"/>
        <v>0</v>
      </c>
      <c r="AO810" s="39"/>
      <c r="AP810" s="8">
        <f t="shared" si="275"/>
        <v>0</v>
      </c>
      <c r="AQ810" s="8">
        <f t="shared" si="276"/>
        <v>0</v>
      </c>
      <c r="AR810" s="8">
        <f t="shared" si="277"/>
        <v>0</v>
      </c>
      <c r="AS810" s="42"/>
      <c r="AT810" s="84"/>
      <c r="AU810" s="84"/>
      <c r="AV810" s="4">
        <f t="shared" si="278"/>
        <v>0</v>
      </c>
      <c r="AW810" s="50" t="str">
        <f t="shared" si="279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267"/>
        <v/>
      </c>
      <c r="P811" s="84"/>
      <c r="Q811" s="84"/>
      <c r="R811" s="32"/>
      <c r="S811" s="3" t="str">
        <f t="shared" si="268"/>
        <v/>
      </c>
      <c r="T811" s="84"/>
      <c r="U811" s="84"/>
      <c r="V811" s="32"/>
      <c r="W811" s="3" t="str">
        <f t="shared" si="269"/>
        <v/>
      </c>
      <c r="X811" s="84"/>
      <c r="Y811" s="84"/>
      <c r="Z811" s="32"/>
      <c r="AA811" s="3" t="str">
        <f t="shared" si="270"/>
        <v/>
      </c>
      <c r="AB811" s="84"/>
      <c r="AC811" s="84"/>
      <c r="AD811" s="36"/>
      <c r="AE811" s="82"/>
      <c r="AF811" s="3" t="str">
        <f t="shared" si="271"/>
        <v/>
      </c>
      <c r="AG811" s="84"/>
      <c r="AH811" s="84"/>
      <c r="AI811" s="39"/>
      <c r="AJ811" s="79"/>
      <c r="AK811" s="39"/>
      <c r="AL811" s="4">
        <f t="shared" si="272"/>
        <v>0</v>
      </c>
      <c r="AM811" s="4">
        <f t="shared" si="273"/>
        <v>0</v>
      </c>
      <c r="AN811" s="4">
        <f t="shared" si="274"/>
        <v>0</v>
      </c>
      <c r="AO811" s="39"/>
      <c r="AP811" s="8">
        <f t="shared" si="275"/>
        <v>0</v>
      </c>
      <c r="AQ811" s="8">
        <f t="shared" si="276"/>
        <v>0</v>
      </c>
      <c r="AR811" s="8">
        <f t="shared" si="277"/>
        <v>0</v>
      </c>
      <c r="AS811" s="42"/>
      <c r="AT811" s="84"/>
      <c r="AU811" s="84"/>
      <c r="AV811" s="4">
        <f t="shared" si="278"/>
        <v>0</v>
      </c>
      <c r="AW811" s="50" t="str">
        <f t="shared" si="279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267"/>
        <v/>
      </c>
      <c r="P812" s="84"/>
      <c r="Q812" s="84"/>
      <c r="R812" s="32"/>
      <c r="S812" s="3" t="str">
        <f t="shared" si="268"/>
        <v/>
      </c>
      <c r="T812" s="84"/>
      <c r="U812" s="84"/>
      <c r="V812" s="32"/>
      <c r="W812" s="3" t="str">
        <f t="shared" si="269"/>
        <v/>
      </c>
      <c r="X812" s="84"/>
      <c r="Y812" s="84"/>
      <c r="Z812" s="32"/>
      <c r="AA812" s="3" t="str">
        <f t="shared" si="270"/>
        <v/>
      </c>
      <c r="AB812" s="84"/>
      <c r="AC812" s="84"/>
      <c r="AD812" s="36"/>
      <c r="AE812" s="82"/>
      <c r="AF812" s="3" t="str">
        <f t="shared" si="271"/>
        <v/>
      </c>
      <c r="AG812" s="84"/>
      <c r="AH812" s="84"/>
      <c r="AI812" s="39"/>
      <c r="AJ812" s="79"/>
      <c r="AK812" s="39"/>
      <c r="AL812" s="4">
        <f t="shared" si="272"/>
        <v>0</v>
      </c>
      <c r="AM812" s="4">
        <f t="shared" si="273"/>
        <v>0</v>
      </c>
      <c r="AN812" s="4">
        <f t="shared" si="274"/>
        <v>0</v>
      </c>
      <c r="AO812" s="39"/>
      <c r="AP812" s="8">
        <f t="shared" si="275"/>
        <v>0</v>
      </c>
      <c r="AQ812" s="8">
        <f t="shared" si="276"/>
        <v>0</v>
      </c>
      <c r="AR812" s="8">
        <f t="shared" si="277"/>
        <v>0</v>
      </c>
      <c r="AS812" s="42"/>
      <c r="AT812" s="84"/>
      <c r="AU812" s="84"/>
      <c r="AV812" s="4">
        <f t="shared" si="278"/>
        <v>0</v>
      </c>
      <c r="AW812" s="50" t="str">
        <f t="shared" si="279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267"/>
        <v/>
      </c>
      <c r="P813" s="84"/>
      <c r="Q813" s="84"/>
      <c r="R813" s="32"/>
      <c r="S813" s="3" t="str">
        <f t="shared" si="268"/>
        <v/>
      </c>
      <c r="T813" s="84"/>
      <c r="U813" s="84"/>
      <c r="V813" s="32"/>
      <c r="W813" s="3" t="str">
        <f t="shared" si="269"/>
        <v/>
      </c>
      <c r="X813" s="84"/>
      <c r="Y813" s="84"/>
      <c r="Z813" s="32"/>
      <c r="AA813" s="3" t="str">
        <f t="shared" si="270"/>
        <v/>
      </c>
      <c r="AB813" s="84"/>
      <c r="AC813" s="84"/>
      <c r="AD813" s="36"/>
      <c r="AE813" s="82"/>
      <c r="AF813" s="3" t="str">
        <f t="shared" si="271"/>
        <v/>
      </c>
      <c r="AG813" s="84"/>
      <c r="AH813" s="84"/>
      <c r="AI813" s="39"/>
      <c r="AJ813" s="79"/>
      <c r="AK813" s="39"/>
      <c r="AL813" s="4">
        <f t="shared" si="272"/>
        <v>0</v>
      </c>
      <c r="AM813" s="4">
        <f t="shared" si="273"/>
        <v>0</v>
      </c>
      <c r="AN813" s="4">
        <f t="shared" si="274"/>
        <v>0</v>
      </c>
      <c r="AO813" s="39"/>
      <c r="AP813" s="8">
        <f t="shared" si="275"/>
        <v>0</v>
      </c>
      <c r="AQ813" s="8">
        <f t="shared" si="276"/>
        <v>0</v>
      </c>
      <c r="AR813" s="8">
        <f t="shared" si="277"/>
        <v>0</v>
      </c>
      <c r="AS813" s="42"/>
      <c r="AT813" s="84"/>
      <c r="AU813" s="84"/>
      <c r="AV813" s="4">
        <f t="shared" si="278"/>
        <v>0</v>
      </c>
      <c r="AW813" s="50" t="str">
        <f t="shared" si="279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267"/>
        <v/>
      </c>
      <c r="P814" s="84"/>
      <c r="Q814" s="84"/>
      <c r="R814" s="32"/>
      <c r="S814" s="3" t="str">
        <f t="shared" si="268"/>
        <v/>
      </c>
      <c r="T814" s="84"/>
      <c r="U814" s="84"/>
      <c r="V814" s="32"/>
      <c r="W814" s="3" t="str">
        <f t="shared" si="269"/>
        <v/>
      </c>
      <c r="X814" s="84"/>
      <c r="Y814" s="84"/>
      <c r="Z814" s="32"/>
      <c r="AA814" s="3" t="str">
        <f t="shared" si="270"/>
        <v/>
      </c>
      <c r="AB814" s="84"/>
      <c r="AC814" s="84"/>
      <c r="AD814" s="36"/>
      <c r="AE814" s="82"/>
      <c r="AF814" s="3" t="str">
        <f t="shared" si="271"/>
        <v/>
      </c>
      <c r="AG814" s="84"/>
      <c r="AH814" s="84"/>
      <c r="AI814" s="39"/>
      <c r="AJ814" s="79"/>
      <c r="AK814" s="39"/>
      <c r="AL814" s="4">
        <f t="shared" si="272"/>
        <v>0</v>
      </c>
      <c r="AM814" s="4">
        <f t="shared" si="273"/>
        <v>0</v>
      </c>
      <c r="AN814" s="4">
        <f t="shared" si="274"/>
        <v>0</v>
      </c>
      <c r="AO814" s="39"/>
      <c r="AP814" s="8">
        <f t="shared" si="275"/>
        <v>0</v>
      </c>
      <c r="AQ814" s="8">
        <f t="shared" si="276"/>
        <v>0</v>
      </c>
      <c r="AR814" s="8">
        <f t="shared" si="277"/>
        <v>0</v>
      </c>
      <c r="AS814" s="42"/>
      <c r="AT814" s="84"/>
      <c r="AU814" s="84"/>
      <c r="AV814" s="4">
        <f t="shared" si="278"/>
        <v>0</v>
      </c>
      <c r="AW814" s="50" t="str">
        <f t="shared" si="279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si="267"/>
        <v/>
      </c>
      <c r="P815" s="84"/>
      <c r="Q815" s="84"/>
      <c r="R815" s="32"/>
      <c r="S815" s="3" t="str">
        <f t="shared" si="268"/>
        <v/>
      </c>
      <c r="T815" s="84"/>
      <c r="U815" s="84"/>
      <c r="V815" s="32"/>
      <c r="W815" s="3" t="str">
        <f t="shared" si="269"/>
        <v/>
      </c>
      <c r="X815" s="84"/>
      <c r="Y815" s="84"/>
      <c r="Z815" s="32"/>
      <c r="AA815" s="3" t="str">
        <f t="shared" si="270"/>
        <v/>
      </c>
      <c r="AB815" s="84"/>
      <c r="AC815" s="84"/>
      <c r="AD815" s="36"/>
      <c r="AE815" s="82"/>
      <c r="AF815" s="3" t="str">
        <f t="shared" si="271"/>
        <v/>
      </c>
      <c r="AG815" s="84"/>
      <c r="AH815" s="84"/>
      <c r="AI815" s="39"/>
      <c r="AJ815" s="79"/>
      <c r="AK815" s="39"/>
      <c r="AL815" s="4">
        <f t="shared" si="272"/>
        <v>0</v>
      </c>
      <c r="AM815" s="4">
        <f t="shared" si="273"/>
        <v>0</v>
      </c>
      <c r="AN815" s="4">
        <f t="shared" si="274"/>
        <v>0</v>
      </c>
      <c r="AO815" s="39"/>
      <c r="AP815" s="8">
        <f t="shared" si="275"/>
        <v>0</v>
      </c>
      <c r="AQ815" s="8">
        <f t="shared" si="276"/>
        <v>0</v>
      </c>
      <c r="AR815" s="8">
        <f t="shared" si="277"/>
        <v>0</v>
      </c>
      <c r="AS815" s="42"/>
      <c r="AT815" s="84"/>
      <c r="AU815" s="84"/>
      <c r="AV815" s="4">
        <f t="shared" si="278"/>
        <v>0</v>
      </c>
      <c r="AW815" s="50" t="str">
        <f t="shared" si="279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267"/>
        <v/>
      </c>
      <c r="P816" s="84"/>
      <c r="Q816" s="84"/>
      <c r="R816" s="32"/>
      <c r="S816" s="3" t="str">
        <f t="shared" si="268"/>
        <v/>
      </c>
      <c r="T816" s="84"/>
      <c r="U816" s="84"/>
      <c r="V816" s="32"/>
      <c r="W816" s="3" t="str">
        <f t="shared" si="269"/>
        <v/>
      </c>
      <c r="X816" s="84"/>
      <c r="Y816" s="84"/>
      <c r="Z816" s="32"/>
      <c r="AA816" s="3" t="str">
        <f t="shared" si="270"/>
        <v/>
      </c>
      <c r="AB816" s="84"/>
      <c r="AC816" s="84"/>
      <c r="AD816" s="36"/>
      <c r="AE816" s="82"/>
      <c r="AF816" s="3" t="str">
        <f t="shared" si="271"/>
        <v/>
      </c>
      <c r="AG816" s="84"/>
      <c r="AH816" s="84"/>
      <c r="AI816" s="39"/>
      <c r="AJ816" s="79"/>
      <c r="AK816" s="39"/>
      <c r="AL816" s="4">
        <f t="shared" si="272"/>
        <v>0</v>
      </c>
      <c r="AM816" s="4">
        <f t="shared" si="273"/>
        <v>0</v>
      </c>
      <c r="AN816" s="4">
        <f t="shared" si="274"/>
        <v>0</v>
      </c>
      <c r="AO816" s="39"/>
      <c r="AP816" s="8">
        <f t="shared" si="275"/>
        <v>0</v>
      </c>
      <c r="AQ816" s="8">
        <f t="shared" si="276"/>
        <v>0</v>
      </c>
      <c r="AR816" s="8">
        <f t="shared" si="277"/>
        <v>0</v>
      </c>
      <c r="AS816" s="42"/>
      <c r="AT816" s="84"/>
      <c r="AU816" s="84"/>
      <c r="AV816" s="4">
        <f t="shared" si="278"/>
        <v>0</v>
      </c>
      <c r="AW816" s="50" t="str">
        <f t="shared" si="279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267"/>
        <v/>
      </c>
      <c r="P817" s="84"/>
      <c r="Q817" s="84"/>
      <c r="R817" s="32"/>
      <c r="S817" s="3" t="str">
        <f t="shared" si="268"/>
        <v/>
      </c>
      <c r="T817" s="84"/>
      <c r="U817" s="84"/>
      <c r="V817" s="32"/>
      <c r="W817" s="3" t="str">
        <f t="shared" si="269"/>
        <v/>
      </c>
      <c r="X817" s="84"/>
      <c r="Y817" s="84"/>
      <c r="Z817" s="32"/>
      <c r="AA817" s="3" t="str">
        <f t="shared" si="270"/>
        <v/>
      </c>
      <c r="AB817" s="84"/>
      <c r="AC817" s="84"/>
      <c r="AD817" s="36"/>
      <c r="AE817" s="82"/>
      <c r="AF817" s="3" t="str">
        <f t="shared" si="271"/>
        <v/>
      </c>
      <c r="AG817" s="84"/>
      <c r="AH817" s="84"/>
      <c r="AI817" s="39"/>
      <c r="AJ817" s="79"/>
      <c r="AK817" s="39"/>
      <c r="AL817" s="4">
        <f t="shared" si="272"/>
        <v>0</v>
      </c>
      <c r="AM817" s="4">
        <f t="shared" si="273"/>
        <v>0</v>
      </c>
      <c r="AN817" s="4">
        <f t="shared" si="274"/>
        <v>0</v>
      </c>
      <c r="AO817" s="39"/>
      <c r="AP817" s="8">
        <f t="shared" si="275"/>
        <v>0</v>
      </c>
      <c r="AQ817" s="8">
        <f t="shared" si="276"/>
        <v>0</v>
      </c>
      <c r="AR817" s="8">
        <f t="shared" si="277"/>
        <v>0</v>
      </c>
      <c r="AS817" s="42"/>
      <c r="AT817" s="84"/>
      <c r="AU817" s="84"/>
      <c r="AV817" s="4">
        <f t="shared" si="278"/>
        <v>0</v>
      </c>
      <c r="AW817" s="50" t="str">
        <f t="shared" si="279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267"/>
        <v/>
      </c>
      <c r="P818" s="84"/>
      <c r="Q818" s="84"/>
      <c r="R818" s="32"/>
      <c r="S818" s="3" t="str">
        <f t="shared" si="268"/>
        <v/>
      </c>
      <c r="T818" s="84"/>
      <c r="U818" s="84"/>
      <c r="V818" s="32"/>
      <c r="W818" s="3" t="str">
        <f t="shared" si="269"/>
        <v/>
      </c>
      <c r="X818" s="84"/>
      <c r="Y818" s="84"/>
      <c r="Z818" s="32"/>
      <c r="AA818" s="3" t="str">
        <f t="shared" si="270"/>
        <v/>
      </c>
      <c r="AB818" s="84"/>
      <c r="AC818" s="84"/>
      <c r="AD818" s="36"/>
      <c r="AE818" s="82"/>
      <c r="AF818" s="3" t="str">
        <f t="shared" si="271"/>
        <v/>
      </c>
      <c r="AG818" s="84"/>
      <c r="AH818" s="84"/>
      <c r="AI818" s="39"/>
      <c r="AJ818" s="79"/>
      <c r="AK818" s="39"/>
      <c r="AL818" s="4">
        <f t="shared" si="272"/>
        <v>0</v>
      </c>
      <c r="AM818" s="4">
        <f t="shared" si="273"/>
        <v>0</v>
      </c>
      <c r="AN818" s="4">
        <f t="shared" si="274"/>
        <v>0</v>
      </c>
      <c r="AO818" s="39"/>
      <c r="AP818" s="8">
        <f t="shared" si="275"/>
        <v>0</v>
      </c>
      <c r="AQ818" s="8">
        <f t="shared" si="276"/>
        <v>0</v>
      </c>
      <c r="AR818" s="8">
        <f t="shared" si="277"/>
        <v>0</v>
      </c>
      <c r="AS818" s="42"/>
      <c r="AT818" s="84"/>
      <c r="AU818" s="84"/>
      <c r="AV818" s="4">
        <f t="shared" si="278"/>
        <v>0</v>
      </c>
      <c r="AW818" s="50" t="str">
        <f t="shared" si="279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267"/>
        <v/>
      </c>
      <c r="P819" s="84"/>
      <c r="Q819" s="84"/>
      <c r="R819" s="32"/>
      <c r="S819" s="3" t="str">
        <f t="shared" si="268"/>
        <v/>
      </c>
      <c r="T819" s="84"/>
      <c r="U819" s="84"/>
      <c r="V819" s="32"/>
      <c r="W819" s="3" t="str">
        <f t="shared" si="269"/>
        <v/>
      </c>
      <c r="X819" s="84"/>
      <c r="Y819" s="84"/>
      <c r="Z819" s="32"/>
      <c r="AA819" s="3" t="str">
        <f t="shared" si="270"/>
        <v/>
      </c>
      <c r="AB819" s="84"/>
      <c r="AC819" s="84"/>
      <c r="AD819" s="36"/>
      <c r="AE819" s="82"/>
      <c r="AF819" s="3" t="str">
        <f t="shared" si="271"/>
        <v/>
      </c>
      <c r="AG819" s="84"/>
      <c r="AH819" s="84"/>
      <c r="AI819" s="39"/>
      <c r="AJ819" s="79"/>
      <c r="AK819" s="39"/>
      <c r="AL819" s="4">
        <f t="shared" si="272"/>
        <v>0</v>
      </c>
      <c r="AM819" s="4">
        <f t="shared" si="273"/>
        <v>0</v>
      </c>
      <c r="AN819" s="4">
        <f t="shared" si="274"/>
        <v>0</v>
      </c>
      <c r="AO819" s="39"/>
      <c r="AP819" s="8">
        <f t="shared" si="275"/>
        <v>0</v>
      </c>
      <c r="AQ819" s="8">
        <f t="shared" si="276"/>
        <v>0</v>
      </c>
      <c r="AR819" s="8">
        <f t="shared" si="277"/>
        <v>0</v>
      </c>
      <c r="AS819" s="42"/>
      <c r="AT819" s="84"/>
      <c r="AU819" s="84"/>
      <c r="AV819" s="4">
        <f t="shared" si="278"/>
        <v>0</v>
      </c>
      <c r="AW819" s="50" t="str">
        <f t="shared" si="279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si="267"/>
        <v/>
      </c>
      <c r="P820" s="84"/>
      <c r="Q820" s="84"/>
      <c r="R820" s="32"/>
      <c r="S820" s="3" t="str">
        <f t="shared" si="268"/>
        <v/>
      </c>
      <c r="T820" s="84"/>
      <c r="U820" s="84"/>
      <c r="V820" s="32"/>
      <c r="W820" s="3" t="str">
        <f t="shared" si="269"/>
        <v/>
      </c>
      <c r="X820" s="84"/>
      <c r="Y820" s="84"/>
      <c r="Z820" s="32"/>
      <c r="AA820" s="3" t="str">
        <f t="shared" si="270"/>
        <v/>
      </c>
      <c r="AB820" s="84"/>
      <c r="AC820" s="84"/>
      <c r="AD820" s="36"/>
      <c r="AE820" s="82"/>
      <c r="AF820" s="3" t="str">
        <f t="shared" si="271"/>
        <v/>
      </c>
      <c r="AG820" s="84"/>
      <c r="AH820" s="84"/>
      <c r="AI820" s="39"/>
      <c r="AJ820" s="79"/>
      <c r="AK820" s="39"/>
      <c r="AL820" s="4">
        <f t="shared" si="272"/>
        <v>0</v>
      </c>
      <c r="AM820" s="4">
        <f t="shared" si="273"/>
        <v>0</v>
      </c>
      <c r="AN820" s="4">
        <f t="shared" si="274"/>
        <v>0</v>
      </c>
      <c r="AO820" s="39"/>
      <c r="AP820" s="8">
        <f t="shared" si="275"/>
        <v>0</v>
      </c>
      <c r="AQ820" s="8">
        <f t="shared" si="276"/>
        <v>0</v>
      </c>
      <c r="AR820" s="8">
        <f t="shared" si="277"/>
        <v>0</v>
      </c>
      <c r="AS820" s="42"/>
      <c r="AT820" s="84"/>
      <c r="AU820" s="84"/>
      <c r="AV820" s="4">
        <f t="shared" si="278"/>
        <v>0</v>
      </c>
      <c r="AW820" s="50" t="str">
        <f t="shared" si="279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267"/>
        <v/>
      </c>
      <c r="P821" s="84"/>
      <c r="Q821" s="84"/>
      <c r="R821" s="32"/>
      <c r="S821" s="3" t="str">
        <f t="shared" si="268"/>
        <v/>
      </c>
      <c r="T821" s="84"/>
      <c r="U821" s="84"/>
      <c r="V821" s="32"/>
      <c r="W821" s="3" t="str">
        <f t="shared" si="269"/>
        <v/>
      </c>
      <c r="X821" s="84"/>
      <c r="Y821" s="84"/>
      <c r="Z821" s="32"/>
      <c r="AA821" s="3" t="str">
        <f t="shared" si="270"/>
        <v/>
      </c>
      <c r="AB821" s="84"/>
      <c r="AC821" s="84"/>
      <c r="AD821" s="36"/>
      <c r="AE821" s="82"/>
      <c r="AF821" s="3" t="str">
        <f t="shared" si="271"/>
        <v/>
      </c>
      <c r="AG821" s="84"/>
      <c r="AH821" s="84"/>
      <c r="AI821" s="39"/>
      <c r="AJ821" s="79"/>
      <c r="AK821" s="39"/>
      <c r="AL821" s="4">
        <f t="shared" si="272"/>
        <v>0</v>
      </c>
      <c r="AM821" s="4">
        <f t="shared" si="273"/>
        <v>0</v>
      </c>
      <c r="AN821" s="4">
        <f t="shared" si="274"/>
        <v>0</v>
      </c>
      <c r="AO821" s="39"/>
      <c r="AP821" s="8">
        <f t="shared" si="275"/>
        <v>0</v>
      </c>
      <c r="AQ821" s="8">
        <f t="shared" si="276"/>
        <v>0</v>
      </c>
      <c r="AR821" s="8">
        <f t="shared" si="277"/>
        <v>0</v>
      </c>
      <c r="AS821" s="42"/>
      <c r="AT821" s="84"/>
      <c r="AU821" s="84"/>
      <c r="AV821" s="4">
        <f t="shared" si="278"/>
        <v>0</v>
      </c>
      <c r="AW821" s="50" t="str">
        <f t="shared" si="279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267"/>
        <v/>
      </c>
      <c r="P822" s="84"/>
      <c r="Q822" s="84"/>
      <c r="R822" s="32"/>
      <c r="S822" s="3" t="str">
        <f t="shared" si="268"/>
        <v/>
      </c>
      <c r="T822" s="84"/>
      <c r="U822" s="84"/>
      <c r="V822" s="32"/>
      <c r="W822" s="3" t="str">
        <f t="shared" si="269"/>
        <v/>
      </c>
      <c r="X822" s="84"/>
      <c r="Y822" s="84"/>
      <c r="Z822" s="32"/>
      <c r="AA822" s="3" t="str">
        <f t="shared" si="270"/>
        <v/>
      </c>
      <c r="AB822" s="84"/>
      <c r="AC822" s="84"/>
      <c r="AD822" s="36"/>
      <c r="AE822" s="82"/>
      <c r="AF822" s="3" t="str">
        <f t="shared" si="271"/>
        <v/>
      </c>
      <c r="AG822" s="84"/>
      <c r="AH822" s="84"/>
      <c r="AI822" s="39"/>
      <c r="AJ822" s="79"/>
      <c r="AK822" s="39"/>
      <c r="AL822" s="4">
        <f t="shared" si="272"/>
        <v>0</v>
      </c>
      <c r="AM822" s="4">
        <f t="shared" si="273"/>
        <v>0</v>
      </c>
      <c r="AN822" s="4">
        <f t="shared" si="274"/>
        <v>0</v>
      </c>
      <c r="AO822" s="39"/>
      <c r="AP822" s="8">
        <f t="shared" si="275"/>
        <v>0</v>
      </c>
      <c r="AQ822" s="8">
        <f t="shared" si="276"/>
        <v>0</v>
      </c>
      <c r="AR822" s="8">
        <f t="shared" si="277"/>
        <v>0</v>
      </c>
      <c r="AS822" s="42"/>
      <c r="AT822" s="84"/>
      <c r="AU822" s="84"/>
      <c r="AV822" s="4">
        <f t="shared" si="278"/>
        <v>0</v>
      </c>
      <c r="AW822" s="50" t="str">
        <f t="shared" si="279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si="267"/>
        <v/>
      </c>
      <c r="P823" s="84"/>
      <c r="Q823" s="84"/>
      <c r="R823" s="32"/>
      <c r="S823" s="3" t="str">
        <f t="shared" si="268"/>
        <v/>
      </c>
      <c r="T823" s="84"/>
      <c r="U823" s="84"/>
      <c r="V823" s="32"/>
      <c r="W823" s="3" t="str">
        <f t="shared" si="269"/>
        <v/>
      </c>
      <c r="X823" s="84"/>
      <c r="Y823" s="84"/>
      <c r="Z823" s="32"/>
      <c r="AA823" s="3" t="str">
        <f t="shared" si="270"/>
        <v/>
      </c>
      <c r="AB823" s="84"/>
      <c r="AC823" s="84"/>
      <c r="AD823" s="36"/>
      <c r="AE823" s="82"/>
      <c r="AF823" s="3" t="str">
        <f t="shared" si="271"/>
        <v/>
      </c>
      <c r="AG823" s="84"/>
      <c r="AH823" s="84"/>
      <c r="AI823" s="39"/>
      <c r="AJ823" s="79"/>
      <c r="AK823" s="39"/>
      <c r="AL823" s="4">
        <f t="shared" si="272"/>
        <v>0</v>
      </c>
      <c r="AM823" s="4">
        <f t="shared" si="273"/>
        <v>0</v>
      </c>
      <c r="AN823" s="4">
        <f t="shared" si="274"/>
        <v>0</v>
      </c>
      <c r="AO823" s="39"/>
      <c r="AP823" s="8">
        <f t="shared" si="275"/>
        <v>0</v>
      </c>
      <c r="AQ823" s="8">
        <f t="shared" si="276"/>
        <v>0</v>
      </c>
      <c r="AR823" s="8">
        <f t="shared" si="277"/>
        <v>0</v>
      </c>
      <c r="AS823" s="42"/>
      <c r="AT823" s="84"/>
      <c r="AU823" s="84"/>
      <c r="AV823" s="4">
        <f t="shared" si="278"/>
        <v>0</v>
      </c>
      <c r="AW823" s="50" t="str">
        <f t="shared" si="279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267"/>
        <v/>
      </c>
      <c r="P824" s="84"/>
      <c r="Q824" s="84"/>
      <c r="R824" s="32"/>
      <c r="S824" s="3" t="str">
        <f t="shared" si="268"/>
        <v/>
      </c>
      <c r="T824" s="84"/>
      <c r="U824" s="84"/>
      <c r="V824" s="32"/>
      <c r="W824" s="3" t="str">
        <f t="shared" si="269"/>
        <v/>
      </c>
      <c r="X824" s="84"/>
      <c r="Y824" s="84"/>
      <c r="Z824" s="32"/>
      <c r="AA824" s="3" t="str">
        <f t="shared" si="270"/>
        <v/>
      </c>
      <c r="AB824" s="84"/>
      <c r="AC824" s="84"/>
      <c r="AD824" s="36"/>
      <c r="AE824" s="82"/>
      <c r="AF824" s="3" t="str">
        <f t="shared" si="271"/>
        <v/>
      </c>
      <c r="AG824" s="84"/>
      <c r="AH824" s="84"/>
      <c r="AI824" s="39"/>
      <c r="AJ824" s="79"/>
      <c r="AK824" s="39"/>
      <c r="AL824" s="4">
        <f t="shared" si="272"/>
        <v>0</v>
      </c>
      <c r="AM824" s="4">
        <f t="shared" si="273"/>
        <v>0</v>
      </c>
      <c r="AN824" s="4">
        <f t="shared" si="274"/>
        <v>0</v>
      </c>
      <c r="AO824" s="39"/>
      <c r="AP824" s="8">
        <f t="shared" si="275"/>
        <v>0</v>
      </c>
      <c r="AQ824" s="8">
        <f t="shared" si="276"/>
        <v>0</v>
      </c>
      <c r="AR824" s="8">
        <f t="shared" si="277"/>
        <v>0</v>
      </c>
      <c r="AS824" s="42"/>
      <c r="AT824" s="84"/>
      <c r="AU824" s="84"/>
      <c r="AV824" s="4">
        <f t="shared" si="278"/>
        <v>0</v>
      </c>
      <c r="AW824" s="50" t="str">
        <f t="shared" si="279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267"/>
        <v/>
      </c>
      <c r="P825" s="84"/>
      <c r="Q825" s="84"/>
      <c r="R825" s="32"/>
      <c r="S825" s="3" t="str">
        <f t="shared" si="268"/>
        <v/>
      </c>
      <c r="T825" s="84"/>
      <c r="U825" s="84"/>
      <c r="V825" s="32"/>
      <c r="W825" s="3" t="str">
        <f t="shared" si="269"/>
        <v/>
      </c>
      <c r="X825" s="84"/>
      <c r="Y825" s="84"/>
      <c r="Z825" s="32"/>
      <c r="AA825" s="3" t="str">
        <f t="shared" si="270"/>
        <v/>
      </c>
      <c r="AB825" s="84"/>
      <c r="AC825" s="84"/>
      <c r="AD825" s="36"/>
      <c r="AE825" s="82"/>
      <c r="AF825" s="3" t="str">
        <f t="shared" si="271"/>
        <v/>
      </c>
      <c r="AG825" s="84"/>
      <c r="AH825" s="84"/>
      <c r="AI825" s="39"/>
      <c r="AJ825" s="79"/>
      <c r="AK825" s="39"/>
      <c r="AL825" s="4">
        <f t="shared" si="272"/>
        <v>0</v>
      </c>
      <c r="AM825" s="4">
        <f t="shared" si="273"/>
        <v>0</v>
      </c>
      <c r="AN825" s="4">
        <f t="shared" si="274"/>
        <v>0</v>
      </c>
      <c r="AO825" s="39"/>
      <c r="AP825" s="8">
        <f t="shared" si="275"/>
        <v>0</v>
      </c>
      <c r="AQ825" s="8">
        <f t="shared" si="276"/>
        <v>0</v>
      </c>
      <c r="AR825" s="8">
        <f t="shared" si="277"/>
        <v>0</v>
      </c>
      <c r="AS825" s="42"/>
      <c r="AT825" s="84"/>
      <c r="AU825" s="84"/>
      <c r="AV825" s="4">
        <f t="shared" si="278"/>
        <v>0</v>
      </c>
      <c r="AW825" s="50" t="str">
        <f t="shared" si="279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ref="O826:O889" si="280">IF($A826="","",IF(P826=AZ826,"E","A"))</f>
        <v/>
      </c>
      <c r="P826" s="84"/>
      <c r="Q826" s="84"/>
      <c r="R826" s="32"/>
      <c r="S826" s="3" t="str">
        <f t="shared" ref="S826:S889" si="281">IF($A826="","",IF(T826=BA826,"E","A"))</f>
        <v/>
      </c>
      <c r="T826" s="84"/>
      <c r="U826" s="84"/>
      <c r="V826" s="32"/>
      <c r="W826" s="3" t="str">
        <f t="shared" ref="W826:W889" si="282">IF($A826="","",IF(X826=0,"A",IF(X826=BB826,"E","A")))</f>
        <v/>
      </c>
      <c r="X826" s="84"/>
      <c r="Y826" s="84"/>
      <c r="Z826" s="32"/>
      <c r="AA826" s="3" t="str">
        <f t="shared" ref="AA826:AA889" si="283">IF($A826="","",IF(AB826=0,"A",IF(AB826=BC826,"E","A")))</f>
        <v/>
      </c>
      <c r="AB826" s="84"/>
      <c r="AC826" s="84"/>
      <c r="AD826" s="36"/>
      <c r="AE826" s="82"/>
      <c r="AF826" s="3" t="str">
        <f t="shared" ref="AF826:AF889" si="284">IF($A826="","",IF(AG826=0,"A",IF(AG826=BD826,"E","A")))</f>
        <v/>
      </c>
      <c r="AG826" s="84"/>
      <c r="AH826" s="84"/>
      <c r="AI826" s="39"/>
      <c r="AJ826" s="79"/>
      <c r="AK826" s="39"/>
      <c r="AL826" s="4">
        <f t="shared" ref="AL826:AL889" si="285">IF($O826="A",P826,0)+IF($S826="A",T826,0)+IF($W826="A",X826,0)+IF($AA826="A",AB826,0)+IF($AF826="A",AG826,0)</f>
        <v>0</v>
      </c>
      <c r="AM826" s="4">
        <f t="shared" ref="AM826:AM889" si="286">IF($O826="A",Q826,0)+IF($S826="A",U826,0)+IF($W826="A",Y826,0)+IF($AA826="A",AC826,0)+IF($AF826="A",AH826,0)</f>
        <v>0</v>
      </c>
      <c r="AN826" s="4">
        <f t="shared" ref="AN826:AN889" si="287">SUM(AL826:AM826)</f>
        <v>0</v>
      </c>
      <c r="AO826" s="39"/>
      <c r="AP826" s="8">
        <f t="shared" ref="AP826:AP889" si="288">IF($O826="E",P826,0)+IF($S826="E",T826,0)+IF($W826="E",X826,0)+IF($AA826="E",AB826,0)+IF($AF826="E",AG826,0)</f>
        <v>0</v>
      </c>
      <c r="AQ826" s="8">
        <f t="shared" ref="AQ826:AQ889" si="289">IF($O826="E",Q826,0)+IF($S826="E",U826,0)+IF($W826="E",Y826,0)+IF($AA826="E",AC826,0)+IF($AF826="E",AH826,0)</f>
        <v>0</v>
      </c>
      <c r="AR826" s="8">
        <f t="shared" ref="AR826:AR889" si="290">SUM(AP826:AQ826)</f>
        <v>0</v>
      </c>
      <c r="AS826" s="42"/>
      <c r="AT826" s="84"/>
      <c r="AU826" s="84"/>
      <c r="AV826" s="4">
        <f t="shared" ref="AV826:AV889" si="291">SUM(AT826:AU826)</f>
        <v>0</v>
      </c>
      <c r="AW826" s="50" t="str">
        <f t="shared" ref="AW826:AW889" si="292">IF(AV826=0,"",IF(AN826=AV826,"","W"))</f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280"/>
        <v/>
      </c>
      <c r="P827" s="84"/>
      <c r="Q827" s="84"/>
      <c r="R827" s="32"/>
      <c r="S827" s="3" t="str">
        <f t="shared" si="281"/>
        <v/>
      </c>
      <c r="T827" s="84"/>
      <c r="U827" s="84"/>
      <c r="V827" s="32"/>
      <c r="W827" s="3" t="str">
        <f t="shared" si="282"/>
        <v/>
      </c>
      <c r="X827" s="84"/>
      <c r="Y827" s="84"/>
      <c r="Z827" s="32"/>
      <c r="AA827" s="3" t="str">
        <f t="shared" si="283"/>
        <v/>
      </c>
      <c r="AB827" s="84"/>
      <c r="AC827" s="84"/>
      <c r="AD827" s="36"/>
      <c r="AE827" s="82"/>
      <c r="AF827" s="3" t="str">
        <f t="shared" si="284"/>
        <v/>
      </c>
      <c r="AG827" s="84"/>
      <c r="AH827" s="84"/>
      <c r="AI827" s="39"/>
      <c r="AJ827" s="79"/>
      <c r="AK827" s="39"/>
      <c r="AL827" s="4">
        <f t="shared" si="285"/>
        <v>0</v>
      </c>
      <c r="AM827" s="4">
        <f t="shared" si="286"/>
        <v>0</v>
      </c>
      <c r="AN827" s="4">
        <f t="shared" si="287"/>
        <v>0</v>
      </c>
      <c r="AO827" s="39"/>
      <c r="AP827" s="8">
        <f t="shared" si="288"/>
        <v>0</v>
      </c>
      <c r="AQ827" s="8">
        <f t="shared" si="289"/>
        <v>0</v>
      </c>
      <c r="AR827" s="8">
        <f t="shared" si="290"/>
        <v>0</v>
      </c>
      <c r="AS827" s="42"/>
      <c r="AT827" s="84"/>
      <c r="AU827" s="84"/>
      <c r="AV827" s="4">
        <f t="shared" si="291"/>
        <v>0</v>
      </c>
      <c r="AW827" s="50" t="str">
        <f t="shared" si="292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280"/>
        <v/>
      </c>
      <c r="P828" s="84"/>
      <c r="Q828" s="84"/>
      <c r="R828" s="32"/>
      <c r="S828" s="3" t="str">
        <f t="shared" si="281"/>
        <v/>
      </c>
      <c r="T828" s="84"/>
      <c r="U828" s="84"/>
      <c r="V828" s="32"/>
      <c r="W828" s="3" t="str">
        <f t="shared" si="282"/>
        <v/>
      </c>
      <c r="X828" s="84"/>
      <c r="Y828" s="84"/>
      <c r="Z828" s="32"/>
      <c r="AA828" s="3" t="str">
        <f t="shared" si="283"/>
        <v/>
      </c>
      <c r="AB828" s="84"/>
      <c r="AC828" s="84"/>
      <c r="AD828" s="36"/>
      <c r="AE828" s="82"/>
      <c r="AF828" s="3" t="str">
        <f t="shared" si="284"/>
        <v/>
      </c>
      <c r="AG828" s="84"/>
      <c r="AH828" s="84"/>
      <c r="AI828" s="39"/>
      <c r="AJ828" s="79"/>
      <c r="AK828" s="39"/>
      <c r="AL828" s="4">
        <f t="shared" si="285"/>
        <v>0</v>
      </c>
      <c r="AM828" s="4">
        <f t="shared" si="286"/>
        <v>0</v>
      </c>
      <c r="AN828" s="4">
        <f t="shared" si="287"/>
        <v>0</v>
      </c>
      <c r="AO828" s="39"/>
      <c r="AP828" s="8">
        <f t="shared" si="288"/>
        <v>0</v>
      </c>
      <c r="AQ828" s="8">
        <f t="shared" si="289"/>
        <v>0</v>
      </c>
      <c r="AR828" s="8">
        <f t="shared" si="290"/>
        <v>0</v>
      </c>
      <c r="AS828" s="42"/>
      <c r="AT828" s="84"/>
      <c r="AU828" s="84"/>
      <c r="AV828" s="4">
        <f t="shared" si="291"/>
        <v>0</v>
      </c>
      <c r="AW828" s="50" t="str">
        <f t="shared" si="292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280"/>
        <v/>
      </c>
      <c r="P829" s="84"/>
      <c r="Q829" s="84"/>
      <c r="R829" s="32"/>
      <c r="S829" s="3" t="str">
        <f t="shared" si="281"/>
        <v/>
      </c>
      <c r="T829" s="84"/>
      <c r="U829" s="84"/>
      <c r="V829" s="32"/>
      <c r="W829" s="3" t="str">
        <f t="shared" si="282"/>
        <v/>
      </c>
      <c r="X829" s="84"/>
      <c r="Y829" s="84"/>
      <c r="Z829" s="32"/>
      <c r="AA829" s="3" t="str">
        <f t="shared" si="283"/>
        <v/>
      </c>
      <c r="AB829" s="84"/>
      <c r="AC829" s="84"/>
      <c r="AD829" s="36"/>
      <c r="AE829" s="82"/>
      <c r="AF829" s="3" t="str">
        <f t="shared" si="284"/>
        <v/>
      </c>
      <c r="AG829" s="84"/>
      <c r="AH829" s="84"/>
      <c r="AI829" s="39"/>
      <c r="AJ829" s="79"/>
      <c r="AK829" s="39"/>
      <c r="AL829" s="4">
        <f t="shared" si="285"/>
        <v>0</v>
      </c>
      <c r="AM829" s="4">
        <f t="shared" si="286"/>
        <v>0</v>
      </c>
      <c r="AN829" s="4">
        <f t="shared" si="287"/>
        <v>0</v>
      </c>
      <c r="AO829" s="39"/>
      <c r="AP829" s="8">
        <f t="shared" si="288"/>
        <v>0</v>
      </c>
      <c r="AQ829" s="8">
        <f t="shared" si="289"/>
        <v>0</v>
      </c>
      <c r="AR829" s="8">
        <f t="shared" si="290"/>
        <v>0</v>
      </c>
      <c r="AS829" s="42"/>
      <c r="AT829" s="84"/>
      <c r="AU829" s="84"/>
      <c r="AV829" s="4">
        <f t="shared" si="291"/>
        <v>0</v>
      </c>
      <c r="AW829" s="50" t="str">
        <f t="shared" si="292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280"/>
        <v/>
      </c>
      <c r="P830" s="84"/>
      <c r="Q830" s="84"/>
      <c r="R830" s="32"/>
      <c r="S830" s="3" t="str">
        <f t="shared" si="281"/>
        <v/>
      </c>
      <c r="T830" s="84"/>
      <c r="U830" s="84"/>
      <c r="V830" s="32"/>
      <c r="W830" s="3" t="str">
        <f t="shared" si="282"/>
        <v/>
      </c>
      <c r="X830" s="84"/>
      <c r="Y830" s="84"/>
      <c r="Z830" s="32"/>
      <c r="AA830" s="3" t="str">
        <f t="shared" si="283"/>
        <v/>
      </c>
      <c r="AB830" s="84"/>
      <c r="AC830" s="84"/>
      <c r="AD830" s="36"/>
      <c r="AE830" s="82"/>
      <c r="AF830" s="3" t="str">
        <f t="shared" si="284"/>
        <v/>
      </c>
      <c r="AG830" s="84"/>
      <c r="AH830" s="84"/>
      <c r="AI830" s="39"/>
      <c r="AJ830" s="79"/>
      <c r="AK830" s="39"/>
      <c r="AL830" s="4">
        <f t="shared" si="285"/>
        <v>0</v>
      </c>
      <c r="AM830" s="4">
        <f t="shared" si="286"/>
        <v>0</v>
      </c>
      <c r="AN830" s="4">
        <f t="shared" si="287"/>
        <v>0</v>
      </c>
      <c r="AO830" s="39"/>
      <c r="AP830" s="8">
        <f t="shared" si="288"/>
        <v>0</v>
      </c>
      <c r="AQ830" s="8">
        <f t="shared" si="289"/>
        <v>0</v>
      </c>
      <c r="AR830" s="8">
        <f t="shared" si="290"/>
        <v>0</v>
      </c>
      <c r="AS830" s="42"/>
      <c r="AT830" s="84"/>
      <c r="AU830" s="84"/>
      <c r="AV830" s="4">
        <f t="shared" si="291"/>
        <v>0</v>
      </c>
      <c r="AW830" s="50" t="str">
        <f t="shared" si="292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280"/>
        <v/>
      </c>
      <c r="P831" s="84"/>
      <c r="Q831" s="84"/>
      <c r="R831" s="32"/>
      <c r="S831" s="3" t="str">
        <f t="shared" si="281"/>
        <v/>
      </c>
      <c r="T831" s="84"/>
      <c r="U831" s="84"/>
      <c r="V831" s="32"/>
      <c r="W831" s="3" t="str">
        <f t="shared" si="282"/>
        <v/>
      </c>
      <c r="X831" s="84"/>
      <c r="Y831" s="84"/>
      <c r="Z831" s="32"/>
      <c r="AA831" s="3" t="str">
        <f t="shared" si="283"/>
        <v/>
      </c>
      <c r="AB831" s="84"/>
      <c r="AC831" s="84"/>
      <c r="AD831" s="36"/>
      <c r="AE831" s="82"/>
      <c r="AF831" s="3" t="str">
        <f t="shared" si="284"/>
        <v/>
      </c>
      <c r="AG831" s="84"/>
      <c r="AH831" s="84"/>
      <c r="AI831" s="39"/>
      <c r="AJ831" s="79"/>
      <c r="AK831" s="39"/>
      <c r="AL831" s="4">
        <f t="shared" si="285"/>
        <v>0</v>
      </c>
      <c r="AM831" s="4">
        <f t="shared" si="286"/>
        <v>0</v>
      </c>
      <c r="AN831" s="4">
        <f t="shared" si="287"/>
        <v>0</v>
      </c>
      <c r="AO831" s="39"/>
      <c r="AP831" s="8">
        <f t="shared" si="288"/>
        <v>0</v>
      </c>
      <c r="AQ831" s="8">
        <f t="shared" si="289"/>
        <v>0</v>
      </c>
      <c r="AR831" s="8">
        <f t="shared" si="290"/>
        <v>0</v>
      </c>
      <c r="AS831" s="42"/>
      <c r="AT831" s="84"/>
      <c r="AU831" s="84"/>
      <c r="AV831" s="4">
        <f t="shared" si="291"/>
        <v>0</v>
      </c>
      <c r="AW831" s="50" t="str">
        <f t="shared" si="292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280"/>
        <v/>
      </c>
      <c r="P832" s="84"/>
      <c r="Q832" s="84"/>
      <c r="R832" s="32"/>
      <c r="S832" s="3" t="str">
        <f t="shared" si="281"/>
        <v/>
      </c>
      <c r="T832" s="84"/>
      <c r="U832" s="84"/>
      <c r="V832" s="32"/>
      <c r="W832" s="3" t="str">
        <f t="shared" si="282"/>
        <v/>
      </c>
      <c r="X832" s="84"/>
      <c r="Y832" s="84"/>
      <c r="Z832" s="32"/>
      <c r="AA832" s="3" t="str">
        <f t="shared" si="283"/>
        <v/>
      </c>
      <c r="AB832" s="84"/>
      <c r="AC832" s="84"/>
      <c r="AD832" s="36"/>
      <c r="AE832" s="82"/>
      <c r="AF832" s="3" t="str">
        <f t="shared" si="284"/>
        <v/>
      </c>
      <c r="AG832" s="84"/>
      <c r="AH832" s="84"/>
      <c r="AI832" s="39"/>
      <c r="AJ832" s="79"/>
      <c r="AK832" s="39"/>
      <c r="AL832" s="4">
        <f t="shared" si="285"/>
        <v>0</v>
      </c>
      <c r="AM832" s="4">
        <f t="shared" si="286"/>
        <v>0</v>
      </c>
      <c r="AN832" s="4">
        <f t="shared" si="287"/>
        <v>0</v>
      </c>
      <c r="AO832" s="39"/>
      <c r="AP832" s="8">
        <f t="shared" si="288"/>
        <v>0</v>
      </c>
      <c r="AQ832" s="8">
        <f t="shared" si="289"/>
        <v>0</v>
      </c>
      <c r="AR832" s="8">
        <f t="shared" si="290"/>
        <v>0</v>
      </c>
      <c r="AS832" s="42"/>
      <c r="AT832" s="84"/>
      <c r="AU832" s="84"/>
      <c r="AV832" s="4">
        <f t="shared" si="291"/>
        <v>0</v>
      </c>
      <c r="AW832" s="50" t="str">
        <f t="shared" si="292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280"/>
        <v/>
      </c>
      <c r="P833" s="84"/>
      <c r="Q833" s="84"/>
      <c r="R833" s="32"/>
      <c r="S833" s="3" t="str">
        <f t="shared" si="281"/>
        <v/>
      </c>
      <c r="T833" s="84"/>
      <c r="U833" s="84"/>
      <c r="V833" s="32"/>
      <c r="W833" s="3" t="str">
        <f t="shared" si="282"/>
        <v/>
      </c>
      <c r="X833" s="84"/>
      <c r="Y833" s="84"/>
      <c r="Z833" s="32"/>
      <c r="AA833" s="3" t="str">
        <f t="shared" si="283"/>
        <v/>
      </c>
      <c r="AB833" s="84"/>
      <c r="AC833" s="84"/>
      <c r="AD833" s="36"/>
      <c r="AE833" s="82"/>
      <c r="AF833" s="3" t="str">
        <f t="shared" si="284"/>
        <v/>
      </c>
      <c r="AG833" s="84"/>
      <c r="AH833" s="84"/>
      <c r="AI833" s="39"/>
      <c r="AJ833" s="79"/>
      <c r="AK833" s="39"/>
      <c r="AL833" s="4">
        <f t="shared" si="285"/>
        <v>0</v>
      </c>
      <c r="AM833" s="4">
        <f t="shared" si="286"/>
        <v>0</v>
      </c>
      <c r="AN833" s="4">
        <f t="shared" si="287"/>
        <v>0</v>
      </c>
      <c r="AO833" s="39"/>
      <c r="AP833" s="8">
        <f t="shared" si="288"/>
        <v>0</v>
      </c>
      <c r="AQ833" s="8">
        <f t="shared" si="289"/>
        <v>0</v>
      </c>
      <c r="AR833" s="8">
        <f t="shared" si="290"/>
        <v>0</v>
      </c>
      <c r="AS833" s="42"/>
      <c r="AT833" s="84"/>
      <c r="AU833" s="84"/>
      <c r="AV833" s="4">
        <f t="shared" si="291"/>
        <v>0</v>
      </c>
      <c r="AW833" s="50" t="str">
        <f t="shared" si="292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280"/>
        <v/>
      </c>
      <c r="P834" s="84"/>
      <c r="Q834" s="84"/>
      <c r="R834" s="32"/>
      <c r="S834" s="3" t="str">
        <f t="shared" si="281"/>
        <v/>
      </c>
      <c r="T834" s="84"/>
      <c r="U834" s="84"/>
      <c r="V834" s="32"/>
      <c r="W834" s="3" t="str">
        <f t="shared" si="282"/>
        <v/>
      </c>
      <c r="X834" s="84"/>
      <c r="Y834" s="84"/>
      <c r="Z834" s="32"/>
      <c r="AA834" s="3" t="str">
        <f t="shared" si="283"/>
        <v/>
      </c>
      <c r="AB834" s="84"/>
      <c r="AC834" s="84"/>
      <c r="AD834" s="36"/>
      <c r="AE834" s="82"/>
      <c r="AF834" s="3" t="str">
        <f t="shared" si="284"/>
        <v/>
      </c>
      <c r="AG834" s="84"/>
      <c r="AH834" s="84"/>
      <c r="AI834" s="39"/>
      <c r="AJ834" s="79"/>
      <c r="AK834" s="39"/>
      <c r="AL834" s="4">
        <f t="shared" si="285"/>
        <v>0</v>
      </c>
      <c r="AM834" s="4">
        <f t="shared" si="286"/>
        <v>0</v>
      </c>
      <c r="AN834" s="4">
        <f t="shared" si="287"/>
        <v>0</v>
      </c>
      <c r="AO834" s="39"/>
      <c r="AP834" s="8">
        <f t="shared" si="288"/>
        <v>0</v>
      </c>
      <c r="AQ834" s="8">
        <f t="shared" si="289"/>
        <v>0</v>
      </c>
      <c r="AR834" s="8">
        <f t="shared" si="290"/>
        <v>0</v>
      </c>
      <c r="AS834" s="42"/>
      <c r="AT834" s="84"/>
      <c r="AU834" s="84"/>
      <c r="AV834" s="4">
        <f t="shared" si="291"/>
        <v>0</v>
      </c>
      <c r="AW834" s="50" t="str">
        <f t="shared" si="292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280"/>
        <v/>
      </c>
      <c r="P835" s="84"/>
      <c r="Q835" s="84"/>
      <c r="R835" s="32"/>
      <c r="S835" s="3" t="str">
        <f t="shared" si="281"/>
        <v/>
      </c>
      <c r="T835" s="84"/>
      <c r="U835" s="84"/>
      <c r="V835" s="32"/>
      <c r="W835" s="3" t="str">
        <f t="shared" si="282"/>
        <v/>
      </c>
      <c r="X835" s="84"/>
      <c r="Y835" s="84"/>
      <c r="Z835" s="32"/>
      <c r="AA835" s="3" t="str">
        <f t="shared" si="283"/>
        <v/>
      </c>
      <c r="AB835" s="84"/>
      <c r="AC835" s="84"/>
      <c r="AD835" s="36"/>
      <c r="AE835" s="82"/>
      <c r="AF835" s="3" t="str">
        <f t="shared" si="284"/>
        <v/>
      </c>
      <c r="AG835" s="84"/>
      <c r="AH835" s="84"/>
      <c r="AI835" s="39"/>
      <c r="AJ835" s="79"/>
      <c r="AK835" s="39"/>
      <c r="AL835" s="4">
        <f t="shared" si="285"/>
        <v>0</v>
      </c>
      <c r="AM835" s="4">
        <f t="shared" si="286"/>
        <v>0</v>
      </c>
      <c r="AN835" s="4">
        <f t="shared" si="287"/>
        <v>0</v>
      </c>
      <c r="AO835" s="39"/>
      <c r="AP835" s="8">
        <f t="shared" si="288"/>
        <v>0</v>
      </c>
      <c r="AQ835" s="8">
        <f t="shared" si="289"/>
        <v>0</v>
      </c>
      <c r="AR835" s="8">
        <f t="shared" si="290"/>
        <v>0</v>
      </c>
      <c r="AS835" s="42"/>
      <c r="AT835" s="84"/>
      <c r="AU835" s="84"/>
      <c r="AV835" s="4">
        <f t="shared" si="291"/>
        <v>0</v>
      </c>
      <c r="AW835" s="50" t="str">
        <f t="shared" si="292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280"/>
        <v/>
      </c>
      <c r="P836" s="84"/>
      <c r="Q836" s="84"/>
      <c r="R836" s="32"/>
      <c r="S836" s="3" t="str">
        <f t="shared" si="281"/>
        <v/>
      </c>
      <c r="T836" s="84"/>
      <c r="U836" s="84"/>
      <c r="V836" s="32"/>
      <c r="W836" s="3" t="str">
        <f t="shared" si="282"/>
        <v/>
      </c>
      <c r="X836" s="84"/>
      <c r="Y836" s="84"/>
      <c r="Z836" s="32"/>
      <c r="AA836" s="3" t="str">
        <f t="shared" si="283"/>
        <v/>
      </c>
      <c r="AB836" s="84"/>
      <c r="AC836" s="84"/>
      <c r="AD836" s="36"/>
      <c r="AE836" s="82"/>
      <c r="AF836" s="3" t="str">
        <f t="shared" si="284"/>
        <v/>
      </c>
      <c r="AG836" s="84"/>
      <c r="AH836" s="84"/>
      <c r="AI836" s="39"/>
      <c r="AJ836" s="79"/>
      <c r="AK836" s="39"/>
      <c r="AL836" s="4">
        <f t="shared" si="285"/>
        <v>0</v>
      </c>
      <c r="AM836" s="4">
        <f t="shared" si="286"/>
        <v>0</v>
      </c>
      <c r="AN836" s="4">
        <f t="shared" si="287"/>
        <v>0</v>
      </c>
      <c r="AO836" s="39"/>
      <c r="AP836" s="8">
        <f t="shared" si="288"/>
        <v>0</v>
      </c>
      <c r="AQ836" s="8">
        <f t="shared" si="289"/>
        <v>0</v>
      </c>
      <c r="AR836" s="8">
        <f t="shared" si="290"/>
        <v>0</v>
      </c>
      <c r="AS836" s="42"/>
      <c r="AT836" s="84"/>
      <c r="AU836" s="84"/>
      <c r="AV836" s="4">
        <f t="shared" si="291"/>
        <v>0</v>
      </c>
      <c r="AW836" s="50" t="str">
        <f t="shared" si="292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280"/>
        <v/>
      </c>
      <c r="P837" s="84"/>
      <c r="Q837" s="84"/>
      <c r="R837" s="32"/>
      <c r="S837" s="3" t="str">
        <f t="shared" si="281"/>
        <v/>
      </c>
      <c r="T837" s="84"/>
      <c r="U837" s="84"/>
      <c r="V837" s="32"/>
      <c r="W837" s="3" t="str">
        <f t="shared" si="282"/>
        <v/>
      </c>
      <c r="X837" s="84"/>
      <c r="Y837" s="84"/>
      <c r="Z837" s="32"/>
      <c r="AA837" s="3" t="str">
        <f t="shared" si="283"/>
        <v/>
      </c>
      <c r="AB837" s="84"/>
      <c r="AC837" s="84"/>
      <c r="AD837" s="36"/>
      <c r="AE837" s="82"/>
      <c r="AF837" s="3" t="str">
        <f t="shared" si="284"/>
        <v/>
      </c>
      <c r="AG837" s="84"/>
      <c r="AH837" s="84"/>
      <c r="AI837" s="39"/>
      <c r="AJ837" s="79"/>
      <c r="AK837" s="39"/>
      <c r="AL837" s="4">
        <f t="shared" si="285"/>
        <v>0</v>
      </c>
      <c r="AM837" s="4">
        <f t="shared" si="286"/>
        <v>0</v>
      </c>
      <c r="AN837" s="4">
        <f t="shared" si="287"/>
        <v>0</v>
      </c>
      <c r="AO837" s="39"/>
      <c r="AP837" s="8">
        <f t="shared" si="288"/>
        <v>0</v>
      </c>
      <c r="AQ837" s="8">
        <f t="shared" si="289"/>
        <v>0</v>
      </c>
      <c r="AR837" s="8">
        <f t="shared" si="290"/>
        <v>0</v>
      </c>
      <c r="AS837" s="42"/>
      <c r="AT837" s="84"/>
      <c r="AU837" s="84"/>
      <c r="AV837" s="4">
        <f t="shared" si="291"/>
        <v>0</v>
      </c>
      <c r="AW837" s="50" t="str">
        <f t="shared" si="292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280"/>
        <v/>
      </c>
      <c r="P838" s="84"/>
      <c r="Q838" s="84"/>
      <c r="R838" s="32"/>
      <c r="S838" s="3" t="str">
        <f t="shared" si="281"/>
        <v/>
      </c>
      <c r="T838" s="84"/>
      <c r="U838" s="84"/>
      <c r="V838" s="32"/>
      <c r="W838" s="3" t="str">
        <f t="shared" si="282"/>
        <v/>
      </c>
      <c r="X838" s="84"/>
      <c r="Y838" s="84"/>
      <c r="Z838" s="32"/>
      <c r="AA838" s="3" t="str">
        <f t="shared" si="283"/>
        <v/>
      </c>
      <c r="AB838" s="84"/>
      <c r="AC838" s="84"/>
      <c r="AD838" s="36"/>
      <c r="AE838" s="82"/>
      <c r="AF838" s="3" t="str">
        <f t="shared" si="284"/>
        <v/>
      </c>
      <c r="AG838" s="84"/>
      <c r="AH838" s="84"/>
      <c r="AI838" s="39"/>
      <c r="AJ838" s="79"/>
      <c r="AK838" s="39"/>
      <c r="AL838" s="4">
        <f t="shared" si="285"/>
        <v>0</v>
      </c>
      <c r="AM838" s="4">
        <f t="shared" si="286"/>
        <v>0</v>
      </c>
      <c r="AN838" s="4">
        <f t="shared" si="287"/>
        <v>0</v>
      </c>
      <c r="AO838" s="39"/>
      <c r="AP838" s="8">
        <f t="shared" si="288"/>
        <v>0</v>
      </c>
      <c r="AQ838" s="8">
        <f t="shared" si="289"/>
        <v>0</v>
      </c>
      <c r="AR838" s="8">
        <f t="shared" si="290"/>
        <v>0</v>
      </c>
      <c r="AS838" s="42"/>
      <c r="AT838" s="84"/>
      <c r="AU838" s="84"/>
      <c r="AV838" s="4">
        <f t="shared" si="291"/>
        <v>0</v>
      </c>
      <c r="AW838" s="50" t="str">
        <f t="shared" si="292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280"/>
        <v/>
      </c>
      <c r="P839" s="84"/>
      <c r="Q839" s="84"/>
      <c r="R839" s="32"/>
      <c r="S839" s="3" t="str">
        <f t="shared" si="281"/>
        <v/>
      </c>
      <c r="T839" s="84"/>
      <c r="U839" s="84"/>
      <c r="V839" s="32"/>
      <c r="W839" s="3" t="str">
        <f t="shared" si="282"/>
        <v/>
      </c>
      <c r="X839" s="84"/>
      <c r="Y839" s="84"/>
      <c r="Z839" s="32"/>
      <c r="AA839" s="3" t="str">
        <f t="shared" si="283"/>
        <v/>
      </c>
      <c r="AB839" s="84"/>
      <c r="AC839" s="84"/>
      <c r="AD839" s="36"/>
      <c r="AE839" s="82"/>
      <c r="AF839" s="3" t="str">
        <f t="shared" si="284"/>
        <v/>
      </c>
      <c r="AG839" s="84"/>
      <c r="AH839" s="84"/>
      <c r="AI839" s="39"/>
      <c r="AJ839" s="79"/>
      <c r="AK839" s="39"/>
      <c r="AL839" s="4">
        <f t="shared" si="285"/>
        <v>0</v>
      </c>
      <c r="AM839" s="4">
        <f t="shared" si="286"/>
        <v>0</v>
      </c>
      <c r="AN839" s="4">
        <f t="shared" si="287"/>
        <v>0</v>
      </c>
      <c r="AO839" s="39"/>
      <c r="AP839" s="8">
        <f t="shared" si="288"/>
        <v>0</v>
      </c>
      <c r="AQ839" s="8">
        <f t="shared" si="289"/>
        <v>0</v>
      </c>
      <c r="AR839" s="8">
        <f t="shared" si="290"/>
        <v>0</v>
      </c>
      <c r="AS839" s="42"/>
      <c r="AT839" s="84"/>
      <c r="AU839" s="84"/>
      <c r="AV839" s="4">
        <f t="shared" si="291"/>
        <v>0</v>
      </c>
      <c r="AW839" s="50" t="str">
        <f t="shared" si="292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280"/>
        <v/>
      </c>
      <c r="P840" s="84"/>
      <c r="Q840" s="84"/>
      <c r="R840" s="32"/>
      <c r="S840" s="3" t="str">
        <f t="shared" si="281"/>
        <v/>
      </c>
      <c r="T840" s="84"/>
      <c r="U840" s="84"/>
      <c r="V840" s="32"/>
      <c r="W840" s="3" t="str">
        <f t="shared" si="282"/>
        <v/>
      </c>
      <c r="X840" s="84"/>
      <c r="Y840" s="84"/>
      <c r="Z840" s="32"/>
      <c r="AA840" s="3" t="str">
        <f t="shared" si="283"/>
        <v/>
      </c>
      <c r="AB840" s="84"/>
      <c r="AC840" s="84"/>
      <c r="AD840" s="36"/>
      <c r="AE840" s="82"/>
      <c r="AF840" s="3" t="str">
        <f t="shared" si="284"/>
        <v/>
      </c>
      <c r="AG840" s="84"/>
      <c r="AH840" s="84"/>
      <c r="AI840" s="39"/>
      <c r="AJ840" s="79"/>
      <c r="AK840" s="39"/>
      <c r="AL840" s="4">
        <f t="shared" si="285"/>
        <v>0</v>
      </c>
      <c r="AM840" s="4">
        <f t="shared" si="286"/>
        <v>0</v>
      </c>
      <c r="AN840" s="4">
        <f t="shared" si="287"/>
        <v>0</v>
      </c>
      <c r="AO840" s="39"/>
      <c r="AP840" s="8">
        <f t="shared" si="288"/>
        <v>0</v>
      </c>
      <c r="AQ840" s="8">
        <f t="shared" si="289"/>
        <v>0</v>
      </c>
      <c r="AR840" s="8">
        <f t="shared" si="290"/>
        <v>0</v>
      </c>
      <c r="AS840" s="42"/>
      <c r="AT840" s="84"/>
      <c r="AU840" s="84"/>
      <c r="AV840" s="4">
        <f t="shared" si="291"/>
        <v>0</v>
      </c>
      <c r="AW840" s="50" t="str">
        <f t="shared" si="292"/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280"/>
        <v/>
      </c>
      <c r="P841" s="84"/>
      <c r="Q841" s="84"/>
      <c r="R841" s="32"/>
      <c r="S841" s="3" t="str">
        <f t="shared" si="281"/>
        <v/>
      </c>
      <c r="T841" s="84"/>
      <c r="U841" s="84"/>
      <c r="V841" s="32"/>
      <c r="W841" s="3" t="str">
        <f t="shared" si="282"/>
        <v/>
      </c>
      <c r="X841" s="84"/>
      <c r="Y841" s="84"/>
      <c r="Z841" s="32"/>
      <c r="AA841" s="3" t="str">
        <f t="shared" si="283"/>
        <v/>
      </c>
      <c r="AB841" s="84"/>
      <c r="AC841" s="84"/>
      <c r="AD841" s="36"/>
      <c r="AE841" s="82"/>
      <c r="AF841" s="3" t="str">
        <f t="shared" si="284"/>
        <v/>
      </c>
      <c r="AG841" s="84"/>
      <c r="AH841" s="84"/>
      <c r="AI841" s="39"/>
      <c r="AJ841" s="79"/>
      <c r="AK841" s="39"/>
      <c r="AL841" s="4">
        <f t="shared" si="285"/>
        <v>0</v>
      </c>
      <c r="AM841" s="4">
        <f t="shared" si="286"/>
        <v>0</v>
      </c>
      <c r="AN841" s="4">
        <f t="shared" si="287"/>
        <v>0</v>
      </c>
      <c r="AO841" s="39"/>
      <c r="AP841" s="8">
        <f t="shared" si="288"/>
        <v>0</v>
      </c>
      <c r="AQ841" s="8">
        <f t="shared" si="289"/>
        <v>0</v>
      </c>
      <c r="AR841" s="8">
        <f t="shared" si="290"/>
        <v>0</v>
      </c>
      <c r="AS841" s="42"/>
      <c r="AT841" s="84"/>
      <c r="AU841" s="84"/>
      <c r="AV841" s="4">
        <f t="shared" si="291"/>
        <v>0</v>
      </c>
      <c r="AW841" s="50" t="str">
        <f t="shared" si="292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280"/>
        <v/>
      </c>
      <c r="P842" s="84"/>
      <c r="Q842" s="84"/>
      <c r="R842" s="32"/>
      <c r="S842" s="3" t="str">
        <f t="shared" si="281"/>
        <v/>
      </c>
      <c r="T842" s="84"/>
      <c r="U842" s="84"/>
      <c r="V842" s="32"/>
      <c r="W842" s="3" t="str">
        <f t="shared" si="282"/>
        <v/>
      </c>
      <c r="X842" s="84"/>
      <c r="Y842" s="84"/>
      <c r="Z842" s="32"/>
      <c r="AA842" s="3" t="str">
        <f t="shared" si="283"/>
        <v/>
      </c>
      <c r="AB842" s="84"/>
      <c r="AC842" s="84"/>
      <c r="AD842" s="36"/>
      <c r="AE842" s="82"/>
      <c r="AF842" s="3" t="str">
        <f t="shared" si="284"/>
        <v/>
      </c>
      <c r="AG842" s="84"/>
      <c r="AH842" s="84"/>
      <c r="AI842" s="39"/>
      <c r="AJ842" s="79"/>
      <c r="AK842" s="39"/>
      <c r="AL842" s="4">
        <f t="shared" si="285"/>
        <v>0</v>
      </c>
      <c r="AM842" s="4">
        <f t="shared" si="286"/>
        <v>0</v>
      </c>
      <c r="AN842" s="4">
        <f t="shared" si="287"/>
        <v>0</v>
      </c>
      <c r="AO842" s="39"/>
      <c r="AP842" s="8">
        <f t="shared" si="288"/>
        <v>0</v>
      </c>
      <c r="AQ842" s="8">
        <f t="shared" si="289"/>
        <v>0</v>
      </c>
      <c r="AR842" s="8">
        <f t="shared" si="290"/>
        <v>0</v>
      </c>
      <c r="AS842" s="42"/>
      <c r="AT842" s="84"/>
      <c r="AU842" s="84"/>
      <c r="AV842" s="4">
        <f t="shared" si="291"/>
        <v>0</v>
      </c>
      <c r="AW842" s="50" t="str">
        <f t="shared" si="292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280"/>
        <v/>
      </c>
      <c r="P843" s="84"/>
      <c r="Q843" s="84"/>
      <c r="R843" s="32"/>
      <c r="S843" s="3" t="str">
        <f t="shared" si="281"/>
        <v/>
      </c>
      <c r="T843" s="84"/>
      <c r="U843" s="84"/>
      <c r="V843" s="32"/>
      <c r="W843" s="3" t="str">
        <f t="shared" si="282"/>
        <v/>
      </c>
      <c r="X843" s="84"/>
      <c r="Y843" s="84"/>
      <c r="Z843" s="32"/>
      <c r="AA843" s="3" t="str">
        <f t="shared" si="283"/>
        <v/>
      </c>
      <c r="AB843" s="84"/>
      <c r="AC843" s="84"/>
      <c r="AD843" s="36"/>
      <c r="AE843" s="82"/>
      <c r="AF843" s="3" t="str">
        <f t="shared" si="284"/>
        <v/>
      </c>
      <c r="AG843" s="84"/>
      <c r="AH843" s="84"/>
      <c r="AI843" s="39"/>
      <c r="AJ843" s="79"/>
      <c r="AK843" s="39"/>
      <c r="AL843" s="4">
        <f t="shared" si="285"/>
        <v>0</v>
      </c>
      <c r="AM843" s="4">
        <f t="shared" si="286"/>
        <v>0</v>
      </c>
      <c r="AN843" s="4">
        <f t="shared" si="287"/>
        <v>0</v>
      </c>
      <c r="AO843" s="39"/>
      <c r="AP843" s="8">
        <f t="shared" si="288"/>
        <v>0</v>
      </c>
      <c r="AQ843" s="8">
        <f t="shared" si="289"/>
        <v>0</v>
      </c>
      <c r="AR843" s="8">
        <f t="shared" si="290"/>
        <v>0</v>
      </c>
      <c r="AS843" s="42"/>
      <c r="AT843" s="84"/>
      <c r="AU843" s="84"/>
      <c r="AV843" s="4">
        <f t="shared" si="291"/>
        <v>0</v>
      </c>
      <c r="AW843" s="50" t="str">
        <f t="shared" si="292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280"/>
        <v/>
      </c>
      <c r="P844" s="84"/>
      <c r="Q844" s="84"/>
      <c r="R844" s="32"/>
      <c r="S844" s="3" t="str">
        <f t="shared" si="281"/>
        <v/>
      </c>
      <c r="T844" s="84"/>
      <c r="U844" s="84"/>
      <c r="V844" s="32"/>
      <c r="W844" s="3" t="str">
        <f t="shared" si="282"/>
        <v/>
      </c>
      <c r="X844" s="84"/>
      <c r="Y844" s="84"/>
      <c r="Z844" s="32"/>
      <c r="AA844" s="3" t="str">
        <f t="shared" si="283"/>
        <v/>
      </c>
      <c r="AB844" s="84"/>
      <c r="AC844" s="84"/>
      <c r="AD844" s="36"/>
      <c r="AE844" s="82"/>
      <c r="AF844" s="3" t="str">
        <f t="shared" si="284"/>
        <v/>
      </c>
      <c r="AG844" s="84"/>
      <c r="AH844" s="84"/>
      <c r="AI844" s="39"/>
      <c r="AJ844" s="79"/>
      <c r="AK844" s="39"/>
      <c r="AL844" s="4">
        <f t="shared" si="285"/>
        <v>0</v>
      </c>
      <c r="AM844" s="4">
        <f t="shared" si="286"/>
        <v>0</v>
      </c>
      <c r="AN844" s="4">
        <f t="shared" si="287"/>
        <v>0</v>
      </c>
      <c r="AO844" s="39"/>
      <c r="AP844" s="8">
        <f t="shared" si="288"/>
        <v>0</v>
      </c>
      <c r="AQ844" s="8">
        <f t="shared" si="289"/>
        <v>0</v>
      </c>
      <c r="AR844" s="8">
        <f t="shared" si="290"/>
        <v>0</v>
      </c>
      <c r="AS844" s="42"/>
      <c r="AT844" s="84"/>
      <c r="AU844" s="84"/>
      <c r="AV844" s="4">
        <f t="shared" si="291"/>
        <v>0</v>
      </c>
      <c r="AW844" s="50" t="str">
        <f t="shared" si="292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280"/>
        <v/>
      </c>
      <c r="P845" s="84"/>
      <c r="Q845" s="84"/>
      <c r="R845" s="32"/>
      <c r="S845" s="3" t="str">
        <f t="shared" si="281"/>
        <v/>
      </c>
      <c r="T845" s="84"/>
      <c r="U845" s="84"/>
      <c r="V845" s="32"/>
      <c r="W845" s="3" t="str">
        <f t="shared" si="282"/>
        <v/>
      </c>
      <c r="X845" s="84"/>
      <c r="Y845" s="84"/>
      <c r="Z845" s="32"/>
      <c r="AA845" s="3" t="str">
        <f t="shared" si="283"/>
        <v/>
      </c>
      <c r="AB845" s="84"/>
      <c r="AC845" s="84"/>
      <c r="AD845" s="36"/>
      <c r="AE845" s="82"/>
      <c r="AF845" s="3" t="str">
        <f t="shared" si="284"/>
        <v/>
      </c>
      <c r="AG845" s="84"/>
      <c r="AH845" s="84"/>
      <c r="AI845" s="39"/>
      <c r="AJ845" s="79"/>
      <c r="AK845" s="39"/>
      <c r="AL845" s="4">
        <f t="shared" si="285"/>
        <v>0</v>
      </c>
      <c r="AM845" s="4">
        <f t="shared" si="286"/>
        <v>0</v>
      </c>
      <c r="AN845" s="4">
        <f t="shared" si="287"/>
        <v>0</v>
      </c>
      <c r="AO845" s="39"/>
      <c r="AP845" s="8">
        <f t="shared" si="288"/>
        <v>0</v>
      </c>
      <c r="AQ845" s="8">
        <f t="shared" si="289"/>
        <v>0</v>
      </c>
      <c r="AR845" s="8">
        <f t="shared" si="290"/>
        <v>0</v>
      </c>
      <c r="AS845" s="42"/>
      <c r="AT845" s="84"/>
      <c r="AU845" s="84"/>
      <c r="AV845" s="4">
        <f t="shared" si="291"/>
        <v>0</v>
      </c>
      <c r="AW845" s="50" t="str">
        <f t="shared" si="292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280"/>
        <v/>
      </c>
      <c r="P846" s="84"/>
      <c r="Q846" s="84"/>
      <c r="R846" s="32"/>
      <c r="S846" s="3" t="str">
        <f t="shared" si="281"/>
        <v/>
      </c>
      <c r="T846" s="84"/>
      <c r="U846" s="84"/>
      <c r="V846" s="32"/>
      <c r="W846" s="3" t="str">
        <f t="shared" si="282"/>
        <v/>
      </c>
      <c r="X846" s="84"/>
      <c r="Y846" s="84"/>
      <c r="Z846" s="32"/>
      <c r="AA846" s="3" t="str">
        <f t="shared" si="283"/>
        <v/>
      </c>
      <c r="AB846" s="84"/>
      <c r="AC846" s="84"/>
      <c r="AD846" s="36"/>
      <c r="AE846" s="82"/>
      <c r="AF846" s="3" t="str">
        <f t="shared" si="284"/>
        <v/>
      </c>
      <c r="AG846" s="84"/>
      <c r="AH846" s="84"/>
      <c r="AI846" s="39"/>
      <c r="AJ846" s="79"/>
      <c r="AK846" s="39"/>
      <c r="AL846" s="4">
        <f t="shared" si="285"/>
        <v>0</v>
      </c>
      <c r="AM846" s="4">
        <f t="shared" si="286"/>
        <v>0</v>
      </c>
      <c r="AN846" s="4">
        <f t="shared" si="287"/>
        <v>0</v>
      </c>
      <c r="AO846" s="39"/>
      <c r="AP846" s="8">
        <f t="shared" si="288"/>
        <v>0</v>
      </c>
      <c r="AQ846" s="8">
        <f t="shared" si="289"/>
        <v>0</v>
      </c>
      <c r="AR846" s="8">
        <f t="shared" si="290"/>
        <v>0</v>
      </c>
      <c r="AS846" s="42"/>
      <c r="AT846" s="84"/>
      <c r="AU846" s="84"/>
      <c r="AV846" s="4">
        <f t="shared" si="291"/>
        <v>0</v>
      </c>
      <c r="AW846" s="50" t="str">
        <f t="shared" si="292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280"/>
        <v/>
      </c>
      <c r="P847" s="84"/>
      <c r="Q847" s="84"/>
      <c r="R847" s="32"/>
      <c r="S847" s="3" t="str">
        <f t="shared" si="281"/>
        <v/>
      </c>
      <c r="T847" s="84"/>
      <c r="U847" s="84"/>
      <c r="V847" s="32"/>
      <c r="W847" s="3" t="str">
        <f t="shared" si="282"/>
        <v/>
      </c>
      <c r="X847" s="84"/>
      <c r="Y847" s="84"/>
      <c r="Z847" s="32"/>
      <c r="AA847" s="3" t="str">
        <f t="shared" si="283"/>
        <v/>
      </c>
      <c r="AB847" s="84"/>
      <c r="AC847" s="84"/>
      <c r="AD847" s="36"/>
      <c r="AE847" s="82"/>
      <c r="AF847" s="3" t="str">
        <f t="shared" si="284"/>
        <v/>
      </c>
      <c r="AG847" s="84"/>
      <c r="AH847" s="84"/>
      <c r="AI847" s="39"/>
      <c r="AJ847" s="79"/>
      <c r="AK847" s="39"/>
      <c r="AL847" s="4">
        <f t="shared" si="285"/>
        <v>0</v>
      </c>
      <c r="AM847" s="4">
        <f t="shared" si="286"/>
        <v>0</v>
      </c>
      <c r="AN847" s="4">
        <f t="shared" si="287"/>
        <v>0</v>
      </c>
      <c r="AO847" s="39"/>
      <c r="AP847" s="8">
        <f t="shared" si="288"/>
        <v>0</v>
      </c>
      <c r="AQ847" s="8">
        <f t="shared" si="289"/>
        <v>0</v>
      </c>
      <c r="AR847" s="8">
        <f t="shared" si="290"/>
        <v>0</v>
      </c>
      <c r="AS847" s="42"/>
      <c r="AT847" s="84"/>
      <c r="AU847" s="84"/>
      <c r="AV847" s="4">
        <f t="shared" si="291"/>
        <v>0</v>
      </c>
      <c r="AW847" s="50" t="str">
        <f t="shared" si="292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280"/>
        <v/>
      </c>
      <c r="P848" s="84"/>
      <c r="Q848" s="84"/>
      <c r="R848" s="32"/>
      <c r="S848" s="3" t="str">
        <f t="shared" si="281"/>
        <v/>
      </c>
      <c r="T848" s="84"/>
      <c r="U848" s="84"/>
      <c r="V848" s="32"/>
      <c r="W848" s="3" t="str">
        <f t="shared" si="282"/>
        <v/>
      </c>
      <c r="X848" s="84"/>
      <c r="Y848" s="84"/>
      <c r="Z848" s="32"/>
      <c r="AA848" s="3" t="str">
        <f t="shared" si="283"/>
        <v/>
      </c>
      <c r="AB848" s="84"/>
      <c r="AC848" s="84"/>
      <c r="AD848" s="36"/>
      <c r="AE848" s="82"/>
      <c r="AF848" s="3" t="str">
        <f t="shared" si="284"/>
        <v/>
      </c>
      <c r="AG848" s="84"/>
      <c r="AH848" s="84"/>
      <c r="AI848" s="39"/>
      <c r="AJ848" s="79"/>
      <c r="AK848" s="39"/>
      <c r="AL848" s="4">
        <f t="shared" si="285"/>
        <v>0</v>
      </c>
      <c r="AM848" s="4">
        <f t="shared" si="286"/>
        <v>0</v>
      </c>
      <c r="AN848" s="4">
        <f t="shared" si="287"/>
        <v>0</v>
      </c>
      <c r="AO848" s="39"/>
      <c r="AP848" s="8">
        <f t="shared" si="288"/>
        <v>0</v>
      </c>
      <c r="AQ848" s="8">
        <f t="shared" si="289"/>
        <v>0</v>
      </c>
      <c r="AR848" s="8">
        <f t="shared" si="290"/>
        <v>0</v>
      </c>
      <c r="AS848" s="42"/>
      <c r="AT848" s="84"/>
      <c r="AU848" s="84"/>
      <c r="AV848" s="4">
        <f t="shared" si="291"/>
        <v>0</v>
      </c>
      <c r="AW848" s="50" t="str">
        <f t="shared" si="292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280"/>
        <v/>
      </c>
      <c r="P849" s="84"/>
      <c r="Q849" s="84"/>
      <c r="R849" s="32"/>
      <c r="S849" s="3" t="str">
        <f t="shared" si="281"/>
        <v/>
      </c>
      <c r="T849" s="84"/>
      <c r="U849" s="84"/>
      <c r="V849" s="32"/>
      <c r="W849" s="3" t="str">
        <f t="shared" si="282"/>
        <v/>
      </c>
      <c r="X849" s="84"/>
      <c r="Y849" s="84"/>
      <c r="Z849" s="32"/>
      <c r="AA849" s="3" t="str">
        <f t="shared" si="283"/>
        <v/>
      </c>
      <c r="AB849" s="84"/>
      <c r="AC849" s="84"/>
      <c r="AD849" s="36"/>
      <c r="AE849" s="82"/>
      <c r="AF849" s="3" t="str">
        <f t="shared" si="284"/>
        <v/>
      </c>
      <c r="AG849" s="84"/>
      <c r="AH849" s="84"/>
      <c r="AI849" s="39"/>
      <c r="AJ849" s="79"/>
      <c r="AK849" s="39"/>
      <c r="AL849" s="4">
        <f t="shared" si="285"/>
        <v>0</v>
      </c>
      <c r="AM849" s="4">
        <f t="shared" si="286"/>
        <v>0</v>
      </c>
      <c r="AN849" s="4">
        <f t="shared" si="287"/>
        <v>0</v>
      </c>
      <c r="AO849" s="39"/>
      <c r="AP849" s="8">
        <f t="shared" si="288"/>
        <v>0</v>
      </c>
      <c r="AQ849" s="8">
        <f t="shared" si="289"/>
        <v>0</v>
      </c>
      <c r="AR849" s="8">
        <f t="shared" si="290"/>
        <v>0</v>
      </c>
      <c r="AS849" s="42"/>
      <c r="AT849" s="84"/>
      <c r="AU849" s="84"/>
      <c r="AV849" s="4">
        <f t="shared" si="291"/>
        <v>0</v>
      </c>
      <c r="AW849" s="50" t="str">
        <f t="shared" si="292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280"/>
        <v/>
      </c>
      <c r="P850" s="84"/>
      <c r="Q850" s="84"/>
      <c r="R850" s="32"/>
      <c r="S850" s="3" t="str">
        <f t="shared" si="281"/>
        <v/>
      </c>
      <c r="T850" s="84"/>
      <c r="U850" s="84"/>
      <c r="V850" s="32"/>
      <c r="W850" s="3" t="str">
        <f t="shared" si="282"/>
        <v/>
      </c>
      <c r="X850" s="84"/>
      <c r="Y850" s="84"/>
      <c r="Z850" s="32"/>
      <c r="AA850" s="3" t="str">
        <f t="shared" si="283"/>
        <v/>
      </c>
      <c r="AB850" s="84"/>
      <c r="AC850" s="84"/>
      <c r="AD850" s="36"/>
      <c r="AE850" s="82"/>
      <c r="AF850" s="3" t="str">
        <f t="shared" si="284"/>
        <v/>
      </c>
      <c r="AG850" s="84"/>
      <c r="AH850" s="84"/>
      <c r="AI850" s="39"/>
      <c r="AJ850" s="79"/>
      <c r="AK850" s="39"/>
      <c r="AL850" s="4">
        <f t="shared" si="285"/>
        <v>0</v>
      </c>
      <c r="AM850" s="4">
        <f t="shared" si="286"/>
        <v>0</v>
      </c>
      <c r="AN850" s="4">
        <f t="shared" si="287"/>
        <v>0</v>
      </c>
      <c r="AO850" s="39"/>
      <c r="AP850" s="8">
        <f t="shared" si="288"/>
        <v>0</v>
      </c>
      <c r="AQ850" s="8">
        <f t="shared" si="289"/>
        <v>0</v>
      </c>
      <c r="AR850" s="8">
        <f t="shared" si="290"/>
        <v>0</v>
      </c>
      <c r="AS850" s="42"/>
      <c r="AT850" s="84"/>
      <c r="AU850" s="84"/>
      <c r="AV850" s="4">
        <f t="shared" si="291"/>
        <v>0</v>
      </c>
      <c r="AW850" s="50" t="str">
        <f t="shared" si="292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280"/>
        <v/>
      </c>
      <c r="P851" s="84"/>
      <c r="Q851" s="84"/>
      <c r="R851" s="32"/>
      <c r="S851" s="3" t="str">
        <f t="shared" si="281"/>
        <v/>
      </c>
      <c r="T851" s="84"/>
      <c r="U851" s="84"/>
      <c r="V851" s="32"/>
      <c r="W851" s="3" t="str">
        <f t="shared" si="282"/>
        <v/>
      </c>
      <c r="X851" s="84"/>
      <c r="Y851" s="84"/>
      <c r="Z851" s="32"/>
      <c r="AA851" s="3" t="str">
        <f t="shared" si="283"/>
        <v/>
      </c>
      <c r="AB851" s="84"/>
      <c r="AC851" s="84"/>
      <c r="AD851" s="36"/>
      <c r="AE851" s="82"/>
      <c r="AF851" s="3" t="str">
        <f t="shared" si="284"/>
        <v/>
      </c>
      <c r="AG851" s="84"/>
      <c r="AH851" s="84"/>
      <c r="AI851" s="39"/>
      <c r="AJ851" s="79"/>
      <c r="AK851" s="39"/>
      <c r="AL851" s="4">
        <f t="shared" si="285"/>
        <v>0</v>
      </c>
      <c r="AM851" s="4">
        <f t="shared" si="286"/>
        <v>0</v>
      </c>
      <c r="AN851" s="4">
        <f t="shared" si="287"/>
        <v>0</v>
      </c>
      <c r="AO851" s="39"/>
      <c r="AP851" s="8">
        <f t="shared" si="288"/>
        <v>0</v>
      </c>
      <c r="AQ851" s="8">
        <f t="shared" si="289"/>
        <v>0</v>
      </c>
      <c r="AR851" s="8">
        <f t="shared" si="290"/>
        <v>0</v>
      </c>
      <c r="AS851" s="42"/>
      <c r="AT851" s="84"/>
      <c r="AU851" s="84"/>
      <c r="AV851" s="4">
        <f t="shared" si="291"/>
        <v>0</v>
      </c>
      <c r="AW851" s="50" t="str">
        <f t="shared" si="292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280"/>
        <v/>
      </c>
      <c r="P852" s="84"/>
      <c r="Q852" s="84"/>
      <c r="R852" s="32"/>
      <c r="S852" s="3" t="str">
        <f t="shared" si="281"/>
        <v/>
      </c>
      <c r="T852" s="84"/>
      <c r="U852" s="84"/>
      <c r="V852" s="32"/>
      <c r="W852" s="3" t="str">
        <f t="shared" si="282"/>
        <v/>
      </c>
      <c r="X852" s="84"/>
      <c r="Y852" s="84"/>
      <c r="Z852" s="32"/>
      <c r="AA852" s="3" t="str">
        <f t="shared" si="283"/>
        <v/>
      </c>
      <c r="AB852" s="84"/>
      <c r="AC852" s="84"/>
      <c r="AD852" s="36"/>
      <c r="AE852" s="82"/>
      <c r="AF852" s="3" t="str">
        <f t="shared" si="284"/>
        <v/>
      </c>
      <c r="AG852" s="84"/>
      <c r="AH852" s="84"/>
      <c r="AI852" s="39"/>
      <c r="AJ852" s="79"/>
      <c r="AK852" s="39"/>
      <c r="AL852" s="4">
        <f t="shared" si="285"/>
        <v>0</v>
      </c>
      <c r="AM852" s="4">
        <f t="shared" si="286"/>
        <v>0</v>
      </c>
      <c r="AN852" s="4">
        <f t="shared" si="287"/>
        <v>0</v>
      </c>
      <c r="AO852" s="39"/>
      <c r="AP852" s="8">
        <f t="shared" si="288"/>
        <v>0</v>
      </c>
      <c r="AQ852" s="8">
        <f t="shared" si="289"/>
        <v>0</v>
      </c>
      <c r="AR852" s="8">
        <f t="shared" si="290"/>
        <v>0</v>
      </c>
      <c r="AS852" s="42"/>
      <c r="AT852" s="84"/>
      <c r="AU852" s="84"/>
      <c r="AV852" s="4">
        <f t="shared" si="291"/>
        <v>0</v>
      </c>
      <c r="AW852" s="50" t="str">
        <f t="shared" si="292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280"/>
        <v/>
      </c>
      <c r="P853" s="84"/>
      <c r="Q853" s="84"/>
      <c r="R853" s="32"/>
      <c r="S853" s="3" t="str">
        <f t="shared" si="281"/>
        <v/>
      </c>
      <c r="T853" s="84"/>
      <c r="U853" s="84"/>
      <c r="V853" s="32"/>
      <c r="W853" s="3" t="str">
        <f t="shared" si="282"/>
        <v/>
      </c>
      <c r="X853" s="84"/>
      <c r="Y853" s="84"/>
      <c r="Z853" s="32"/>
      <c r="AA853" s="3" t="str">
        <f t="shared" si="283"/>
        <v/>
      </c>
      <c r="AB853" s="84"/>
      <c r="AC853" s="84"/>
      <c r="AD853" s="36"/>
      <c r="AE853" s="82"/>
      <c r="AF853" s="3" t="str">
        <f t="shared" si="284"/>
        <v/>
      </c>
      <c r="AG853" s="84"/>
      <c r="AH853" s="84"/>
      <c r="AI853" s="39"/>
      <c r="AJ853" s="79"/>
      <c r="AK853" s="39"/>
      <c r="AL853" s="4">
        <f t="shared" si="285"/>
        <v>0</v>
      </c>
      <c r="AM853" s="4">
        <f t="shared" si="286"/>
        <v>0</v>
      </c>
      <c r="AN853" s="4">
        <f t="shared" si="287"/>
        <v>0</v>
      </c>
      <c r="AO853" s="39"/>
      <c r="AP853" s="8">
        <f t="shared" si="288"/>
        <v>0</v>
      </c>
      <c r="AQ853" s="8">
        <f t="shared" si="289"/>
        <v>0</v>
      </c>
      <c r="AR853" s="8">
        <f t="shared" si="290"/>
        <v>0</v>
      </c>
      <c r="AS853" s="42"/>
      <c r="AT853" s="84"/>
      <c r="AU853" s="84"/>
      <c r="AV853" s="4">
        <f t="shared" si="291"/>
        <v>0</v>
      </c>
      <c r="AW853" s="50" t="str">
        <f t="shared" si="292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280"/>
        <v/>
      </c>
      <c r="P854" s="84"/>
      <c r="Q854" s="84"/>
      <c r="R854" s="32"/>
      <c r="S854" s="3" t="str">
        <f t="shared" si="281"/>
        <v/>
      </c>
      <c r="T854" s="84"/>
      <c r="U854" s="84"/>
      <c r="V854" s="32"/>
      <c r="W854" s="3" t="str">
        <f t="shared" si="282"/>
        <v/>
      </c>
      <c r="X854" s="84"/>
      <c r="Y854" s="84"/>
      <c r="Z854" s="32"/>
      <c r="AA854" s="3" t="str">
        <f t="shared" si="283"/>
        <v/>
      </c>
      <c r="AB854" s="84"/>
      <c r="AC854" s="84"/>
      <c r="AD854" s="36"/>
      <c r="AE854" s="82"/>
      <c r="AF854" s="3" t="str">
        <f t="shared" si="284"/>
        <v/>
      </c>
      <c r="AG854" s="84"/>
      <c r="AH854" s="84"/>
      <c r="AI854" s="39"/>
      <c r="AJ854" s="79"/>
      <c r="AK854" s="39"/>
      <c r="AL854" s="4">
        <f t="shared" si="285"/>
        <v>0</v>
      </c>
      <c r="AM854" s="4">
        <f t="shared" si="286"/>
        <v>0</v>
      </c>
      <c r="AN854" s="4">
        <f t="shared" si="287"/>
        <v>0</v>
      </c>
      <c r="AO854" s="39"/>
      <c r="AP854" s="8">
        <f t="shared" si="288"/>
        <v>0</v>
      </c>
      <c r="AQ854" s="8">
        <f t="shared" si="289"/>
        <v>0</v>
      </c>
      <c r="AR854" s="8">
        <f t="shared" si="290"/>
        <v>0</v>
      </c>
      <c r="AS854" s="42"/>
      <c r="AT854" s="84"/>
      <c r="AU854" s="84"/>
      <c r="AV854" s="4">
        <f t="shared" si="291"/>
        <v>0</v>
      </c>
      <c r="AW854" s="50" t="str">
        <f t="shared" si="292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280"/>
        <v/>
      </c>
      <c r="P855" s="84"/>
      <c r="Q855" s="84"/>
      <c r="R855" s="32"/>
      <c r="S855" s="3" t="str">
        <f t="shared" si="281"/>
        <v/>
      </c>
      <c r="T855" s="84"/>
      <c r="U855" s="84"/>
      <c r="V855" s="32"/>
      <c r="W855" s="3" t="str">
        <f t="shared" si="282"/>
        <v/>
      </c>
      <c r="X855" s="84"/>
      <c r="Y855" s="84"/>
      <c r="Z855" s="32"/>
      <c r="AA855" s="3" t="str">
        <f t="shared" si="283"/>
        <v/>
      </c>
      <c r="AB855" s="84"/>
      <c r="AC855" s="84"/>
      <c r="AD855" s="36"/>
      <c r="AE855" s="82"/>
      <c r="AF855" s="3" t="str">
        <f t="shared" si="284"/>
        <v/>
      </c>
      <c r="AG855" s="84"/>
      <c r="AH855" s="84"/>
      <c r="AI855" s="39"/>
      <c r="AJ855" s="79"/>
      <c r="AK855" s="39"/>
      <c r="AL855" s="4">
        <f t="shared" si="285"/>
        <v>0</v>
      </c>
      <c r="AM855" s="4">
        <f t="shared" si="286"/>
        <v>0</v>
      </c>
      <c r="AN855" s="4">
        <f t="shared" si="287"/>
        <v>0</v>
      </c>
      <c r="AO855" s="39"/>
      <c r="AP855" s="8">
        <f t="shared" si="288"/>
        <v>0</v>
      </c>
      <c r="AQ855" s="8">
        <f t="shared" si="289"/>
        <v>0</v>
      </c>
      <c r="AR855" s="8">
        <f t="shared" si="290"/>
        <v>0</v>
      </c>
      <c r="AS855" s="42"/>
      <c r="AT855" s="84"/>
      <c r="AU855" s="84"/>
      <c r="AV855" s="4">
        <f t="shared" si="291"/>
        <v>0</v>
      </c>
      <c r="AW855" s="50" t="str">
        <f t="shared" si="292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280"/>
        <v/>
      </c>
      <c r="P856" s="84"/>
      <c r="Q856" s="84"/>
      <c r="R856" s="32"/>
      <c r="S856" s="3" t="str">
        <f t="shared" si="281"/>
        <v/>
      </c>
      <c r="T856" s="84"/>
      <c r="U856" s="84"/>
      <c r="V856" s="32"/>
      <c r="W856" s="3" t="str">
        <f t="shared" si="282"/>
        <v/>
      </c>
      <c r="X856" s="84"/>
      <c r="Y856" s="84"/>
      <c r="Z856" s="32"/>
      <c r="AA856" s="3" t="str">
        <f t="shared" si="283"/>
        <v/>
      </c>
      <c r="AB856" s="84"/>
      <c r="AC856" s="84"/>
      <c r="AD856" s="36"/>
      <c r="AE856" s="82"/>
      <c r="AF856" s="3" t="str">
        <f t="shared" si="284"/>
        <v/>
      </c>
      <c r="AG856" s="84"/>
      <c r="AH856" s="84"/>
      <c r="AI856" s="39"/>
      <c r="AJ856" s="79"/>
      <c r="AK856" s="39"/>
      <c r="AL856" s="4">
        <f t="shared" si="285"/>
        <v>0</v>
      </c>
      <c r="AM856" s="4">
        <f t="shared" si="286"/>
        <v>0</v>
      </c>
      <c r="AN856" s="4">
        <f t="shared" si="287"/>
        <v>0</v>
      </c>
      <c r="AO856" s="39"/>
      <c r="AP856" s="8">
        <f t="shared" si="288"/>
        <v>0</v>
      </c>
      <c r="AQ856" s="8">
        <f t="shared" si="289"/>
        <v>0</v>
      </c>
      <c r="AR856" s="8">
        <f t="shared" si="290"/>
        <v>0</v>
      </c>
      <c r="AS856" s="42"/>
      <c r="AT856" s="84"/>
      <c r="AU856" s="84"/>
      <c r="AV856" s="4">
        <f t="shared" si="291"/>
        <v>0</v>
      </c>
      <c r="AW856" s="50" t="str">
        <f t="shared" si="292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280"/>
        <v/>
      </c>
      <c r="P857" s="84"/>
      <c r="Q857" s="84"/>
      <c r="R857" s="32"/>
      <c r="S857" s="3" t="str">
        <f t="shared" si="281"/>
        <v/>
      </c>
      <c r="T857" s="84"/>
      <c r="U857" s="84"/>
      <c r="V857" s="32"/>
      <c r="W857" s="3" t="str">
        <f t="shared" si="282"/>
        <v/>
      </c>
      <c r="X857" s="84"/>
      <c r="Y857" s="84"/>
      <c r="Z857" s="32"/>
      <c r="AA857" s="3" t="str">
        <f t="shared" si="283"/>
        <v/>
      </c>
      <c r="AB857" s="84"/>
      <c r="AC857" s="84"/>
      <c r="AD857" s="36"/>
      <c r="AE857" s="82"/>
      <c r="AF857" s="3" t="str">
        <f t="shared" si="284"/>
        <v/>
      </c>
      <c r="AG857" s="84"/>
      <c r="AH857" s="84"/>
      <c r="AI857" s="39"/>
      <c r="AJ857" s="79"/>
      <c r="AK857" s="39"/>
      <c r="AL857" s="4">
        <f t="shared" si="285"/>
        <v>0</v>
      </c>
      <c r="AM857" s="4">
        <f t="shared" si="286"/>
        <v>0</v>
      </c>
      <c r="AN857" s="4">
        <f t="shared" si="287"/>
        <v>0</v>
      </c>
      <c r="AO857" s="39"/>
      <c r="AP857" s="8">
        <f t="shared" si="288"/>
        <v>0</v>
      </c>
      <c r="AQ857" s="8">
        <f t="shared" si="289"/>
        <v>0</v>
      </c>
      <c r="AR857" s="8">
        <f t="shared" si="290"/>
        <v>0</v>
      </c>
      <c r="AS857" s="42"/>
      <c r="AT857" s="84"/>
      <c r="AU857" s="84"/>
      <c r="AV857" s="4">
        <f t="shared" si="291"/>
        <v>0</v>
      </c>
      <c r="AW857" s="50" t="str">
        <f t="shared" si="292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280"/>
        <v/>
      </c>
      <c r="P858" s="84"/>
      <c r="Q858" s="84"/>
      <c r="R858" s="32"/>
      <c r="S858" s="3" t="str">
        <f t="shared" si="281"/>
        <v/>
      </c>
      <c r="T858" s="84"/>
      <c r="U858" s="84"/>
      <c r="V858" s="32"/>
      <c r="W858" s="3" t="str">
        <f t="shared" si="282"/>
        <v/>
      </c>
      <c r="X858" s="84"/>
      <c r="Y858" s="84"/>
      <c r="Z858" s="32"/>
      <c r="AA858" s="3" t="str">
        <f t="shared" si="283"/>
        <v/>
      </c>
      <c r="AB858" s="84"/>
      <c r="AC858" s="84"/>
      <c r="AD858" s="36"/>
      <c r="AE858" s="82"/>
      <c r="AF858" s="3" t="str">
        <f t="shared" si="284"/>
        <v/>
      </c>
      <c r="AG858" s="84"/>
      <c r="AH858" s="84"/>
      <c r="AI858" s="39"/>
      <c r="AJ858" s="79"/>
      <c r="AK858" s="39"/>
      <c r="AL858" s="4">
        <f t="shared" si="285"/>
        <v>0</v>
      </c>
      <c r="AM858" s="4">
        <f t="shared" si="286"/>
        <v>0</v>
      </c>
      <c r="AN858" s="4">
        <f t="shared" si="287"/>
        <v>0</v>
      </c>
      <c r="AO858" s="39"/>
      <c r="AP858" s="8">
        <f t="shared" si="288"/>
        <v>0</v>
      </c>
      <c r="AQ858" s="8">
        <f t="shared" si="289"/>
        <v>0</v>
      </c>
      <c r="AR858" s="8">
        <f t="shared" si="290"/>
        <v>0</v>
      </c>
      <c r="AS858" s="42"/>
      <c r="AT858" s="84"/>
      <c r="AU858" s="84"/>
      <c r="AV858" s="4">
        <f t="shared" si="291"/>
        <v>0</v>
      </c>
      <c r="AW858" s="50" t="str">
        <f t="shared" si="292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280"/>
        <v/>
      </c>
      <c r="P859" s="84"/>
      <c r="Q859" s="84"/>
      <c r="R859" s="32"/>
      <c r="S859" s="3" t="str">
        <f t="shared" si="281"/>
        <v/>
      </c>
      <c r="T859" s="84"/>
      <c r="U859" s="84"/>
      <c r="V859" s="32"/>
      <c r="W859" s="3" t="str">
        <f t="shared" si="282"/>
        <v/>
      </c>
      <c r="X859" s="84"/>
      <c r="Y859" s="84"/>
      <c r="Z859" s="32"/>
      <c r="AA859" s="3" t="str">
        <f t="shared" si="283"/>
        <v/>
      </c>
      <c r="AB859" s="84"/>
      <c r="AC859" s="84"/>
      <c r="AD859" s="36"/>
      <c r="AE859" s="82"/>
      <c r="AF859" s="3" t="str">
        <f t="shared" si="284"/>
        <v/>
      </c>
      <c r="AG859" s="84"/>
      <c r="AH859" s="84"/>
      <c r="AI859" s="39"/>
      <c r="AJ859" s="79"/>
      <c r="AK859" s="39"/>
      <c r="AL859" s="4">
        <f t="shared" si="285"/>
        <v>0</v>
      </c>
      <c r="AM859" s="4">
        <f t="shared" si="286"/>
        <v>0</v>
      </c>
      <c r="AN859" s="4">
        <f t="shared" si="287"/>
        <v>0</v>
      </c>
      <c r="AO859" s="39"/>
      <c r="AP859" s="8">
        <f t="shared" si="288"/>
        <v>0</v>
      </c>
      <c r="AQ859" s="8">
        <f t="shared" si="289"/>
        <v>0</v>
      </c>
      <c r="AR859" s="8">
        <f t="shared" si="290"/>
        <v>0</v>
      </c>
      <c r="AS859" s="42"/>
      <c r="AT859" s="84"/>
      <c r="AU859" s="84"/>
      <c r="AV859" s="4">
        <f t="shared" si="291"/>
        <v>0</v>
      </c>
      <c r="AW859" s="50" t="str">
        <f t="shared" si="292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280"/>
        <v/>
      </c>
      <c r="P860" s="84"/>
      <c r="Q860" s="84"/>
      <c r="R860" s="32"/>
      <c r="S860" s="3" t="str">
        <f t="shared" si="281"/>
        <v/>
      </c>
      <c r="T860" s="84"/>
      <c r="U860" s="84"/>
      <c r="V860" s="32"/>
      <c r="W860" s="3" t="str">
        <f t="shared" si="282"/>
        <v/>
      </c>
      <c r="X860" s="84"/>
      <c r="Y860" s="84"/>
      <c r="Z860" s="32"/>
      <c r="AA860" s="3" t="str">
        <f t="shared" si="283"/>
        <v/>
      </c>
      <c r="AB860" s="84"/>
      <c r="AC860" s="84"/>
      <c r="AD860" s="36"/>
      <c r="AE860" s="82"/>
      <c r="AF860" s="3" t="str">
        <f t="shared" si="284"/>
        <v/>
      </c>
      <c r="AG860" s="84"/>
      <c r="AH860" s="84"/>
      <c r="AI860" s="39"/>
      <c r="AJ860" s="79"/>
      <c r="AK860" s="39"/>
      <c r="AL860" s="4">
        <f t="shared" si="285"/>
        <v>0</v>
      </c>
      <c r="AM860" s="4">
        <f t="shared" si="286"/>
        <v>0</v>
      </c>
      <c r="AN860" s="4">
        <f t="shared" si="287"/>
        <v>0</v>
      </c>
      <c r="AO860" s="39"/>
      <c r="AP860" s="8">
        <f t="shared" si="288"/>
        <v>0</v>
      </c>
      <c r="AQ860" s="8">
        <f t="shared" si="289"/>
        <v>0</v>
      </c>
      <c r="AR860" s="8">
        <f t="shared" si="290"/>
        <v>0</v>
      </c>
      <c r="AS860" s="42"/>
      <c r="AT860" s="84"/>
      <c r="AU860" s="84"/>
      <c r="AV860" s="4">
        <f t="shared" si="291"/>
        <v>0</v>
      </c>
      <c r="AW860" s="50" t="str">
        <f t="shared" si="292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280"/>
        <v/>
      </c>
      <c r="P861" s="84"/>
      <c r="Q861" s="84"/>
      <c r="R861" s="32"/>
      <c r="S861" s="3" t="str">
        <f t="shared" si="281"/>
        <v/>
      </c>
      <c r="T861" s="84"/>
      <c r="U861" s="84"/>
      <c r="V861" s="32"/>
      <c r="W861" s="3" t="str">
        <f t="shared" si="282"/>
        <v/>
      </c>
      <c r="X861" s="84"/>
      <c r="Y861" s="84"/>
      <c r="Z861" s="32"/>
      <c r="AA861" s="3" t="str">
        <f t="shared" si="283"/>
        <v/>
      </c>
      <c r="AB861" s="84"/>
      <c r="AC861" s="84"/>
      <c r="AD861" s="36"/>
      <c r="AE861" s="82"/>
      <c r="AF861" s="3" t="str">
        <f t="shared" si="284"/>
        <v/>
      </c>
      <c r="AG861" s="84"/>
      <c r="AH861" s="84"/>
      <c r="AI861" s="39"/>
      <c r="AJ861" s="79"/>
      <c r="AK861" s="39"/>
      <c r="AL861" s="4">
        <f t="shared" si="285"/>
        <v>0</v>
      </c>
      <c r="AM861" s="4">
        <f t="shared" si="286"/>
        <v>0</v>
      </c>
      <c r="AN861" s="4">
        <f t="shared" si="287"/>
        <v>0</v>
      </c>
      <c r="AO861" s="39"/>
      <c r="AP861" s="8">
        <f t="shared" si="288"/>
        <v>0</v>
      </c>
      <c r="AQ861" s="8">
        <f t="shared" si="289"/>
        <v>0</v>
      </c>
      <c r="AR861" s="8">
        <f t="shared" si="290"/>
        <v>0</v>
      </c>
      <c r="AS861" s="42"/>
      <c r="AT861" s="84"/>
      <c r="AU861" s="84"/>
      <c r="AV861" s="4">
        <f t="shared" si="291"/>
        <v>0</v>
      </c>
      <c r="AW861" s="50" t="str">
        <f t="shared" si="292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280"/>
        <v/>
      </c>
      <c r="P862" s="84"/>
      <c r="Q862" s="84"/>
      <c r="R862" s="32"/>
      <c r="S862" s="3" t="str">
        <f t="shared" si="281"/>
        <v/>
      </c>
      <c r="T862" s="84"/>
      <c r="U862" s="84"/>
      <c r="V862" s="32"/>
      <c r="W862" s="3" t="str">
        <f t="shared" si="282"/>
        <v/>
      </c>
      <c r="X862" s="84"/>
      <c r="Y862" s="84"/>
      <c r="Z862" s="32"/>
      <c r="AA862" s="3" t="str">
        <f t="shared" si="283"/>
        <v/>
      </c>
      <c r="AB862" s="84"/>
      <c r="AC862" s="84"/>
      <c r="AD862" s="36"/>
      <c r="AE862" s="82"/>
      <c r="AF862" s="3" t="str">
        <f t="shared" si="284"/>
        <v/>
      </c>
      <c r="AG862" s="84"/>
      <c r="AH862" s="84"/>
      <c r="AI862" s="39"/>
      <c r="AJ862" s="79"/>
      <c r="AK862" s="39"/>
      <c r="AL862" s="4">
        <f t="shared" si="285"/>
        <v>0</v>
      </c>
      <c r="AM862" s="4">
        <f t="shared" si="286"/>
        <v>0</v>
      </c>
      <c r="AN862" s="4">
        <f t="shared" si="287"/>
        <v>0</v>
      </c>
      <c r="AO862" s="39"/>
      <c r="AP862" s="8">
        <f t="shared" si="288"/>
        <v>0</v>
      </c>
      <c r="AQ862" s="8">
        <f t="shared" si="289"/>
        <v>0</v>
      </c>
      <c r="AR862" s="8">
        <f t="shared" si="290"/>
        <v>0</v>
      </c>
      <c r="AS862" s="42"/>
      <c r="AT862" s="84"/>
      <c r="AU862" s="84"/>
      <c r="AV862" s="4">
        <f t="shared" si="291"/>
        <v>0</v>
      </c>
      <c r="AW862" s="50" t="str">
        <f t="shared" si="292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280"/>
        <v/>
      </c>
      <c r="P863" s="84"/>
      <c r="Q863" s="84"/>
      <c r="R863" s="32"/>
      <c r="S863" s="3" t="str">
        <f t="shared" si="281"/>
        <v/>
      </c>
      <c r="T863" s="84"/>
      <c r="U863" s="84"/>
      <c r="V863" s="32"/>
      <c r="W863" s="3" t="str">
        <f t="shared" si="282"/>
        <v/>
      </c>
      <c r="X863" s="84"/>
      <c r="Y863" s="84"/>
      <c r="Z863" s="32"/>
      <c r="AA863" s="3" t="str">
        <f t="shared" si="283"/>
        <v/>
      </c>
      <c r="AB863" s="84"/>
      <c r="AC863" s="84"/>
      <c r="AD863" s="36"/>
      <c r="AE863" s="82"/>
      <c r="AF863" s="3" t="str">
        <f t="shared" si="284"/>
        <v/>
      </c>
      <c r="AG863" s="84"/>
      <c r="AH863" s="84"/>
      <c r="AI863" s="39"/>
      <c r="AJ863" s="79"/>
      <c r="AK863" s="39"/>
      <c r="AL863" s="4">
        <f t="shared" si="285"/>
        <v>0</v>
      </c>
      <c r="AM863" s="4">
        <f t="shared" si="286"/>
        <v>0</v>
      </c>
      <c r="AN863" s="4">
        <f t="shared" si="287"/>
        <v>0</v>
      </c>
      <c r="AO863" s="39"/>
      <c r="AP863" s="8">
        <f t="shared" si="288"/>
        <v>0</v>
      </c>
      <c r="AQ863" s="8">
        <f t="shared" si="289"/>
        <v>0</v>
      </c>
      <c r="AR863" s="8">
        <f t="shared" si="290"/>
        <v>0</v>
      </c>
      <c r="AS863" s="42"/>
      <c r="AT863" s="84"/>
      <c r="AU863" s="84"/>
      <c r="AV863" s="4">
        <f t="shared" si="291"/>
        <v>0</v>
      </c>
      <c r="AW863" s="50" t="str">
        <f t="shared" si="292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280"/>
        <v/>
      </c>
      <c r="P864" s="84"/>
      <c r="Q864" s="84"/>
      <c r="R864" s="32"/>
      <c r="S864" s="3" t="str">
        <f t="shared" si="281"/>
        <v/>
      </c>
      <c r="T864" s="84"/>
      <c r="U864" s="84"/>
      <c r="V864" s="32"/>
      <c r="W864" s="3" t="str">
        <f t="shared" si="282"/>
        <v/>
      </c>
      <c r="X864" s="84"/>
      <c r="Y864" s="84"/>
      <c r="Z864" s="32"/>
      <c r="AA864" s="3" t="str">
        <f t="shared" si="283"/>
        <v/>
      </c>
      <c r="AB864" s="84"/>
      <c r="AC864" s="84"/>
      <c r="AD864" s="36"/>
      <c r="AE864" s="82"/>
      <c r="AF864" s="3" t="str">
        <f t="shared" si="284"/>
        <v/>
      </c>
      <c r="AG864" s="84"/>
      <c r="AH864" s="84"/>
      <c r="AI864" s="39"/>
      <c r="AJ864" s="79"/>
      <c r="AK864" s="39"/>
      <c r="AL864" s="4">
        <f t="shared" si="285"/>
        <v>0</v>
      </c>
      <c r="AM864" s="4">
        <f t="shared" si="286"/>
        <v>0</v>
      </c>
      <c r="AN864" s="4">
        <f t="shared" si="287"/>
        <v>0</v>
      </c>
      <c r="AO864" s="39"/>
      <c r="AP864" s="8">
        <f t="shared" si="288"/>
        <v>0</v>
      </c>
      <c r="AQ864" s="8">
        <f t="shared" si="289"/>
        <v>0</v>
      </c>
      <c r="AR864" s="8">
        <f t="shared" si="290"/>
        <v>0</v>
      </c>
      <c r="AS864" s="42"/>
      <c r="AT864" s="84"/>
      <c r="AU864" s="84"/>
      <c r="AV864" s="4">
        <f t="shared" si="291"/>
        <v>0</v>
      </c>
      <c r="AW864" s="50" t="str">
        <f t="shared" si="292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280"/>
        <v/>
      </c>
      <c r="P865" s="84"/>
      <c r="Q865" s="84"/>
      <c r="R865" s="32"/>
      <c r="S865" s="3" t="str">
        <f t="shared" si="281"/>
        <v/>
      </c>
      <c r="T865" s="84"/>
      <c r="U865" s="84"/>
      <c r="V865" s="32"/>
      <c r="W865" s="3" t="str">
        <f t="shared" si="282"/>
        <v/>
      </c>
      <c r="X865" s="84"/>
      <c r="Y865" s="84"/>
      <c r="Z865" s="32"/>
      <c r="AA865" s="3" t="str">
        <f t="shared" si="283"/>
        <v/>
      </c>
      <c r="AB865" s="84"/>
      <c r="AC865" s="84"/>
      <c r="AD865" s="36"/>
      <c r="AE865" s="82"/>
      <c r="AF865" s="3" t="str">
        <f t="shared" si="284"/>
        <v/>
      </c>
      <c r="AG865" s="84"/>
      <c r="AH865" s="84"/>
      <c r="AI865" s="39"/>
      <c r="AJ865" s="79"/>
      <c r="AK865" s="39"/>
      <c r="AL865" s="4">
        <f t="shared" si="285"/>
        <v>0</v>
      </c>
      <c r="AM865" s="4">
        <f t="shared" si="286"/>
        <v>0</v>
      </c>
      <c r="AN865" s="4">
        <f t="shared" si="287"/>
        <v>0</v>
      </c>
      <c r="AO865" s="39"/>
      <c r="AP865" s="8">
        <f t="shared" si="288"/>
        <v>0</v>
      </c>
      <c r="AQ865" s="8">
        <f t="shared" si="289"/>
        <v>0</v>
      </c>
      <c r="AR865" s="8">
        <f t="shared" si="290"/>
        <v>0</v>
      </c>
      <c r="AS865" s="42"/>
      <c r="AT865" s="84"/>
      <c r="AU865" s="84"/>
      <c r="AV865" s="4">
        <f t="shared" si="291"/>
        <v>0</v>
      </c>
      <c r="AW865" s="50" t="str">
        <f t="shared" si="292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280"/>
        <v/>
      </c>
      <c r="P866" s="84"/>
      <c r="Q866" s="84"/>
      <c r="R866" s="32"/>
      <c r="S866" s="3" t="str">
        <f t="shared" si="281"/>
        <v/>
      </c>
      <c r="T866" s="84"/>
      <c r="U866" s="84"/>
      <c r="V866" s="32"/>
      <c r="W866" s="3" t="str">
        <f t="shared" si="282"/>
        <v/>
      </c>
      <c r="X866" s="84"/>
      <c r="Y866" s="84"/>
      <c r="Z866" s="32"/>
      <c r="AA866" s="3" t="str">
        <f t="shared" si="283"/>
        <v/>
      </c>
      <c r="AB866" s="84"/>
      <c r="AC866" s="84"/>
      <c r="AD866" s="36"/>
      <c r="AE866" s="82"/>
      <c r="AF866" s="3" t="str">
        <f t="shared" si="284"/>
        <v/>
      </c>
      <c r="AG866" s="84"/>
      <c r="AH866" s="84"/>
      <c r="AI866" s="39"/>
      <c r="AJ866" s="79"/>
      <c r="AK866" s="39"/>
      <c r="AL866" s="4">
        <f t="shared" si="285"/>
        <v>0</v>
      </c>
      <c r="AM866" s="4">
        <f t="shared" si="286"/>
        <v>0</v>
      </c>
      <c r="AN866" s="4">
        <f t="shared" si="287"/>
        <v>0</v>
      </c>
      <c r="AO866" s="39"/>
      <c r="AP866" s="8">
        <f t="shared" si="288"/>
        <v>0</v>
      </c>
      <c r="AQ866" s="8">
        <f t="shared" si="289"/>
        <v>0</v>
      </c>
      <c r="AR866" s="8">
        <f t="shared" si="290"/>
        <v>0</v>
      </c>
      <c r="AS866" s="42"/>
      <c r="AT866" s="84"/>
      <c r="AU866" s="84"/>
      <c r="AV866" s="4">
        <f t="shared" si="291"/>
        <v>0</v>
      </c>
      <c r="AW866" s="50" t="str">
        <f t="shared" si="292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280"/>
        <v/>
      </c>
      <c r="P867" s="84"/>
      <c r="Q867" s="84"/>
      <c r="R867" s="32"/>
      <c r="S867" s="3" t="str">
        <f t="shared" si="281"/>
        <v/>
      </c>
      <c r="T867" s="84"/>
      <c r="U867" s="84"/>
      <c r="V867" s="32"/>
      <c r="W867" s="3" t="str">
        <f t="shared" si="282"/>
        <v/>
      </c>
      <c r="X867" s="84"/>
      <c r="Y867" s="84"/>
      <c r="Z867" s="32"/>
      <c r="AA867" s="3" t="str">
        <f t="shared" si="283"/>
        <v/>
      </c>
      <c r="AB867" s="84"/>
      <c r="AC867" s="84"/>
      <c r="AD867" s="36"/>
      <c r="AE867" s="82"/>
      <c r="AF867" s="3" t="str">
        <f t="shared" si="284"/>
        <v/>
      </c>
      <c r="AG867" s="84"/>
      <c r="AH867" s="84"/>
      <c r="AI867" s="39"/>
      <c r="AJ867" s="79"/>
      <c r="AK867" s="39"/>
      <c r="AL867" s="4">
        <f t="shared" si="285"/>
        <v>0</v>
      </c>
      <c r="AM867" s="4">
        <f t="shared" si="286"/>
        <v>0</v>
      </c>
      <c r="AN867" s="4">
        <f t="shared" si="287"/>
        <v>0</v>
      </c>
      <c r="AO867" s="39"/>
      <c r="AP867" s="8">
        <f t="shared" si="288"/>
        <v>0</v>
      </c>
      <c r="AQ867" s="8">
        <f t="shared" si="289"/>
        <v>0</v>
      </c>
      <c r="AR867" s="8">
        <f t="shared" si="290"/>
        <v>0</v>
      </c>
      <c r="AS867" s="42"/>
      <c r="AT867" s="84"/>
      <c r="AU867" s="84"/>
      <c r="AV867" s="4">
        <f t="shared" si="291"/>
        <v>0</v>
      </c>
      <c r="AW867" s="50" t="str">
        <f t="shared" si="292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280"/>
        <v/>
      </c>
      <c r="P868" s="84"/>
      <c r="Q868" s="84"/>
      <c r="R868" s="32"/>
      <c r="S868" s="3" t="str">
        <f t="shared" si="281"/>
        <v/>
      </c>
      <c r="T868" s="84"/>
      <c r="U868" s="84"/>
      <c r="V868" s="32"/>
      <c r="W868" s="3" t="str">
        <f t="shared" si="282"/>
        <v/>
      </c>
      <c r="X868" s="84"/>
      <c r="Y868" s="84"/>
      <c r="Z868" s="32"/>
      <c r="AA868" s="3" t="str">
        <f t="shared" si="283"/>
        <v/>
      </c>
      <c r="AB868" s="84"/>
      <c r="AC868" s="84"/>
      <c r="AD868" s="36"/>
      <c r="AE868" s="82"/>
      <c r="AF868" s="3" t="str">
        <f t="shared" si="284"/>
        <v/>
      </c>
      <c r="AG868" s="84"/>
      <c r="AH868" s="84"/>
      <c r="AI868" s="39"/>
      <c r="AJ868" s="79"/>
      <c r="AK868" s="39"/>
      <c r="AL868" s="4">
        <f t="shared" si="285"/>
        <v>0</v>
      </c>
      <c r="AM868" s="4">
        <f t="shared" si="286"/>
        <v>0</v>
      </c>
      <c r="AN868" s="4">
        <f t="shared" si="287"/>
        <v>0</v>
      </c>
      <c r="AO868" s="39"/>
      <c r="AP868" s="8">
        <f t="shared" si="288"/>
        <v>0</v>
      </c>
      <c r="AQ868" s="8">
        <f t="shared" si="289"/>
        <v>0</v>
      </c>
      <c r="AR868" s="8">
        <f t="shared" si="290"/>
        <v>0</v>
      </c>
      <c r="AS868" s="42"/>
      <c r="AT868" s="84"/>
      <c r="AU868" s="84"/>
      <c r="AV868" s="4">
        <f t="shared" si="291"/>
        <v>0</v>
      </c>
      <c r="AW868" s="50" t="str">
        <f t="shared" si="292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280"/>
        <v/>
      </c>
      <c r="P869" s="84"/>
      <c r="Q869" s="84"/>
      <c r="R869" s="32"/>
      <c r="S869" s="3" t="str">
        <f t="shared" si="281"/>
        <v/>
      </c>
      <c r="T869" s="84"/>
      <c r="U869" s="84"/>
      <c r="V869" s="32"/>
      <c r="W869" s="3" t="str">
        <f t="shared" si="282"/>
        <v/>
      </c>
      <c r="X869" s="84"/>
      <c r="Y869" s="84"/>
      <c r="Z869" s="32"/>
      <c r="AA869" s="3" t="str">
        <f t="shared" si="283"/>
        <v/>
      </c>
      <c r="AB869" s="84"/>
      <c r="AC869" s="84"/>
      <c r="AD869" s="36"/>
      <c r="AE869" s="82"/>
      <c r="AF869" s="3" t="str">
        <f t="shared" si="284"/>
        <v/>
      </c>
      <c r="AG869" s="84"/>
      <c r="AH869" s="84"/>
      <c r="AI869" s="39"/>
      <c r="AJ869" s="79"/>
      <c r="AK869" s="39"/>
      <c r="AL869" s="4">
        <f t="shared" si="285"/>
        <v>0</v>
      </c>
      <c r="AM869" s="4">
        <f t="shared" si="286"/>
        <v>0</v>
      </c>
      <c r="AN869" s="4">
        <f t="shared" si="287"/>
        <v>0</v>
      </c>
      <c r="AO869" s="39"/>
      <c r="AP869" s="8">
        <f t="shared" si="288"/>
        <v>0</v>
      </c>
      <c r="AQ869" s="8">
        <f t="shared" si="289"/>
        <v>0</v>
      </c>
      <c r="AR869" s="8">
        <f t="shared" si="290"/>
        <v>0</v>
      </c>
      <c r="AS869" s="42"/>
      <c r="AT869" s="84"/>
      <c r="AU869" s="84"/>
      <c r="AV869" s="4">
        <f t="shared" si="291"/>
        <v>0</v>
      </c>
      <c r="AW869" s="50" t="str">
        <f t="shared" si="292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280"/>
        <v/>
      </c>
      <c r="P870" s="84"/>
      <c r="Q870" s="84"/>
      <c r="R870" s="32"/>
      <c r="S870" s="3" t="str">
        <f t="shared" si="281"/>
        <v/>
      </c>
      <c r="T870" s="84"/>
      <c r="U870" s="84"/>
      <c r="V870" s="32"/>
      <c r="W870" s="3" t="str">
        <f t="shared" si="282"/>
        <v/>
      </c>
      <c r="X870" s="84"/>
      <c r="Y870" s="84"/>
      <c r="Z870" s="32"/>
      <c r="AA870" s="3" t="str">
        <f t="shared" si="283"/>
        <v/>
      </c>
      <c r="AB870" s="84"/>
      <c r="AC870" s="84"/>
      <c r="AD870" s="36"/>
      <c r="AE870" s="82"/>
      <c r="AF870" s="3" t="str">
        <f t="shared" si="284"/>
        <v/>
      </c>
      <c r="AG870" s="84"/>
      <c r="AH870" s="84"/>
      <c r="AI870" s="39"/>
      <c r="AJ870" s="79"/>
      <c r="AK870" s="39"/>
      <c r="AL870" s="4">
        <f t="shared" si="285"/>
        <v>0</v>
      </c>
      <c r="AM870" s="4">
        <f t="shared" si="286"/>
        <v>0</v>
      </c>
      <c r="AN870" s="4">
        <f t="shared" si="287"/>
        <v>0</v>
      </c>
      <c r="AO870" s="39"/>
      <c r="AP870" s="8">
        <f t="shared" si="288"/>
        <v>0</v>
      </c>
      <c r="AQ870" s="8">
        <f t="shared" si="289"/>
        <v>0</v>
      </c>
      <c r="AR870" s="8">
        <f t="shared" si="290"/>
        <v>0</v>
      </c>
      <c r="AS870" s="42"/>
      <c r="AT870" s="84"/>
      <c r="AU870" s="84"/>
      <c r="AV870" s="4">
        <f t="shared" si="291"/>
        <v>0</v>
      </c>
      <c r="AW870" s="50" t="str">
        <f t="shared" si="292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280"/>
        <v/>
      </c>
      <c r="P871" s="84"/>
      <c r="Q871" s="84"/>
      <c r="R871" s="32"/>
      <c r="S871" s="3" t="str">
        <f t="shared" si="281"/>
        <v/>
      </c>
      <c r="T871" s="84"/>
      <c r="U871" s="84"/>
      <c r="V871" s="32"/>
      <c r="W871" s="3" t="str">
        <f t="shared" si="282"/>
        <v/>
      </c>
      <c r="X871" s="84"/>
      <c r="Y871" s="84"/>
      <c r="Z871" s="32"/>
      <c r="AA871" s="3" t="str">
        <f t="shared" si="283"/>
        <v/>
      </c>
      <c r="AB871" s="84"/>
      <c r="AC871" s="84"/>
      <c r="AD871" s="36"/>
      <c r="AE871" s="82"/>
      <c r="AF871" s="3" t="str">
        <f t="shared" si="284"/>
        <v/>
      </c>
      <c r="AG871" s="84"/>
      <c r="AH871" s="84"/>
      <c r="AI871" s="39"/>
      <c r="AJ871" s="79"/>
      <c r="AK871" s="39"/>
      <c r="AL871" s="4">
        <f t="shared" si="285"/>
        <v>0</v>
      </c>
      <c r="AM871" s="4">
        <f t="shared" si="286"/>
        <v>0</v>
      </c>
      <c r="AN871" s="4">
        <f t="shared" si="287"/>
        <v>0</v>
      </c>
      <c r="AO871" s="39"/>
      <c r="AP871" s="8">
        <f t="shared" si="288"/>
        <v>0</v>
      </c>
      <c r="AQ871" s="8">
        <f t="shared" si="289"/>
        <v>0</v>
      </c>
      <c r="AR871" s="8">
        <f t="shared" si="290"/>
        <v>0</v>
      </c>
      <c r="AS871" s="42"/>
      <c r="AT871" s="84"/>
      <c r="AU871" s="84"/>
      <c r="AV871" s="4">
        <f t="shared" si="291"/>
        <v>0</v>
      </c>
      <c r="AW871" s="50" t="str">
        <f t="shared" si="292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280"/>
        <v/>
      </c>
      <c r="P872" s="84"/>
      <c r="Q872" s="84"/>
      <c r="R872" s="32"/>
      <c r="S872" s="3" t="str">
        <f t="shared" si="281"/>
        <v/>
      </c>
      <c r="T872" s="84"/>
      <c r="U872" s="84"/>
      <c r="V872" s="32"/>
      <c r="W872" s="3" t="str">
        <f t="shared" si="282"/>
        <v/>
      </c>
      <c r="X872" s="84"/>
      <c r="Y872" s="84"/>
      <c r="Z872" s="32"/>
      <c r="AA872" s="3" t="str">
        <f t="shared" si="283"/>
        <v/>
      </c>
      <c r="AB872" s="84"/>
      <c r="AC872" s="84"/>
      <c r="AD872" s="36"/>
      <c r="AE872" s="82"/>
      <c r="AF872" s="3" t="str">
        <f t="shared" si="284"/>
        <v/>
      </c>
      <c r="AG872" s="84"/>
      <c r="AH872" s="84"/>
      <c r="AI872" s="39"/>
      <c r="AJ872" s="79"/>
      <c r="AK872" s="39"/>
      <c r="AL872" s="4">
        <f t="shared" si="285"/>
        <v>0</v>
      </c>
      <c r="AM872" s="4">
        <f t="shared" si="286"/>
        <v>0</v>
      </c>
      <c r="AN872" s="4">
        <f t="shared" si="287"/>
        <v>0</v>
      </c>
      <c r="AO872" s="39"/>
      <c r="AP872" s="8">
        <f t="shared" si="288"/>
        <v>0</v>
      </c>
      <c r="AQ872" s="8">
        <f t="shared" si="289"/>
        <v>0</v>
      </c>
      <c r="AR872" s="8">
        <f t="shared" si="290"/>
        <v>0</v>
      </c>
      <c r="AS872" s="42"/>
      <c r="AT872" s="84"/>
      <c r="AU872" s="84"/>
      <c r="AV872" s="4">
        <f t="shared" si="291"/>
        <v>0</v>
      </c>
      <c r="AW872" s="50" t="str">
        <f t="shared" si="292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280"/>
        <v/>
      </c>
      <c r="P873" s="84"/>
      <c r="Q873" s="84"/>
      <c r="R873" s="32"/>
      <c r="S873" s="3" t="str">
        <f t="shared" si="281"/>
        <v/>
      </c>
      <c r="T873" s="84"/>
      <c r="U873" s="84"/>
      <c r="V873" s="32"/>
      <c r="W873" s="3" t="str">
        <f t="shared" si="282"/>
        <v/>
      </c>
      <c r="X873" s="84"/>
      <c r="Y873" s="84"/>
      <c r="Z873" s="32"/>
      <c r="AA873" s="3" t="str">
        <f t="shared" si="283"/>
        <v/>
      </c>
      <c r="AB873" s="84"/>
      <c r="AC873" s="84"/>
      <c r="AD873" s="36"/>
      <c r="AE873" s="82"/>
      <c r="AF873" s="3" t="str">
        <f t="shared" si="284"/>
        <v/>
      </c>
      <c r="AG873" s="84"/>
      <c r="AH873" s="84"/>
      <c r="AI873" s="39"/>
      <c r="AJ873" s="79"/>
      <c r="AK873" s="39"/>
      <c r="AL873" s="4">
        <f t="shared" si="285"/>
        <v>0</v>
      </c>
      <c r="AM873" s="4">
        <f t="shared" si="286"/>
        <v>0</v>
      </c>
      <c r="AN873" s="4">
        <f t="shared" si="287"/>
        <v>0</v>
      </c>
      <c r="AO873" s="39"/>
      <c r="AP873" s="8">
        <f t="shared" si="288"/>
        <v>0</v>
      </c>
      <c r="AQ873" s="8">
        <f t="shared" si="289"/>
        <v>0</v>
      </c>
      <c r="AR873" s="8">
        <f t="shared" si="290"/>
        <v>0</v>
      </c>
      <c r="AS873" s="42"/>
      <c r="AT873" s="84"/>
      <c r="AU873" s="84"/>
      <c r="AV873" s="4">
        <f t="shared" si="291"/>
        <v>0</v>
      </c>
      <c r="AW873" s="50" t="str">
        <f t="shared" si="292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280"/>
        <v/>
      </c>
      <c r="P874" s="84"/>
      <c r="Q874" s="84"/>
      <c r="R874" s="32"/>
      <c r="S874" s="3" t="str">
        <f t="shared" si="281"/>
        <v/>
      </c>
      <c r="T874" s="84"/>
      <c r="U874" s="84"/>
      <c r="V874" s="32"/>
      <c r="W874" s="3" t="str">
        <f t="shared" si="282"/>
        <v/>
      </c>
      <c r="X874" s="84"/>
      <c r="Y874" s="84"/>
      <c r="Z874" s="32"/>
      <c r="AA874" s="3" t="str">
        <f t="shared" si="283"/>
        <v/>
      </c>
      <c r="AB874" s="84"/>
      <c r="AC874" s="84"/>
      <c r="AD874" s="36"/>
      <c r="AE874" s="82"/>
      <c r="AF874" s="3" t="str">
        <f t="shared" si="284"/>
        <v/>
      </c>
      <c r="AG874" s="84"/>
      <c r="AH874" s="84"/>
      <c r="AI874" s="39"/>
      <c r="AJ874" s="79"/>
      <c r="AK874" s="39"/>
      <c r="AL874" s="4">
        <f t="shared" si="285"/>
        <v>0</v>
      </c>
      <c r="AM874" s="4">
        <f t="shared" si="286"/>
        <v>0</v>
      </c>
      <c r="AN874" s="4">
        <f t="shared" si="287"/>
        <v>0</v>
      </c>
      <c r="AO874" s="39"/>
      <c r="AP874" s="8">
        <f t="shared" si="288"/>
        <v>0</v>
      </c>
      <c r="AQ874" s="8">
        <f t="shared" si="289"/>
        <v>0</v>
      </c>
      <c r="AR874" s="8">
        <f t="shared" si="290"/>
        <v>0</v>
      </c>
      <c r="AS874" s="42"/>
      <c r="AT874" s="84"/>
      <c r="AU874" s="84"/>
      <c r="AV874" s="4">
        <f t="shared" si="291"/>
        <v>0</v>
      </c>
      <c r="AW874" s="50" t="str">
        <f t="shared" si="292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280"/>
        <v/>
      </c>
      <c r="P875" s="84"/>
      <c r="Q875" s="84"/>
      <c r="R875" s="32"/>
      <c r="S875" s="3" t="str">
        <f t="shared" si="281"/>
        <v/>
      </c>
      <c r="T875" s="84"/>
      <c r="U875" s="84"/>
      <c r="V875" s="32"/>
      <c r="W875" s="3" t="str">
        <f t="shared" si="282"/>
        <v/>
      </c>
      <c r="X875" s="84"/>
      <c r="Y875" s="84"/>
      <c r="Z875" s="32"/>
      <c r="AA875" s="3" t="str">
        <f t="shared" si="283"/>
        <v/>
      </c>
      <c r="AB875" s="84"/>
      <c r="AC875" s="84"/>
      <c r="AD875" s="36"/>
      <c r="AE875" s="82"/>
      <c r="AF875" s="3" t="str">
        <f t="shared" si="284"/>
        <v/>
      </c>
      <c r="AG875" s="84"/>
      <c r="AH875" s="84"/>
      <c r="AI875" s="39"/>
      <c r="AJ875" s="79"/>
      <c r="AK875" s="39"/>
      <c r="AL875" s="4">
        <f t="shared" si="285"/>
        <v>0</v>
      </c>
      <c r="AM875" s="4">
        <f t="shared" si="286"/>
        <v>0</v>
      </c>
      <c r="AN875" s="4">
        <f t="shared" si="287"/>
        <v>0</v>
      </c>
      <c r="AO875" s="39"/>
      <c r="AP875" s="8">
        <f t="shared" si="288"/>
        <v>0</v>
      </c>
      <c r="AQ875" s="8">
        <f t="shared" si="289"/>
        <v>0</v>
      </c>
      <c r="AR875" s="8">
        <f t="shared" si="290"/>
        <v>0</v>
      </c>
      <c r="AS875" s="42"/>
      <c r="AT875" s="84"/>
      <c r="AU875" s="84"/>
      <c r="AV875" s="4">
        <f t="shared" si="291"/>
        <v>0</v>
      </c>
      <c r="AW875" s="50" t="str">
        <f t="shared" si="292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280"/>
        <v/>
      </c>
      <c r="P876" s="84"/>
      <c r="Q876" s="84"/>
      <c r="R876" s="32"/>
      <c r="S876" s="3" t="str">
        <f t="shared" si="281"/>
        <v/>
      </c>
      <c r="T876" s="84"/>
      <c r="U876" s="84"/>
      <c r="V876" s="32"/>
      <c r="W876" s="3" t="str">
        <f t="shared" si="282"/>
        <v/>
      </c>
      <c r="X876" s="84"/>
      <c r="Y876" s="84"/>
      <c r="Z876" s="32"/>
      <c r="AA876" s="3" t="str">
        <f t="shared" si="283"/>
        <v/>
      </c>
      <c r="AB876" s="84"/>
      <c r="AC876" s="84"/>
      <c r="AD876" s="36"/>
      <c r="AE876" s="82"/>
      <c r="AF876" s="3" t="str">
        <f t="shared" si="284"/>
        <v/>
      </c>
      <c r="AG876" s="84"/>
      <c r="AH876" s="84"/>
      <c r="AI876" s="39"/>
      <c r="AJ876" s="79"/>
      <c r="AK876" s="39"/>
      <c r="AL876" s="4">
        <f t="shared" si="285"/>
        <v>0</v>
      </c>
      <c r="AM876" s="4">
        <f t="shared" si="286"/>
        <v>0</v>
      </c>
      <c r="AN876" s="4">
        <f t="shared" si="287"/>
        <v>0</v>
      </c>
      <c r="AO876" s="39"/>
      <c r="AP876" s="8">
        <f t="shared" si="288"/>
        <v>0</v>
      </c>
      <c r="AQ876" s="8">
        <f t="shared" si="289"/>
        <v>0</v>
      </c>
      <c r="AR876" s="8">
        <f t="shared" si="290"/>
        <v>0</v>
      </c>
      <c r="AS876" s="42"/>
      <c r="AT876" s="84"/>
      <c r="AU876" s="84"/>
      <c r="AV876" s="4">
        <f t="shared" si="291"/>
        <v>0</v>
      </c>
      <c r="AW876" s="50" t="str">
        <f t="shared" si="292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280"/>
        <v/>
      </c>
      <c r="P877" s="84"/>
      <c r="Q877" s="84"/>
      <c r="R877" s="32"/>
      <c r="S877" s="3" t="str">
        <f t="shared" si="281"/>
        <v/>
      </c>
      <c r="T877" s="84"/>
      <c r="U877" s="84"/>
      <c r="V877" s="32"/>
      <c r="W877" s="3" t="str">
        <f t="shared" si="282"/>
        <v/>
      </c>
      <c r="X877" s="84"/>
      <c r="Y877" s="84"/>
      <c r="Z877" s="32"/>
      <c r="AA877" s="3" t="str">
        <f t="shared" si="283"/>
        <v/>
      </c>
      <c r="AB877" s="84"/>
      <c r="AC877" s="84"/>
      <c r="AD877" s="36"/>
      <c r="AE877" s="82"/>
      <c r="AF877" s="3" t="str">
        <f t="shared" si="284"/>
        <v/>
      </c>
      <c r="AG877" s="84"/>
      <c r="AH877" s="84"/>
      <c r="AI877" s="39"/>
      <c r="AJ877" s="79"/>
      <c r="AK877" s="39"/>
      <c r="AL877" s="4">
        <f t="shared" si="285"/>
        <v>0</v>
      </c>
      <c r="AM877" s="4">
        <f t="shared" si="286"/>
        <v>0</v>
      </c>
      <c r="AN877" s="4">
        <f t="shared" si="287"/>
        <v>0</v>
      </c>
      <c r="AO877" s="39"/>
      <c r="AP877" s="8">
        <f t="shared" si="288"/>
        <v>0</v>
      </c>
      <c r="AQ877" s="8">
        <f t="shared" si="289"/>
        <v>0</v>
      </c>
      <c r="AR877" s="8">
        <f t="shared" si="290"/>
        <v>0</v>
      </c>
      <c r="AS877" s="42"/>
      <c r="AT877" s="84"/>
      <c r="AU877" s="84"/>
      <c r="AV877" s="4">
        <f t="shared" si="291"/>
        <v>0</v>
      </c>
      <c r="AW877" s="50" t="str">
        <f t="shared" si="292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280"/>
        <v/>
      </c>
      <c r="P878" s="84"/>
      <c r="Q878" s="84"/>
      <c r="R878" s="32"/>
      <c r="S878" s="3" t="str">
        <f t="shared" si="281"/>
        <v/>
      </c>
      <c r="T878" s="84"/>
      <c r="U878" s="84"/>
      <c r="V878" s="32"/>
      <c r="W878" s="3" t="str">
        <f t="shared" si="282"/>
        <v/>
      </c>
      <c r="X878" s="84"/>
      <c r="Y878" s="84"/>
      <c r="Z878" s="32"/>
      <c r="AA878" s="3" t="str">
        <f t="shared" si="283"/>
        <v/>
      </c>
      <c r="AB878" s="84"/>
      <c r="AC878" s="84"/>
      <c r="AD878" s="36"/>
      <c r="AE878" s="82"/>
      <c r="AF878" s="3" t="str">
        <f t="shared" si="284"/>
        <v/>
      </c>
      <c r="AG878" s="84"/>
      <c r="AH878" s="84"/>
      <c r="AI878" s="39"/>
      <c r="AJ878" s="79"/>
      <c r="AK878" s="39"/>
      <c r="AL878" s="4">
        <f t="shared" si="285"/>
        <v>0</v>
      </c>
      <c r="AM878" s="4">
        <f t="shared" si="286"/>
        <v>0</v>
      </c>
      <c r="AN878" s="4">
        <f t="shared" si="287"/>
        <v>0</v>
      </c>
      <c r="AO878" s="39"/>
      <c r="AP878" s="8">
        <f t="shared" si="288"/>
        <v>0</v>
      </c>
      <c r="AQ878" s="8">
        <f t="shared" si="289"/>
        <v>0</v>
      </c>
      <c r="AR878" s="8">
        <f t="shared" si="290"/>
        <v>0</v>
      </c>
      <c r="AS878" s="42"/>
      <c r="AT878" s="84"/>
      <c r="AU878" s="84"/>
      <c r="AV878" s="4">
        <f t="shared" si="291"/>
        <v>0</v>
      </c>
      <c r="AW878" s="50" t="str">
        <f t="shared" si="292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si="280"/>
        <v/>
      </c>
      <c r="P879" s="84"/>
      <c r="Q879" s="84"/>
      <c r="R879" s="32"/>
      <c r="S879" s="3" t="str">
        <f t="shared" si="281"/>
        <v/>
      </c>
      <c r="T879" s="84"/>
      <c r="U879" s="84"/>
      <c r="V879" s="32"/>
      <c r="W879" s="3" t="str">
        <f t="shared" si="282"/>
        <v/>
      </c>
      <c r="X879" s="84"/>
      <c r="Y879" s="84"/>
      <c r="Z879" s="32"/>
      <c r="AA879" s="3" t="str">
        <f t="shared" si="283"/>
        <v/>
      </c>
      <c r="AB879" s="84"/>
      <c r="AC879" s="84"/>
      <c r="AD879" s="36"/>
      <c r="AE879" s="82"/>
      <c r="AF879" s="3" t="str">
        <f t="shared" si="284"/>
        <v/>
      </c>
      <c r="AG879" s="84"/>
      <c r="AH879" s="84"/>
      <c r="AI879" s="39"/>
      <c r="AJ879" s="79"/>
      <c r="AK879" s="39"/>
      <c r="AL879" s="4">
        <f t="shared" si="285"/>
        <v>0</v>
      </c>
      <c r="AM879" s="4">
        <f t="shared" si="286"/>
        <v>0</v>
      </c>
      <c r="AN879" s="4">
        <f t="shared" si="287"/>
        <v>0</v>
      </c>
      <c r="AO879" s="39"/>
      <c r="AP879" s="8">
        <f t="shared" si="288"/>
        <v>0</v>
      </c>
      <c r="AQ879" s="8">
        <f t="shared" si="289"/>
        <v>0</v>
      </c>
      <c r="AR879" s="8">
        <f t="shared" si="290"/>
        <v>0</v>
      </c>
      <c r="AS879" s="42"/>
      <c r="AT879" s="84"/>
      <c r="AU879" s="84"/>
      <c r="AV879" s="4">
        <f t="shared" si="291"/>
        <v>0</v>
      </c>
      <c r="AW879" s="50" t="str">
        <f t="shared" si="292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280"/>
        <v/>
      </c>
      <c r="P880" s="84"/>
      <c r="Q880" s="84"/>
      <c r="R880" s="32"/>
      <c r="S880" s="3" t="str">
        <f t="shared" si="281"/>
        <v/>
      </c>
      <c r="T880" s="84"/>
      <c r="U880" s="84"/>
      <c r="V880" s="32"/>
      <c r="W880" s="3" t="str">
        <f t="shared" si="282"/>
        <v/>
      </c>
      <c r="X880" s="84"/>
      <c r="Y880" s="84"/>
      <c r="Z880" s="32"/>
      <c r="AA880" s="3" t="str">
        <f t="shared" si="283"/>
        <v/>
      </c>
      <c r="AB880" s="84"/>
      <c r="AC880" s="84"/>
      <c r="AD880" s="36"/>
      <c r="AE880" s="82"/>
      <c r="AF880" s="3" t="str">
        <f t="shared" si="284"/>
        <v/>
      </c>
      <c r="AG880" s="84"/>
      <c r="AH880" s="84"/>
      <c r="AI880" s="39"/>
      <c r="AJ880" s="79"/>
      <c r="AK880" s="39"/>
      <c r="AL880" s="4">
        <f t="shared" si="285"/>
        <v>0</v>
      </c>
      <c r="AM880" s="4">
        <f t="shared" si="286"/>
        <v>0</v>
      </c>
      <c r="AN880" s="4">
        <f t="shared" si="287"/>
        <v>0</v>
      </c>
      <c r="AO880" s="39"/>
      <c r="AP880" s="8">
        <f t="shared" si="288"/>
        <v>0</v>
      </c>
      <c r="AQ880" s="8">
        <f t="shared" si="289"/>
        <v>0</v>
      </c>
      <c r="AR880" s="8">
        <f t="shared" si="290"/>
        <v>0</v>
      </c>
      <c r="AS880" s="42"/>
      <c r="AT880" s="84"/>
      <c r="AU880" s="84"/>
      <c r="AV880" s="4">
        <f t="shared" si="291"/>
        <v>0</v>
      </c>
      <c r="AW880" s="50" t="str">
        <f t="shared" si="292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280"/>
        <v/>
      </c>
      <c r="P881" s="84"/>
      <c r="Q881" s="84"/>
      <c r="R881" s="32"/>
      <c r="S881" s="3" t="str">
        <f t="shared" si="281"/>
        <v/>
      </c>
      <c r="T881" s="84"/>
      <c r="U881" s="84"/>
      <c r="V881" s="32"/>
      <c r="W881" s="3" t="str">
        <f t="shared" si="282"/>
        <v/>
      </c>
      <c r="X881" s="84"/>
      <c r="Y881" s="84"/>
      <c r="Z881" s="32"/>
      <c r="AA881" s="3" t="str">
        <f t="shared" si="283"/>
        <v/>
      </c>
      <c r="AB881" s="84"/>
      <c r="AC881" s="84"/>
      <c r="AD881" s="36"/>
      <c r="AE881" s="82"/>
      <c r="AF881" s="3" t="str">
        <f t="shared" si="284"/>
        <v/>
      </c>
      <c r="AG881" s="84"/>
      <c r="AH881" s="84"/>
      <c r="AI881" s="39"/>
      <c r="AJ881" s="79"/>
      <c r="AK881" s="39"/>
      <c r="AL881" s="4">
        <f t="shared" si="285"/>
        <v>0</v>
      </c>
      <c r="AM881" s="4">
        <f t="shared" si="286"/>
        <v>0</v>
      </c>
      <c r="AN881" s="4">
        <f t="shared" si="287"/>
        <v>0</v>
      </c>
      <c r="AO881" s="39"/>
      <c r="AP881" s="8">
        <f t="shared" si="288"/>
        <v>0</v>
      </c>
      <c r="AQ881" s="8">
        <f t="shared" si="289"/>
        <v>0</v>
      </c>
      <c r="AR881" s="8">
        <f t="shared" si="290"/>
        <v>0</v>
      </c>
      <c r="AS881" s="42"/>
      <c r="AT881" s="84"/>
      <c r="AU881" s="84"/>
      <c r="AV881" s="4">
        <f t="shared" si="291"/>
        <v>0</v>
      </c>
      <c r="AW881" s="50" t="str">
        <f t="shared" si="292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280"/>
        <v/>
      </c>
      <c r="P882" s="84"/>
      <c r="Q882" s="84"/>
      <c r="R882" s="32"/>
      <c r="S882" s="3" t="str">
        <f t="shared" si="281"/>
        <v/>
      </c>
      <c r="T882" s="84"/>
      <c r="U882" s="84"/>
      <c r="V882" s="32"/>
      <c r="W882" s="3" t="str">
        <f t="shared" si="282"/>
        <v/>
      </c>
      <c r="X882" s="84"/>
      <c r="Y882" s="84"/>
      <c r="Z882" s="32"/>
      <c r="AA882" s="3" t="str">
        <f t="shared" si="283"/>
        <v/>
      </c>
      <c r="AB882" s="84"/>
      <c r="AC882" s="84"/>
      <c r="AD882" s="36"/>
      <c r="AE882" s="82"/>
      <c r="AF882" s="3" t="str">
        <f t="shared" si="284"/>
        <v/>
      </c>
      <c r="AG882" s="84"/>
      <c r="AH882" s="84"/>
      <c r="AI882" s="39"/>
      <c r="AJ882" s="79"/>
      <c r="AK882" s="39"/>
      <c r="AL882" s="4">
        <f t="shared" si="285"/>
        <v>0</v>
      </c>
      <c r="AM882" s="4">
        <f t="shared" si="286"/>
        <v>0</v>
      </c>
      <c r="AN882" s="4">
        <f t="shared" si="287"/>
        <v>0</v>
      </c>
      <c r="AO882" s="39"/>
      <c r="AP882" s="8">
        <f t="shared" si="288"/>
        <v>0</v>
      </c>
      <c r="AQ882" s="8">
        <f t="shared" si="289"/>
        <v>0</v>
      </c>
      <c r="AR882" s="8">
        <f t="shared" si="290"/>
        <v>0</v>
      </c>
      <c r="AS882" s="42"/>
      <c r="AT882" s="84"/>
      <c r="AU882" s="84"/>
      <c r="AV882" s="4">
        <f t="shared" si="291"/>
        <v>0</v>
      </c>
      <c r="AW882" s="50" t="str">
        <f t="shared" si="292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280"/>
        <v/>
      </c>
      <c r="P883" s="84"/>
      <c r="Q883" s="84"/>
      <c r="R883" s="32"/>
      <c r="S883" s="3" t="str">
        <f t="shared" si="281"/>
        <v/>
      </c>
      <c r="T883" s="84"/>
      <c r="U883" s="84"/>
      <c r="V883" s="32"/>
      <c r="W883" s="3" t="str">
        <f t="shared" si="282"/>
        <v/>
      </c>
      <c r="X883" s="84"/>
      <c r="Y883" s="84"/>
      <c r="Z883" s="32"/>
      <c r="AA883" s="3" t="str">
        <f t="shared" si="283"/>
        <v/>
      </c>
      <c r="AB883" s="84"/>
      <c r="AC883" s="84"/>
      <c r="AD883" s="36"/>
      <c r="AE883" s="82"/>
      <c r="AF883" s="3" t="str">
        <f t="shared" si="284"/>
        <v/>
      </c>
      <c r="AG883" s="84"/>
      <c r="AH883" s="84"/>
      <c r="AI883" s="39"/>
      <c r="AJ883" s="79"/>
      <c r="AK883" s="39"/>
      <c r="AL883" s="4">
        <f t="shared" si="285"/>
        <v>0</v>
      </c>
      <c r="AM883" s="4">
        <f t="shared" si="286"/>
        <v>0</v>
      </c>
      <c r="AN883" s="4">
        <f t="shared" si="287"/>
        <v>0</v>
      </c>
      <c r="AO883" s="39"/>
      <c r="AP883" s="8">
        <f t="shared" si="288"/>
        <v>0</v>
      </c>
      <c r="AQ883" s="8">
        <f t="shared" si="289"/>
        <v>0</v>
      </c>
      <c r="AR883" s="8">
        <f t="shared" si="290"/>
        <v>0</v>
      </c>
      <c r="AS883" s="42"/>
      <c r="AT883" s="84"/>
      <c r="AU883" s="84"/>
      <c r="AV883" s="4">
        <f t="shared" si="291"/>
        <v>0</v>
      </c>
      <c r="AW883" s="50" t="str">
        <f t="shared" si="292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si="280"/>
        <v/>
      </c>
      <c r="P884" s="84"/>
      <c r="Q884" s="84"/>
      <c r="R884" s="32"/>
      <c r="S884" s="3" t="str">
        <f t="shared" si="281"/>
        <v/>
      </c>
      <c r="T884" s="84"/>
      <c r="U884" s="84"/>
      <c r="V884" s="32"/>
      <c r="W884" s="3" t="str">
        <f t="shared" si="282"/>
        <v/>
      </c>
      <c r="X884" s="84"/>
      <c r="Y884" s="84"/>
      <c r="Z884" s="32"/>
      <c r="AA884" s="3" t="str">
        <f t="shared" si="283"/>
        <v/>
      </c>
      <c r="AB884" s="84"/>
      <c r="AC884" s="84"/>
      <c r="AD884" s="36"/>
      <c r="AE884" s="82"/>
      <c r="AF884" s="3" t="str">
        <f t="shared" si="284"/>
        <v/>
      </c>
      <c r="AG884" s="84"/>
      <c r="AH884" s="84"/>
      <c r="AI884" s="39"/>
      <c r="AJ884" s="79"/>
      <c r="AK884" s="39"/>
      <c r="AL884" s="4">
        <f t="shared" si="285"/>
        <v>0</v>
      </c>
      <c r="AM884" s="4">
        <f t="shared" si="286"/>
        <v>0</v>
      </c>
      <c r="AN884" s="4">
        <f t="shared" si="287"/>
        <v>0</v>
      </c>
      <c r="AO884" s="39"/>
      <c r="AP884" s="8">
        <f t="shared" si="288"/>
        <v>0</v>
      </c>
      <c r="AQ884" s="8">
        <f t="shared" si="289"/>
        <v>0</v>
      </c>
      <c r="AR884" s="8">
        <f t="shared" si="290"/>
        <v>0</v>
      </c>
      <c r="AS884" s="42"/>
      <c r="AT884" s="84"/>
      <c r="AU884" s="84"/>
      <c r="AV884" s="4">
        <f t="shared" si="291"/>
        <v>0</v>
      </c>
      <c r="AW884" s="50" t="str">
        <f t="shared" si="292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280"/>
        <v/>
      </c>
      <c r="P885" s="84"/>
      <c r="Q885" s="84"/>
      <c r="R885" s="32"/>
      <c r="S885" s="3" t="str">
        <f t="shared" si="281"/>
        <v/>
      </c>
      <c r="T885" s="84"/>
      <c r="U885" s="84"/>
      <c r="V885" s="32"/>
      <c r="W885" s="3" t="str">
        <f t="shared" si="282"/>
        <v/>
      </c>
      <c r="X885" s="84"/>
      <c r="Y885" s="84"/>
      <c r="Z885" s="32"/>
      <c r="AA885" s="3" t="str">
        <f t="shared" si="283"/>
        <v/>
      </c>
      <c r="AB885" s="84"/>
      <c r="AC885" s="84"/>
      <c r="AD885" s="36"/>
      <c r="AE885" s="82"/>
      <c r="AF885" s="3" t="str">
        <f t="shared" si="284"/>
        <v/>
      </c>
      <c r="AG885" s="84"/>
      <c r="AH885" s="84"/>
      <c r="AI885" s="39"/>
      <c r="AJ885" s="79"/>
      <c r="AK885" s="39"/>
      <c r="AL885" s="4">
        <f t="shared" si="285"/>
        <v>0</v>
      </c>
      <c r="AM885" s="4">
        <f t="shared" si="286"/>
        <v>0</v>
      </c>
      <c r="AN885" s="4">
        <f t="shared" si="287"/>
        <v>0</v>
      </c>
      <c r="AO885" s="39"/>
      <c r="AP885" s="8">
        <f t="shared" si="288"/>
        <v>0</v>
      </c>
      <c r="AQ885" s="8">
        <f t="shared" si="289"/>
        <v>0</v>
      </c>
      <c r="AR885" s="8">
        <f t="shared" si="290"/>
        <v>0</v>
      </c>
      <c r="AS885" s="42"/>
      <c r="AT885" s="84"/>
      <c r="AU885" s="84"/>
      <c r="AV885" s="4">
        <f t="shared" si="291"/>
        <v>0</v>
      </c>
      <c r="AW885" s="50" t="str">
        <f t="shared" si="292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280"/>
        <v/>
      </c>
      <c r="P886" s="84"/>
      <c r="Q886" s="84"/>
      <c r="R886" s="32"/>
      <c r="S886" s="3" t="str">
        <f t="shared" si="281"/>
        <v/>
      </c>
      <c r="T886" s="84"/>
      <c r="U886" s="84"/>
      <c r="V886" s="32"/>
      <c r="W886" s="3" t="str">
        <f t="shared" si="282"/>
        <v/>
      </c>
      <c r="X886" s="84"/>
      <c r="Y886" s="84"/>
      <c r="Z886" s="32"/>
      <c r="AA886" s="3" t="str">
        <f t="shared" si="283"/>
        <v/>
      </c>
      <c r="AB886" s="84"/>
      <c r="AC886" s="84"/>
      <c r="AD886" s="36"/>
      <c r="AE886" s="82"/>
      <c r="AF886" s="3" t="str">
        <f t="shared" si="284"/>
        <v/>
      </c>
      <c r="AG886" s="84"/>
      <c r="AH886" s="84"/>
      <c r="AI886" s="39"/>
      <c r="AJ886" s="79"/>
      <c r="AK886" s="39"/>
      <c r="AL886" s="4">
        <f t="shared" si="285"/>
        <v>0</v>
      </c>
      <c r="AM886" s="4">
        <f t="shared" si="286"/>
        <v>0</v>
      </c>
      <c r="AN886" s="4">
        <f t="shared" si="287"/>
        <v>0</v>
      </c>
      <c r="AO886" s="39"/>
      <c r="AP886" s="8">
        <f t="shared" si="288"/>
        <v>0</v>
      </c>
      <c r="AQ886" s="8">
        <f t="shared" si="289"/>
        <v>0</v>
      </c>
      <c r="AR886" s="8">
        <f t="shared" si="290"/>
        <v>0</v>
      </c>
      <c r="AS886" s="42"/>
      <c r="AT886" s="84"/>
      <c r="AU886" s="84"/>
      <c r="AV886" s="4">
        <f t="shared" si="291"/>
        <v>0</v>
      </c>
      <c r="AW886" s="50" t="str">
        <f t="shared" si="292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si="280"/>
        <v/>
      </c>
      <c r="P887" s="84"/>
      <c r="Q887" s="84"/>
      <c r="R887" s="32"/>
      <c r="S887" s="3" t="str">
        <f t="shared" si="281"/>
        <v/>
      </c>
      <c r="T887" s="84"/>
      <c r="U887" s="84"/>
      <c r="V887" s="32"/>
      <c r="W887" s="3" t="str">
        <f t="shared" si="282"/>
        <v/>
      </c>
      <c r="X887" s="84"/>
      <c r="Y887" s="84"/>
      <c r="Z887" s="32"/>
      <c r="AA887" s="3" t="str">
        <f t="shared" si="283"/>
        <v/>
      </c>
      <c r="AB887" s="84"/>
      <c r="AC887" s="84"/>
      <c r="AD887" s="36"/>
      <c r="AE887" s="82"/>
      <c r="AF887" s="3" t="str">
        <f t="shared" si="284"/>
        <v/>
      </c>
      <c r="AG887" s="84"/>
      <c r="AH887" s="84"/>
      <c r="AI887" s="39"/>
      <c r="AJ887" s="79"/>
      <c r="AK887" s="39"/>
      <c r="AL887" s="4">
        <f t="shared" si="285"/>
        <v>0</v>
      </c>
      <c r="AM887" s="4">
        <f t="shared" si="286"/>
        <v>0</v>
      </c>
      <c r="AN887" s="4">
        <f t="shared" si="287"/>
        <v>0</v>
      </c>
      <c r="AO887" s="39"/>
      <c r="AP887" s="8">
        <f t="shared" si="288"/>
        <v>0</v>
      </c>
      <c r="AQ887" s="8">
        <f t="shared" si="289"/>
        <v>0</v>
      </c>
      <c r="AR887" s="8">
        <f t="shared" si="290"/>
        <v>0</v>
      </c>
      <c r="AS887" s="42"/>
      <c r="AT887" s="84"/>
      <c r="AU887" s="84"/>
      <c r="AV887" s="4">
        <f t="shared" si="291"/>
        <v>0</v>
      </c>
      <c r="AW887" s="50" t="str">
        <f t="shared" si="292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280"/>
        <v/>
      </c>
      <c r="P888" s="84"/>
      <c r="Q888" s="84"/>
      <c r="R888" s="32"/>
      <c r="S888" s="3" t="str">
        <f t="shared" si="281"/>
        <v/>
      </c>
      <c r="T888" s="84"/>
      <c r="U888" s="84"/>
      <c r="V888" s="32"/>
      <c r="W888" s="3" t="str">
        <f t="shared" si="282"/>
        <v/>
      </c>
      <c r="X888" s="84"/>
      <c r="Y888" s="84"/>
      <c r="Z888" s="32"/>
      <c r="AA888" s="3" t="str">
        <f t="shared" si="283"/>
        <v/>
      </c>
      <c r="AB888" s="84"/>
      <c r="AC888" s="84"/>
      <c r="AD888" s="36"/>
      <c r="AE888" s="82"/>
      <c r="AF888" s="3" t="str">
        <f t="shared" si="284"/>
        <v/>
      </c>
      <c r="AG888" s="84"/>
      <c r="AH888" s="84"/>
      <c r="AI888" s="39"/>
      <c r="AJ888" s="79"/>
      <c r="AK888" s="39"/>
      <c r="AL888" s="4">
        <f t="shared" si="285"/>
        <v>0</v>
      </c>
      <c r="AM888" s="4">
        <f t="shared" si="286"/>
        <v>0</v>
      </c>
      <c r="AN888" s="4">
        <f t="shared" si="287"/>
        <v>0</v>
      </c>
      <c r="AO888" s="39"/>
      <c r="AP888" s="8">
        <f t="shared" si="288"/>
        <v>0</v>
      </c>
      <c r="AQ888" s="8">
        <f t="shared" si="289"/>
        <v>0</v>
      </c>
      <c r="AR888" s="8">
        <f t="shared" si="290"/>
        <v>0</v>
      </c>
      <c r="AS888" s="42"/>
      <c r="AT888" s="84"/>
      <c r="AU888" s="84"/>
      <c r="AV888" s="4">
        <f t="shared" si="291"/>
        <v>0</v>
      </c>
      <c r="AW888" s="50" t="str">
        <f t="shared" si="292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280"/>
        <v/>
      </c>
      <c r="P889" s="84"/>
      <c r="Q889" s="84"/>
      <c r="R889" s="32"/>
      <c r="S889" s="3" t="str">
        <f t="shared" si="281"/>
        <v/>
      </c>
      <c r="T889" s="84"/>
      <c r="U889" s="84"/>
      <c r="V889" s="32"/>
      <c r="W889" s="3" t="str">
        <f t="shared" si="282"/>
        <v/>
      </c>
      <c r="X889" s="84"/>
      <c r="Y889" s="84"/>
      <c r="Z889" s="32"/>
      <c r="AA889" s="3" t="str">
        <f t="shared" si="283"/>
        <v/>
      </c>
      <c r="AB889" s="84"/>
      <c r="AC889" s="84"/>
      <c r="AD889" s="36"/>
      <c r="AE889" s="82"/>
      <c r="AF889" s="3" t="str">
        <f t="shared" si="284"/>
        <v/>
      </c>
      <c r="AG889" s="84"/>
      <c r="AH889" s="84"/>
      <c r="AI889" s="39"/>
      <c r="AJ889" s="79"/>
      <c r="AK889" s="39"/>
      <c r="AL889" s="4">
        <f t="shared" si="285"/>
        <v>0</v>
      </c>
      <c r="AM889" s="4">
        <f t="shared" si="286"/>
        <v>0</v>
      </c>
      <c r="AN889" s="4">
        <f t="shared" si="287"/>
        <v>0</v>
      </c>
      <c r="AO889" s="39"/>
      <c r="AP889" s="8">
        <f t="shared" si="288"/>
        <v>0</v>
      </c>
      <c r="AQ889" s="8">
        <f t="shared" si="289"/>
        <v>0</v>
      </c>
      <c r="AR889" s="8">
        <f t="shared" si="290"/>
        <v>0</v>
      </c>
      <c r="AS889" s="42"/>
      <c r="AT889" s="84"/>
      <c r="AU889" s="84"/>
      <c r="AV889" s="4">
        <f t="shared" si="291"/>
        <v>0</v>
      </c>
      <c r="AW889" s="50" t="str">
        <f t="shared" si="292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ref="O890:O953" si="293">IF($A890="","",IF(P890=AZ890,"E","A"))</f>
        <v/>
      </c>
      <c r="P890" s="84"/>
      <c r="Q890" s="84"/>
      <c r="R890" s="32"/>
      <c r="S890" s="3" t="str">
        <f t="shared" ref="S890:S953" si="294">IF($A890="","",IF(T890=BA890,"E","A"))</f>
        <v/>
      </c>
      <c r="T890" s="84"/>
      <c r="U890" s="84"/>
      <c r="V890" s="32"/>
      <c r="W890" s="3" t="str">
        <f t="shared" ref="W890:W953" si="295">IF($A890="","",IF(X890=0,"A",IF(X890=BB890,"E","A")))</f>
        <v/>
      </c>
      <c r="X890" s="84"/>
      <c r="Y890" s="84"/>
      <c r="Z890" s="32"/>
      <c r="AA890" s="3" t="str">
        <f t="shared" ref="AA890:AA953" si="296">IF($A890="","",IF(AB890=0,"A",IF(AB890=BC890,"E","A")))</f>
        <v/>
      </c>
      <c r="AB890" s="84"/>
      <c r="AC890" s="84"/>
      <c r="AD890" s="36"/>
      <c r="AE890" s="82"/>
      <c r="AF890" s="3" t="str">
        <f t="shared" ref="AF890:AF953" si="297">IF($A890="","",IF(AG890=0,"A",IF(AG890=BD890,"E","A")))</f>
        <v/>
      </c>
      <c r="AG890" s="84"/>
      <c r="AH890" s="84"/>
      <c r="AI890" s="39"/>
      <c r="AJ890" s="79"/>
      <c r="AK890" s="39"/>
      <c r="AL890" s="4">
        <f t="shared" ref="AL890:AL953" si="298">IF($O890="A",P890,0)+IF($S890="A",T890,0)+IF($W890="A",X890,0)+IF($AA890="A",AB890,0)+IF($AF890="A",AG890,0)</f>
        <v>0</v>
      </c>
      <c r="AM890" s="4">
        <f t="shared" ref="AM890:AM953" si="299">IF($O890="A",Q890,0)+IF($S890="A",U890,0)+IF($W890="A",Y890,0)+IF($AA890="A",AC890,0)+IF($AF890="A",AH890,0)</f>
        <v>0</v>
      </c>
      <c r="AN890" s="4">
        <f t="shared" ref="AN890:AN953" si="300">SUM(AL890:AM890)</f>
        <v>0</v>
      </c>
      <c r="AO890" s="39"/>
      <c r="AP890" s="8">
        <f t="shared" ref="AP890:AP953" si="301">IF($O890="E",P890,0)+IF($S890="E",T890,0)+IF($W890="E",X890,0)+IF($AA890="E",AB890,0)+IF($AF890="E",AG890,0)</f>
        <v>0</v>
      </c>
      <c r="AQ890" s="8">
        <f t="shared" ref="AQ890:AQ953" si="302">IF($O890="E",Q890,0)+IF($S890="E",U890,0)+IF($W890="E",Y890,0)+IF($AA890="E",AC890,0)+IF($AF890="E",AH890,0)</f>
        <v>0</v>
      </c>
      <c r="AR890" s="8">
        <f t="shared" ref="AR890:AR953" si="303">SUM(AP890:AQ890)</f>
        <v>0</v>
      </c>
      <c r="AS890" s="42"/>
      <c r="AT890" s="84"/>
      <c r="AU890" s="84"/>
      <c r="AV890" s="4">
        <f t="shared" ref="AV890:AV953" si="304">SUM(AT890:AU890)</f>
        <v>0</v>
      </c>
      <c r="AW890" s="50" t="str">
        <f t="shared" ref="AW890:AW953" si="305">IF(AV890=0,"",IF(AN890=AV890,"","W"))</f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293"/>
        <v/>
      </c>
      <c r="P891" s="84"/>
      <c r="Q891" s="84"/>
      <c r="R891" s="32"/>
      <c r="S891" s="3" t="str">
        <f t="shared" si="294"/>
        <v/>
      </c>
      <c r="T891" s="84"/>
      <c r="U891" s="84"/>
      <c r="V891" s="32"/>
      <c r="W891" s="3" t="str">
        <f t="shared" si="295"/>
        <v/>
      </c>
      <c r="X891" s="84"/>
      <c r="Y891" s="84"/>
      <c r="Z891" s="32"/>
      <c r="AA891" s="3" t="str">
        <f t="shared" si="296"/>
        <v/>
      </c>
      <c r="AB891" s="84"/>
      <c r="AC891" s="84"/>
      <c r="AD891" s="36"/>
      <c r="AE891" s="82"/>
      <c r="AF891" s="3" t="str">
        <f t="shared" si="297"/>
        <v/>
      </c>
      <c r="AG891" s="84"/>
      <c r="AH891" s="84"/>
      <c r="AI891" s="39"/>
      <c r="AJ891" s="79"/>
      <c r="AK891" s="39"/>
      <c r="AL891" s="4">
        <f t="shared" si="298"/>
        <v>0</v>
      </c>
      <c r="AM891" s="4">
        <f t="shared" si="299"/>
        <v>0</v>
      </c>
      <c r="AN891" s="4">
        <f t="shared" si="300"/>
        <v>0</v>
      </c>
      <c r="AO891" s="39"/>
      <c r="AP891" s="8">
        <f t="shared" si="301"/>
        <v>0</v>
      </c>
      <c r="AQ891" s="8">
        <f t="shared" si="302"/>
        <v>0</v>
      </c>
      <c r="AR891" s="8">
        <f t="shared" si="303"/>
        <v>0</v>
      </c>
      <c r="AS891" s="42"/>
      <c r="AT891" s="84"/>
      <c r="AU891" s="84"/>
      <c r="AV891" s="4">
        <f t="shared" si="304"/>
        <v>0</v>
      </c>
      <c r="AW891" s="50" t="str">
        <f t="shared" si="305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293"/>
        <v/>
      </c>
      <c r="P892" s="84"/>
      <c r="Q892" s="84"/>
      <c r="R892" s="32"/>
      <c r="S892" s="3" t="str">
        <f t="shared" si="294"/>
        <v/>
      </c>
      <c r="T892" s="84"/>
      <c r="U892" s="84"/>
      <c r="V892" s="32"/>
      <c r="W892" s="3" t="str">
        <f t="shared" si="295"/>
        <v/>
      </c>
      <c r="X892" s="84"/>
      <c r="Y892" s="84"/>
      <c r="Z892" s="32"/>
      <c r="AA892" s="3" t="str">
        <f t="shared" si="296"/>
        <v/>
      </c>
      <c r="AB892" s="84"/>
      <c r="AC892" s="84"/>
      <c r="AD892" s="36"/>
      <c r="AE892" s="82"/>
      <c r="AF892" s="3" t="str">
        <f t="shared" si="297"/>
        <v/>
      </c>
      <c r="AG892" s="84"/>
      <c r="AH892" s="84"/>
      <c r="AI892" s="39"/>
      <c r="AJ892" s="79"/>
      <c r="AK892" s="39"/>
      <c r="AL892" s="4">
        <f t="shared" si="298"/>
        <v>0</v>
      </c>
      <c r="AM892" s="4">
        <f t="shared" si="299"/>
        <v>0</v>
      </c>
      <c r="AN892" s="4">
        <f t="shared" si="300"/>
        <v>0</v>
      </c>
      <c r="AO892" s="39"/>
      <c r="AP892" s="8">
        <f t="shared" si="301"/>
        <v>0</v>
      </c>
      <c r="AQ892" s="8">
        <f t="shared" si="302"/>
        <v>0</v>
      </c>
      <c r="AR892" s="8">
        <f t="shared" si="303"/>
        <v>0</v>
      </c>
      <c r="AS892" s="42"/>
      <c r="AT892" s="84"/>
      <c r="AU892" s="84"/>
      <c r="AV892" s="4">
        <f t="shared" si="304"/>
        <v>0</v>
      </c>
      <c r="AW892" s="50" t="str">
        <f t="shared" si="305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293"/>
        <v/>
      </c>
      <c r="P893" s="84"/>
      <c r="Q893" s="84"/>
      <c r="R893" s="32"/>
      <c r="S893" s="3" t="str">
        <f t="shared" si="294"/>
        <v/>
      </c>
      <c r="T893" s="84"/>
      <c r="U893" s="84"/>
      <c r="V893" s="32"/>
      <c r="W893" s="3" t="str">
        <f t="shared" si="295"/>
        <v/>
      </c>
      <c r="X893" s="84"/>
      <c r="Y893" s="84"/>
      <c r="Z893" s="32"/>
      <c r="AA893" s="3" t="str">
        <f t="shared" si="296"/>
        <v/>
      </c>
      <c r="AB893" s="84"/>
      <c r="AC893" s="84"/>
      <c r="AD893" s="36"/>
      <c r="AE893" s="82"/>
      <c r="AF893" s="3" t="str">
        <f t="shared" si="297"/>
        <v/>
      </c>
      <c r="AG893" s="84"/>
      <c r="AH893" s="84"/>
      <c r="AI893" s="39"/>
      <c r="AJ893" s="79"/>
      <c r="AK893" s="39"/>
      <c r="AL893" s="4">
        <f t="shared" si="298"/>
        <v>0</v>
      </c>
      <c r="AM893" s="4">
        <f t="shared" si="299"/>
        <v>0</v>
      </c>
      <c r="AN893" s="4">
        <f t="shared" si="300"/>
        <v>0</v>
      </c>
      <c r="AO893" s="39"/>
      <c r="AP893" s="8">
        <f t="shared" si="301"/>
        <v>0</v>
      </c>
      <c r="AQ893" s="8">
        <f t="shared" si="302"/>
        <v>0</v>
      </c>
      <c r="AR893" s="8">
        <f t="shared" si="303"/>
        <v>0</v>
      </c>
      <c r="AS893" s="42"/>
      <c r="AT893" s="84"/>
      <c r="AU893" s="84"/>
      <c r="AV893" s="4">
        <f t="shared" si="304"/>
        <v>0</v>
      </c>
      <c r="AW893" s="50" t="str">
        <f t="shared" si="305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293"/>
        <v/>
      </c>
      <c r="P894" s="84"/>
      <c r="Q894" s="84"/>
      <c r="R894" s="32"/>
      <c r="S894" s="3" t="str">
        <f t="shared" si="294"/>
        <v/>
      </c>
      <c r="T894" s="84"/>
      <c r="U894" s="84"/>
      <c r="V894" s="32"/>
      <c r="W894" s="3" t="str">
        <f t="shared" si="295"/>
        <v/>
      </c>
      <c r="X894" s="84"/>
      <c r="Y894" s="84"/>
      <c r="Z894" s="32"/>
      <c r="AA894" s="3" t="str">
        <f t="shared" si="296"/>
        <v/>
      </c>
      <c r="AB894" s="84"/>
      <c r="AC894" s="84"/>
      <c r="AD894" s="36"/>
      <c r="AE894" s="82"/>
      <c r="AF894" s="3" t="str">
        <f t="shared" si="297"/>
        <v/>
      </c>
      <c r="AG894" s="84"/>
      <c r="AH894" s="84"/>
      <c r="AI894" s="39"/>
      <c r="AJ894" s="79"/>
      <c r="AK894" s="39"/>
      <c r="AL894" s="4">
        <f t="shared" si="298"/>
        <v>0</v>
      </c>
      <c r="AM894" s="4">
        <f t="shared" si="299"/>
        <v>0</v>
      </c>
      <c r="AN894" s="4">
        <f t="shared" si="300"/>
        <v>0</v>
      </c>
      <c r="AO894" s="39"/>
      <c r="AP894" s="8">
        <f t="shared" si="301"/>
        <v>0</v>
      </c>
      <c r="AQ894" s="8">
        <f t="shared" si="302"/>
        <v>0</v>
      </c>
      <c r="AR894" s="8">
        <f t="shared" si="303"/>
        <v>0</v>
      </c>
      <c r="AS894" s="42"/>
      <c r="AT894" s="84"/>
      <c r="AU894" s="84"/>
      <c r="AV894" s="4">
        <f t="shared" si="304"/>
        <v>0</v>
      </c>
      <c r="AW894" s="50" t="str">
        <f t="shared" si="305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293"/>
        <v/>
      </c>
      <c r="P895" s="84"/>
      <c r="Q895" s="84"/>
      <c r="R895" s="32"/>
      <c r="S895" s="3" t="str">
        <f t="shared" si="294"/>
        <v/>
      </c>
      <c r="T895" s="84"/>
      <c r="U895" s="84"/>
      <c r="V895" s="32"/>
      <c r="W895" s="3" t="str">
        <f t="shared" si="295"/>
        <v/>
      </c>
      <c r="X895" s="84"/>
      <c r="Y895" s="84"/>
      <c r="Z895" s="32"/>
      <c r="AA895" s="3" t="str">
        <f t="shared" si="296"/>
        <v/>
      </c>
      <c r="AB895" s="84"/>
      <c r="AC895" s="84"/>
      <c r="AD895" s="36"/>
      <c r="AE895" s="82"/>
      <c r="AF895" s="3" t="str">
        <f t="shared" si="297"/>
        <v/>
      </c>
      <c r="AG895" s="84"/>
      <c r="AH895" s="84"/>
      <c r="AI895" s="39"/>
      <c r="AJ895" s="79"/>
      <c r="AK895" s="39"/>
      <c r="AL895" s="4">
        <f t="shared" si="298"/>
        <v>0</v>
      </c>
      <c r="AM895" s="4">
        <f t="shared" si="299"/>
        <v>0</v>
      </c>
      <c r="AN895" s="4">
        <f t="shared" si="300"/>
        <v>0</v>
      </c>
      <c r="AO895" s="39"/>
      <c r="AP895" s="8">
        <f t="shared" si="301"/>
        <v>0</v>
      </c>
      <c r="AQ895" s="8">
        <f t="shared" si="302"/>
        <v>0</v>
      </c>
      <c r="AR895" s="8">
        <f t="shared" si="303"/>
        <v>0</v>
      </c>
      <c r="AS895" s="42"/>
      <c r="AT895" s="84"/>
      <c r="AU895" s="84"/>
      <c r="AV895" s="4">
        <f t="shared" si="304"/>
        <v>0</v>
      </c>
      <c r="AW895" s="50" t="str">
        <f t="shared" si="305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293"/>
        <v/>
      </c>
      <c r="P896" s="84"/>
      <c r="Q896" s="84"/>
      <c r="R896" s="32"/>
      <c r="S896" s="3" t="str">
        <f t="shared" si="294"/>
        <v/>
      </c>
      <c r="T896" s="84"/>
      <c r="U896" s="84"/>
      <c r="V896" s="32"/>
      <c r="W896" s="3" t="str">
        <f t="shared" si="295"/>
        <v/>
      </c>
      <c r="X896" s="84"/>
      <c r="Y896" s="84"/>
      <c r="Z896" s="32"/>
      <c r="AA896" s="3" t="str">
        <f t="shared" si="296"/>
        <v/>
      </c>
      <c r="AB896" s="84"/>
      <c r="AC896" s="84"/>
      <c r="AD896" s="36"/>
      <c r="AE896" s="82"/>
      <c r="AF896" s="3" t="str">
        <f t="shared" si="297"/>
        <v/>
      </c>
      <c r="AG896" s="84"/>
      <c r="AH896" s="84"/>
      <c r="AI896" s="39"/>
      <c r="AJ896" s="79"/>
      <c r="AK896" s="39"/>
      <c r="AL896" s="4">
        <f t="shared" si="298"/>
        <v>0</v>
      </c>
      <c r="AM896" s="4">
        <f t="shared" si="299"/>
        <v>0</v>
      </c>
      <c r="AN896" s="4">
        <f t="shared" si="300"/>
        <v>0</v>
      </c>
      <c r="AO896" s="39"/>
      <c r="AP896" s="8">
        <f t="shared" si="301"/>
        <v>0</v>
      </c>
      <c r="AQ896" s="8">
        <f t="shared" si="302"/>
        <v>0</v>
      </c>
      <c r="AR896" s="8">
        <f t="shared" si="303"/>
        <v>0</v>
      </c>
      <c r="AS896" s="42"/>
      <c r="AT896" s="84"/>
      <c r="AU896" s="84"/>
      <c r="AV896" s="4">
        <f t="shared" si="304"/>
        <v>0</v>
      </c>
      <c r="AW896" s="50" t="str">
        <f t="shared" si="305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293"/>
        <v/>
      </c>
      <c r="P897" s="84"/>
      <c r="Q897" s="84"/>
      <c r="R897" s="32"/>
      <c r="S897" s="3" t="str">
        <f t="shared" si="294"/>
        <v/>
      </c>
      <c r="T897" s="84"/>
      <c r="U897" s="84"/>
      <c r="V897" s="32"/>
      <c r="W897" s="3" t="str">
        <f t="shared" si="295"/>
        <v/>
      </c>
      <c r="X897" s="84"/>
      <c r="Y897" s="84"/>
      <c r="Z897" s="32"/>
      <c r="AA897" s="3" t="str">
        <f t="shared" si="296"/>
        <v/>
      </c>
      <c r="AB897" s="84"/>
      <c r="AC897" s="84"/>
      <c r="AD897" s="36"/>
      <c r="AE897" s="82"/>
      <c r="AF897" s="3" t="str">
        <f t="shared" si="297"/>
        <v/>
      </c>
      <c r="AG897" s="84"/>
      <c r="AH897" s="84"/>
      <c r="AI897" s="39"/>
      <c r="AJ897" s="79"/>
      <c r="AK897" s="39"/>
      <c r="AL897" s="4">
        <f t="shared" si="298"/>
        <v>0</v>
      </c>
      <c r="AM897" s="4">
        <f t="shared" si="299"/>
        <v>0</v>
      </c>
      <c r="AN897" s="4">
        <f t="shared" si="300"/>
        <v>0</v>
      </c>
      <c r="AO897" s="39"/>
      <c r="AP897" s="8">
        <f t="shared" si="301"/>
        <v>0</v>
      </c>
      <c r="AQ897" s="8">
        <f t="shared" si="302"/>
        <v>0</v>
      </c>
      <c r="AR897" s="8">
        <f t="shared" si="303"/>
        <v>0</v>
      </c>
      <c r="AS897" s="42"/>
      <c r="AT897" s="84"/>
      <c r="AU897" s="84"/>
      <c r="AV897" s="4">
        <f t="shared" si="304"/>
        <v>0</v>
      </c>
      <c r="AW897" s="50" t="str">
        <f t="shared" si="305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293"/>
        <v/>
      </c>
      <c r="P898" s="84"/>
      <c r="Q898" s="84"/>
      <c r="R898" s="32"/>
      <c r="S898" s="3" t="str">
        <f t="shared" si="294"/>
        <v/>
      </c>
      <c r="T898" s="84"/>
      <c r="U898" s="84"/>
      <c r="V898" s="32"/>
      <c r="W898" s="3" t="str">
        <f t="shared" si="295"/>
        <v/>
      </c>
      <c r="X898" s="84"/>
      <c r="Y898" s="84"/>
      <c r="Z898" s="32"/>
      <c r="AA898" s="3" t="str">
        <f t="shared" si="296"/>
        <v/>
      </c>
      <c r="AB898" s="84"/>
      <c r="AC898" s="84"/>
      <c r="AD898" s="36"/>
      <c r="AE898" s="82"/>
      <c r="AF898" s="3" t="str">
        <f t="shared" si="297"/>
        <v/>
      </c>
      <c r="AG898" s="84"/>
      <c r="AH898" s="84"/>
      <c r="AI898" s="39"/>
      <c r="AJ898" s="79"/>
      <c r="AK898" s="39"/>
      <c r="AL898" s="4">
        <f t="shared" si="298"/>
        <v>0</v>
      </c>
      <c r="AM898" s="4">
        <f t="shared" si="299"/>
        <v>0</v>
      </c>
      <c r="AN898" s="4">
        <f t="shared" si="300"/>
        <v>0</v>
      </c>
      <c r="AO898" s="39"/>
      <c r="AP898" s="8">
        <f t="shared" si="301"/>
        <v>0</v>
      </c>
      <c r="AQ898" s="8">
        <f t="shared" si="302"/>
        <v>0</v>
      </c>
      <c r="AR898" s="8">
        <f t="shared" si="303"/>
        <v>0</v>
      </c>
      <c r="AS898" s="42"/>
      <c r="AT898" s="84"/>
      <c r="AU898" s="84"/>
      <c r="AV898" s="4">
        <f t="shared" si="304"/>
        <v>0</v>
      </c>
      <c r="AW898" s="50" t="str">
        <f t="shared" si="305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293"/>
        <v/>
      </c>
      <c r="P899" s="84"/>
      <c r="Q899" s="84"/>
      <c r="R899" s="32"/>
      <c r="S899" s="3" t="str">
        <f t="shared" si="294"/>
        <v/>
      </c>
      <c r="T899" s="84"/>
      <c r="U899" s="84"/>
      <c r="V899" s="32"/>
      <c r="W899" s="3" t="str">
        <f t="shared" si="295"/>
        <v/>
      </c>
      <c r="X899" s="84"/>
      <c r="Y899" s="84"/>
      <c r="Z899" s="32"/>
      <c r="AA899" s="3" t="str">
        <f t="shared" si="296"/>
        <v/>
      </c>
      <c r="AB899" s="84"/>
      <c r="AC899" s="84"/>
      <c r="AD899" s="36"/>
      <c r="AE899" s="82"/>
      <c r="AF899" s="3" t="str">
        <f t="shared" si="297"/>
        <v/>
      </c>
      <c r="AG899" s="84"/>
      <c r="AH899" s="84"/>
      <c r="AI899" s="39"/>
      <c r="AJ899" s="79"/>
      <c r="AK899" s="39"/>
      <c r="AL899" s="4">
        <f t="shared" si="298"/>
        <v>0</v>
      </c>
      <c r="AM899" s="4">
        <f t="shared" si="299"/>
        <v>0</v>
      </c>
      <c r="AN899" s="4">
        <f t="shared" si="300"/>
        <v>0</v>
      </c>
      <c r="AO899" s="39"/>
      <c r="AP899" s="8">
        <f t="shared" si="301"/>
        <v>0</v>
      </c>
      <c r="AQ899" s="8">
        <f t="shared" si="302"/>
        <v>0</v>
      </c>
      <c r="AR899" s="8">
        <f t="shared" si="303"/>
        <v>0</v>
      </c>
      <c r="AS899" s="42"/>
      <c r="AT899" s="84"/>
      <c r="AU899" s="84"/>
      <c r="AV899" s="4">
        <f t="shared" si="304"/>
        <v>0</v>
      </c>
      <c r="AW899" s="50" t="str">
        <f t="shared" si="305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293"/>
        <v/>
      </c>
      <c r="P900" s="84"/>
      <c r="Q900" s="84"/>
      <c r="R900" s="32"/>
      <c r="S900" s="3" t="str">
        <f t="shared" si="294"/>
        <v/>
      </c>
      <c r="T900" s="84"/>
      <c r="U900" s="84"/>
      <c r="V900" s="32"/>
      <c r="W900" s="3" t="str">
        <f t="shared" si="295"/>
        <v/>
      </c>
      <c r="X900" s="84"/>
      <c r="Y900" s="84"/>
      <c r="Z900" s="32"/>
      <c r="AA900" s="3" t="str">
        <f t="shared" si="296"/>
        <v/>
      </c>
      <c r="AB900" s="84"/>
      <c r="AC900" s="84"/>
      <c r="AD900" s="36"/>
      <c r="AE900" s="82"/>
      <c r="AF900" s="3" t="str">
        <f t="shared" si="297"/>
        <v/>
      </c>
      <c r="AG900" s="84"/>
      <c r="AH900" s="84"/>
      <c r="AI900" s="39"/>
      <c r="AJ900" s="79"/>
      <c r="AK900" s="39"/>
      <c r="AL900" s="4">
        <f t="shared" si="298"/>
        <v>0</v>
      </c>
      <c r="AM900" s="4">
        <f t="shared" si="299"/>
        <v>0</v>
      </c>
      <c r="AN900" s="4">
        <f t="shared" si="300"/>
        <v>0</v>
      </c>
      <c r="AO900" s="39"/>
      <c r="AP900" s="8">
        <f t="shared" si="301"/>
        <v>0</v>
      </c>
      <c r="AQ900" s="8">
        <f t="shared" si="302"/>
        <v>0</v>
      </c>
      <c r="AR900" s="8">
        <f t="shared" si="303"/>
        <v>0</v>
      </c>
      <c r="AS900" s="42"/>
      <c r="AT900" s="84"/>
      <c r="AU900" s="84"/>
      <c r="AV900" s="4">
        <f t="shared" si="304"/>
        <v>0</v>
      </c>
      <c r="AW900" s="50" t="str">
        <f t="shared" si="305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293"/>
        <v/>
      </c>
      <c r="P901" s="84"/>
      <c r="Q901" s="84"/>
      <c r="R901" s="32"/>
      <c r="S901" s="3" t="str">
        <f t="shared" si="294"/>
        <v/>
      </c>
      <c r="T901" s="84"/>
      <c r="U901" s="84"/>
      <c r="V901" s="32"/>
      <c r="W901" s="3" t="str">
        <f t="shared" si="295"/>
        <v/>
      </c>
      <c r="X901" s="84"/>
      <c r="Y901" s="84"/>
      <c r="Z901" s="32"/>
      <c r="AA901" s="3" t="str">
        <f t="shared" si="296"/>
        <v/>
      </c>
      <c r="AB901" s="84"/>
      <c r="AC901" s="84"/>
      <c r="AD901" s="36"/>
      <c r="AE901" s="82"/>
      <c r="AF901" s="3" t="str">
        <f t="shared" si="297"/>
        <v/>
      </c>
      <c r="AG901" s="84"/>
      <c r="AH901" s="84"/>
      <c r="AI901" s="39"/>
      <c r="AJ901" s="79"/>
      <c r="AK901" s="39"/>
      <c r="AL901" s="4">
        <f t="shared" si="298"/>
        <v>0</v>
      </c>
      <c r="AM901" s="4">
        <f t="shared" si="299"/>
        <v>0</v>
      </c>
      <c r="AN901" s="4">
        <f t="shared" si="300"/>
        <v>0</v>
      </c>
      <c r="AO901" s="39"/>
      <c r="AP901" s="8">
        <f t="shared" si="301"/>
        <v>0</v>
      </c>
      <c r="AQ901" s="8">
        <f t="shared" si="302"/>
        <v>0</v>
      </c>
      <c r="AR901" s="8">
        <f t="shared" si="303"/>
        <v>0</v>
      </c>
      <c r="AS901" s="42"/>
      <c r="AT901" s="84"/>
      <c r="AU901" s="84"/>
      <c r="AV901" s="4">
        <f t="shared" si="304"/>
        <v>0</v>
      </c>
      <c r="AW901" s="50" t="str">
        <f t="shared" si="305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293"/>
        <v/>
      </c>
      <c r="P902" s="84"/>
      <c r="Q902" s="84"/>
      <c r="R902" s="32"/>
      <c r="S902" s="3" t="str">
        <f t="shared" si="294"/>
        <v/>
      </c>
      <c r="T902" s="84"/>
      <c r="U902" s="84"/>
      <c r="V902" s="32"/>
      <c r="W902" s="3" t="str">
        <f t="shared" si="295"/>
        <v/>
      </c>
      <c r="X902" s="84"/>
      <c r="Y902" s="84"/>
      <c r="Z902" s="32"/>
      <c r="AA902" s="3" t="str">
        <f t="shared" si="296"/>
        <v/>
      </c>
      <c r="AB902" s="84"/>
      <c r="AC902" s="84"/>
      <c r="AD902" s="36"/>
      <c r="AE902" s="82"/>
      <c r="AF902" s="3" t="str">
        <f t="shared" si="297"/>
        <v/>
      </c>
      <c r="AG902" s="84"/>
      <c r="AH902" s="84"/>
      <c r="AI902" s="39"/>
      <c r="AJ902" s="79"/>
      <c r="AK902" s="39"/>
      <c r="AL902" s="4">
        <f t="shared" si="298"/>
        <v>0</v>
      </c>
      <c r="AM902" s="4">
        <f t="shared" si="299"/>
        <v>0</v>
      </c>
      <c r="AN902" s="4">
        <f t="shared" si="300"/>
        <v>0</v>
      </c>
      <c r="AO902" s="39"/>
      <c r="AP902" s="8">
        <f t="shared" si="301"/>
        <v>0</v>
      </c>
      <c r="AQ902" s="8">
        <f t="shared" si="302"/>
        <v>0</v>
      </c>
      <c r="AR902" s="8">
        <f t="shared" si="303"/>
        <v>0</v>
      </c>
      <c r="AS902" s="42"/>
      <c r="AT902" s="84"/>
      <c r="AU902" s="84"/>
      <c r="AV902" s="4">
        <f t="shared" si="304"/>
        <v>0</v>
      </c>
      <c r="AW902" s="50" t="str">
        <f t="shared" si="305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293"/>
        <v/>
      </c>
      <c r="P903" s="84"/>
      <c r="Q903" s="84"/>
      <c r="R903" s="32"/>
      <c r="S903" s="3" t="str">
        <f t="shared" si="294"/>
        <v/>
      </c>
      <c r="T903" s="84"/>
      <c r="U903" s="84"/>
      <c r="V903" s="32"/>
      <c r="W903" s="3" t="str">
        <f t="shared" si="295"/>
        <v/>
      </c>
      <c r="X903" s="84"/>
      <c r="Y903" s="84"/>
      <c r="Z903" s="32"/>
      <c r="AA903" s="3" t="str">
        <f t="shared" si="296"/>
        <v/>
      </c>
      <c r="AB903" s="84"/>
      <c r="AC903" s="84"/>
      <c r="AD903" s="36"/>
      <c r="AE903" s="82"/>
      <c r="AF903" s="3" t="str">
        <f t="shared" si="297"/>
        <v/>
      </c>
      <c r="AG903" s="84"/>
      <c r="AH903" s="84"/>
      <c r="AI903" s="39"/>
      <c r="AJ903" s="79"/>
      <c r="AK903" s="39"/>
      <c r="AL903" s="4">
        <f t="shared" si="298"/>
        <v>0</v>
      </c>
      <c r="AM903" s="4">
        <f t="shared" si="299"/>
        <v>0</v>
      </c>
      <c r="AN903" s="4">
        <f t="shared" si="300"/>
        <v>0</v>
      </c>
      <c r="AO903" s="39"/>
      <c r="AP903" s="8">
        <f t="shared" si="301"/>
        <v>0</v>
      </c>
      <c r="AQ903" s="8">
        <f t="shared" si="302"/>
        <v>0</v>
      </c>
      <c r="AR903" s="8">
        <f t="shared" si="303"/>
        <v>0</v>
      </c>
      <c r="AS903" s="42"/>
      <c r="AT903" s="84"/>
      <c r="AU903" s="84"/>
      <c r="AV903" s="4">
        <f t="shared" si="304"/>
        <v>0</v>
      </c>
      <c r="AW903" s="50" t="str">
        <f t="shared" si="305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293"/>
        <v/>
      </c>
      <c r="P904" s="84"/>
      <c r="Q904" s="84"/>
      <c r="R904" s="32"/>
      <c r="S904" s="3" t="str">
        <f t="shared" si="294"/>
        <v/>
      </c>
      <c r="T904" s="84"/>
      <c r="U904" s="84"/>
      <c r="V904" s="32"/>
      <c r="W904" s="3" t="str">
        <f t="shared" si="295"/>
        <v/>
      </c>
      <c r="X904" s="84"/>
      <c r="Y904" s="84"/>
      <c r="Z904" s="32"/>
      <c r="AA904" s="3" t="str">
        <f t="shared" si="296"/>
        <v/>
      </c>
      <c r="AB904" s="84"/>
      <c r="AC904" s="84"/>
      <c r="AD904" s="36"/>
      <c r="AE904" s="82"/>
      <c r="AF904" s="3" t="str">
        <f t="shared" si="297"/>
        <v/>
      </c>
      <c r="AG904" s="84"/>
      <c r="AH904" s="84"/>
      <c r="AI904" s="39"/>
      <c r="AJ904" s="79"/>
      <c r="AK904" s="39"/>
      <c r="AL904" s="4">
        <f t="shared" si="298"/>
        <v>0</v>
      </c>
      <c r="AM904" s="4">
        <f t="shared" si="299"/>
        <v>0</v>
      </c>
      <c r="AN904" s="4">
        <f t="shared" si="300"/>
        <v>0</v>
      </c>
      <c r="AO904" s="39"/>
      <c r="AP904" s="8">
        <f t="shared" si="301"/>
        <v>0</v>
      </c>
      <c r="AQ904" s="8">
        <f t="shared" si="302"/>
        <v>0</v>
      </c>
      <c r="AR904" s="8">
        <f t="shared" si="303"/>
        <v>0</v>
      </c>
      <c r="AS904" s="42"/>
      <c r="AT904" s="84"/>
      <c r="AU904" s="84"/>
      <c r="AV904" s="4">
        <f t="shared" si="304"/>
        <v>0</v>
      </c>
      <c r="AW904" s="50" t="str">
        <f t="shared" si="305"/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293"/>
        <v/>
      </c>
      <c r="P905" s="84"/>
      <c r="Q905" s="84"/>
      <c r="R905" s="32"/>
      <c r="S905" s="3" t="str">
        <f t="shared" si="294"/>
        <v/>
      </c>
      <c r="T905" s="84"/>
      <c r="U905" s="84"/>
      <c r="V905" s="32"/>
      <c r="W905" s="3" t="str">
        <f t="shared" si="295"/>
        <v/>
      </c>
      <c r="X905" s="84"/>
      <c r="Y905" s="84"/>
      <c r="Z905" s="32"/>
      <c r="AA905" s="3" t="str">
        <f t="shared" si="296"/>
        <v/>
      </c>
      <c r="AB905" s="84"/>
      <c r="AC905" s="84"/>
      <c r="AD905" s="36"/>
      <c r="AE905" s="82"/>
      <c r="AF905" s="3" t="str">
        <f t="shared" si="297"/>
        <v/>
      </c>
      <c r="AG905" s="84"/>
      <c r="AH905" s="84"/>
      <c r="AI905" s="39"/>
      <c r="AJ905" s="79"/>
      <c r="AK905" s="39"/>
      <c r="AL905" s="4">
        <f t="shared" si="298"/>
        <v>0</v>
      </c>
      <c r="AM905" s="4">
        <f t="shared" si="299"/>
        <v>0</v>
      </c>
      <c r="AN905" s="4">
        <f t="shared" si="300"/>
        <v>0</v>
      </c>
      <c r="AO905" s="39"/>
      <c r="AP905" s="8">
        <f t="shared" si="301"/>
        <v>0</v>
      </c>
      <c r="AQ905" s="8">
        <f t="shared" si="302"/>
        <v>0</v>
      </c>
      <c r="AR905" s="8">
        <f t="shared" si="303"/>
        <v>0</v>
      </c>
      <c r="AS905" s="42"/>
      <c r="AT905" s="84"/>
      <c r="AU905" s="84"/>
      <c r="AV905" s="4">
        <f t="shared" si="304"/>
        <v>0</v>
      </c>
      <c r="AW905" s="50" t="str">
        <f t="shared" si="305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293"/>
        <v/>
      </c>
      <c r="P906" s="84"/>
      <c r="Q906" s="84"/>
      <c r="R906" s="32"/>
      <c r="S906" s="3" t="str">
        <f t="shared" si="294"/>
        <v/>
      </c>
      <c r="T906" s="84"/>
      <c r="U906" s="84"/>
      <c r="V906" s="32"/>
      <c r="W906" s="3" t="str">
        <f t="shared" si="295"/>
        <v/>
      </c>
      <c r="X906" s="84"/>
      <c r="Y906" s="84"/>
      <c r="Z906" s="32"/>
      <c r="AA906" s="3" t="str">
        <f t="shared" si="296"/>
        <v/>
      </c>
      <c r="AB906" s="84"/>
      <c r="AC906" s="84"/>
      <c r="AD906" s="36"/>
      <c r="AE906" s="82"/>
      <c r="AF906" s="3" t="str">
        <f t="shared" si="297"/>
        <v/>
      </c>
      <c r="AG906" s="84"/>
      <c r="AH906" s="84"/>
      <c r="AI906" s="39"/>
      <c r="AJ906" s="79"/>
      <c r="AK906" s="39"/>
      <c r="AL906" s="4">
        <f t="shared" si="298"/>
        <v>0</v>
      </c>
      <c r="AM906" s="4">
        <f t="shared" si="299"/>
        <v>0</v>
      </c>
      <c r="AN906" s="4">
        <f t="shared" si="300"/>
        <v>0</v>
      </c>
      <c r="AO906" s="39"/>
      <c r="AP906" s="8">
        <f t="shared" si="301"/>
        <v>0</v>
      </c>
      <c r="AQ906" s="8">
        <f t="shared" si="302"/>
        <v>0</v>
      </c>
      <c r="AR906" s="8">
        <f t="shared" si="303"/>
        <v>0</v>
      </c>
      <c r="AS906" s="42"/>
      <c r="AT906" s="84"/>
      <c r="AU906" s="84"/>
      <c r="AV906" s="4">
        <f t="shared" si="304"/>
        <v>0</v>
      </c>
      <c r="AW906" s="50" t="str">
        <f t="shared" si="305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293"/>
        <v/>
      </c>
      <c r="P907" s="84"/>
      <c r="Q907" s="84"/>
      <c r="R907" s="32"/>
      <c r="S907" s="3" t="str">
        <f t="shared" si="294"/>
        <v/>
      </c>
      <c r="T907" s="84"/>
      <c r="U907" s="84"/>
      <c r="V907" s="32"/>
      <c r="W907" s="3" t="str">
        <f t="shared" si="295"/>
        <v/>
      </c>
      <c r="X907" s="84"/>
      <c r="Y907" s="84"/>
      <c r="Z907" s="32"/>
      <c r="AA907" s="3" t="str">
        <f t="shared" si="296"/>
        <v/>
      </c>
      <c r="AB907" s="84"/>
      <c r="AC907" s="84"/>
      <c r="AD907" s="36"/>
      <c r="AE907" s="82"/>
      <c r="AF907" s="3" t="str">
        <f t="shared" si="297"/>
        <v/>
      </c>
      <c r="AG907" s="84"/>
      <c r="AH907" s="84"/>
      <c r="AI907" s="39"/>
      <c r="AJ907" s="79"/>
      <c r="AK907" s="39"/>
      <c r="AL907" s="4">
        <f t="shared" si="298"/>
        <v>0</v>
      </c>
      <c r="AM907" s="4">
        <f t="shared" si="299"/>
        <v>0</v>
      </c>
      <c r="AN907" s="4">
        <f t="shared" si="300"/>
        <v>0</v>
      </c>
      <c r="AO907" s="39"/>
      <c r="AP907" s="8">
        <f t="shared" si="301"/>
        <v>0</v>
      </c>
      <c r="AQ907" s="8">
        <f t="shared" si="302"/>
        <v>0</v>
      </c>
      <c r="AR907" s="8">
        <f t="shared" si="303"/>
        <v>0</v>
      </c>
      <c r="AS907" s="42"/>
      <c r="AT907" s="84"/>
      <c r="AU907" s="84"/>
      <c r="AV907" s="4">
        <f t="shared" si="304"/>
        <v>0</v>
      </c>
      <c r="AW907" s="50" t="str">
        <f t="shared" si="305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293"/>
        <v/>
      </c>
      <c r="P908" s="84"/>
      <c r="Q908" s="84"/>
      <c r="R908" s="32"/>
      <c r="S908" s="3" t="str">
        <f t="shared" si="294"/>
        <v/>
      </c>
      <c r="T908" s="84"/>
      <c r="U908" s="84"/>
      <c r="V908" s="32"/>
      <c r="W908" s="3" t="str">
        <f t="shared" si="295"/>
        <v/>
      </c>
      <c r="X908" s="84"/>
      <c r="Y908" s="84"/>
      <c r="Z908" s="32"/>
      <c r="AA908" s="3" t="str">
        <f t="shared" si="296"/>
        <v/>
      </c>
      <c r="AB908" s="84"/>
      <c r="AC908" s="84"/>
      <c r="AD908" s="36"/>
      <c r="AE908" s="82"/>
      <c r="AF908" s="3" t="str">
        <f t="shared" si="297"/>
        <v/>
      </c>
      <c r="AG908" s="84"/>
      <c r="AH908" s="84"/>
      <c r="AI908" s="39"/>
      <c r="AJ908" s="79"/>
      <c r="AK908" s="39"/>
      <c r="AL908" s="4">
        <f t="shared" si="298"/>
        <v>0</v>
      </c>
      <c r="AM908" s="4">
        <f t="shared" si="299"/>
        <v>0</v>
      </c>
      <c r="AN908" s="4">
        <f t="shared" si="300"/>
        <v>0</v>
      </c>
      <c r="AO908" s="39"/>
      <c r="AP908" s="8">
        <f t="shared" si="301"/>
        <v>0</v>
      </c>
      <c r="AQ908" s="8">
        <f t="shared" si="302"/>
        <v>0</v>
      </c>
      <c r="AR908" s="8">
        <f t="shared" si="303"/>
        <v>0</v>
      </c>
      <c r="AS908" s="42"/>
      <c r="AT908" s="84"/>
      <c r="AU908" s="84"/>
      <c r="AV908" s="4">
        <f t="shared" si="304"/>
        <v>0</v>
      </c>
      <c r="AW908" s="50" t="str">
        <f t="shared" si="305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293"/>
        <v/>
      </c>
      <c r="P909" s="84"/>
      <c r="Q909" s="84"/>
      <c r="R909" s="32"/>
      <c r="S909" s="3" t="str">
        <f t="shared" si="294"/>
        <v/>
      </c>
      <c r="T909" s="84"/>
      <c r="U909" s="84"/>
      <c r="V909" s="32"/>
      <c r="W909" s="3" t="str">
        <f t="shared" si="295"/>
        <v/>
      </c>
      <c r="X909" s="84"/>
      <c r="Y909" s="84"/>
      <c r="Z909" s="32"/>
      <c r="AA909" s="3" t="str">
        <f t="shared" si="296"/>
        <v/>
      </c>
      <c r="AB909" s="84"/>
      <c r="AC909" s="84"/>
      <c r="AD909" s="36"/>
      <c r="AE909" s="82"/>
      <c r="AF909" s="3" t="str">
        <f t="shared" si="297"/>
        <v/>
      </c>
      <c r="AG909" s="84"/>
      <c r="AH909" s="84"/>
      <c r="AI909" s="39"/>
      <c r="AJ909" s="79"/>
      <c r="AK909" s="39"/>
      <c r="AL909" s="4">
        <f t="shared" si="298"/>
        <v>0</v>
      </c>
      <c r="AM909" s="4">
        <f t="shared" si="299"/>
        <v>0</v>
      </c>
      <c r="AN909" s="4">
        <f t="shared" si="300"/>
        <v>0</v>
      </c>
      <c r="AO909" s="39"/>
      <c r="AP909" s="8">
        <f t="shared" si="301"/>
        <v>0</v>
      </c>
      <c r="AQ909" s="8">
        <f t="shared" si="302"/>
        <v>0</v>
      </c>
      <c r="AR909" s="8">
        <f t="shared" si="303"/>
        <v>0</v>
      </c>
      <c r="AS909" s="42"/>
      <c r="AT909" s="84"/>
      <c r="AU909" s="84"/>
      <c r="AV909" s="4">
        <f t="shared" si="304"/>
        <v>0</v>
      </c>
      <c r="AW909" s="50" t="str">
        <f t="shared" si="305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293"/>
        <v/>
      </c>
      <c r="P910" s="84"/>
      <c r="Q910" s="84"/>
      <c r="R910" s="32"/>
      <c r="S910" s="3" t="str">
        <f t="shared" si="294"/>
        <v/>
      </c>
      <c r="T910" s="84"/>
      <c r="U910" s="84"/>
      <c r="V910" s="32"/>
      <c r="W910" s="3" t="str">
        <f t="shared" si="295"/>
        <v/>
      </c>
      <c r="X910" s="84"/>
      <c r="Y910" s="84"/>
      <c r="Z910" s="32"/>
      <c r="AA910" s="3" t="str">
        <f t="shared" si="296"/>
        <v/>
      </c>
      <c r="AB910" s="84"/>
      <c r="AC910" s="84"/>
      <c r="AD910" s="36"/>
      <c r="AE910" s="82"/>
      <c r="AF910" s="3" t="str">
        <f t="shared" si="297"/>
        <v/>
      </c>
      <c r="AG910" s="84"/>
      <c r="AH910" s="84"/>
      <c r="AI910" s="39"/>
      <c r="AJ910" s="79"/>
      <c r="AK910" s="39"/>
      <c r="AL910" s="4">
        <f t="shared" si="298"/>
        <v>0</v>
      </c>
      <c r="AM910" s="4">
        <f t="shared" si="299"/>
        <v>0</v>
      </c>
      <c r="AN910" s="4">
        <f t="shared" si="300"/>
        <v>0</v>
      </c>
      <c r="AO910" s="39"/>
      <c r="AP910" s="8">
        <f t="shared" si="301"/>
        <v>0</v>
      </c>
      <c r="AQ910" s="8">
        <f t="shared" si="302"/>
        <v>0</v>
      </c>
      <c r="AR910" s="8">
        <f t="shared" si="303"/>
        <v>0</v>
      </c>
      <c r="AS910" s="42"/>
      <c r="AT910" s="84"/>
      <c r="AU910" s="84"/>
      <c r="AV910" s="4">
        <f t="shared" si="304"/>
        <v>0</v>
      </c>
      <c r="AW910" s="50" t="str">
        <f t="shared" si="305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293"/>
        <v/>
      </c>
      <c r="P911" s="84"/>
      <c r="Q911" s="84"/>
      <c r="R911" s="32"/>
      <c r="S911" s="3" t="str">
        <f t="shared" si="294"/>
        <v/>
      </c>
      <c r="T911" s="84"/>
      <c r="U911" s="84"/>
      <c r="V911" s="32"/>
      <c r="W911" s="3" t="str">
        <f t="shared" si="295"/>
        <v/>
      </c>
      <c r="X911" s="84"/>
      <c r="Y911" s="84"/>
      <c r="Z911" s="32"/>
      <c r="AA911" s="3" t="str">
        <f t="shared" si="296"/>
        <v/>
      </c>
      <c r="AB911" s="84"/>
      <c r="AC911" s="84"/>
      <c r="AD911" s="36"/>
      <c r="AE911" s="82"/>
      <c r="AF911" s="3" t="str">
        <f t="shared" si="297"/>
        <v/>
      </c>
      <c r="AG911" s="84"/>
      <c r="AH911" s="84"/>
      <c r="AI911" s="39"/>
      <c r="AJ911" s="79"/>
      <c r="AK911" s="39"/>
      <c r="AL911" s="4">
        <f t="shared" si="298"/>
        <v>0</v>
      </c>
      <c r="AM911" s="4">
        <f t="shared" si="299"/>
        <v>0</v>
      </c>
      <c r="AN911" s="4">
        <f t="shared" si="300"/>
        <v>0</v>
      </c>
      <c r="AO911" s="39"/>
      <c r="AP911" s="8">
        <f t="shared" si="301"/>
        <v>0</v>
      </c>
      <c r="AQ911" s="8">
        <f t="shared" si="302"/>
        <v>0</v>
      </c>
      <c r="AR911" s="8">
        <f t="shared" si="303"/>
        <v>0</v>
      </c>
      <c r="AS911" s="42"/>
      <c r="AT911" s="84"/>
      <c r="AU911" s="84"/>
      <c r="AV911" s="4">
        <f t="shared" si="304"/>
        <v>0</v>
      </c>
      <c r="AW911" s="50" t="str">
        <f t="shared" si="305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293"/>
        <v/>
      </c>
      <c r="P912" s="84"/>
      <c r="Q912" s="84"/>
      <c r="R912" s="32"/>
      <c r="S912" s="3" t="str">
        <f t="shared" si="294"/>
        <v/>
      </c>
      <c r="T912" s="84"/>
      <c r="U912" s="84"/>
      <c r="V912" s="32"/>
      <c r="W912" s="3" t="str">
        <f t="shared" si="295"/>
        <v/>
      </c>
      <c r="X912" s="84"/>
      <c r="Y912" s="84"/>
      <c r="Z912" s="32"/>
      <c r="AA912" s="3" t="str">
        <f t="shared" si="296"/>
        <v/>
      </c>
      <c r="AB912" s="84"/>
      <c r="AC912" s="84"/>
      <c r="AD912" s="36"/>
      <c r="AE912" s="82"/>
      <c r="AF912" s="3" t="str">
        <f t="shared" si="297"/>
        <v/>
      </c>
      <c r="AG912" s="84"/>
      <c r="AH912" s="84"/>
      <c r="AI912" s="39"/>
      <c r="AJ912" s="79"/>
      <c r="AK912" s="39"/>
      <c r="AL912" s="4">
        <f t="shared" si="298"/>
        <v>0</v>
      </c>
      <c r="AM912" s="4">
        <f t="shared" si="299"/>
        <v>0</v>
      </c>
      <c r="AN912" s="4">
        <f t="shared" si="300"/>
        <v>0</v>
      </c>
      <c r="AO912" s="39"/>
      <c r="AP912" s="8">
        <f t="shared" si="301"/>
        <v>0</v>
      </c>
      <c r="AQ912" s="8">
        <f t="shared" si="302"/>
        <v>0</v>
      </c>
      <c r="AR912" s="8">
        <f t="shared" si="303"/>
        <v>0</v>
      </c>
      <c r="AS912" s="42"/>
      <c r="AT912" s="84"/>
      <c r="AU912" s="84"/>
      <c r="AV912" s="4">
        <f t="shared" si="304"/>
        <v>0</v>
      </c>
      <c r="AW912" s="50" t="str">
        <f t="shared" si="305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293"/>
        <v/>
      </c>
      <c r="P913" s="84"/>
      <c r="Q913" s="84"/>
      <c r="R913" s="32"/>
      <c r="S913" s="3" t="str">
        <f t="shared" si="294"/>
        <v/>
      </c>
      <c r="T913" s="84"/>
      <c r="U913" s="84"/>
      <c r="V913" s="32"/>
      <c r="W913" s="3" t="str">
        <f t="shared" si="295"/>
        <v/>
      </c>
      <c r="X913" s="84"/>
      <c r="Y913" s="84"/>
      <c r="Z913" s="32"/>
      <c r="AA913" s="3" t="str">
        <f t="shared" si="296"/>
        <v/>
      </c>
      <c r="AB913" s="84"/>
      <c r="AC913" s="84"/>
      <c r="AD913" s="36"/>
      <c r="AE913" s="82"/>
      <c r="AF913" s="3" t="str">
        <f t="shared" si="297"/>
        <v/>
      </c>
      <c r="AG913" s="84"/>
      <c r="AH913" s="84"/>
      <c r="AI913" s="39"/>
      <c r="AJ913" s="79"/>
      <c r="AK913" s="39"/>
      <c r="AL913" s="4">
        <f t="shared" si="298"/>
        <v>0</v>
      </c>
      <c r="AM913" s="4">
        <f t="shared" si="299"/>
        <v>0</v>
      </c>
      <c r="AN913" s="4">
        <f t="shared" si="300"/>
        <v>0</v>
      </c>
      <c r="AO913" s="39"/>
      <c r="AP913" s="8">
        <f t="shared" si="301"/>
        <v>0</v>
      </c>
      <c r="AQ913" s="8">
        <f t="shared" si="302"/>
        <v>0</v>
      </c>
      <c r="AR913" s="8">
        <f t="shared" si="303"/>
        <v>0</v>
      </c>
      <c r="AS913" s="42"/>
      <c r="AT913" s="84"/>
      <c r="AU913" s="84"/>
      <c r="AV913" s="4">
        <f t="shared" si="304"/>
        <v>0</v>
      </c>
      <c r="AW913" s="50" t="str">
        <f t="shared" si="305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293"/>
        <v/>
      </c>
      <c r="P914" s="84"/>
      <c r="Q914" s="84"/>
      <c r="R914" s="32"/>
      <c r="S914" s="3" t="str">
        <f t="shared" si="294"/>
        <v/>
      </c>
      <c r="T914" s="84"/>
      <c r="U914" s="84"/>
      <c r="V914" s="32"/>
      <c r="W914" s="3" t="str">
        <f t="shared" si="295"/>
        <v/>
      </c>
      <c r="X914" s="84"/>
      <c r="Y914" s="84"/>
      <c r="Z914" s="32"/>
      <c r="AA914" s="3" t="str">
        <f t="shared" si="296"/>
        <v/>
      </c>
      <c r="AB914" s="84"/>
      <c r="AC914" s="84"/>
      <c r="AD914" s="36"/>
      <c r="AE914" s="82"/>
      <c r="AF914" s="3" t="str">
        <f t="shared" si="297"/>
        <v/>
      </c>
      <c r="AG914" s="84"/>
      <c r="AH914" s="84"/>
      <c r="AI914" s="39"/>
      <c r="AJ914" s="79"/>
      <c r="AK914" s="39"/>
      <c r="AL914" s="4">
        <f t="shared" si="298"/>
        <v>0</v>
      </c>
      <c r="AM914" s="4">
        <f t="shared" si="299"/>
        <v>0</v>
      </c>
      <c r="AN914" s="4">
        <f t="shared" si="300"/>
        <v>0</v>
      </c>
      <c r="AO914" s="39"/>
      <c r="AP914" s="8">
        <f t="shared" si="301"/>
        <v>0</v>
      </c>
      <c r="AQ914" s="8">
        <f t="shared" si="302"/>
        <v>0</v>
      </c>
      <c r="AR914" s="8">
        <f t="shared" si="303"/>
        <v>0</v>
      </c>
      <c r="AS914" s="42"/>
      <c r="AT914" s="84"/>
      <c r="AU914" s="84"/>
      <c r="AV914" s="4">
        <f t="shared" si="304"/>
        <v>0</v>
      </c>
      <c r="AW914" s="50" t="str">
        <f t="shared" si="305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293"/>
        <v/>
      </c>
      <c r="P915" s="84"/>
      <c r="Q915" s="84"/>
      <c r="R915" s="32"/>
      <c r="S915" s="3" t="str">
        <f t="shared" si="294"/>
        <v/>
      </c>
      <c r="T915" s="84"/>
      <c r="U915" s="84"/>
      <c r="V915" s="32"/>
      <c r="W915" s="3" t="str">
        <f t="shared" si="295"/>
        <v/>
      </c>
      <c r="X915" s="84"/>
      <c r="Y915" s="84"/>
      <c r="Z915" s="32"/>
      <c r="AA915" s="3" t="str">
        <f t="shared" si="296"/>
        <v/>
      </c>
      <c r="AB915" s="84"/>
      <c r="AC915" s="84"/>
      <c r="AD915" s="36"/>
      <c r="AE915" s="82"/>
      <c r="AF915" s="3" t="str">
        <f t="shared" si="297"/>
        <v/>
      </c>
      <c r="AG915" s="84"/>
      <c r="AH915" s="84"/>
      <c r="AI915" s="39"/>
      <c r="AJ915" s="79"/>
      <c r="AK915" s="39"/>
      <c r="AL915" s="4">
        <f t="shared" si="298"/>
        <v>0</v>
      </c>
      <c r="AM915" s="4">
        <f t="shared" si="299"/>
        <v>0</v>
      </c>
      <c r="AN915" s="4">
        <f t="shared" si="300"/>
        <v>0</v>
      </c>
      <c r="AO915" s="39"/>
      <c r="AP915" s="8">
        <f t="shared" si="301"/>
        <v>0</v>
      </c>
      <c r="AQ915" s="8">
        <f t="shared" si="302"/>
        <v>0</v>
      </c>
      <c r="AR915" s="8">
        <f t="shared" si="303"/>
        <v>0</v>
      </c>
      <c r="AS915" s="42"/>
      <c r="AT915" s="84"/>
      <c r="AU915" s="84"/>
      <c r="AV915" s="4">
        <f t="shared" si="304"/>
        <v>0</v>
      </c>
      <c r="AW915" s="50" t="str">
        <f t="shared" si="305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293"/>
        <v/>
      </c>
      <c r="P916" s="84"/>
      <c r="Q916" s="84"/>
      <c r="R916" s="32"/>
      <c r="S916" s="3" t="str">
        <f t="shared" si="294"/>
        <v/>
      </c>
      <c r="T916" s="84"/>
      <c r="U916" s="84"/>
      <c r="V916" s="32"/>
      <c r="W916" s="3" t="str">
        <f t="shared" si="295"/>
        <v/>
      </c>
      <c r="X916" s="84"/>
      <c r="Y916" s="84"/>
      <c r="Z916" s="32"/>
      <c r="AA916" s="3" t="str">
        <f t="shared" si="296"/>
        <v/>
      </c>
      <c r="AB916" s="84"/>
      <c r="AC916" s="84"/>
      <c r="AD916" s="36"/>
      <c r="AE916" s="82"/>
      <c r="AF916" s="3" t="str">
        <f t="shared" si="297"/>
        <v/>
      </c>
      <c r="AG916" s="84"/>
      <c r="AH916" s="84"/>
      <c r="AI916" s="39"/>
      <c r="AJ916" s="79"/>
      <c r="AK916" s="39"/>
      <c r="AL916" s="4">
        <f t="shared" si="298"/>
        <v>0</v>
      </c>
      <c r="AM916" s="4">
        <f t="shared" si="299"/>
        <v>0</v>
      </c>
      <c r="AN916" s="4">
        <f t="shared" si="300"/>
        <v>0</v>
      </c>
      <c r="AO916" s="39"/>
      <c r="AP916" s="8">
        <f t="shared" si="301"/>
        <v>0</v>
      </c>
      <c r="AQ916" s="8">
        <f t="shared" si="302"/>
        <v>0</v>
      </c>
      <c r="AR916" s="8">
        <f t="shared" si="303"/>
        <v>0</v>
      </c>
      <c r="AS916" s="42"/>
      <c r="AT916" s="84"/>
      <c r="AU916" s="84"/>
      <c r="AV916" s="4">
        <f t="shared" si="304"/>
        <v>0</v>
      </c>
      <c r="AW916" s="50" t="str">
        <f t="shared" si="305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293"/>
        <v/>
      </c>
      <c r="P917" s="84"/>
      <c r="Q917" s="84"/>
      <c r="R917" s="32"/>
      <c r="S917" s="3" t="str">
        <f t="shared" si="294"/>
        <v/>
      </c>
      <c r="T917" s="84"/>
      <c r="U917" s="84"/>
      <c r="V917" s="32"/>
      <c r="W917" s="3" t="str">
        <f t="shared" si="295"/>
        <v/>
      </c>
      <c r="X917" s="84"/>
      <c r="Y917" s="84"/>
      <c r="Z917" s="32"/>
      <c r="AA917" s="3" t="str">
        <f t="shared" si="296"/>
        <v/>
      </c>
      <c r="AB917" s="84"/>
      <c r="AC917" s="84"/>
      <c r="AD917" s="36"/>
      <c r="AE917" s="82"/>
      <c r="AF917" s="3" t="str">
        <f t="shared" si="297"/>
        <v/>
      </c>
      <c r="AG917" s="84"/>
      <c r="AH917" s="84"/>
      <c r="AI917" s="39"/>
      <c r="AJ917" s="79"/>
      <c r="AK917" s="39"/>
      <c r="AL917" s="4">
        <f t="shared" si="298"/>
        <v>0</v>
      </c>
      <c r="AM917" s="4">
        <f t="shared" si="299"/>
        <v>0</v>
      </c>
      <c r="AN917" s="4">
        <f t="shared" si="300"/>
        <v>0</v>
      </c>
      <c r="AO917" s="39"/>
      <c r="AP917" s="8">
        <f t="shared" si="301"/>
        <v>0</v>
      </c>
      <c r="AQ917" s="8">
        <f t="shared" si="302"/>
        <v>0</v>
      </c>
      <c r="AR917" s="8">
        <f t="shared" si="303"/>
        <v>0</v>
      </c>
      <c r="AS917" s="42"/>
      <c r="AT917" s="84"/>
      <c r="AU917" s="84"/>
      <c r="AV917" s="4">
        <f t="shared" si="304"/>
        <v>0</v>
      </c>
      <c r="AW917" s="50" t="str">
        <f t="shared" si="305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293"/>
        <v/>
      </c>
      <c r="P918" s="84"/>
      <c r="Q918" s="84"/>
      <c r="R918" s="32"/>
      <c r="S918" s="3" t="str">
        <f t="shared" si="294"/>
        <v/>
      </c>
      <c r="T918" s="84"/>
      <c r="U918" s="84"/>
      <c r="V918" s="32"/>
      <c r="W918" s="3" t="str">
        <f t="shared" si="295"/>
        <v/>
      </c>
      <c r="X918" s="84"/>
      <c r="Y918" s="84"/>
      <c r="Z918" s="32"/>
      <c r="AA918" s="3" t="str">
        <f t="shared" si="296"/>
        <v/>
      </c>
      <c r="AB918" s="84"/>
      <c r="AC918" s="84"/>
      <c r="AD918" s="36"/>
      <c r="AE918" s="82"/>
      <c r="AF918" s="3" t="str">
        <f t="shared" si="297"/>
        <v/>
      </c>
      <c r="AG918" s="84"/>
      <c r="AH918" s="84"/>
      <c r="AI918" s="39"/>
      <c r="AJ918" s="79"/>
      <c r="AK918" s="39"/>
      <c r="AL918" s="4">
        <f t="shared" si="298"/>
        <v>0</v>
      </c>
      <c r="AM918" s="4">
        <f t="shared" si="299"/>
        <v>0</v>
      </c>
      <c r="AN918" s="4">
        <f t="shared" si="300"/>
        <v>0</v>
      </c>
      <c r="AO918" s="39"/>
      <c r="AP918" s="8">
        <f t="shared" si="301"/>
        <v>0</v>
      </c>
      <c r="AQ918" s="8">
        <f t="shared" si="302"/>
        <v>0</v>
      </c>
      <c r="AR918" s="8">
        <f t="shared" si="303"/>
        <v>0</v>
      </c>
      <c r="AS918" s="42"/>
      <c r="AT918" s="84"/>
      <c r="AU918" s="84"/>
      <c r="AV918" s="4">
        <f t="shared" si="304"/>
        <v>0</v>
      </c>
      <c r="AW918" s="50" t="str">
        <f t="shared" si="305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293"/>
        <v/>
      </c>
      <c r="P919" s="84"/>
      <c r="Q919" s="84"/>
      <c r="R919" s="32"/>
      <c r="S919" s="3" t="str">
        <f t="shared" si="294"/>
        <v/>
      </c>
      <c r="T919" s="84"/>
      <c r="U919" s="84"/>
      <c r="V919" s="32"/>
      <c r="W919" s="3" t="str">
        <f t="shared" si="295"/>
        <v/>
      </c>
      <c r="X919" s="84"/>
      <c r="Y919" s="84"/>
      <c r="Z919" s="32"/>
      <c r="AA919" s="3" t="str">
        <f t="shared" si="296"/>
        <v/>
      </c>
      <c r="AB919" s="84"/>
      <c r="AC919" s="84"/>
      <c r="AD919" s="36"/>
      <c r="AE919" s="82"/>
      <c r="AF919" s="3" t="str">
        <f t="shared" si="297"/>
        <v/>
      </c>
      <c r="AG919" s="84"/>
      <c r="AH919" s="84"/>
      <c r="AI919" s="39"/>
      <c r="AJ919" s="79"/>
      <c r="AK919" s="39"/>
      <c r="AL919" s="4">
        <f t="shared" si="298"/>
        <v>0</v>
      </c>
      <c r="AM919" s="4">
        <f t="shared" si="299"/>
        <v>0</v>
      </c>
      <c r="AN919" s="4">
        <f t="shared" si="300"/>
        <v>0</v>
      </c>
      <c r="AO919" s="39"/>
      <c r="AP919" s="8">
        <f t="shared" si="301"/>
        <v>0</v>
      </c>
      <c r="AQ919" s="8">
        <f t="shared" si="302"/>
        <v>0</v>
      </c>
      <c r="AR919" s="8">
        <f t="shared" si="303"/>
        <v>0</v>
      </c>
      <c r="AS919" s="42"/>
      <c r="AT919" s="84"/>
      <c r="AU919" s="84"/>
      <c r="AV919" s="4">
        <f t="shared" si="304"/>
        <v>0</v>
      </c>
      <c r="AW919" s="50" t="str">
        <f t="shared" si="305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293"/>
        <v/>
      </c>
      <c r="P920" s="84"/>
      <c r="Q920" s="84"/>
      <c r="R920" s="32"/>
      <c r="S920" s="3" t="str">
        <f t="shared" si="294"/>
        <v/>
      </c>
      <c r="T920" s="84"/>
      <c r="U920" s="84"/>
      <c r="V920" s="32"/>
      <c r="W920" s="3" t="str">
        <f t="shared" si="295"/>
        <v/>
      </c>
      <c r="X920" s="84"/>
      <c r="Y920" s="84"/>
      <c r="Z920" s="32"/>
      <c r="AA920" s="3" t="str">
        <f t="shared" si="296"/>
        <v/>
      </c>
      <c r="AB920" s="84"/>
      <c r="AC920" s="84"/>
      <c r="AD920" s="36"/>
      <c r="AE920" s="82"/>
      <c r="AF920" s="3" t="str">
        <f t="shared" si="297"/>
        <v/>
      </c>
      <c r="AG920" s="84"/>
      <c r="AH920" s="84"/>
      <c r="AI920" s="39"/>
      <c r="AJ920" s="79"/>
      <c r="AK920" s="39"/>
      <c r="AL920" s="4">
        <f t="shared" si="298"/>
        <v>0</v>
      </c>
      <c r="AM920" s="4">
        <f t="shared" si="299"/>
        <v>0</v>
      </c>
      <c r="AN920" s="4">
        <f t="shared" si="300"/>
        <v>0</v>
      </c>
      <c r="AO920" s="39"/>
      <c r="AP920" s="8">
        <f t="shared" si="301"/>
        <v>0</v>
      </c>
      <c r="AQ920" s="8">
        <f t="shared" si="302"/>
        <v>0</v>
      </c>
      <c r="AR920" s="8">
        <f t="shared" si="303"/>
        <v>0</v>
      </c>
      <c r="AS920" s="42"/>
      <c r="AT920" s="84"/>
      <c r="AU920" s="84"/>
      <c r="AV920" s="4">
        <f t="shared" si="304"/>
        <v>0</v>
      </c>
      <c r="AW920" s="50" t="str">
        <f t="shared" si="305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293"/>
        <v/>
      </c>
      <c r="P921" s="84"/>
      <c r="Q921" s="84"/>
      <c r="R921" s="32"/>
      <c r="S921" s="3" t="str">
        <f t="shared" si="294"/>
        <v/>
      </c>
      <c r="T921" s="84"/>
      <c r="U921" s="84"/>
      <c r="V921" s="32"/>
      <c r="W921" s="3" t="str">
        <f t="shared" si="295"/>
        <v/>
      </c>
      <c r="X921" s="84"/>
      <c r="Y921" s="84"/>
      <c r="Z921" s="32"/>
      <c r="AA921" s="3" t="str">
        <f t="shared" si="296"/>
        <v/>
      </c>
      <c r="AB921" s="84"/>
      <c r="AC921" s="84"/>
      <c r="AD921" s="36"/>
      <c r="AE921" s="82"/>
      <c r="AF921" s="3" t="str">
        <f t="shared" si="297"/>
        <v/>
      </c>
      <c r="AG921" s="84"/>
      <c r="AH921" s="84"/>
      <c r="AI921" s="39"/>
      <c r="AJ921" s="79"/>
      <c r="AK921" s="39"/>
      <c r="AL921" s="4">
        <f t="shared" si="298"/>
        <v>0</v>
      </c>
      <c r="AM921" s="4">
        <f t="shared" si="299"/>
        <v>0</v>
      </c>
      <c r="AN921" s="4">
        <f t="shared" si="300"/>
        <v>0</v>
      </c>
      <c r="AO921" s="39"/>
      <c r="AP921" s="8">
        <f t="shared" si="301"/>
        <v>0</v>
      </c>
      <c r="AQ921" s="8">
        <f t="shared" si="302"/>
        <v>0</v>
      </c>
      <c r="AR921" s="8">
        <f t="shared" si="303"/>
        <v>0</v>
      </c>
      <c r="AS921" s="42"/>
      <c r="AT921" s="84"/>
      <c r="AU921" s="84"/>
      <c r="AV921" s="4">
        <f t="shared" si="304"/>
        <v>0</v>
      </c>
      <c r="AW921" s="50" t="str">
        <f t="shared" si="305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293"/>
        <v/>
      </c>
      <c r="P922" s="84"/>
      <c r="Q922" s="84"/>
      <c r="R922" s="32"/>
      <c r="S922" s="3" t="str">
        <f t="shared" si="294"/>
        <v/>
      </c>
      <c r="T922" s="84"/>
      <c r="U922" s="84"/>
      <c r="V922" s="32"/>
      <c r="W922" s="3" t="str">
        <f t="shared" si="295"/>
        <v/>
      </c>
      <c r="X922" s="84"/>
      <c r="Y922" s="84"/>
      <c r="Z922" s="32"/>
      <c r="AA922" s="3" t="str">
        <f t="shared" si="296"/>
        <v/>
      </c>
      <c r="AB922" s="84"/>
      <c r="AC922" s="84"/>
      <c r="AD922" s="36"/>
      <c r="AE922" s="82"/>
      <c r="AF922" s="3" t="str">
        <f t="shared" si="297"/>
        <v/>
      </c>
      <c r="AG922" s="84"/>
      <c r="AH922" s="84"/>
      <c r="AI922" s="39"/>
      <c r="AJ922" s="79"/>
      <c r="AK922" s="39"/>
      <c r="AL922" s="4">
        <f t="shared" si="298"/>
        <v>0</v>
      </c>
      <c r="AM922" s="4">
        <f t="shared" si="299"/>
        <v>0</v>
      </c>
      <c r="AN922" s="4">
        <f t="shared" si="300"/>
        <v>0</v>
      </c>
      <c r="AO922" s="39"/>
      <c r="AP922" s="8">
        <f t="shared" si="301"/>
        <v>0</v>
      </c>
      <c r="AQ922" s="8">
        <f t="shared" si="302"/>
        <v>0</v>
      </c>
      <c r="AR922" s="8">
        <f t="shared" si="303"/>
        <v>0</v>
      </c>
      <c r="AS922" s="42"/>
      <c r="AT922" s="84"/>
      <c r="AU922" s="84"/>
      <c r="AV922" s="4">
        <f t="shared" si="304"/>
        <v>0</v>
      </c>
      <c r="AW922" s="50" t="str">
        <f t="shared" si="305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293"/>
        <v/>
      </c>
      <c r="P923" s="84"/>
      <c r="Q923" s="84"/>
      <c r="R923" s="32"/>
      <c r="S923" s="3" t="str">
        <f t="shared" si="294"/>
        <v/>
      </c>
      <c r="T923" s="84"/>
      <c r="U923" s="84"/>
      <c r="V923" s="32"/>
      <c r="W923" s="3" t="str">
        <f t="shared" si="295"/>
        <v/>
      </c>
      <c r="X923" s="84"/>
      <c r="Y923" s="84"/>
      <c r="Z923" s="32"/>
      <c r="AA923" s="3" t="str">
        <f t="shared" si="296"/>
        <v/>
      </c>
      <c r="AB923" s="84"/>
      <c r="AC923" s="84"/>
      <c r="AD923" s="36"/>
      <c r="AE923" s="82"/>
      <c r="AF923" s="3" t="str">
        <f t="shared" si="297"/>
        <v/>
      </c>
      <c r="AG923" s="84"/>
      <c r="AH923" s="84"/>
      <c r="AI923" s="39"/>
      <c r="AJ923" s="79"/>
      <c r="AK923" s="39"/>
      <c r="AL923" s="4">
        <f t="shared" si="298"/>
        <v>0</v>
      </c>
      <c r="AM923" s="4">
        <f t="shared" si="299"/>
        <v>0</v>
      </c>
      <c r="AN923" s="4">
        <f t="shared" si="300"/>
        <v>0</v>
      </c>
      <c r="AO923" s="39"/>
      <c r="AP923" s="8">
        <f t="shared" si="301"/>
        <v>0</v>
      </c>
      <c r="AQ923" s="8">
        <f t="shared" si="302"/>
        <v>0</v>
      </c>
      <c r="AR923" s="8">
        <f t="shared" si="303"/>
        <v>0</v>
      </c>
      <c r="AS923" s="42"/>
      <c r="AT923" s="84"/>
      <c r="AU923" s="84"/>
      <c r="AV923" s="4">
        <f t="shared" si="304"/>
        <v>0</v>
      </c>
      <c r="AW923" s="50" t="str">
        <f t="shared" si="305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293"/>
        <v/>
      </c>
      <c r="P924" s="84"/>
      <c r="Q924" s="84"/>
      <c r="R924" s="32"/>
      <c r="S924" s="3" t="str">
        <f t="shared" si="294"/>
        <v/>
      </c>
      <c r="T924" s="84"/>
      <c r="U924" s="84"/>
      <c r="V924" s="32"/>
      <c r="W924" s="3" t="str">
        <f t="shared" si="295"/>
        <v/>
      </c>
      <c r="X924" s="84"/>
      <c r="Y924" s="84"/>
      <c r="Z924" s="32"/>
      <c r="AA924" s="3" t="str">
        <f t="shared" si="296"/>
        <v/>
      </c>
      <c r="AB924" s="84"/>
      <c r="AC924" s="84"/>
      <c r="AD924" s="36"/>
      <c r="AE924" s="82"/>
      <c r="AF924" s="3" t="str">
        <f t="shared" si="297"/>
        <v/>
      </c>
      <c r="AG924" s="84"/>
      <c r="AH924" s="84"/>
      <c r="AI924" s="39"/>
      <c r="AJ924" s="79"/>
      <c r="AK924" s="39"/>
      <c r="AL924" s="4">
        <f t="shared" si="298"/>
        <v>0</v>
      </c>
      <c r="AM924" s="4">
        <f t="shared" si="299"/>
        <v>0</v>
      </c>
      <c r="AN924" s="4">
        <f t="shared" si="300"/>
        <v>0</v>
      </c>
      <c r="AO924" s="39"/>
      <c r="AP924" s="8">
        <f t="shared" si="301"/>
        <v>0</v>
      </c>
      <c r="AQ924" s="8">
        <f t="shared" si="302"/>
        <v>0</v>
      </c>
      <c r="AR924" s="8">
        <f t="shared" si="303"/>
        <v>0</v>
      </c>
      <c r="AS924" s="42"/>
      <c r="AT924" s="84"/>
      <c r="AU924" s="84"/>
      <c r="AV924" s="4">
        <f t="shared" si="304"/>
        <v>0</v>
      </c>
      <c r="AW924" s="50" t="str">
        <f t="shared" si="305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293"/>
        <v/>
      </c>
      <c r="P925" s="84"/>
      <c r="Q925" s="84"/>
      <c r="R925" s="32"/>
      <c r="S925" s="3" t="str">
        <f t="shared" si="294"/>
        <v/>
      </c>
      <c r="T925" s="84"/>
      <c r="U925" s="84"/>
      <c r="V925" s="32"/>
      <c r="W925" s="3" t="str">
        <f t="shared" si="295"/>
        <v/>
      </c>
      <c r="X925" s="84"/>
      <c r="Y925" s="84"/>
      <c r="Z925" s="32"/>
      <c r="AA925" s="3" t="str">
        <f t="shared" si="296"/>
        <v/>
      </c>
      <c r="AB925" s="84"/>
      <c r="AC925" s="84"/>
      <c r="AD925" s="36"/>
      <c r="AE925" s="82"/>
      <c r="AF925" s="3" t="str">
        <f t="shared" si="297"/>
        <v/>
      </c>
      <c r="AG925" s="84"/>
      <c r="AH925" s="84"/>
      <c r="AI925" s="39"/>
      <c r="AJ925" s="79"/>
      <c r="AK925" s="39"/>
      <c r="AL925" s="4">
        <f t="shared" si="298"/>
        <v>0</v>
      </c>
      <c r="AM925" s="4">
        <f t="shared" si="299"/>
        <v>0</v>
      </c>
      <c r="AN925" s="4">
        <f t="shared" si="300"/>
        <v>0</v>
      </c>
      <c r="AO925" s="39"/>
      <c r="AP925" s="8">
        <f t="shared" si="301"/>
        <v>0</v>
      </c>
      <c r="AQ925" s="8">
        <f t="shared" si="302"/>
        <v>0</v>
      </c>
      <c r="AR925" s="8">
        <f t="shared" si="303"/>
        <v>0</v>
      </c>
      <c r="AS925" s="42"/>
      <c r="AT925" s="84"/>
      <c r="AU925" s="84"/>
      <c r="AV925" s="4">
        <f t="shared" si="304"/>
        <v>0</v>
      </c>
      <c r="AW925" s="50" t="str">
        <f t="shared" si="305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293"/>
        <v/>
      </c>
      <c r="P926" s="84"/>
      <c r="Q926" s="84"/>
      <c r="R926" s="32"/>
      <c r="S926" s="3" t="str">
        <f t="shared" si="294"/>
        <v/>
      </c>
      <c r="T926" s="84"/>
      <c r="U926" s="84"/>
      <c r="V926" s="32"/>
      <c r="W926" s="3" t="str">
        <f t="shared" si="295"/>
        <v/>
      </c>
      <c r="X926" s="84"/>
      <c r="Y926" s="84"/>
      <c r="Z926" s="32"/>
      <c r="AA926" s="3" t="str">
        <f t="shared" si="296"/>
        <v/>
      </c>
      <c r="AB926" s="84"/>
      <c r="AC926" s="84"/>
      <c r="AD926" s="36"/>
      <c r="AE926" s="82"/>
      <c r="AF926" s="3" t="str">
        <f t="shared" si="297"/>
        <v/>
      </c>
      <c r="AG926" s="84"/>
      <c r="AH926" s="84"/>
      <c r="AI926" s="39"/>
      <c r="AJ926" s="79"/>
      <c r="AK926" s="39"/>
      <c r="AL926" s="4">
        <f t="shared" si="298"/>
        <v>0</v>
      </c>
      <c r="AM926" s="4">
        <f t="shared" si="299"/>
        <v>0</v>
      </c>
      <c r="AN926" s="4">
        <f t="shared" si="300"/>
        <v>0</v>
      </c>
      <c r="AO926" s="39"/>
      <c r="AP926" s="8">
        <f t="shared" si="301"/>
        <v>0</v>
      </c>
      <c r="AQ926" s="8">
        <f t="shared" si="302"/>
        <v>0</v>
      </c>
      <c r="AR926" s="8">
        <f t="shared" si="303"/>
        <v>0</v>
      </c>
      <c r="AS926" s="42"/>
      <c r="AT926" s="84"/>
      <c r="AU926" s="84"/>
      <c r="AV926" s="4">
        <f t="shared" si="304"/>
        <v>0</v>
      </c>
      <c r="AW926" s="50" t="str">
        <f t="shared" si="305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293"/>
        <v/>
      </c>
      <c r="P927" s="84"/>
      <c r="Q927" s="84"/>
      <c r="R927" s="32"/>
      <c r="S927" s="3" t="str">
        <f t="shared" si="294"/>
        <v/>
      </c>
      <c r="T927" s="84"/>
      <c r="U927" s="84"/>
      <c r="V927" s="32"/>
      <c r="W927" s="3" t="str">
        <f t="shared" si="295"/>
        <v/>
      </c>
      <c r="X927" s="84"/>
      <c r="Y927" s="84"/>
      <c r="Z927" s="32"/>
      <c r="AA927" s="3" t="str">
        <f t="shared" si="296"/>
        <v/>
      </c>
      <c r="AB927" s="84"/>
      <c r="AC927" s="84"/>
      <c r="AD927" s="36"/>
      <c r="AE927" s="82"/>
      <c r="AF927" s="3" t="str">
        <f t="shared" si="297"/>
        <v/>
      </c>
      <c r="AG927" s="84"/>
      <c r="AH927" s="84"/>
      <c r="AI927" s="39"/>
      <c r="AJ927" s="79"/>
      <c r="AK927" s="39"/>
      <c r="AL927" s="4">
        <f t="shared" si="298"/>
        <v>0</v>
      </c>
      <c r="AM927" s="4">
        <f t="shared" si="299"/>
        <v>0</v>
      </c>
      <c r="AN927" s="4">
        <f t="shared" si="300"/>
        <v>0</v>
      </c>
      <c r="AO927" s="39"/>
      <c r="AP927" s="8">
        <f t="shared" si="301"/>
        <v>0</v>
      </c>
      <c r="AQ927" s="8">
        <f t="shared" si="302"/>
        <v>0</v>
      </c>
      <c r="AR927" s="8">
        <f t="shared" si="303"/>
        <v>0</v>
      </c>
      <c r="AS927" s="42"/>
      <c r="AT927" s="84"/>
      <c r="AU927" s="84"/>
      <c r="AV927" s="4">
        <f t="shared" si="304"/>
        <v>0</v>
      </c>
      <c r="AW927" s="50" t="str">
        <f t="shared" si="305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293"/>
        <v/>
      </c>
      <c r="P928" s="84"/>
      <c r="Q928" s="84"/>
      <c r="R928" s="32"/>
      <c r="S928" s="3" t="str">
        <f t="shared" si="294"/>
        <v/>
      </c>
      <c r="T928" s="84"/>
      <c r="U928" s="84"/>
      <c r="V928" s="32"/>
      <c r="W928" s="3" t="str">
        <f t="shared" si="295"/>
        <v/>
      </c>
      <c r="X928" s="84"/>
      <c r="Y928" s="84"/>
      <c r="Z928" s="32"/>
      <c r="AA928" s="3" t="str">
        <f t="shared" si="296"/>
        <v/>
      </c>
      <c r="AB928" s="84"/>
      <c r="AC928" s="84"/>
      <c r="AD928" s="36"/>
      <c r="AE928" s="82"/>
      <c r="AF928" s="3" t="str">
        <f t="shared" si="297"/>
        <v/>
      </c>
      <c r="AG928" s="84"/>
      <c r="AH928" s="84"/>
      <c r="AI928" s="39"/>
      <c r="AJ928" s="79"/>
      <c r="AK928" s="39"/>
      <c r="AL928" s="4">
        <f t="shared" si="298"/>
        <v>0</v>
      </c>
      <c r="AM928" s="4">
        <f t="shared" si="299"/>
        <v>0</v>
      </c>
      <c r="AN928" s="4">
        <f t="shared" si="300"/>
        <v>0</v>
      </c>
      <c r="AO928" s="39"/>
      <c r="AP928" s="8">
        <f t="shared" si="301"/>
        <v>0</v>
      </c>
      <c r="AQ928" s="8">
        <f t="shared" si="302"/>
        <v>0</v>
      </c>
      <c r="AR928" s="8">
        <f t="shared" si="303"/>
        <v>0</v>
      </c>
      <c r="AS928" s="42"/>
      <c r="AT928" s="84"/>
      <c r="AU928" s="84"/>
      <c r="AV928" s="4">
        <f t="shared" si="304"/>
        <v>0</v>
      </c>
      <c r="AW928" s="50" t="str">
        <f t="shared" si="305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293"/>
        <v/>
      </c>
      <c r="P929" s="84"/>
      <c r="Q929" s="84"/>
      <c r="R929" s="32"/>
      <c r="S929" s="3" t="str">
        <f t="shared" si="294"/>
        <v/>
      </c>
      <c r="T929" s="84"/>
      <c r="U929" s="84"/>
      <c r="V929" s="32"/>
      <c r="W929" s="3" t="str">
        <f t="shared" si="295"/>
        <v/>
      </c>
      <c r="X929" s="84"/>
      <c r="Y929" s="84"/>
      <c r="Z929" s="32"/>
      <c r="AA929" s="3" t="str">
        <f t="shared" si="296"/>
        <v/>
      </c>
      <c r="AB929" s="84"/>
      <c r="AC929" s="84"/>
      <c r="AD929" s="36"/>
      <c r="AE929" s="82"/>
      <c r="AF929" s="3" t="str">
        <f t="shared" si="297"/>
        <v/>
      </c>
      <c r="AG929" s="84"/>
      <c r="AH929" s="84"/>
      <c r="AI929" s="39"/>
      <c r="AJ929" s="79"/>
      <c r="AK929" s="39"/>
      <c r="AL929" s="4">
        <f t="shared" si="298"/>
        <v>0</v>
      </c>
      <c r="AM929" s="4">
        <f t="shared" si="299"/>
        <v>0</v>
      </c>
      <c r="AN929" s="4">
        <f t="shared" si="300"/>
        <v>0</v>
      </c>
      <c r="AO929" s="39"/>
      <c r="AP929" s="8">
        <f t="shared" si="301"/>
        <v>0</v>
      </c>
      <c r="AQ929" s="8">
        <f t="shared" si="302"/>
        <v>0</v>
      </c>
      <c r="AR929" s="8">
        <f t="shared" si="303"/>
        <v>0</v>
      </c>
      <c r="AS929" s="42"/>
      <c r="AT929" s="84"/>
      <c r="AU929" s="84"/>
      <c r="AV929" s="4">
        <f t="shared" si="304"/>
        <v>0</v>
      </c>
      <c r="AW929" s="50" t="str">
        <f t="shared" si="305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293"/>
        <v/>
      </c>
      <c r="P930" s="84"/>
      <c r="Q930" s="84"/>
      <c r="R930" s="32"/>
      <c r="S930" s="3" t="str">
        <f t="shared" si="294"/>
        <v/>
      </c>
      <c r="T930" s="84"/>
      <c r="U930" s="84"/>
      <c r="V930" s="32"/>
      <c r="W930" s="3" t="str">
        <f t="shared" si="295"/>
        <v/>
      </c>
      <c r="X930" s="84"/>
      <c r="Y930" s="84"/>
      <c r="Z930" s="32"/>
      <c r="AA930" s="3" t="str">
        <f t="shared" si="296"/>
        <v/>
      </c>
      <c r="AB930" s="84"/>
      <c r="AC930" s="84"/>
      <c r="AD930" s="36"/>
      <c r="AE930" s="82"/>
      <c r="AF930" s="3" t="str">
        <f t="shared" si="297"/>
        <v/>
      </c>
      <c r="AG930" s="84"/>
      <c r="AH930" s="84"/>
      <c r="AI930" s="39"/>
      <c r="AJ930" s="79"/>
      <c r="AK930" s="39"/>
      <c r="AL930" s="4">
        <f t="shared" si="298"/>
        <v>0</v>
      </c>
      <c r="AM930" s="4">
        <f t="shared" si="299"/>
        <v>0</v>
      </c>
      <c r="AN930" s="4">
        <f t="shared" si="300"/>
        <v>0</v>
      </c>
      <c r="AO930" s="39"/>
      <c r="AP930" s="8">
        <f t="shared" si="301"/>
        <v>0</v>
      </c>
      <c r="AQ930" s="8">
        <f t="shared" si="302"/>
        <v>0</v>
      </c>
      <c r="AR930" s="8">
        <f t="shared" si="303"/>
        <v>0</v>
      </c>
      <c r="AS930" s="42"/>
      <c r="AT930" s="84"/>
      <c r="AU930" s="84"/>
      <c r="AV930" s="4">
        <f t="shared" si="304"/>
        <v>0</v>
      </c>
      <c r="AW930" s="50" t="str">
        <f t="shared" si="305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293"/>
        <v/>
      </c>
      <c r="P931" s="84"/>
      <c r="Q931" s="84"/>
      <c r="R931" s="32"/>
      <c r="S931" s="3" t="str">
        <f t="shared" si="294"/>
        <v/>
      </c>
      <c r="T931" s="84"/>
      <c r="U931" s="84"/>
      <c r="V931" s="32"/>
      <c r="W931" s="3" t="str">
        <f t="shared" si="295"/>
        <v/>
      </c>
      <c r="X931" s="84"/>
      <c r="Y931" s="84"/>
      <c r="Z931" s="32"/>
      <c r="AA931" s="3" t="str">
        <f t="shared" si="296"/>
        <v/>
      </c>
      <c r="AB931" s="84"/>
      <c r="AC931" s="84"/>
      <c r="AD931" s="36"/>
      <c r="AE931" s="82"/>
      <c r="AF931" s="3" t="str">
        <f t="shared" si="297"/>
        <v/>
      </c>
      <c r="AG931" s="84"/>
      <c r="AH931" s="84"/>
      <c r="AI931" s="39"/>
      <c r="AJ931" s="79"/>
      <c r="AK931" s="39"/>
      <c r="AL931" s="4">
        <f t="shared" si="298"/>
        <v>0</v>
      </c>
      <c r="AM931" s="4">
        <f t="shared" si="299"/>
        <v>0</v>
      </c>
      <c r="AN931" s="4">
        <f t="shared" si="300"/>
        <v>0</v>
      </c>
      <c r="AO931" s="39"/>
      <c r="AP931" s="8">
        <f t="shared" si="301"/>
        <v>0</v>
      </c>
      <c r="AQ931" s="8">
        <f t="shared" si="302"/>
        <v>0</v>
      </c>
      <c r="AR931" s="8">
        <f t="shared" si="303"/>
        <v>0</v>
      </c>
      <c r="AS931" s="42"/>
      <c r="AT931" s="84"/>
      <c r="AU931" s="84"/>
      <c r="AV931" s="4">
        <f t="shared" si="304"/>
        <v>0</v>
      </c>
      <c r="AW931" s="50" t="str">
        <f t="shared" si="305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293"/>
        <v/>
      </c>
      <c r="P932" s="84"/>
      <c r="Q932" s="84"/>
      <c r="R932" s="32"/>
      <c r="S932" s="3" t="str">
        <f t="shared" si="294"/>
        <v/>
      </c>
      <c r="T932" s="84"/>
      <c r="U932" s="84"/>
      <c r="V932" s="32"/>
      <c r="W932" s="3" t="str">
        <f t="shared" si="295"/>
        <v/>
      </c>
      <c r="X932" s="84"/>
      <c r="Y932" s="84"/>
      <c r="Z932" s="32"/>
      <c r="AA932" s="3" t="str">
        <f t="shared" si="296"/>
        <v/>
      </c>
      <c r="AB932" s="84"/>
      <c r="AC932" s="84"/>
      <c r="AD932" s="36"/>
      <c r="AE932" s="82"/>
      <c r="AF932" s="3" t="str">
        <f t="shared" si="297"/>
        <v/>
      </c>
      <c r="AG932" s="84"/>
      <c r="AH932" s="84"/>
      <c r="AI932" s="39"/>
      <c r="AJ932" s="79"/>
      <c r="AK932" s="39"/>
      <c r="AL932" s="4">
        <f t="shared" si="298"/>
        <v>0</v>
      </c>
      <c r="AM932" s="4">
        <f t="shared" si="299"/>
        <v>0</v>
      </c>
      <c r="AN932" s="4">
        <f t="shared" si="300"/>
        <v>0</v>
      </c>
      <c r="AO932" s="39"/>
      <c r="AP932" s="8">
        <f t="shared" si="301"/>
        <v>0</v>
      </c>
      <c r="AQ932" s="8">
        <f t="shared" si="302"/>
        <v>0</v>
      </c>
      <c r="AR932" s="8">
        <f t="shared" si="303"/>
        <v>0</v>
      </c>
      <c r="AS932" s="42"/>
      <c r="AT932" s="84"/>
      <c r="AU932" s="84"/>
      <c r="AV932" s="4">
        <f t="shared" si="304"/>
        <v>0</v>
      </c>
      <c r="AW932" s="50" t="str">
        <f t="shared" si="305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293"/>
        <v/>
      </c>
      <c r="P933" s="84"/>
      <c r="Q933" s="84"/>
      <c r="R933" s="32"/>
      <c r="S933" s="3" t="str">
        <f t="shared" si="294"/>
        <v/>
      </c>
      <c r="T933" s="84"/>
      <c r="U933" s="84"/>
      <c r="V933" s="32"/>
      <c r="W933" s="3" t="str">
        <f t="shared" si="295"/>
        <v/>
      </c>
      <c r="X933" s="84"/>
      <c r="Y933" s="84"/>
      <c r="Z933" s="32"/>
      <c r="AA933" s="3" t="str">
        <f t="shared" si="296"/>
        <v/>
      </c>
      <c r="AB933" s="84"/>
      <c r="AC933" s="84"/>
      <c r="AD933" s="36"/>
      <c r="AE933" s="82"/>
      <c r="AF933" s="3" t="str">
        <f t="shared" si="297"/>
        <v/>
      </c>
      <c r="AG933" s="84"/>
      <c r="AH933" s="84"/>
      <c r="AI933" s="39"/>
      <c r="AJ933" s="79"/>
      <c r="AK933" s="39"/>
      <c r="AL933" s="4">
        <f t="shared" si="298"/>
        <v>0</v>
      </c>
      <c r="AM933" s="4">
        <f t="shared" si="299"/>
        <v>0</v>
      </c>
      <c r="AN933" s="4">
        <f t="shared" si="300"/>
        <v>0</v>
      </c>
      <c r="AO933" s="39"/>
      <c r="AP933" s="8">
        <f t="shared" si="301"/>
        <v>0</v>
      </c>
      <c r="AQ933" s="8">
        <f t="shared" si="302"/>
        <v>0</v>
      </c>
      <c r="AR933" s="8">
        <f t="shared" si="303"/>
        <v>0</v>
      </c>
      <c r="AS933" s="42"/>
      <c r="AT933" s="84"/>
      <c r="AU933" s="84"/>
      <c r="AV933" s="4">
        <f t="shared" si="304"/>
        <v>0</v>
      </c>
      <c r="AW933" s="50" t="str">
        <f t="shared" si="305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293"/>
        <v/>
      </c>
      <c r="P934" s="84"/>
      <c r="Q934" s="84"/>
      <c r="R934" s="32"/>
      <c r="S934" s="3" t="str">
        <f t="shared" si="294"/>
        <v/>
      </c>
      <c r="T934" s="84"/>
      <c r="U934" s="84"/>
      <c r="V934" s="32"/>
      <c r="W934" s="3" t="str">
        <f t="shared" si="295"/>
        <v/>
      </c>
      <c r="X934" s="84"/>
      <c r="Y934" s="84"/>
      <c r="Z934" s="32"/>
      <c r="AA934" s="3" t="str">
        <f t="shared" si="296"/>
        <v/>
      </c>
      <c r="AB934" s="84"/>
      <c r="AC934" s="84"/>
      <c r="AD934" s="36"/>
      <c r="AE934" s="82"/>
      <c r="AF934" s="3" t="str">
        <f t="shared" si="297"/>
        <v/>
      </c>
      <c r="AG934" s="84"/>
      <c r="AH934" s="84"/>
      <c r="AI934" s="39"/>
      <c r="AJ934" s="79"/>
      <c r="AK934" s="39"/>
      <c r="AL934" s="4">
        <f t="shared" si="298"/>
        <v>0</v>
      </c>
      <c r="AM934" s="4">
        <f t="shared" si="299"/>
        <v>0</v>
      </c>
      <c r="AN934" s="4">
        <f t="shared" si="300"/>
        <v>0</v>
      </c>
      <c r="AO934" s="39"/>
      <c r="AP934" s="8">
        <f t="shared" si="301"/>
        <v>0</v>
      </c>
      <c r="AQ934" s="8">
        <f t="shared" si="302"/>
        <v>0</v>
      </c>
      <c r="AR934" s="8">
        <f t="shared" si="303"/>
        <v>0</v>
      </c>
      <c r="AS934" s="42"/>
      <c r="AT934" s="84"/>
      <c r="AU934" s="84"/>
      <c r="AV934" s="4">
        <f t="shared" si="304"/>
        <v>0</v>
      </c>
      <c r="AW934" s="50" t="str">
        <f t="shared" si="305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293"/>
        <v/>
      </c>
      <c r="P935" s="84"/>
      <c r="Q935" s="84"/>
      <c r="R935" s="32"/>
      <c r="S935" s="3" t="str">
        <f t="shared" si="294"/>
        <v/>
      </c>
      <c r="T935" s="84"/>
      <c r="U935" s="84"/>
      <c r="V935" s="32"/>
      <c r="W935" s="3" t="str">
        <f t="shared" si="295"/>
        <v/>
      </c>
      <c r="X935" s="84"/>
      <c r="Y935" s="84"/>
      <c r="Z935" s="32"/>
      <c r="AA935" s="3" t="str">
        <f t="shared" si="296"/>
        <v/>
      </c>
      <c r="AB935" s="84"/>
      <c r="AC935" s="84"/>
      <c r="AD935" s="36"/>
      <c r="AE935" s="82"/>
      <c r="AF935" s="3" t="str">
        <f t="shared" si="297"/>
        <v/>
      </c>
      <c r="AG935" s="84"/>
      <c r="AH935" s="84"/>
      <c r="AI935" s="39"/>
      <c r="AJ935" s="79"/>
      <c r="AK935" s="39"/>
      <c r="AL935" s="4">
        <f t="shared" si="298"/>
        <v>0</v>
      </c>
      <c r="AM935" s="4">
        <f t="shared" si="299"/>
        <v>0</v>
      </c>
      <c r="AN935" s="4">
        <f t="shared" si="300"/>
        <v>0</v>
      </c>
      <c r="AO935" s="39"/>
      <c r="AP935" s="8">
        <f t="shared" si="301"/>
        <v>0</v>
      </c>
      <c r="AQ935" s="8">
        <f t="shared" si="302"/>
        <v>0</v>
      </c>
      <c r="AR935" s="8">
        <f t="shared" si="303"/>
        <v>0</v>
      </c>
      <c r="AS935" s="42"/>
      <c r="AT935" s="84"/>
      <c r="AU935" s="84"/>
      <c r="AV935" s="4">
        <f t="shared" si="304"/>
        <v>0</v>
      </c>
      <c r="AW935" s="50" t="str">
        <f t="shared" si="305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293"/>
        <v/>
      </c>
      <c r="P936" s="84"/>
      <c r="Q936" s="84"/>
      <c r="R936" s="32"/>
      <c r="S936" s="3" t="str">
        <f t="shared" si="294"/>
        <v/>
      </c>
      <c r="T936" s="84"/>
      <c r="U936" s="84"/>
      <c r="V936" s="32"/>
      <c r="W936" s="3" t="str">
        <f t="shared" si="295"/>
        <v/>
      </c>
      <c r="X936" s="84"/>
      <c r="Y936" s="84"/>
      <c r="Z936" s="32"/>
      <c r="AA936" s="3" t="str">
        <f t="shared" si="296"/>
        <v/>
      </c>
      <c r="AB936" s="84"/>
      <c r="AC936" s="84"/>
      <c r="AD936" s="36"/>
      <c r="AE936" s="82"/>
      <c r="AF936" s="3" t="str">
        <f t="shared" si="297"/>
        <v/>
      </c>
      <c r="AG936" s="84"/>
      <c r="AH936" s="84"/>
      <c r="AI936" s="39"/>
      <c r="AJ936" s="79"/>
      <c r="AK936" s="39"/>
      <c r="AL936" s="4">
        <f t="shared" si="298"/>
        <v>0</v>
      </c>
      <c r="AM936" s="4">
        <f t="shared" si="299"/>
        <v>0</v>
      </c>
      <c r="AN936" s="4">
        <f t="shared" si="300"/>
        <v>0</v>
      </c>
      <c r="AO936" s="39"/>
      <c r="AP936" s="8">
        <f t="shared" si="301"/>
        <v>0</v>
      </c>
      <c r="AQ936" s="8">
        <f t="shared" si="302"/>
        <v>0</v>
      </c>
      <c r="AR936" s="8">
        <f t="shared" si="303"/>
        <v>0</v>
      </c>
      <c r="AS936" s="42"/>
      <c r="AT936" s="84"/>
      <c r="AU936" s="84"/>
      <c r="AV936" s="4">
        <f t="shared" si="304"/>
        <v>0</v>
      </c>
      <c r="AW936" s="50" t="str">
        <f t="shared" si="305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293"/>
        <v/>
      </c>
      <c r="P937" s="84"/>
      <c r="Q937" s="84"/>
      <c r="R937" s="32"/>
      <c r="S937" s="3" t="str">
        <f t="shared" si="294"/>
        <v/>
      </c>
      <c r="T937" s="84"/>
      <c r="U937" s="84"/>
      <c r="V937" s="32"/>
      <c r="W937" s="3" t="str">
        <f t="shared" si="295"/>
        <v/>
      </c>
      <c r="X937" s="84"/>
      <c r="Y937" s="84"/>
      <c r="Z937" s="32"/>
      <c r="AA937" s="3" t="str">
        <f t="shared" si="296"/>
        <v/>
      </c>
      <c r="AB937" s="84"/>
      <c r="AC937" s="84"/>
      <c r="AD937" s="36"/>
      <c r="AE937" s="82"/>
      <c r="AF937" s="3" t="str">
        <f t="shared" si="297"/>
        <v/>
      </c>
      <c r="AG937" s="84"/>
      <c r="AH937" s="84"/>
      <c r="AI937" s="39"/>
      <c r="AJ937" s="79"/>
      <c r="AK937" s="39"/>
      <c r="AL937" s="4">
        <f t="shared" si="298"/>
        <v>0</v>
      </c>
      <c r="AM937" s="4">
        <f t="shared" si="299"/>
        <v>0</v>
      </c>
      <c r="AN937" s="4">
        <f t="shared" si="300"/>
        <v>0</v>
      </c>
      <c r="AO937" s="39"/>
      <c r="AP937" s="8">
        <f t="shared" si="301"/>
        <v>0</v>
      </c>
      <c r="AQ937" s="8">
        <f t="shared" si="302"/>
        <v>0</v>
      </c>
      <c r="AR937" s="8">
        <f t="shared" si="303"/>
        <v>0</v>
      </c>
      <c r="AS937" s="42"/>
      <c r="AT937" s="84"/>
      <c r="AU937" s="84"/>
      <c r="AV937" s="4">
        <f t="shared" si="304"/>
        <v>0</v>
      </c>
      <c r="AW937" s="50" t="str">
        <f t="shared" si="305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293"/>
        <v/>
      </c>
      <c r="P938" s="84"/>
      <c r="Q938" s="84"/>
      <c r="R938" s="32"/>
      <c r="S938" s="3" t="str">
        <f t="shared" si="294"/>
        <v/>
      </c>
      <c r="T938" s="84"/>
      <c r="U938" s="84"/>
      <c r="V938" s="32"/>
      <c r="W938" s="3" t="str">
        <f t="shared" si="295"/>
        <v/>
      </c>
      <c r="X938" s="84"/>
      <c r="Y938" s="84"/>
      <c r="Z938" s="32"/>
      <c r="AA938" s="3" t="str">
        <f t="shared" si="296"/>
        <v/>
      </c>
      <c r="AB938" s="84"/>
      <c r="AC938" s="84"/>
      <c r="AD938" s="36"/>
      <c r="AE938" s="82"/>
      <c r="AF938" s="3" t="str">
        <f t="shared" si="297"/>
        <v/>
      </c>
      <c r="AG938" s="84"/>
      <c r="AH938" s="84"/>
      <c r="AI938" s="39"/>
      <c r="AJ938" s="79"/>
      <c r="AK938" s="39"/>
      <c r="AL938" s="4">
        <f t="shared" si="298"/>
        <v>0</v>
      </c>
      <c r="AM938" s="4">
        <f t="shared" si="299"/>
        <v>0</v>
      </c>
      <c r="AN938" s="4">
        <f t="shared" si="300"/>
        <v>0</v>
      </c>
      <c r="AO938" s="39"/>
      <c r="AP938" s="8">
        <f t="shared" si="301"/>
        <v>0</v>
      </c>
      <c r="AQ938" s="8">
        <f t="shared" si="302"/>
        <v>0</v>
      </c>
      <c r="AR938" s="8">
        <f t="shared" si="303"/>
        <v>0</v>
      </c>
      <c r="AS938" s="42"/>
      <c r="AT938" s="84"/>
      <c r="AU938" s="84"/>
      <c r="AV938" s="4">
        <f t="shared" si="304"/>
        <v>0</v>
      </c>
      <c r="AW938" s="50" t="str">
        <f t="shared" si="305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293"/>
        <v/>
      </c>
      <c r="P939" s="84"/>
      <c r="Q939" s="84"/>
      <c r="R939" s="32"/>
      <c r="S939" s="3" t="str">
        <f t="shared" si="294"/>
        <v/>
      </c>
      <c r="T939" s="84"/>
      <c r="U939" s="84"/>
      <c r="V939" s="32"/>
      <c r="W939" s="3" t="str">
        <f t="shared" si="295"/>
        <v/>
      </c>
      <c r="X939" s="84"/>
      <c r="Y939" s="84"/>
      <c r="Z939" s="32"/>
      <c r="AA939" s="3" t="str">
        <f t="shared" si="296"/>
        <v/>
      </c>
      <c r="AB939" s="84"/>
      <c r="AC939" s="84"/>
      <c r="AD939" s="36"/>
      <c r="AE939" s="82"/>
      <c r="AF939" s="3" t="str">
        <f t="shared" si="297"/>
        <v/>
      </c>
      <c r="AG939" s="84"/>
      <c r="AH939" s="84"/>
      <c r="AI939" s="39"/>
      <c r="AJ939" s="79"/>
      <c r="AK939" s="39"/>
      <c r="AL939" s="4">
        <f t="shared" si="298"/>
        <v>0</v>
      </c>
      <c r="AM939" s="4">
        <f t="shared" si="299"/>
        <v>0</v>
      </c>
      <c r="AN939" s="4">
        <f t="shared" si="300"/>
        <v>0</v>
      </c>
      <c r="AO939" s="39"/>
      <c r="AP939" s="8">
        <f t="shared" si="301"/>
        <v>0</v>
      </c>
      <c r="AQ939" s="8">
        <f t="shared" si="302"/>
        <v>0</v>
      </c>
      <c r="AR939" s="8">
        <f t="shared" si="303"/>
        <v>0</v>
      </c>
      <c r="AS939" s="42"/>
      <c r="AT939" s="84"/>
      <c r="AU939" s="84"/>
      <c r="AV939" s="4">
        <f t="shared" si="304"/>
        <v>0</v>
      </c>
      <c r="AW939" s="50" t="str">
        <f t="shared" si="305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293"/>
        <v/>
      </c>
      <c r="P940" s="84"/>
      <c r="Q940" s="84"/>
      <c r="R940" s="32"/>
      <c r="S940" s="3" t="str">
        <f t="shared" si="294"/>
        <v/>
      </c>
      <c r="T940" s="84"/>
      <c r="U940" s="84"/>
      <c r="V940" s="32"/>
      <c r="W940" s="3" t="str">
        <f t="shared" si="295"/>
        <v/>
      </c>
      <c r="X940" s="84"/>
      <c r="Y940" s="84"/>
      <c r="Z940" s="32"/>
      <c r="AA940" s="3" t="str">
        <f t="shared" si="296"/>
        <v/>
      </c>
      <c r="AB940" s="84"/>
      <c r="AC940" s="84"/>
      <c r="AD940" s="36"/>
      <c r="AE940" s="82"/>
      <c r="AF940" s="3" t="str">
        <f t="shared" si="297"/>
        <v/>
      </c>
      <c r="AG940" s="84"/>
      <c r="AH940" s="84"/>
      <c r="AI940" s="39"/>
      <c r="AJ940" s="79"/>
      <c r="AK940" s="39"/>
      <c r="AL940" s="4">
        <f t="shared" si="298"/>
        <v>0</v>
      </c>
      <c r="AM940" s="4">
        <f t="shared" si="299"/>
        <v>0</v>
      </c>
      <c r="AN940" s="4">
        <f t="shared" si="300"/>
        <v>0</v>
      </c>
      <c r="AO940" s="39"/>
      <c r="AP940" s="8">
        <f t="shared" si="301"/>
        <v>0</v>
      </c>
      <c r="AQ940" s="8">
        <f t="shared" si="302"/>
        <v>0</v>
      </c>
      <c r="AR940" s="8">
        <f t="shared" si="303"/>
        <v>0</v>
      </c>
      <c r="AS940" s="42"/>
      <c r="AT940" s="84"/>
      <c r="AU940" s="84"/>
      <c r="AV940" s="4">
        <f t="shared" si="304"/>
        <v>0</v>
      </c>
      <c r="AW940" s="50" t="str">
        <f t="shared" si="305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293"/>
        <v/>
      </c>
      <c r="P941" s="84"/>
      <c r="Q941" s="84"/>
      <c r="R941" s="32"/>
      <c r="S941" s="3" t="str">
        <f t="shared" si="294"/>
        <v/>
      </c>
      <c r="T941" s="84"/>
      <c r="U941" s="84"/>
      <c r="V941" s="32"/>
      <c r="W941" s="3" t="str">
        <f t="shared" si="295"/>
        <v/>
      </c>
      <c r="X941" s="84"/>
      <c r="Y941" s="84"/>
      <c r="Z941" s="32"/>
      <c r="AA941" s="3" t="str">
        <f t="shared" si="296"/>
        <v/>
      </c>
      <c r="AB941" s="84"/>
      <c r="AC941" s="84"/>
      <c r="AD941" s="36"/>
      <c r="AE941" s="82"/>
      <c r="AF941" s="3" t="str">
        <f t="shared" si="297"/>
        <v/>
      </c>
      <c r="AG941" s="84"/>
      <c r="AH941" s="84"/>
      <c r="AI941" s="39"/>
      <c r="AJ941" s="79"/>
      <c r="AK941" s="39"/>
      <c r="AL941" s="4">
        <f t="shared" si="298"/>
        <v>0</v>
      </c>
      <c r="AM941" s="4">
        <f t="shared" si="299"/>
        <v>0</v>
      </c>
      <c r="AN941" s="4">
        <f t="shared" si="300"/>
        <v>0</v>
      </c>
      <c r="AO941" s="39"/>
      <c r="AP941" s="8">
        <f t="shared" si="301"/>
        <v>0</v>
      </c>
      <c r="AQ941" s="8">
        <f t="shared" si="302"/>
        <v>0</v>
      </c>
      <c r="AR941" s="8">
        <f t="shared" si="303"/>
        <v>0</v>
      </c>
      <c r="AS941" s="42"/>
      <c r="AT941" s="84"/>
      <c r="AU941" s="84"/>
      <c r="AV941" s="4">
        <f t="shared" si="304"/>
        <v>0</v>
      </c>
      <c r="AW941" s="50" t="str">
        <f t="shared" si="305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293"/>
        <v/>
      </c>
      <c r="P942" s="84"/>
      <c r="Q942" s="84"/>
      <c r="R942" s="32"/>
      <c r="S942" s="3" t="str">
        <f t="shared" si="294"/>
        <v/>
      </c>
      <c r="T942" s="84"/>
      <c r="U942" s="84"/>
      <c r="V942" s="32"/>
      <c r="W942" s="3" t="str">
        <f t="shared" si="295"/>
        <v/>
      </c>
      <c r="X942" s="84"/>
      <c r="Y942" s="84"/>
      <c r="Z942" s="32"/>
      <c r="AA942" s="3" t="str">
        <f t="shared" si="296"/>
        <v/>
      </c>
      <c r="AB942" s="84"/>
      <c r="AC942" s="84"/>
      <c r="AD942" s="36"/>
      <c r="AE942" s="82"/>
      <c r="AF942" s="3" t="str">
        <f t="shared" si="297"/>
        <v/>
      </c>
      <c r="AG942" s="84"/>
      <c r="AH942" s="84"/>
      <c r="AI942" s="39"/>
      <c r="AJ942" s="79"/>
      <c r="AK942" s="39"/>
      <c r="AL942" s="4">
        <f t="shared" si="298"/>
        <v>0</v>
      </c>
      <c r="AM942" s="4">
        <f t="shared" si="299"/>
        <v>0</v>
      </c>
      <c r="AN942" s="4">
        <f t="shared" si="300"/>
        <v>0</v>
      </c>
      <c r="AO942" s="39"/>
      <c r="AP942" s="8">
        <f t="shared" si="301"/>
        <v>0</v>
      </c>
      <c r="AQ942" s="8">
        <f t="shared" si="302"/>
        <v>0</v>
      </c>
      <c r="AR942" s="8">
        <f t="shared" si="303"/>
        <v>0</v>
      </c>
      <c r="AS942" s="42"/>
      <c r="AT942" s="84"/>
      <c r="AU942" s="84"/>
      <c r="AV942" s="4">
        <f t="shared" si="304"/>
        <v>0</v>
      </c>
      <c r="AW942" s="50" t="str">
        <f t="shared" si="305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si="293"/>
        <v/>
      </c>
      <c r="P943" s="84"/>
      <c r="Q943" s="84"/>
      <c r="R943" s="32"/>
      <c r="S943" s="3" t="str">
        <f t="shared" si="294"/>
        <v/>
      </c>
      <c r="T943" s="84"/>
      <c r="U943" s="84"/>
      <c r="V943" s="32"/>
      <c r="W943" s="3" t="str">
        <f t="shared" si="295"/>
        <v/>
      </c>
      <c r="X943" s="84"/>
      <c r="Y943" s="84"/>
      <c r="Z943" s="32"/>
      <c r="AA943" s="3" t="str">
        <f t="shared" si="296"/>
        <v/>
      </c>
      <c r="AB943" s="84"/>
      <c r="AC943" s="84"/>
      <c r="AD943" s="36"/>
      <c r="AE943" s="82"/>
      <c r="AF943" s="3" t="str">
        <f t="shared" si="297"/>
        <v/>
      </c>
      <c r="AG943" s="84"/>
      <c r="AH943" s="84"/>
      <c r="AI943" s="39"/>
      <c r="AJ943" s="79"/>
      <c r="AK943" s="39"/>
      <c r="AL943" s="4">
        <f t="shared" si="298"/>
        <v>0</v>
      </c>
      <c r="AM943" s="4">
        <f t="shared" si="299"/>
        <v>0</v>
      </c>
      <c r="AN943" s="4">
        <f t="shared" si="300"/>
        <v>0</v>
      </c>
      <c r="AO943" s="39"/>
      <c r="AP943" s="8">
        <f t="shared" si="301"/>
        <v>0</v>
      </c>
      <c r="AQ943" s="8">
        <f t="shared" si="302"/>
        <v>0</v>
      </c>
      <c r="AR943" s="8">
        <f t="shared" si="303"/>
        <v>0</v>
      </c>
      <c r="AS943" s="42"/>
      <c r="AT943" s="84"/>
      <c r="AU943" s="84"/>
      <c r="AV943" s="4">
        <f t="shared" si="304"/>
        <v>0</v>
      </c>
      <c r="AW943" s="50" t="str">
        <f t="shared" si="305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293"/>
        <v/>
      </c>
      <c r="P944" s="84"/>
      <c r="Q944" s="84"/>
      <c r="R944" s="32"/>
      <c r="S944" s="3" t="str">
        <f t="shared" si="294"/>
        <v/>
      </c>
      <c r="T944" s="84"/>
      <c r="U944" s="84"/>
      <c r="V944" s="32"/>
      <c r="W944" s="3" t="str">
        <f t="shared" si="295"/>
        <v/>
      </c>
      <c r="X944" s="84"/>
      <c r="Y944" s="84"/>
      <c r="Z944" s="32"/>
      <c r="AA944" s="3" t="str">
        <f t="shared" si="296"/>
        <v/>
      </c>
      <c r="AB944" s="84"/>
      <c r="AC944" s="84"/>
      <c r="AD944" s="36"/>
      <c r="AE944" s="82"/>
      <c r="AF944" s="3" t="str">
        <f t="shared" si="297"/>
        <v/>
      </c>
      <c r="AG944" s="84"/>
      <c r="AH944" s="84"/>
      <c r="AI944" s="39"/>
      <c r="AJ944" s="79"/>
      <c r="AK944" s="39"/>
      <c r="AL944" s="4">
        <f t="shared" si="298"/>
        <v>0</v>
      </c>
      <c r="AM944" s="4">
        <f t="shared" si="299"/>
        <v>0</v>
      </c>
      <c r="AN944" s="4">
        <f t="shared" si="300"/>
        <v>0</v>
      </c>
      <c r="AO944" s="39"/>
      <c r="AP944" s="8">
        <f t="shared" si="301"/>
        <v>0</v>
      </c>
      <c r="AQ944" s="8">
        <f t="shared" si="302"/>
        <v>0</v>
      </c>
      <c r="AR944" s="8">
        <f t="shared" si="303"/>
        <v>0</v>
      </c>
      <c r="AS944" s="42"/>
      <c r="AT944" s="84"/>
      <c r="AU944" s="84"/>
      <c r="AV944" s="4">
        <f t="shared" si="304"/>
        <v>0</v>
      </c>
      <c r="AW944" s="50" t="str">
        <f t="shared" si="305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293"/>
        <v/>
      </c>
      <c r="P945" s="84"/>
      <c r="Q945" s="84"/>
      <c r="R945" s="32"/>
      <c r="S945" s="3" t="str">
        <f t="shared" si="294"/>
        <v/>
      </c>
      <c r="T945" s="84"/>
      <c r="U945" s="84"/>
      <c r="V945" s="32"/>
      <c r="W945" s="3" t="str">
        <f t="shared" si="295"/>
        <v/>
      </c>
      <c r="X945" s="84"/>
      <c r="Y945" s="84"/>
      <c r="Z945" s="32"/>
      <c r="AA945" s="3" t="str">
        <f t="shared" si="296"/>
        <v/>
      </c>
      <c r="AB945" s="84"/>
      <c r="AC945" s="84"/>
      <c r="AD945" s="36"/>
      <c r="AE945" s="82"/>
      <c r="AF945" s="3" t="str">
        <f t="shared" si="297"/>
        <v/>
      </c>
      <c r="AG945" s="84"/>
      <c r="AH945" s="84"/>
      <c r="AI945" s="39"/>
      <c r="AJ945" s="79"/>
      <c r="AK945" s="39"/>
      <c r="AL945" s="4">
        <f t="shared" si="298"/>
        <v>0</v>
      </c>
      <c r="AM945" s="4">
        <f t="shared" si="299"/>
        <v>0</v>
      </c>
      <c r="AN945" s="4">
        <f t="shared" si="300"/>
        <v>0</v>
      </c>
      <c r="AO945" s="39"/>
      <c r="AP945" s="8">
        <f t="shared" si="301"/>
        <v>0</v>
      </c>
      <c r="AQ945" s="8">
        <f t="shared" si="302"/>
        <v>0</v>
      </c>
      <c r="AR945" s="8">
        <f t="shared" si="303"/>
        <v>0</v>
      </c>
      <c r="AS945" s="42"/>
      <c r="AT945" s="84"/>
      <c r="AU945" s="84"/>
      <c r="AV945" s="4">
        <f t="shared" si="304"/>
        <v>0</v>
      </c>
      <c r="AW945" s="50" t="str">
        <f t="shared" si="305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293"/>
        <v/>
      </c>
      <c r="P946" s="84"/>
      <c r="Q946" s="84"/>
      <c r="R946" s="32"/>
      <c r="S946" s="3" t="str">
        <f t="shared" si="294"/>
        <v/>
      </c>
      <c r="T946" s="84"/>
      <c r="U946" s="84"/>
      <c r="V946" s="32"/>
      <c r="W946" s="3" t="str">
        <f t="shared" si="295"/>
        <v/>
      </c>
      <c r="X946" s="84"/>
      <c r="Y946" s="84"/>
      <c r="Z946" s="32"/>
      <c r="AA946" s="3" t="str">
        <f t="shared" si="296"/>
        <v/>
      </c>
      <c r="AB946" s="84"/>
      <c r="AC946" s="84"/>
      <c r="AD946" s="36"/>
      <c r="AE946" s="82"/>
      <c r="AF946" s="3" t="str">
        <f t="shared" si="297"/>
        <v/>
      </c>
      <c r="AG946" s="84"/>
      <c r="AH946" s="84"/>
      <c r="AI946" s="39"/>
      <c r="AJ946" s="79"/>
      <c r="AK946" s="39"/>
      <c r="AL946" s="4">
        <f t="shared" si="298"/>
        <v>0</v>
      </c>
      <c r="AM946" s="4">
        <f t="shared" si="299"/>
        <v>0</v>
      </c>
      <c r="AN946" s="4">
        <f t="shared" si="300"/>
        <v>0</v>
      </c>
      <c r="AO946" s="39"/>
      <c r="AP946" s="8">
        <f t="shared" si="301"/>
        <v>0</v>
      </c>
      <c r="AQ946" s="8">
        <f t="shared" si="302"/>
        <v>0</v>
      </c>
      <c r="AR946" s="8">
        <f t="shared" si="303"/>
        <v>0</v>
      </c>
      <c r="AS946" s="42"/>
      <c r="AT946" s="84"/>
      <c r="AU946" s="84"/>
      <c r="AV946" s="4">
        <f t="shared" si="304"/>
        <v>0</v>
      </c>
      <c r="AW946" s="50" t="str">
        <f t="shared" si="305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293"/>
        <v/>
      </c>
      <c r="P947" s="84"/>
      <c r="Q947" s="84"/>
      <c r="R947" s="32"/>
      <c r="S947" s="3" t="str">
        <f t="shared" si="294"/>
        <v/>
      </c>
      <c r="T947" s="84"/>
      <c r="U947" s="84"/>
      <c r="V947" s="32"/>
      <c r="W947" s="3" t="str">
        <f t="shared" si="295"/>
        <v/>
      </c>
      <c r="X947" s="84"/>
      <c r="Y947" s="84"/>
      <c r="Z947" s="32"/>
      <c r="AA947" s="3" t="str">
        <f t="shared" si="296"/>
        <v/>
      </c>
      <c r="AB947" s="84"/>
      <c r="AC947" s="84"/>
      <c r="AD947" s="36"/>
      <c r="AE947" s="82"/>
      <c r="AF947" s="3" t="str">
        <f t="shared" si="297"/>
        <v/>
      </c>
      <c r="AG947" s="84"/>
      <c r="AH947" s="84"/>
      <c r="AI947" s="39"/>
      <c r="AJ947" s="79"/>
      <c r="AK947" s="39"/>
      <c r="AL947" s="4">
        <f t="shared" si="298"/>
        <v>0</v>
      </c>
      <c r="AM947" s="4">
        <f t="shared" si="299"/>
        <v>0</v>
      </c>
      <c r="AN947" s="4">
        <f t="shared" si="300"/>
        <v>0</v>
      </c>
      <c r="AO947" s="39"/>
      <c r="AP947" s="8">
        <f t="shared" si="301"/>
        <v>0</v>
      </c>
      <c r="AQ947" s="8">
        <f t="shared" si="302"/>
        <v>0</v>
      </c>
      <c r="AR947" s="8">
        <f t="shared" si="303"/>
        <v>0</v>
      </c>
      <c r="AS947" s="42"/>
      <c r="AT947" s="84"/>
      <c r="AU947" s="84"/>
      <c r="AV947" s="4">
        <f t="shared" si="304"/>
        <v>0</v>
      </c>
      <c r="AW947" s="50" t="str">
        <f t="shared" si="305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si="293"/>
        <v/>
      </c>
      <c r="P948" s="84"/>
      <c r="Q948" s="84"/>
      <c r="R948" s="32"/>
      <c r="S948" s="3" t="str">
        <f t="shared" si="294"/>
        <v/>
      </c>
      <c r="T948" s="84"/>
      <c r="U948" s="84"/>
      <c r="V948" s="32"/>
      <c r="W948" s="3" t="str">
        <f t="shared" si="295"/>
        <v/>
      </c>
      <c r="X948" s="84"/>
      <c r="Y948" s="84"/>
      <c r="Z948" s="32"/>
      <c r="AA948" s="3" t="str">
        <f t="shared" si="296"/>
        <v/>
      </c>
      <c r="AB948" s="84"/>
      <c r="AC948" s="84"/>
      <c r="AD948" s="36"/>
      <c r="AE948" s="82"/>
      <c r="AF948" s="3" t="str">
        <f t="shared" si="297"/>
        <v/>
      </c>
      <c r="AG948" s="84"/>
      <c r="AH948" s="84"/>
      <c r="AI948" s="39"/>
      <c r="AJ948" s="79"/>
      <c r="AK948" s="39"/>
      <c r="AL948" s="4">
        <f t="shared" si="298"/>
        <v>0</v>
      </c>
      <c r="AM948" s="4">
        <f t="shared" si="299"/>
        <v>0</v>
      </c>
      <c r="AN948" s="4">
        <f t="shared" si="300"/>
        <v>0</v>
      </c>
      <c r="AO948" s="39"/>
      <c r="AP948" s="8">
        <f t="shared" si="301"/>
        <v>0</v>
      </c>
      <c r="AQ948" s="8">
        <f t="shared" si="302"/>
        <v>0</v>
      </c>
      <c r="AR948" s="8">
        <f t="shared" si="303"/>
        <v>0</v>
      </c>
      <c r="AS948" s="42"/>
      <c r="AT948" s="84"/>
      <c r="AU948" s="84"/>
      <c r="AV948" s="4">
        <f t="shared" si="304"/>
        <v>0</v>
      </c>
      <c r="AW948" s="50" t="str">
        <f t="shared" si="305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293"/>
        <v/>
      </c>
      <c r="P949" s="84"/>
      <c r="Q949" s="84"/>
      <c r="R949" s="32"/>
      <c r="S949" s="3" t="str">
        <f t="shared" si="294"/>
        <v/>
      </c>
      <c r="T949" s="84"/>
      <c r="U949" s="84"/>
      <c r="V949" s="32"/>
      <c r="W949" s="3" t="str">
        <f t="shared" si="295"/>
        <v/>
      </c>
      <c r="X949" s="84"/>
      <c r="Y949" s="84"/>
      <c r="Z949" s="32"/>
      <c r="AA949" s="3" t="str">
        <f t="shared" si="296"/>
        <v/>
      </c>
      <c r="AB949" s="84"/>
      <c r="AC949" s="84"/>
      <c r="AD949" s="36"/>
      <c r="AE949" s="82"/>
      <c r="AF949" s="3" t="str">
        <f t="shared" si="297"/>
        <v/>
      </c>
      <c r="AG949" s="84"/>
      <c r="AH949" s="84"/>
      <c r="AI949" s="39"/>
      <c r="AJ949" s="79"/>
      <c r="AK949" s="39"/>
      <c r="AL949" s="4">
        <f t="shared" si="298"/>
        <v>0</v>
      </c>
      <c r="AM949" s="4">
        <f t="shared" si="299"/>
        <v>0</v>
      </c>
      <c r="AN949" s="4">
        <f t="shared" si="300"/>
        <v>0</v>
      </c>
      <c r="AO949" s="39"/>
      <c r="AP949" s="8">
        <f t="shared" si="301"/>
        <v>0</v>
      </c>
      <c r="AQ949" s="8">
        <f t="shared" si="302"/>
        <v>0</v>
      </c>
      <c r="AR949" s="8">
        <f t="shared" si="303"/>
        <v>0</v>
      </c>
      <c r="AS949" s="42"/>
      <c r="AT949" s="84"/>
      <c r="AU949" s="84"/>
      <c r="AV949" s="4">
        <f t="shared" si="304"/>
        <v>0</v>
      </c>
      <c r="AW949" s="50" t="str">
        <f t="shared" si="305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293"/>
        <v/>
      </c>
      <c r="P950" s="84"/>
      <c r="Q950" s="84"/>
      <c r="R950" s="32"/>
      <c r="S950" s="3" t="str">
        <f t="shared" si="294"/>
        <v/>
      </c>
      <c r="T950" s="84"/>
      <c r="U950" s="84"/>
      <c r="V950" s="32"/>
      <c r="W950" s="3" t="str">
        <f t="shared" si="295"/>
        <v/>
      </c>
      <c r="X950" s="84"/>
      <c r="Y950" s="84"/>
      <c r="Z950" s="32"/>
      <c r="AA950" s="3" t="str">
        <f t="shared" si="296"/>
        <v/>
      </c>
      <c r="AB950" s="84"/>
      <c r="AC950" s="84"/>
      <c r="AD950" s="36"/>
      <c r="AE950" s="82"/>
      <c r="AF950" s="3" t="str">
        <f t="shared" si="297"/>
        <v/>
      </c>
      <c r="AG950" s="84"/>
      <c r="AH950" s="84"/>
      <c r="AI950" s="39"/>
      <c r="AJ950" s="79"/>
      <c r="AK950" s="39"/>
      <c r="AL950" s="4">
        <f t="shared" si="298"/>
        <v>0</v>
      </c>
      <c r="AM950" s="4">
        <f t="shared" si="299"/>
        <v>0</v>
      </c>
      <c r="AN950" s="4">
        <f t="shared" si="300"/>
        <v>0</v>
      </c>
      <c r="AO950" s="39"/>
      <c r="AP950" s="8">
        <f t="shared" si="301"/>
        <v>0</v>
      </c>
      <c r="AQ950" s="8">
        <f t="shared" si="302"/>
        <v>0</v>
      </c>
      <c r="AR950" s="8">
        <f t="shared" si="303"/>
        <v>0</v>
      </c>
      <c r="AS950" s="42"/>
      <c r="AT950" s="84"/>
      <c r="AU950" s="84"/>
      <c r="AV950" s="4">
        <f t="shared" si="304"/>
        <v>0</v>
      </c>
      <c r="AW950" s="50" t="str">
        <f t="shared" si="305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si="293"/>
        <v/>
      </c>
      <c r="P951" s="84"/>
      <c r="Q951" s="84"/>
      <c r="R951" s="32"/>
      <c r="S951" s="3" t="str">
        <f t="shared" si="294"/>
        <v/>
      </c>
      <c r="T951" s="84"/>
      <c r="U951" s="84"/>
      <c r="V951" s="32"/>
      <c r="W951" s="3" t="str">
        <f t="shared" si="295"/>
        <v/>
      </c>
      <c r="X951" s="84"/>
      <c r="Y951" s="84"/>
      <c r="Z951" s="32"/>
      <c r="AA951" s="3" t="str">
        <f t="shared" si="296"/>
        <v/>
      </c>
      <c r="AB951" s="84"/>
      <c r="AC951" s="84"/>
      <c r="AD951" s="36"/>
      <c r="AE951" s="82"/>
      <c r="AF951" s="3" t="str">
        <f t="shared" si="297"/>
        <v/>
      </c>
      <c r="AG951" s="84"/>
      <c r="AH951" s="84"/>
      <c r="AI951" s="39"/>
      <c r="AJ951" s="79"/>
      <c r="AK951" s="39"/>
      <c r="AL951" s="4">
        <f t="shared" si="298"/>
        <v>0</v>
      </c>
      <c r="AM951" s="4">
        <f t="shared" si="299"/>
        <v>0</v>
      </c>
      <c r="AN951" s="4">
        <f t="shared" si="300"/>
        <v>0</v>
      </c>
      <c r="AO951" s="39"/>
      <c r="AP951" s="8">
        <f t="shared" si="301"/>
        <v>0</v>
      </c>
      <c r="AQ951" s="8">
        <f t="shared" si="302"/>
        <v>0</v>
      </c>
      <c r="AR951" s="8">
        <f t="shared" si="303"/>
        <v>0</v>
      </c>
      <c r="AS951" s="42"/>
      <c r="AT951" s="84"/>
      <c r="AU951" s="84"/>
      <c r="AV951" s="4">
        <f t="shared" si="304"/>
        <v>0</v>
      </c>
      <c r="AW951" s="50" t="str">
        <f t="shared" si="305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93"/>
        <v/>
      </c>
      <c r="P952" s="84"/>
      <c r="Q952" s="84"/>
      <c r="R952" s="32"/>
      <c r="S952" s="3" t="str">
        <f t="shared" si="294"/>
        <v/>
      </c>
      <c r="T952" s="84"/>
      <c r="U952" s="84"/>
      <c r="V952" s="32"/>
      <c r="W952" s="3" t="str">
        <f t="shared" si="295"/>
        <v/>
      </c>
      <c r="X952" s="84"/>
      <c r="Y952" s="84"/>
      <c r="Z952" s="32"/>
      <c r="AA952" s="3" t="str">
        <f t="shared" si="296"/>
        <v/>
      </c>
      <c r="AB952" s="84"/>
      <c r="AC952" s="84"/>
      <c r="AD952" s="36"/>
      <c r="AE952" s="82"/>
      <c r="AF952" s="3" t="str">
        <f t="shared" si="297"/>
        <v/>
      </c>
      <c r="AG952" s="84"/>
      <c r="AH952" s="84"/>
      <c r="AI952" s="39"/>
      <c r="AJ952" s="79"/>
      <c r="AK952" s="39"/>
      <c r="AL952" s="4">
        <f t="shared" si="298"/>
        <v>0</v>
      </c>
      <c r="AM952" s="4">
        <f t="shared" si="299"/>
        <v>0</v>
      </c>
      <c r="AN952" s="4">
        <f t="shared" si="300"/>
        <v>0</v>
      </c>
      <c r="AO952" s="39"/>
      <c r="AP952" s="8">
        <f t="shared" si="301"/>
        <v>0</v>
      </c>
      <c r="AQ952" s="8">
        <f t="shared" si="302"/>
        <v>0</v>
      </c>
      <c r="AR952" s="8">
        <f t="shared" si="303"/>
        <v>0</v>
      </c>
      <c r="AS952" s="42"/>
      <c r="AT952" s="84"/>
      <c r="AU952" s="84"/>
      <c r="AV952" s="4">
        <f t="shared" si="304"/>
        <v>0</v>
      </c>
      <c r="AW952" s="50" t="str">
        <f t="shared" si="305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93"/>
        <v/>
      </c>
      <c r="P953" s="84"/>
      <c r="Q953" s="84"/>
      <c r="R953" s="32"/>
      <c r="S953" s="3" t="str">
        <f t="shared" si="294"/>
        <v/>
      </c>
      <c r="T953" s="84"/>
      <c r="U953" s="84"/>
      <c r="V953" s="32"/>
      <c r="W953" s="3" t="str">
        <f t="shared" si="295"/>
        <v/>
      </c>
      <c r="X953" s="84"/>
      <c r="Y953" s="84"/>
      <c r="Z953" s="32"/>
      <c r="AA953" s="3" t="str">
        <f t="shared" si="296"/>
        <v/>
      </c>
      <c r="AB953" s="84"/>
      <c r="AC953" s="84"/>
      <c r="AD953" s="36"/>
      <c r="AE953" s="82"/>
      <c r="AF953" s="3" t="str">
        <f t="shared" si="297"/>
        <v/>
      </c>
      <c r="AG953" s="84"/>
      <c r="AH953" s="84"/>
      <c r="AI953" s="39"/>
      <c r="AJ953" s="79"/>
      <c r="AK953" s="39"/>
      <c r="AL953" s="4">
        <f t="shared" si="298"/>
        <v>0</v>
      </c>
      <c r="AM953" s="4">
        <f t="shared" si="299"/>
        <v>0</v>
      </c>
      <c r="AN953" s="4">
        <f t="shared" si="300"/>
        <v>0</v>
      </c>
      <c r="AO953" s="39"/>
      <c r="AP953" s="8">
        <f t="shared" si="301"/>
        <v>0</v>
      </c>
      <c r="AQ953" s="8">
        <f t="shared" si="302"/>
        <v>0</v>
      </c>
      <c r="AR953" s="8">
        <f t="shared" si="303"/>
        <v>0</v>
      </c>
      <c r="AS953" s="42"/>
      <c r="AT953" s="84"/>
      <c r="AU953" s="84"/>
      <c r="AV953" s="4">
        <f t="shared" si="304"/>
        <v>0</v>
      </c>
      <c r="AW953" s="50" t="str">
        <f t="shared" si="305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ref="O954:O999" si="306">IF($A954="","",IF(P954=AZ954,"E","A"))</f>
        <v/>
      </c>
      <c r="P954" s="84"/>
      <c r="Q954" s="84"/>
      <c r="R954" s="32"/>
      <c r="S954" s="3" t="str">
        <f t="shared" ref="S954:S999" si="307">IF($A954="","",IF(T954=BA954,"E","A"))</f>
        <v/>
      </c>
      <c r="T954" s="84"/>
      <c r="U954" s="84"/>
      <c r="V954" s="32"/>
      <c r="W954" s="3" t="str">
        <f t="shared" ref="W954:W999" si="308">IF($A954="","",IF(X954=0,"A",IF(X954=BB954,"E","A")))</f>
        <v/>
      </c>
      <c r="X954" s="84"/>
      <c r="Y954" s="84"/>
      <c r="Z954" s="32"/>
      <c r="AA954" s="3" t="str">
        <f t="shared" ref="AA954:AA999" si="309">IF($A954="","",IF(AB954=0,"A",IF(AB954=BC954,"E","A")))</f>
        <v/>
      </c>
      <c r="AB954" s="84"/>
      <c r="AC954" s="84"/>
      <c r="AD954" s="36"/>
      <c r="AE954" s="82"/>
      <c r="AF954" s="3" t="str">
        <f t="shared" ref="AF954:AF999" si="310">IF($A954="","",IF(AG954=0,"A",IF(AG954=BD954,"E","A")))</f>
        <v/>
      </c>
      <c r="AG954" s="84"/>
      <c r="AH954" s="84"/>
      <c r="AI954" s="39"/>
      <c r="AJ954" s="79"/>
      <c r="AK954" s="39"/>
      <c r="AL954" s="4">
        <f t="shared" ref="AL954:AL999" si="311">IF($O954="A",P954,0)+IF($S954="A",T954,0)+IF($W954="A",X954,0)+IF($AA954="A",AB954,0)+IF($AF954="A",AG954,0)</f>
        <v>0</v>
      </c>
      <c r="AM954" s="4">
        <f t="shared" ref="AM954:AM999" si="312">IF($O954="A",Q954,0)+IF($S954="A",U954,0)+IF($W954="A",Y954,0)+IF($AA954="A",AC954,0)+IF($AF954="A",AH954,0)</f>
        <v>0</v>
      </c>
      <c r="AN954" s="4">
        <f t="shared" ref="AN954:AN999" si="313">SUM(AL954:AM954)</f>
        <v>0</v>
      </c>
      <c r="AO954" s="39"/>
      <c r="AP954" s="8">
        <f t="shared" ref="AP954:AP999" si="314">IF($O954="E",P954,0)+IF($S954="E",T954,0)+IF($W954="E",X954,0)+IF($AA954="E",AB954,0)+IF($AF954="E",AG954,0)</f>
        <v>0</v>
      </c>
      <c r="AQ954" s="8">
        <f t="shared" ref="AQ954:AQ999" si="315">IF($O954="E",Q954,0)+IF($S954="E",U954,0)+IF($W954="E",Y954,0)+IF($AA954="E",AC954,0)+IF($AF954="E",AH954,0)</f>
        <v>0</v>
      </c>
      <c r="AR954" s="8">
        <f t="shared" ref="AR954:AR999" si="316">SUM(AP954:AQ954)</f>
        <v>0</v>
      </c>
      <c r="AS954" s="42"/>
      <c r="AT954" s="84"/>
      <c r="AU954" s="84"/>
      <c r="AV954" s="4">
        <f t="shared" ref="AV954:AV999" si="317">SUM(AT954:AU954)</f>
        <v>0</v>
      </c>
      <c r="AW954" s="50" t="str">
        <f t="shared" ref="AW954:AW999" si="318">IF(AV954=0,"",IF(AN954=AV954,"","W"))</f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306"/>
        <v/>
      </c>
      <c r="P955" s="84"/>
      <c r="Q955" s="84"/>
      <c r="R955" s="32"/>
      <c r="S955" s="3" t="str">
        <f t="shared" si="307"/>
        <v/>
      </c>
      <c r="T955" s="84"/>
      <c r="U955" s="84"/>
      <c r="V955" s="32"/>
      <c r="W955" s="3" t="str">
        <f t="shared" si="308"/>
        <v/>
      </c>
      <c r="X955" s="84"/>
      <c r="Y955" s="84"/>
      <c r="Z955" s="32"/>
      <c r="AA955" s="3" t="str">
        <f t="shared" si="309"/>
        <v/>
      </c>
      <c r="AB955" s="84"/>
      <c r="AC955" s="84"/>
      <c r="AD955" s="36"/>
      <c r="AE955" s="82"/>
      <c r="AF955" s="3" t="str">
        <f t="shared" si="310"/>
        <v/>
      </c>
      <c r="AG955" s="84"/>
      <c r="AH955" s="84"/>
      <c r="AI955" s="39"/>
      <c r="AJ955" s="79"/>
      <c r="AK955" s="39"/>
      <c r="AL955" s="4">
        <f t="shared" si="311"/>
        <v>0</v>
      </c>
      <c r="AM955" s="4">
        <f t="shared" si="312"/>
        <v>0</v>
      </c>
      <c r="AN955" s="4">
        <f t="shared" si="313"/>
        <v>0</v>
      </c>
      <c r="AO955" s="39"/>
      <c r="AP955" s="8">
        <f t="shared" si="314"/>
        <v>0</v>
      </c>
      <c r="AQ955" s="8">
        <f t="shared" si="315"/>
        <v>0</v>
      </c>
      <c r="AR955" s="8">
        <f t="shared" si="316"/>
        <v>0</v>
      </c>
      <c r="AS955" s="42"/>
      <c r="AT955" s="84"/>
      <c r="AU955" s="84"/>
      <c r="AV955" s="4">
        <f t="shared" si="317"/>
        <v>0</v>
      </c>
      <c r="AW955" s="50" t="str">
        <f t="shared" si="318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306"/>
        <v/>
      </c>
      <c r="P956" s="84"/>
      <c r="Q956" s="84"/>
      <c r="R956" s="32"/>
      <c r="S956" s="3" t="str">
        <f t="shared" si="307"/>
        <v/>
      </c>
      <c r="T956" s="84"/>
      <c r="U956" s="84"/>
      <c r="V956" s="32"/>
      <c r="W956" s="3" t="str">
        <f t="shared" si="308"/>
        <v/>
      </c>
      <c r="X956" s="84"/>
      <c r="Y956" s="84"/>
      <c r="Z956" s="32"/>
      <c r="AA956" s="3" t="str">
        <f t="shared" si="309"/>
        <v/>
      </c>
      <c r="AB956" s="84"/>
      <c r="AC956" s="84"/>
      <c r="AD956" s="36"/>
      <c r="AE956" s="82"/>
      <c r="AF956" s="3" t="str">
        <f t="shared" si="310"/>
        <v/>
      </c>
      <c r="AG956" s="84"/>
      <c r="AH956" s="84"/>
      <c r="AI956" s="39"/>
      <c r="AJ956" s="79"/>
      <c r="AK956" s="39"/>
      <c r="AL956" s="4">
        <f t="shared" si="311"/>
        <v>0</v>
      </c>
      <c r="AM956" s="4">
        <f t="shared" si="312"/>
        <v>0</v>
      </c>
      <c r="AN956" s="4">
        <f t="shared" si="313"/>
        <v>0</v>
      </c>
      <c r="AO956" s="39"/>
      <c r="AP956" s="8">
        <f t="shared" si="314"/>
        <v>0</v>
      </c>
      <c r="AQ956" s="8">
        <f t="shared" si="315"/>
        <v>0</v>
      </c>
      <c r="AR956" s="8">
        <f t="shared" si="316"/>
        <v>0</v>
      </c>
      <c r="AS956" s="42"/>
      <c r="AT956" s="84"/>
      <c r="AU956" s="84"/>
      <c r="AV956" s="4">
        <f t="shared" si="317"/>
        <v>0</v>
      </c>
      <c r="AW956" s="50" t="str">
        <f t="shared" si="318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306"/>
        <v/>
      </c>
      <c r="P957" s="84"/>
      <c r="Q957" s="84"/>
      <c r="R957" s="32"/>
      <c r="S957" s="3" t="str">
        <f t="shared" si="307"/>
        <v/>
      </c>
      <c r="T957" s="84"/>
      <c r="U957" s="84"/>
      <c r="V957" s="32"/>
      <c r="W957" s="3" t="str">
        <f t="shared" si="308"/>
        <v/>
      </c>
      <c r="X957" s="84"/>
      <c r="Y957" s="84"/>
      <c r="Z957" s="32"/>
      <c r="AA957" s="3" t="str">
        <f t="shared" si="309"/>
        <v/>
      </c>
      <c r="AB957" s="84"/>
      <c r="AC957" s="84"/>
      <c r="AD957" s="36"/>
      <c r="AE957" s="82"/>
      <c r="AF957" s="3" t="str">
        <f t="shared" si="310"/>
        <v/>
      </c>
      <c r="AG957" s="84"/>
      <c r="AH957" s="84"/>
      <c r="AI957" s="39"/>
      <c r="AJ957" s="79"/>
      <c r="AK957" s="39"/>
      <c r="AL957" s="4">
        <f t="shared" si="311"/>
        <v>0</v>
      </c>
      <c r="AM957" s="4">
        <f t="shared" si="312"/>
        <v>0</v>
      </c>
      <c r="AN957" s="4">
        <f t="shared" si="313"/>
        <v>0</v>
      </c>
      <c r="AO957" s="39"/>
      <c r="AP957" s="8">
        <f t="shared" si="314"/>
        <v>0</v>
      </c>
      <c r="AQ957" s="8">
        <f t="shared" si="315"/>
        <v>0</v>
      </c>
      <c r="AR957" s="8">
        <f t="shared" si="316"/>
        <v>0</v>
      </c>
      <c r="AS957" s="42"/>
      <c r="AT957" s="84"/>
      <c r="AU957" s="84"/>
      <c r="AV957" s="4">
        <f t="shared" si="317"/>
        <v>0</v>
      </c>
      <c r="AW957" s="50" t="str">
        <f t="shared" si="318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306"/>
        <v/>
      </c>
      <c r="P958" s="84"/>
      <c r="Q958" s="84"/>
      <c r="R958" s="32"/>
      <c r="S958" s="3" t="str">
        <f t="shared" si="307"/>
        <v/>
      </c>
      <c r="T958" s="84"/>
      <c r="U958" s="84"/>
      <c r="V958" s="32"/>
      <c r="W958" s="3" t="str">
        <f t="shared" si="308"/>
        <v/>
      </c>
      <c r="X958" s="84"/>
      <c r="Y958" s="84"/>
      <c r="Z958" s="32"/>
      <c r="AA958" s="3" t="str">
        <f t="shared" si="309"/>
        <v/>
      </c>
      <c r="AB958" s="84"/>
      <c r="AC958" s="84"/>
      <c r="AD958" s="36"/>
      <c r="AE958" s="82"/>
      <c r="AF958" s="3" t="str">
        <f t="shared" si="310"/>
        <v/>
      </c>
      <c r="AG958" s="84"/>
      <c r="AH958" s="84"/>
      <c r="AI958" s="39"/>
      <c r="AJ958" s="79"/>
      <c r="AK958" s="39"/>
      <c r="AL958" s="4">
        <f t="shared" si="311"/>
        <v>0</v>
      </c>
      <c r="AM958" s="4">
        <f t="shared" si="312"/>
        <v>0</v>
      </c>
      <c r="AN958" s="4">
        <f t="shared" si="313"/>
        <v>0</v>
      </c>
      <c r="AO958" s="39"/>
      <c r="AP958" s="8">
        <f t="shared" si="314"/>
        <v>0</v>
      </c>
      <c r="AQ958" s="8">
        <f t="shared" si="315"/>
        <v>0</v>
      </c>
      <c r="AR958" s="8">
        <f t="shared" si="316"/>
        <v>0</v>
      </c>
      <c r="AS958" s="42"/>
      <c r="AT958" s="84"/>
      <c r="AU958" s="84"/>
      <c r="AV958" s="4">
        <f t="shared" si="317"/>
        <v>0</v>
      </c>
      <c r="AW958" s="50" t="str">
        <f t="shared" si="318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306"/>
        <v/>
      </c>
      <c r="P959" s="84"/>
      <c r="Q959" s="84"/>
      <c r="R959" s="32"/>
      <c r="S959" s="3" t="str">
        <f t="shared" si="307"/>
        <v/>
      </c>
      <c r="T959" s="84"/>
      <c r="U959" s="84"/>
      <c r="V959" s="32"/>
      <c r="W959" s="3" t="str">
        <f t="shared" si="308"/>
        <v/>
      </c>
      <c r="X959" s="84"/>
      <c r="Y959" s="84"/>
      <c r="Z959" s="32"/>
      <c r="AA959" s="3" t="str">
        <f t="shared" si="309"/>
        <v/>
      </c>
      <c r="AB959" s="84"/>
      <c r="AC959" s="84"/>
      <c r="AD959" s="36"/>
      <c r="AE959" s="82"/>
      <c r="AF959" s="3" t="str">
        <f t="shared" si="310"/>
        <v/>
      </c>
      <c r="AG959" s="84"/>
      <c r="AH959" s="84"/>
      <c r="AI959" s="39"/>
      <c r="AJ959" s="79"/>
      <c r="AK959" s="39"/>
      <c r="AL959" s="4">
        <f t="shared" si="311"/>
        <v>0</v>
      </c>
      <c r="AM959" s="4">
        <f t="shared" si="312"/>
        <v>0</v>
      </c>
      <c r="AN959" s="4">
        <f t="shared" si="313"/>
        <v>0</v>
      </c>
      <c r="AO959" s="39"/>
      <c r="AP959" s="8">
        <f t="shared" si="314"/>
        <v>0</v>
      </c>
      <c r="AQ959" s="8">
        <f t="shared" si="315"/>
        <v>0</v>
      </c>
      <c r="AR959" s="8">
        <f t="shared" si="316"/>
        <v>0</v>
      </c>
      <c r="AS959" s="42"/>
      <c r="AT959" s="84"/>
      <c r="AU959" s="84"/>
      <c r="AV959" s="4">
        <f t="shared" si="317"/>
        <v>0</v>
      </c>
      <c r="AW959" s="50" t="str">
        <f t="shared" si="318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306"/>
        <v/>
      </c>
      <c r="P960" s="84"/>
      <c r="Q960" s="84"/>
      <c r="R960" s="32"/>
      <c r="S960" s="3" t="str">
        <f t="shared" si="307"/>
        <v/>
      </c>
      <c r="T960" s="84"/>
      <c r="U960" s="84"/>
      <c r="V960" s="32"/>
      <c r="W960" s="3" t="str">
        <f t="shared" si="308"/>
        <v/>
      </c>
      <c r="X960" s="84"/>
      <c r="Y960" s="84"/>
      <c r="Z960" s="32"/>
      <c r="AA960" s="3" t="str">
        <f t="shared" si="309"/>
        <v/>
      </c>
      <c r="AB960" s="84"/>
      <c r="AC960" s="84"/>
      <c r="AD960" s="36"/>
      <c r="AE960" s="82"/>
      <c r="AF960" s="3" t="str">
        <f t="shared" si="310"/>
        <v/>
      </c>
      <c r="AG960" s="84"/>
      <c r="AH960" s="84"/>
      <c r="AI960" s="39"/>
      <c r="AJ960" s="79"/>
      <c r="AK960" s="39"/>
      <c r="AL960" s="4">
        <f t="shared" si="311"/>
        <v>0</v>
      </c>
      <c r="AM960" s="4">
        <f t="shared" si="312"/>
        <v>0</v>
      </c>
      <c r="AN960" s="4">
        <f t="shared" si="313"/>
        <v>0</v>
      </c>
      <c r="AO960" s="39"/>
      <c r="AP960" s="8">
        <f t="shared" si="314"/>
        <v>0</v>
      </c>
      <c r="AQ960" s="8">
        <f t="shared" si="315"/>
        <v>0</v>
      </c>
      <c r="AR960" s="8">
        <f t="shared" si="316"/>
        <v>0</v>
      </c>
      <c r="AS960" s="42"/>
      <c r="AT960" s="84"/>
      <c r="AU960" s="84"/>
      <c r="AV960" s="4">
        <f t="shared" si="317"/>
        <v>0</v>
      </c>
      <c r="AW960" s="50" t="str">
        <f t="shared" si="318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306"/>
        <v/>
      </c>
      <c r="P961" s="84"/>
      <c r="Q961" s="84"/>
      <c r="R961" s="32"/>
      <c r="S961" s="3" t="str">
        <f t="shared" si="307"/>
        <v/>
      </c>
      <c r="T961" s="84"/>
      <c r="U961" s="84"/>
      <c r="V961" s="32"/>
      <c r="W961" s="3" t="str">
        <f t="shared" si="308"/>
        <v/>
      </c>
      <c r="X961" s="84"/>
      <c r="Y961" s="84"/>
      <c r="Z961" s="32"/>
      <c r="AA961" s="3" t="str">
        <f t="shared" si="309"/>
        <v/>
      </c>
      <c r="AB961" s="84"/>
      <c r="AC961" s="84"/>
      <c r="AD961" s="36"/>
      <c r="AE961" s="82"/>
      <c r="AF961" s="3" t="str">
        <f t="shared" si="310"/>
        <v/>
      </c>
      <c r="AG961" s="84"/>
      <c r="AH961" s="84"/>
      <c r="AI961" s="39"/>
      <c r="AJ961" s="79"/>
      <c r="AK961" s="39"/>
      <c r="AL961" s="4">
        <f t="shared" si="311"/>
        <v>0</v>
      </c>
      <c r="AM961" s="4">
        <f t="shared" si="312"/>
        <v>0</v>
      </c>
      <c r="AN961" s="4">
        <f t="shared" si="313"/>
        <v>0</v>
      </c>
      <c r="AO961" s="39"/>
      <c r="AP961" s="8">
        <f t="shared" si="314"/>
        <v>0</v>
      </c>
      <c r="AQ961" s="8">
        <f t="shared" si="315"/>
        <v>0</v>
      </c>
      <c r="AR961" s="8">
        <f t="shared" si="316"/>
        <v>0</v>
      </c>
      <c r="AS961" s="42"/>
      <c r="AT961" s="84"/>
      <c r="AU961" s="84"/>
      <c r="AV961" s="4">
        <f t="shared" si="317"/>
        <v>0</v>
      </c>
      <c r="AW961" s="50" t="str">
        <f t="shared" si="318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306"/>
        <v/>
      </c>
      <c r="P962" s="84"/>
      <c r="Q962" s="84"/>
      <c r="R962" s="32"/>
      <c r="S962" s="3" t="str">
        <f t="shared" si="307"/>
        <v/>
      </c>
      <c r="T962" s="84"/>
      <c r="U962" s="84"/>
      <c r="V962" s="32"/>
      <c r="W962" s="3" t="str">
        <f t="shared" si="308"/>
        <v/>
      </c>
      <c r="X962" s="84"/>
      <c r="Y962" s="84"/>
      <c r="Z962" s="32"/>
      <c r="AA962" s="3" t="str">
        <f t="shared" si="309"/>
        <v/>
      </c>
      <c r="AB962" s="84"/>
      <c r="AC962" s="84"/>
      <c r="AD962" s="36"/>
      <c r="AE962" s="82"/>
      <c r="AF962" s="3" t="str">
        <f t="shared" si="310"/>
        <v/>
      </c>
      <c r="AG962" s="84"/>
      <c r="AH962" s="84"/>
      <c r="AI962" s="39"/>
      <c r="AJ962" s="79"/>
      <c r="AK962" s="39"/>
      <c r="AL962" s="4">
        <f t="shared" si="311"/>
        <v>0</v>
      </c>
      <c r="AM962" s="4">
        <f t="shared" si="312"/>
        <v>0</v>
      </c>
      <c r="AN962" s="4">
        <f t="shared" si="313"/>
        <v>0</v>
      </c>
      <c r="AO962" s="39"/>
      <c r="AP962" s="8">
        <f t="shared" si="314"/>
        <v>0</v>
      </c>
      <c r="AQ962" s="8">
        <f t="shared" si="315"/>
        <v>0</v>
      </c>
      <c r="AR962" s="8">
        <f t="shared" si="316"/>
        <v>0</v>
      </c>
      <c r="AS962" s="42"/>
      <c r="AT962" s="84"/>
      <c r="AU962" s="84"/>
      <c r="AV962" s="4">
        <f t="shared" si="317"/>
        <v>0</v>
      </c>
      <c r="AW962" s="50" t="str">
        <f t="shared" si="318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306"/>
        <v/>
      </c>
      <c r="P963" s="84"/>
      <c r="Q963" s="84"/>
      <c r="R963" s="32"/>
      <c r="S963" s="3" t="str">
        <f t="shared" si="307"/>
        <v/>
      </c>
      <c r="T963" s="84"/>
      <c r="U963" s="84"/>
      <c r="V963" s="32"/>
      <c r="W963" s="3" t="str">
        <f t="shared" si="308"/>
        <v/>
      </c>
      <c r="X963" s="84"/>
      <c r="Y963" s="84"/>
      <c r="Z963" s="32"/>
      <c r="AA963" s="3" t="str">
        <f t="shared" si="309"/>
        <v/>
      </c>
      <c r="AB963" s="84"/>
      <c r="AC963" s="84"/>
      <c r="AD963" s="36"/>
      <c r="AE963" s="82"/>
      <c r="AF963" s="3" t="str">
        <f t="shared" si="310"/>
        <v/>
      </c>
      <c r="AG963" s="84"/>
      <c r="AH963" s="84"/>
      <c r="AI963" s="39"/>
      <c r="AJ963" s="79"/>
      <c r="AK963" s="39"/>
      <c r="AL963" s="4">
        <f t="shared" si="311"/>
        <v>0</v>
      </c>
      <c r="AM963" s="4">
        <f t="shared" si="312"/>
        <v>0</v>
      </c>
      <c r="AN963" s="4">
        <f t="shared" si="313"/>
        <v>0</v>
      </c>
      <c r="AO963" s="39"/>
      <c r="AP963" s="8">
        <f t="shared" si="314"/>
        <v>0</v>
      </c>
      <c r="AQ963" s="8">
        <f t="shared" si="315"/>
        <v>0</v>
      </c>
      <c r="AR963" s="8">
        <f t="shared" si="316"/>
        <v>0</v>
      </c>
      <c r="AS963" s="42"/>
      <c r="AT963" s="84"/>
      <c r="AU963" s="84"/>
      <c r="AV963" s="4">
        <f t="shared" si="317"/>
        <v>0</v>
      </c>
      <c r="AW963" s="50" t="str">
        <f t="shared" si="318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306"/>
        <v/>
      </c>
      <c r="P964" s="84"/>
      <c r="Q964" s="84"/>
      <c r="R964" s="32"/>
      <c r="S964" s="3" t="str">
        <f t="shared" si="307"/>
        <v/>
      </c>
      <c r="T964" s="84"/>
      <c r="U964" s="84"/>
      <c r="V964" s="32"/>
      <c r="W964" s="3" t="str">
        <f t="shared" si="308"/>
        <v/>
      </c>
      <c r="X964" s="84"/>
      <c r="Y964" s="84"/>
      <c r="Z964" s="32"/>
      <c r="AA964" s="3" t="str">
        <f t="shared" si="309"/>
        <v/>
      </c>
      <c r="AB964" s="84"/>
      <c r="AC964" s="84"/>
      <c r="AD964" s="36"/>
      <c r="AE964" s="82"/>
      <c r="AF964" s="3" t="str">
        <f t="shared" si="310"/>
        <v/>
      </c>
      <c r="AG964" s="84"/>
      <c r="AH964" s="84"/>
      <c r="AI964" s="39"/>
      <c r="AJ964" s="79"/>
      <c r="AK964" s="39"/>
      <c r="AL964" s="4">
        <f t="shared" si="311"/>
        <v>0</v>
      </c>
      <c r="AM964" s="4">
        <f t="shared" si="312"/>
        <v>0</v>
      </c>
      <c r="AN964" s="4">
        <f t="shared" si="313"/>
        <v>0</v>
      </c>
      <c r="AO964" s="39"/>
      <c r="AP964" s="8">
        <f t="shared" si="314"/>
        <v>0</v>
      </c>
      <c r="AQ964" s="8">
        <f t="shared" si="315"/>
        <v>0</v>
      </c>
      <c r="AR964" s="8">
        <f t="shared" si="316"/>
        <v>0</v>
      </c>
      <c r="AS964" s="42"/>
      <c r="AT964" s="84"/>
      <c r="AU964" s="84"/>
      <c r="AV964" s="4">
        <f t="shared" si="317"/>
        <v>0</v>
      </c>
      <c r="AW964" s="50" t="str">
        <f t="shared" si="318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306"/>
        <v/>
      </c>
      <c r="P965" s="84"/>
      <c r="Q965" s="84"/>
      <c r="R965" s="32"/>
      <c r="S965" s="3" t="str">
        <f t="shared" si="307"/>
        <v/>
      </c>
      <c r="T965" s="84"/>
      <c r="U965" s="84"/>
      <c r="V965" s="32"/>
      <c r="W965" s="3" t="str">
        <f t="shared" si="308"/>
        <v/>
      </c>
      <c r="X965" s="84"/>
      <c r="Y965" s="84"/>
      <c r="Z965" s="32"/>
      <c r="AA965" s="3" t="str">
        <f t="shared" si="309"/>
        <v/>
      </c>
      <c r="AB965" s="84"/>
      <c r="AC965" s="84"/>
      <c r="AD965" s="36"/>
      <c r="AE965" s="82"/>
      <c r="AF965" s="3" t="str">
        <f t="shared" si="310"/>
        <v/>
      </c>
      <c r="AG965" s="84"/>
      <c r="AH965" s="84"/>
      <c r="AI965" s="39"/>
      <c r="AJ965" s="79"/>
      <c r="AK965" s="39"/>
      <c r="AL965" s="4">
        <f t="shared" si="311"/>
        <v>0</v>
      </c>
      <c r="AM965" s="4">
        <f t="shared" si="312"/>
        <v>0</v>
      </c>
      <c r="AN965" s="4">
        <f t="shared" si="313"/>
        <v>0</v>
      </c>
      <c r="AO965" s="39"/>
      <c r="AP965" s="8">
        <f t="shared" si="314"/>
        <v>0</v>
      </c>
      <c r="AQ965" s="8">
        <f t="shared" si="315"/>
        <v>0</v>
      </c>
      <c r="AR965" s="8">
        <f t="shared" si="316"/>
        <v>0</v>
      </c>
      <c r="AS965" s="42"/>
      <c r="AT965" s="84"/>
      <c r="AU965" s="84"/>
      <c r="AV965" s="4">
        <f t="shared" si="317"/>
        <v>0</v>
      </c>
      <c r="AW965" s="50" t="str">
        <f t="shared" si="318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306"/>
        <v/>
      </c>
      <c r="P966" s="84"/>
      <c r="Q966" s="84"/>
      <c r="R966" s="32"/>
      <c r="S966" s="3" t="str">
        <f t="shared" si="307"/>
        <v/>
      </c>
      <c r="T966" s="84"/>
      <c r="U966" s="84"/>
      <c r="V966" s="32"/>
      <c r="W966" s="3" t="str">
        <f t="shared" si="308"/>
        <v/>
      </c>
      <c r="X966" s="84"/>
      <c r="Y966" s="84"/>
      <c r="Z966" s="32"/>
      <c r="AA966" s="3" t="str">
        <f t="shared" si="309"/>
        <v/>
      </c>
      <c r="AB966" s="84"/>
      <c r="AC966" s="84"/>
      <c r="AD966" s="36"/>
      <c r="AE966" s="82"/>
      <c r="AF966" s="3" t="str">
        <f t="shared" si="310"/>
        <v/>
      </c>
      <c r="AG966" s="84"/>
      <c r="AH966" s="84"/>
      <c r="AI966" s="39"/>
      <c r="AJ966" s="79"/>
      <c r="AK966" s="39"/>
      <c r="AL966" s="4">
        <f t="shared" si="311"/>
        <v>0</v>
      </c>
      <c r="AM966" s="4">
        <f t="shared" si="312"/>
        <v>0</v>
      </c>
      <c r="AN966" s="4">
        <f t="shared" si="313"/>
        <v>0</v>
      </c>
      <c r="AO966" s="39"/>
      <c r="AP966" s="8">
        <f t="shared" si="314"/>
        <v>0</v>
      </c>
      <c r="AQ966" s="8">
        <f t="shared" si="315"/>
        <v>0</v>
      </c>
      <c r="AR966" s="8">
        <f t="shared" si="316"/>
        <v>0</v>
      </c>
      <c r="AS966" s="42"/>
      <c r="AT966" s="84"/>
      <c r="AU966" s="84"/>
      <c r="AV966" s="4">
        <f t="shared" si="317"/>
        <v>0</v>
      </c>
      <c r="AW966" s="50" t="str">
        <f t="shared" si="318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306"/>
        <v/>
      </c>
      <c r="P967" s="84"/>
      <c r="Q967" s="84"/>
      <c r="R967" s="32"/>
      <c r="S967" s="3" t="str">
        <f t="shared" si="307"/>
        <v/>
      </c>
      <c r="T967" s="84"/>
      <c r="U967" s="84"/>
      <c r="V967" s="32"/>
      <c r="W967" s="3" t="str">
        <f t="shared" si="308"/>
        <v/>
      </c>
      <c r="X967" s="84"/>
      <c r="Y967" s="84"/>
      <c r="Z967" s="32"/>
      <c r="AA967" s="3" t="str">
        <f t="shared" si="309"/>
        <v/>
      </c>
      <c r="AB967" s="84"/>
      <c r="AC967" s="84"/>
      <c r="AD967" s="36"/>
      <c r="AE967" s="82"/>
      <c r="AF967" s="3" t="str">
        <f t="shared" si="310"/>
        <v/>
      </c>
      <c r="AG967" s="84"/>
      <c r="AH967" s="84"/>
      <c r="AI967" s="39"/>
      <c r="AJ967" s="79"/>
      <c r="AK967" s="39"/>
      <c r="AL967" s="4">
        <f t="shared" si="311"/>
        <v>0</v>
      </c>
      <c r="AM967" s="4">
        <f t="shared" si="312"/>
        <v>0</v>
      </c>
      <c r="AN967" s="4">
        <f t="shared" si="313"/>
        <v>0</v>
      </c>
      <c r="AO967" s="39"/>
      <c r="AP967" s="8">
        <f t="shared" si="314"/>
        <v>0</v>
      </c>
      <c r="AQ967" s="8">
        <f t="shared" si="315"/>
        <v>0</v>
      </c>
      <c r="AR967" s="8">
        <f t="shared" si="316"/>
        <v>0</v>
      </c>
      <c r="AS967" s="42"/>
      <c r="AT967" s="84"/>
      <c r="AU967" s="84"/>
      <c r="AV967" s="4">
        <f t="shared" si="317"/>
        <v>0</v>
      </c>
      <c r="AW967" s="50" t="str">
        <f t="shared" si="318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306"/>
        <v/>
      </c>
      <c r="P968" s="84"/>
      <c r="Q968" s="84"/>
      <c r="R968" s="32"/>
      <c r="S968" s="3" t="str">
        <f t="shared" si="307"/>
        <v/>
      </c>
      <c r="T968" s="84"/>
      <c r="U968" s="84"/>
      <c r="V968" s="32"/>
      <c r="W968" s="3" t="str">
        <f t="shared" si="308"/>
        <v/>
      </c>
      <c r="X968" s="84"/>
      <c r="Y968" s="84"/>
      <c r="Z968" s="32"/>
      <c r="AA968" s="3" t="str">
        <f t="shared" si="309"/>
        <v/>
      </c>
      <c r="AB968" s="84"/>
      <c r="AC968" s="84"/>
      <c r="AD968" s="36"/>
      <c r="AE968" s="82"/>
      <c r="AF968" s="3" t="str">
        <f t="shared" si="310"/>
        <v/>
      </c>
      <c r="AG968" s="84"/>
      <c r="AH968" s="84"/>
      <c r="AI968" s="39"/>
      <c r="AJ968" s="79"/>
      <c r="AK968" s="39"/>
      <c r="AL968" s="4">
        <f t="shared" si="311"/>
        <v>0</v>
      </c>
      <c r="AM968" s="4">
        <f t="shared" si="312"/>
        <v>0</v>
      </c>
      <c r="AN968" s="4">
        <f t="shared" si="313"/>
        <v>0</v>
      </c>
      <c r="AO968" s="39"/>
      <c r="AP968" s="8">
        <f t="shared" si="314"/>
        <v>0</v>
      </c>
      <c r="AQ968" s="8">
        <f t="shared" si="315"/>
        <v>0</v>
      </c>
      <c r="AR968" s="8">
        <f t="shared" si="316"/>
        <v>0</v>
      </c>
      <c r="AS968" s="42"/>
      <c r="AT968" s="84"/>
      <c r="AU968" s="84"/>
      <c r="AV968" s="4">
        <f t="shared" si="317"/>
        <v>0</v>
      </c>
      <c r="AW968" s="50" t="str">
        <f t="shared" si="318"/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306"/>
        <v/>
      </c>
      <c r="P969" s="84"/>
      <c r="Q969" s="84"/>
      <c r="R969" s="32"/>
      <c r="S969" s="3" t="str">
        <f t="shared" si="307"/>
        <v/>
      </c>
      <c r="T969" s="84"/>
      <c r="U969" s="84"/>
      <c r="V969" s="32"/>
      <c r="W969" s="3" t="str">
        <f t="shared" si="308"/>
        <v/>
      </c>
      <c r="X969" s="84"/>
      <c r="Y969" s="84"/>
      <c r="Z969" s="32"/>
      <c r="AA969" s="3" t="str">
        <f t="shared" si="309"/>
        <v/>
      </c>
      <c r="AB969" s="84"/>
      <c r="AC969" s="84"/>
      <c r="AD969" s="36"/>
      <c r="AE969" s="82"/>
      <c r="AF969" s="3" t="str">
        <f t="shared" si="310"/>
        <v/>
      </c>
      <c r="AG969" s="84"/>
      <c r="AH969" s="84"/>
      <c r="AI969" s="39"/>
      <c r="AJ969" s="79"/>
      <c r="AK969" s="39"/>
      <c r="AL969" s="4">
        <f t="shared" si="311"/>
        <v>0</v>
      </c>
      <c r="AM969" s="4">
        <f t="shared" si="312"/>
        <v>0</v>
      </c>
      <c r="AN969" s="4">
        <f t="shared" si="313"/>
        <v>0</v>
      </c>
      <c r="AO969" s="39"/>
      <c r="AP969" s="8">
        <f t="shared" si="314"/>
        <v>0</v>
      </c>
      <c r="AQ969" s="8">
        <f t="shared" si="315"/>
        <v>0</v>
      </c>
      <c r="AR969" s="8">
        <f t="shared" si="316"/>
        <v>0</v>
      </c>
      <c r="AS969" s="42"/>
      <c r="AT969" s="84"/>
      <c r="AU969" s="84"/>
      <c r="AV969" s="4">
        <f t="shared" si="317"/>
        <v>0</v>
      </c>
      <c r="AW969" s="50" t="str">
        <f t="shared" si="318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306"/>
        <v/>
      </c>
      <c r="P970" s="84"/>
      <c r="Q970" s="84"/>
      <c r="R970" s="32"/>
      <c r="S970" s="3" t="str">
        <f t="shared" si="307"/>
        <v/>
      </c>
      <c r="T970" s="84"/>
      <c r="U970" s="84"/>
      <c r="V970" s="32"/>
      <c r="W970" s="3" t="str">
        <f t="shared" si="308"/>
        <v/>
      </c>
      <c r="X970" s="84"/>
      <c r="Y970" s="84"/>
      <c r="Z970" s="32"/>
      <c r="AA970" s="3" t="str">
        <f t="shared" si="309"/>
        <v/>
      </c>
      <c r="AB970" s="84"/>
      <c r="AC970" s="84"/>
      <c r="AD970" s="36"/>
      <c r="AE970" s="82"/>
      <c r="AF970" s="3" t="str">
        <f t="shared" si="310"/>
        <v/>
      </c>
      <c r="AG970" s="84"/>
      <c r="AH970" s="84"/>
      <c r="AI970" s="39"/>
      <c r="AJ970" s="79"/>
      <c r="AK970" s="39"/>
      <c r="AL970" s="4">
        <f t="shared" si="311"/>
        <v>0</v>
      </c>
      <c r="AM970" s="4">
        <f t="shared" si="312"/>
        <v>0</v>
      </c>
      <c r="AN970" s="4">
        <f t="shared" si="313"/>
        <v>0</v>
      </c>
      <c r="AO970" s="39"/>
      <c r="AP970" s="8">
        <f t="shared" si="314"/>
        <v>0</v>
      </c>
      <c r="AQ970" s="8">
        <f t="shared" si="315"/>
        <v>0</v>
      </c>
      <c r="AR970" s="8">
        <f t="shared" si="316"/>
        <v>0</v>
      </c>
      <c r="AS970" s="42"/>
      <c r="AT970" s="84"/>
      <c r="AU970" s="84"/>
      <c r="AV970" s="4">
        <f t="shared" si="317"/>
        <v>0</v>
      </c>
      <c r="AW970" s="50" t="str">
        <f t="shared" si="318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306"/>
        <v/>
      </c>
      <c r="P971" s="84"/>
      <c r="Q971" s="84"/>
      <c r="R971" s="32"/>
      <c r="S971" s="3" t="str">
        <f t="shared" si="307"/>
        <v/>
      </c>
      <c r="T971" s="84"/>
      <c r="U971" s="84"/>
      <c r="V971" s="32"/>
      <c r="W971" s="3" t="str">
        <f t="shared" si="308"/>
        <v/>
      </c>
      <c r="X971" s="84"/>
      <c r="Y971" s="84"/>
      <c r="Z971" s="32"/>
      <c r="AA971" s="3" t="str">
        <f t="shared" si="309"/>
        <v/>
      </c>
      <c r="AB971" s="84"/>
      <c r="AC971" s="84"/>
      <c r="AD971" s="36"/>
      <c r="AE971" s="82"/>
      <c r="AF971" s="3" t="str">
        <f t="shared" si="310"/>
        <v/>
      </c>
      <c r="AG971" s="84"/>
      <c r="AH971" s="84"/>
      <c r="AI971" s="39"/>
      <c r="AJ971" s="79"/>
      <c r="AK971" s="39"/>
      <c r="AL971" s="4">
        <f t="shared" si="311"/>
        <v>0</v>
      </c>
      <c r="AM971" s="4">
        <f t="shared" si="312"/>
        <v>0</v>
      </c>
      <c r="AN971" s="4">
        <f t="shared" si="313"/>
        <v>0</v>
      </c>
      <c r="AO971" s="39"/>
      <c r="AP971" s="8">
        <f t="shared" si="314"/>
        <v>0</v>
      </c>
      <c r="AQ971" s="8">
        <f t="shared" si="315"/>
        <v>0</v>
      </c>
      <c r="AR971" s="8">
        <f t="shared" si="316"/>
        <v>0</v>
      </c>
      <c r="AS971" s="42"/>
      <c r="AT971" s="84"/>
      <c r="AU971" s="84"/>
      <c r="AV971" s="4">
        <f t="shared" si="317"/>
        <v>0</v>
      </c>
      <c r="AW971" s="50" t="str">
        <f t="shared" si="318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306"/>
        <v/>
      </c>
      <c r="P972" s="84"/>
      <c r="Q972" s="84"/>
      <c r="R972" s="32"/>
      <c r="S972" s="3" t="str">
        <f t="shared" si="307"/>
        <v/>
      </c>
      <c r="T972" s="84"/>
      <c r="U972" s="84"/>
      <c r="V972" s="32"/>
      <c r="W972" s="3" t="str">
        <f t="shared" si="308"/>
        <v/>
      </c>
      <c r="X972" s="84"/>
      <c r="Y972" s="84"/>
      <c r="Z972" s="32"/>
      <c r="AA972" s="3" t="str">
        <f t="shared" si="309"/>
        <v/>
      </c>
      <c r="AB972" s="84"/>
      <c r="AC972" s="84"/>
      <c r="AD972" s="36"/>
      <c r="AE972" s="82"/>
      <c r="AF972" s="3" t="str">
        <f t="shared" si="310"/>
        <v/>
      </c>
      <c r="AG972" s="84"/>
      <c r="AH972" s="84"/>
      <c r="AI972" s="39"/>
      <c r="AJ972" s="79"/>
      <c r="AK972" s="39"/>
      <c r="AL972" s="4">
        <f t="shared" si="311"/>
        <v>0</v>
      </c>
      <c r="AM972" s="4">
        <f t="shared" si="312"/>
        <v>0</v>
      </c>
      <c r="AN972" s="4">
        <f t="shared" si="313"/>
        <v>0</v>
      </c>
      <c r="AO972" s="39"/>
      <c r="AP972" s="8">
        <f t="shared" si="314"/>
        <v>0</v>
      </c>
      <c r="AQ972" s="8">
        <f t="shared" si="315"/>
        <v>0</v>
      </c>
      <c r="AR972" s="8">
        <f t="shared" si="316"/>
        <v>0</v>
      </c>
      <c r="AS972" s="42"/>
      <c r="AT972" s="84"/>
      <c r="AU972" s="84"/>
      <c r="AV972" s="4">
        <f t="shared" si="317"/>
        <v>0</v>
      </c>
      <c r="AW972" s="50" t="str">
        <f t="shared" si="318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306"/>
        <v/>
      </c>
      <c r="P973" s="84"/>
      <c r="Q973" s="84"/>
      <c r="R973" s="32"/>
      <c r="S973" s="3" t="str">
        <f t="shared" si="307"/>
        <v/>
      </c>
      <c r="T973" s="84"/>
      <c r="U973" s="84"/>
      <c r="V973" s="32"/>
      <c r="W973" s="3" t="str">
        <f t="shared" si="308"/>
        <v/>
      </c>
      <c r="X973" s="84"/>
      <c r="Y973" s="84"/>
      <c r="Z973" s="32"/>
      <c r="AA973" s="3" t="str">
        <f t="shared" si="309"/>
        <v/>
      </c>
      <c r="AB973" s="84"/>
      <c r="AC973" s="84"/>
      <c r="AD973" s="36"/>
      <c r="AE973" s="82"/>
      <c r="AF973" s="3" t="str">
        <f t="shared" si="310"/>
        <v/>
      </c>
      <c r="AG973" s="84"/>
      <c r="AH973" s="84"/>
      <c r="AI973" s="39"/>
      <c r="AJ973" s="79"/>
      <c r="AK973" s="39"/>
      <c r="AL973" s="4">
        <f t="shared" si="311"/>
        <v>0</v>
      </c>
      <c r="AM973" s="4">
        <f t="shared" si="312"/>
        <v>0</v>
      </c>
      <c r="AN973" s="4">
        <f t="shared" si="313"/>
        <v>0</v>
      </c>
      <c r="AO973" s="39"/>
      <c r="AP973" s="8">
        <f t="shared" si="314"/>
        <v>0</v>
      </c>
      <c r="AQ973" s="8">
        <f t="shared" si="315"/>
        <v>0</v>
      </c>
      <c r="AR973" s="8">
        <f t="shared" si="316"/>
        <v>0</v>
      </c>
      <c r="AS973" s="42"/>
      <c r="AT973" s="84"/>
      <c r="AU973" s="84"/>
      <c r="AV973" s="4">
        <f t="shared" si="317"/>
        <v>0</v>
      </c>
      <c r="AW973" s="50" t="str">
        <f t="shared" si="318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306"/>
        <v/>
      </c>
      <c r="P974" s="84"/>
      <c r="Q974" s="84"/>
      <c r="R974" s="32"/>
      <c r="S974" s="3" t="str">
        <f t="shared" si="307"/>
        <v/>
      </c>
      <c r="T974" s="84"/>
      <c r="U974" s="84"/>
      <c r="V974" s="32"/>
      <c r="W974" s="3" t="str">
        <f t="shared" si="308"/>
        <v/>
      </c>
      <c r="X974" s="84"/>
      <c r="Y974" s="84"/>
      <c r="Z974" s="32"/>
      <c r="AA974" s="3" t="str">
        <f t="shared" si="309"/>
        <v/>
      </c>
      <c r="AB974" s="84"/>
      <c r="AC974" s="84"/>
      <c r="AD974" s="36"/>
      <c r="AE974" s="82"/>
      <c r="AF974" s="3" t="str">
        <f t="shared" si="310"/>
        <v/>
      </c>
      <c r="AG974" s="84"/>
      <c r="AH974" s="84"/>
      <c r="AI974" s="39"/>
      <c r="AJ974" s="79"/>
      <c r="AK974" s="39"/>
      <c r="AL974" s="4">
        <f t="shared" si="311"/>
        <v>0</v>
      </c>
      <c r="AM974" s="4">
        <f t="shared" si="312"/>
        <v>0</v>
      </c>
      <c r="AN974" s="4">
        <f t="shared" si="313"/>
        <v>0</v>
      </c>
      <c r="AO974" s="39"/>
      <c r="AP974" s="8">
        <f t="shared" si="314"/>
        <v>0</v>
      </c>
      <c r="AQ974" s="8">
        <f t="shared" si="315"/>
        <v>0</v>
      </c>
      <c r="AR974" s="8">
        <f t="shared" si="316"/>
        <v>0</v>
      </c>
      <c r="AS974" s="42"/>
      <c r="AT974" s="84"/>
      <c r="AU974" s="84"/>
      <c r="AV974" s="4">
        <f t="shared" si="317"/>
        <v>0</v>
      </c>
      <c r="AW974" s="50" t="str">
        <f t="shared" si="318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306"/>
        <v/>
      </c>
      <c r="P975" s="84"/>
      <c r="Q975" s="84"/>
      <c r="R975" s="32"/>
      <c r="S975" s="3" t="str">
        <f t="shared" si="307"/>
        <v/>
      </c>
      <c r="T975" s="84"/>
      <c r="U975" s="84"/>
      <c r="V975" s="32"/>
      <c r="W975" s="3" t="str">
        <f t="shared" si="308"/>
        <v/>
      </c>
      <c r="X975" s="84"/>
      <c r="Y975" s="84"/>
      <c r="Z975" s="32"/>
      <c r="AA975" s="3" t="str">
        <f t="shared" si="309"/>
        <v/>
      </c>
      <c r="AB975" s="84"/>
      <c r="AC975" s="84"/>
      <c r="AD975" s="36"/>
      <c r="AE975" s="82"/>
      <c r="AF975" s="3" t="str">
        <f t="shared" si="310"/>
        <v/>
      </c>
      <c r="AG975" s="84"/>
      <c r="AH975" s="84"/>
      <c r="AI975" s="39"/>
      <c r="AJ975" s="79"/>
      <c r="AK975" s="39"/>
      <c r="AL975" s="4">
        <f t="shared" si="311"/>
        <v>0</v>
      </c>
      <c r="AM975" s="4">
        <f t="shared" si="312"/>
        <v>0</v>
      </c>
      <c r="AN975" s="4">
        <f t="shared" si="313"/>
        <v>0</v>
      </c>
      <c r="AO975" s="39"/>
      <c r="AP975" s="8">
        <f t="shared" si="314"/>
        <v>0</v>
      </c>
      <c r="AQ975" s="8">
        <f t="shared" si="315"/>
        <v>0</v>
      </c>
      <c r="AR975" s="8">
        <f t="shared" si="316"/>
        <v>0</v>
      </c>
      <c r="AS975" s="42"/>
      <c r="AT975" s="84"/>
      <c r="AU975" s="84"/>
      <c r="AV975" s="4">
        <f t="shared" si="317"/>
        <v>0</v>
      </c>
      <c r="AW975" s="50" t="str">
        <f t="shared" si="318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306"/>
        <v/>
      </c>
      <c r="P976" s="84"/>
      <c r="Q976" s="84"/>
      <c r="R976" s="32"/>
      <c r="S976" s="3" t="str">
        <f t="shared" si="307"/>
        <v/>
      </c>
      <c r="T976" s="84"/>
      <c r="U976" s="84"/>
      <c r="V976" s="32"/>
      <c r="W976" s="3" t="str">
        <f t="shared" si="308"/>
        <v/>
      </c>
      <c r="X976" s="84"/>
      <c r="Y976" s="84"/>
      <c r="Z976" s="32"/>
      <c r="AA976" s="3" t="str">
        <f t="shared" si="309"/>
        <v/>
      </c>
      <c r="AB976" s="84"/>
      <c r="AC976" s="84"/>
      <c r="AD976" s="36"/>
      <c r="AE976" s="82"/>
      <c r="AF976" s="3" t="str">
        <f t="shared" si="310"/>
        <v/>
      </c>
      <c r="AG976" s="84"/>
      <c r="AH976" s="84"/>
      <c r="AI976" s="39"/>
      <c r="AJ976" s="79"/>
      <c r="AK976" s="39"/>
      <c r="AL976" s="4">
        <f t="shared" si="311"/>
        <v>0</v>
      </c>
      <c r="AM976" s="4">
        <f t="shared" si="312"/>
        <v>0</v>
      </c>
      <c r="AN976" s="4">
        <f t="shared" si="313"/>
        <v>0</v>
      </c>
      <c r="AO976" s="39"/>
      <c r="AP976" s="8">
        <f t="shared" si="314"/>
        <v>0</v>
      </c>
      <c r="AQ976" s="8">
        <f t="shared" si="315"/>
        <v>0</v>
      </c>
      <c r="AR976" s="8">
        <f t="shared" si="316"/>
        <v>0</v>
      </c>
      <c r="AS976" s="42"/>
      <c r="AT976" s="84"/>
      <c r="AU976" s="84"/>
      <c r="AV976" s="4">
        <f t="shared" si="317"/>
        <v>0</v>
      </c>
      <c r="AW976" s="50" t="str">
        <f t="shared" si="318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306"/>
        <v/>
      </c>
      <c r="P977" s="84"/>
      <c r="Q977" s="84"/>
      <c r="R977" s="32"/>
      <c r="S977" s="3" t="str">
        <f t="shared" si="307"/>
        <v/>
      </c>
      <c r="T977" s="84"/>
      <c r="U977" s="84"/>
      <c r="V977" s="32"/>
      <c r="W977" s="3" t="str">
        <f t="shared" si="308"/>
        <v/>
      </c>
      <c r="X977" s="84"/>
      <c r="Y977" s="84"/>
      <c r="Z977" s="32"/>
      <c r="AA977" s="3" t="str">
        <f t="shared" si="309"/>
        <v/>
      </c>
      <c r="AB977" s="84"/>
      <c r="AC977" s="84"/>
      <c r="AD977" s="36"/>
      <c r="AE977" s="82"/>
      <c r="AF977" s="3" t="str">
        <f t="shared" si="310"/>
        <v/>
      </c>
      <c r="AG977" s="84"/>
      <c r="AH977" s="84"/>
      <c r="AI977" s="39"/>
      <c r="AJ977" s="79"/>
      <c r="AK977" s="39"/>
      <c r="AL977" s="4">
        <f t="shared" si="311"/>
        <v>0</v>
      </c>
      <c r="AM977" s="4">
        <f t="shared" si="312"/>
        <v>0</v>
      </c>
      <c r="AN977" s="4">
        <f t="shared" si="313"/>
        <v>0</v>
      </c>
      <c r="AO977" s="39"/>
      <c r="AP977" s="8">
        <f t="shared" si="314"/>
        <v>0</v>
      </c>
      <c r="AQ977" s="8">
        <f t="shared" si="315"/>
        <v>0</v>
      </c>
      <c r="AR977" s="8">
        <f t="shared" si="316"/>
        <v>0</v>
      </c>
      <c r="AS977" s="42"/>
      <c r="AT977" s="84"/>
      <c r="AU977" s="84"/>
      <c r="AV977" s="4">
        <f t="shared" si="317"/>
        <v>0</v>
      </c>
      <c r="AW977" s="50" t="str">
        <f t="shared" si="318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306"/>
        <v/>
      </c>
      <c r="P978" s="84"/>
      <c r="Q978" s="84"/>
      <c r="R978" s="32"/>
      <c r="S978" s="3" t="str">
        <f t="shared" si="307"/>
        <v/>
      </c>
      <c r="T978" s="84"/>
      <c r="U978" s="84"/>
      <c r="V978" s="32"/>
      <c r="W978" s="3" t="str">
        <f t="shared" si="308"/>
        <v/>
      </c>
      <c r="X978" s="84"/>
      <c r="Y978" s="84"/>
      <c r="Z978" s="32"/>
      <c r="AA978" s="3" t="str">
        <f t="shared" si="309"/>
        <v/>
      </c>
      <c r="AB978" s="84"/>
      <c r="AC978" s="84"/>
      <c r="AD978" s="36"/>
      <c r="AE978" s="82"/>
      <c r="AF978" s="3" t="str">
        <f t="shared" si="310"/>
        <v/>
      </c>
      <c r="AG978" s="84"/>
      <c r="AH978" s="84"/>
      <c r="AI978" s="39"/>
      <c r="AJ978" s="79"/>
      <c r="AK978" s="39"/>
      <c r="AL978" s="4">
        <f t="shared" si="311"/>
        <v>0</v>
      </c>
      <c r="AM978" s="4">
        <f t="shared" si="312"/>
        <v>0</v>
      </c>
      <c r="AN978" s="4">
        <f t="shared" si="313"/>
        <v>0</v>
      </c>
      <c r="AO978" s="39"/>
      <c r="AP978" s="8">
        <f t="shared" si="314"/>
        <v>0</v>
      </c>
      <c r="AQ978" s="8">
        <f t="shared" si="315"/>
        <v>0</v>
      </c>
      <c r="AR978" s="8">
        <f t="shared" si="316"/>
        <v>0</v>
      </c>
      <c r="AS978" s="42"/>
      <c r="AT978" s="84"/>
      <c r="AU978" s="84"/>
      <c r="AV978" s="4">
        <f t="shared" si="317"/>
        <v>0</v>
      </c>
      <c r="AW978" s="50" t="str">
        <f t="shared" si="318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306"/>
        <v/>
      </c>
      <c r="P979" s="84"/>
      <c r="Q979" s="84"/>
      <c r="R979" s="32"/>
      <c r="S979" s="3" t="str">
        <f t="shared" si="307"/>
        <v/>
      </c>
      <c r="T979" s="84"/>
      <c r="U979" s="84"/>
      <c r="V979" s="32"/>
      <c r="W979" s="3" t="str">
        <f t="shared" si="308"/>
        <v/>
      </c>
      <c r="X979" s="84"/>
      <c r="Y979" s="84"/>
      <c r="Z979" s="32"/>
      <c r="AA979" s="3" t="str">
        <f t="shared" si="309"/>
        <v/>
      </c>
      <c r="AB979" s="84"/>
      <c r="AC979" s="84"/>
      <c r="AD979" s="36"/>
      <c r="AE979" s="82"/>
      <c r="AF979" s="3" t="str">
        <f t="shared" si="310"/>
        <v/>
      </c>
      <c r="AG979" s="84"/>
      <c r="AH979" s="84"/>
      <c r="AI979" s="39"/>
      <c r="AJ979" s="79"/>
      <c r="AK979" s="39"/>
      <c r="AL979" s="4">
        <f t="shared" si="311"/>
        <v>0</v>
      </c>
      <c r="AM979" s="4">
        <f t="shared" si="312"/>
        <v>0</v>
      </c>
      <c r="AN979" s="4">
        <f t="shared" si="313"/>
        <v>0</v>
      </c>
      <c r="AO979" s="39"/>
      <c r="AP979" s="8">
        <f t="shared" si="314"/>
        <v>0</v>
      </c>
      <c r="AQ979" s="8">
        <f t="shared" si="315"/>
        <v>0</v>
      </c>
      <c r="AR979" s="8">
        <f t="shared" si="316"/>
        <v>0</v>
      </c>
      <c r="AS979" s="42"/>
      <c r="AT979" s="84"/>
      <c r="AU979" s="84"/>
      <c r="AV979" s="4">
        <f t="shared" si="317"/>
        <v>0</v>
      </c>
      <c r="AW979" s="50" t="str">
        <f t="shared" si="318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306"/>
        <v/>
      </c>
      <c r="P980" s="84"/>
      <c r="Q980" s="84"/>
      <c r="R980" s="32"/>
      <c r="S980" s="3" t="str">
        <f t="shared" si="307"/>
        <v/>
      </c>
      <c r="T980" s="84"/>
      <c r="U980" s="84"/>
      <c r="V980" s="32"/>
      <c r="W980" s="3" t="str">
        <f t="shared" si="308"/>
        <v/>
      </c>
      <c r="X980" s="84"/>
      <c r="Y980" s="84"/>
      <c r="Z980" s="32"/>
      <c r="AA980" s="3" t="str">
        <f t="shared" si="309"/>
        <v/>
      </c>
      <c r="AB980" s="84"/>
      <c r="AC980" s="84"/>
      <c r="AD980" s="36"/>
      <c r="AE980" s="82"/>
      <c r="AF980" s="3" t="str">
        <f t="shared" si="310"/>
        <v/>
      </c>
      <c r="AG980" s="84"/>
      <c r="AH980" s="84"/>
      <c r="AI980" s="39"/>
      <c r="AJ980" s="79"/>
      <c r="AK980" s="39"/>
      <c r="AL980" s="4">
        <f t="shared" si="311"/>
        <v>0</v>
      </c>
      <c r="AM980" s="4">
        <f t="shared" si="312"/>
        <v>0</v>
      </c>
      <c r="AN980" s="4">
        <f t="shared" si="313"/>
        <v>0</v>
      </c>
      <c r="AO980" s="39"/>
      <c r="AP980" s="8">
        <f t="shared" si="314"/>
        <v>0</v>
      </c>
      <c r="AQ980" s="8">
        <f t="shared" si="315"/>
        <v>0</v>
      </c>
      <c r="AR980" s="8">
        <f t="shared" si="316"/>
        <v>0</v>
      </c>
      <c r="AS980" s="42"/>
      <c r="AT980" s="84"/>
      <c r="AU980" s="84"/>
      <c r="AV980" s="4">
        <f t="shared" si="317"/>
        <v>0</v>
      </c>
      <c r="AW980" s="50" t="str">
        <f t="shared" si="318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306"/>
        <v/>
      </c>
      <c r="P981" s="84"/>
      <c r="Q981" s="84"/>
      <c r="R981" s="32"/>
      <c r="S981" s="3" t="str">
        <f t="shared" si="307"/>
        <v/>
      </c>
      <c r="T981" s="84"/>
      <c r="U981" s="84"/>
      <c r="V981" s="32"/>
      <c r="W981" s="3" t="str">
        <f t="shared" si="308"/>
        <v/>
      </c>
      <c r="X981" s="84"/>
      <c r="Y981" s="84"/>
      <c r="Z981" s="32"/>
      <c r="AA981" s="3" t="str">
        <f t="shared" si="309"/>
        <v/>
      </c>
      <c r="AB981" s="84"/>
      <c r="AC981" s="84"/>
      <c r="AD981" s="36"/>
      <c r="AE981" s="82"/>
      <c r="AF981" s="3" t="str">
        <f t="shared" si="310"/>
        <v/>
      </c>
      <c r="AG981" s="84"/>
      <c r="AH981" s="84"/>
      <c r="AI981" s="39"/>
      <c r="AJ981" s="79"/>
      <c r="AK981" s="39"/>
      <c r="AL981" s="4">
        <f t="shared" si="311"/>
        <v>0</v>
      </c>
      <c r="AM981" s="4">
        <f t="shared" si="312"/>
        <v>0</v>
      </c>
      <c r="AN981" s="4">
        <f t="shared" si="313"/>
        <v>0</v>
      </c>
      <c r="AO981" s="39"/>
      <c r="AP981" s="8">
        <f t="shared" si="314"/>
        <v>0</v>
      </c>
      <c r="AQ981" s="8">
        <f t="shared" si="315"/>
        <v>0</v>
      </c>
      <c r="AR981" s="8">
        <f t="shared" si="316"/>
        <v>0</v>
      </c>
      <c r="AS981" s="42"/>
      <c r="AT981" s="84"/>
      <c r="AU981" s="84"/>
      <c r="AV981" s="4">
        <f t="shared" si="317"/>
        <v>0</v>
      </c>
      <c r="AW981" s="50" t="str">
        <f t="shared" si="318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306"/>
        <v/>
      </c>
      <c r="P982" s="84"/>
      <c r="Q982" s="84"/>
      <c r="R982" s="32"/>
      <c r="S982" s="3" t="str">
        <f t="shared" si="307"/>
        <v/>
      </c>
      <c r="T982" s="84"/>
      <c r="U982" s="84"/>
      <c r="V982" s="32"/>
      <c r="W982" s="3" t="str">
        <f t="shared" si="308"/>
        <v/>
      </c>
      <c r="X982" s="84"/>
      <c r="Y982" s="84"/>
      <c r="Z982" s="32"/>
      <c r="AA982" s="3" t="str">
        <f t="shared" si="309"/>
        <v/>
      </c>
      <c r="AB982" s="84"/>
      <c r="AC982" s="84"/>
      <c r="AD982" s="36"/>
      <c r="AE982" s="82"/>
      <c r="AF982" s="3" t="str">
        <f t="shared" si="310"/>
        <v/>
      </c>
      <c r="AG982" s="84"/>
      <c r="AH982" s="84"/>
      <c r="AI982" s="39"/>
      <c r="AJ982" s="79"/>
      <c r="AK982" s="39"/>
      <c r="AL982" s="4">
        <f t="shared" si="311"/>
        <v>0</v>
      </c>
      <c r="AM982" s="4">
        <f t="shared" si="312"/>
        <v>0</v>
      </c>
      <c r="AN982" s="4">
        <f t="shared" si="313"/>
        <v>0</v>
      </c>
      <c r="AO982" s="39"/>
      <c r="AP982" s="8">
        <f t="shared" si="314"/>
        <v>0</v>
      </c>
      <c r="AQ982" s="8">
        <f t="shared" si="315"/>
        <v>0</v>
      </c>
      <c r="AR982" s="8">
        <f t="shared" si="316"/>
        <v>0</v>
      </c>
      <c r="AS982" s="42"/>
      <c r="AT982" s="84"/>
      <c r="AU982" s="84"/>
      <c r="AV982" s="4">
        <f t="shared" si="317"/>
        <v>0</v>
      </c>
      <c r="AW982" s="50" t="str">
        <f t="shared" si="318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306"/>
        <v/>
      </c>
      <c r="P983" s="84"/>
      <c r="Q983" s="84"/>
      <c r="R983" s="32"/>
      <c r="S983" s="3" t="str">
        <f t="shared" si="307"/>
        <v/>
      </c>
      <c r="T983" s="84"/>
      <c r="U983" s="84"/>
      <c r="V983" s="32"/>
      <c r="W983" s="3" t="str">
        <f t="shared" si="308"/>
        <v/>
      </c>
      <c r="X983" s="84"/>
      <c r="Y983" s="84"/>
      <c r="Z983" s="32"/>
      <c r="AA983" s="3" t="str">
        <f t="shared" si="309"/>
        <v/>
      </c>
      <c r="AB983" s="84"/>
      <c r="AC983" s="84"/>
      <c r="AD983" s="36"/>
      <c r="AE983" s="82"/>
      <c r="AF983" s="3" t="str">
        <f t="shared" si="310"/>
        <v/>
      </c>
      <c r="AG983" s="84"/>
      <c r="AH983" s="84"/>
      <c r="AI983" s="39"/>
      <c r="AJ983" s="79"/>
      <c r="AK983" s="39"/>
      <c r="AL983" s="4">
        <f t="shared" si="311"/>
        <v>0</v>
      </c>
      <c r="AM983" s="4">
        <f t="shared" si="312"/>
        <v>0</v>
      </c>
      <c r="AN983" s="4">
        <f t="shared" si="313"/>
        <v>0</v>
      </c>
      <c r="AO983" s="39"/>
      <c r="AP983" s="8">
        <f t="shared" si="314"/>
        <v>0</v>
      </c>
      <c r="AQ983" s="8">
        <f t="shared" si="315"/>
        <v>0</v>
      </c>
      <c r="AR983" s="8">
        <f t="shared" si="316"/>
        <v>0</v>
      </c>
      <c r="AS983" s="42"/>
      <c r="AT983" s="84"/>
      <c r="AU983" s="84"/>
      <c r="AV983" s="4">
        <f t="shared" si="317"/>
        <v>0</v>
      </c>
      <c r="AW983" s="50" t="str">
        <f t="shared" si="318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306"/>
        <v/>
      </c>
      <c r="P984" s="84"/>
      <c r="Q984" s="84"/>
      <c r="R984" s="32"/>
      <c r="S984" s="3" t="str">
        <f t="shared" si="307"/>
        <v/>
      </c>
      <c r="T984" s="84"/>
      <c r="U984" s="84"/>
      <c r="V984" s="32"/>
      <c r="W984" s="3" t="str">
        <f t="shared" si="308"/>
        <v/>
      </c>
      <c r="X984" s="84"/>
      <c r="Y984" s="84"/>
      <c r="Z984" s="32"/>
      <c r="AA984" s="3" t="str">
        <f t="shared" si="309"/>
        <v/>
      </c>
      <c r="AB984" s="84"/>
      <c r="AC984" s="84"/>
      <c r="AD984" s="36"/>
      <c r="AE984" s="82"/>
      <c r="AF984" s="3" t="str">
        <f t="shared" si="310"/>
        <v/>
      </c>
      <c r="AG984" s="84"/>
      <c r="AH984" s="84"/>
      <c r="AI984" s="39"/>
      <c r="AJ984" s="79"/>
      <c r="AK984" s="39"/>
      <c r="AL984" s="4">
        <f t="shared" si="311"/>
        <v>0</v>
      </c>
      <c r="AM984" s="4">
        <f t="shared" si="312"/>
        <v>0</v>
      </c>
      <c r="AN984" s="4">
        <f t="shared" si="313"/>
        <v>0</v>
      </c>
      <c r="AO984" s="39"/>
      <c r="AP984" s="8">
        <f t="shared" si="314"/>
        <v>0</v>
      </c>
      <c r="AQ984" s="8">
        <f t="shared" si="315"/>
        <v>0</v>
      </c>
      <c r="AR984" s="8">
        <f t="shared" si="316"/>
        <v>0</v>
      </c>
      <c r="AS984" s="42"/>
      <c r="AT984" s="84"/>
      <c r="AU984" s="84"/>
      <c r="AV984" s="4">
        <f t="shared" si="317"/>
        <v>0</v>
      </c>
      <c r="AW984" s="50" t="str">
        <f t="shared" si="318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306"/>
        <v/>
      </c>
      <c r="P985" s="84"/>
      <c r="Q985" s="84"/>
      <c r="R985" s="32"/>
      <c r="S985" s="3" t="str">
        <f t="shared" si="307"/>
        <v/>
      </c>
      <c r="T985" s="84"/>
      <c r="U985" s="84"/>
      <c r="V985" s="32"/>
      <c r="W985" s="3" t="str">
        <f t="shared" si="308"/>
        <v/>
      </c>
      <c r="X985" s="84"/>
      <c r="Y985" s="84"/>
      <c r="Z985" s="32"/>
      <c r="AA985" s="3" t="str">
        <f t="shared" si="309"/>
        <v/>
      </c>
      <c r="AB985" s="84"/>
      <c r="AC985" s="84"/>
      <c r="AD985" s="36"/>
      <c r="AE985" s="82"/>
      <c r="AF985" s="3" t="str">
        <f t="shared" si="310"/>
        <v/>
      </c>
      <c r="AG985" s="84"/>
      <c r="AH985" s="84"/>
      <c r="AI985" s="39"/>
      <c r="AJ985" s="79"/>
      <c r="AK985" s="39"/>
      <c r="AL985" s="4">
        <f t="shared" si="311"/>
        <v>0</v>
      </c>
      <c r="AM985" s="4">
        <f t="shared" si="312"/>
        <v>0</v>
      </c>
      <c r="AN985" s="4">
        <f t="shared" si="313"/>
        <v>0</v>
      </c>
      <c r="AO985" s="39"/>
      <c r="AP985" s="8">
        <f t="shared" si="314"/>
        <v>0</v>
      </c>
      <c r="AQ985" s="8">
        <f t="shared" si="315"/>
        <v>0</v>
      </c>
      <c r="AR985" s="8">
        <f t="shared" si="316"/>
        <v>0</v>
      </c>
      <c r="AS985" s="42"/>
      <c r="AT985" s="84"/>
      <c r="AU985" s="84"/>
      <c r="AV985" s="4">
        <f t="shared" si="317"/>
        <v>0</v>
      </c>
      <c r="AW985" s="50" t="str">
        <f t="shared" si="318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306"/>
        <v/>
      </c>
      <c r="P986" s="84"/>
      <c r="Q986" s="84"/>
      <c r="R986" s="32"/>
      <c r="S986" s="3" t="str">
        <f t="shared" si="307"/>
        <v/>
      </c>
      <c r="T986" s="84"/>
      <c r="U986" s="84"/>
      <c r="V986" s="32"/>
      <c r="W986" s="3" t="str">
        <f t="shared" si="308"/>
        <v/>
      </c>
      <c r="X986" s="84"/>
      <c r="Y986" s="84"/>
      <c r="Z986" s="32"/>
      <c r="AA986" s="3" t="str">
        <f t="shared" si="309"/>
        <v/>
      </c>
      <c r="AB986" s="84"/>
      <c r="AC986" s="84"/>
      <c r="AD986" s="36"/>
      <c r="AE986" s="82"/>
      <c r="AF986" s="3" t="str">
        <f t="shared" si="310"/>
        <v/>
      </c>
      <c r="AG986" s="84"/>
      <c r="AH986" s="84"/>
      <c r="AI986" s="39"/>
      <c r="AJ986" s="79"/>
      <c r="AK986" s="39"/>
      <c r="AL986" s="4">
        <f t="shared" si="311"/>
        <v>0</v>
      </c>
      <c r="AM986" s="4">
        <f t="shared" si="312"/>
        <v>0</v>
      </c>
      <c r="AN986" s="4">
        <f t="shared" si="313"/>
        <v>0</v>
      </c>
      <c r="AO986" s="39"/>
      <c r="AP986" s="8">
        <f t="shared" si="314"/>
        <v>0</v>
      </c>
      <c r="AQ986" s="8">
        <f t="shared" si="315"/>
        <v>0</v>
      </c>
      <c r="AR986" s="8">
        <f t="shared" si="316"/>
        <v>0</v>
      </c>
      <c r="AS986" s="42"/>
      <c r="AT986" s="84"/>
      <c r="AU986" s="84"/>
      <c r="AV986" s="4">
        <f t="shared" si="317"/>
        <v>0</v>
      </c>
      <c r="AW986" s="50" t="str">
        <f t="shared" si="318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306"/>
        <v/>
      </c>
      <c r="P987" s="84"/>
      <c r="Q987" s="84"/>
      <c r="R987" s="32"/>
      <c r="S987" s="3" t="str">
        <f t="shared" si="307"/>
        <v/>
      </c>
      <c r="T987" s="84"/>
      <c r="U987" s="84"/>
      <c r="V987" s="32"/>
      <c r="W987" s="3" t="str">
        <f t="shared" si="308"/>
        <v/>
      </c>
      <c r="X987" s="84"/>
      <c r="Y987" s="84"/>
      <c r="Z987" s="32"/>
      <c r="AA987" s="3" t="str">
        <f t="shared" si="309"/>
        <v/>
      </c>
      <c r="AB987" s="84"/>
      <c r="AC987" s="84"/>
      <c r="AD987" s="36"/>
      <c r="AE987" s="82"/>
      <c r="AF987" s="3" t="str">
        <f t="shared" si="310"/>
        <v/>
      </c>
      <c r="AG987" s="84"/>
      <c r="AH987" s="84"/>
      <c r="AI987" s="39"/>
      <c r="AJ987" s="79"/>
      <c r="AK987" s="39"/>
      <c r="AL987" s="4">
        <f t="shared" si="311"/>
        <v>0</v>
      </c>
      <c r="AM987" s="4">
        <f t="shared" si="312"/>
        <v>0</v>
      </c>
      <c r="AN987" s="4">
        <f t="shared" si="313"/>
        <v>0</v>
      </c>
      <c r="AO987" s="39"/>
      <c r="AP987" s="8">
        <f t="shared" si="314"/>
        <v>0</v>
      </c>
      <c r="AQ987" s="8">
        <f t="shared" si="315"/>
        <v>0</v>
      </c>
      <c r="AR987" s="8">
        <f t="shared" si="316"/>
        <v>0</v>
      </c>
      <c r="AS987" s="42"/>
      <c r="AT987" s="84"/>
      <c r="AU987" s="84"/>
      <c r="AV987" s="4">
        <f t="shared" si="317"/>
        <v>0</v>
      </c>
      <c r="AW987" s="50" t="str">
        <f t="shared" si="318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306"/>
        <v/>
      </c>
      <c r="P988" s="84"/>
      <c r="Q988" s="84"/>
      <c r="R988" s="32"/>
      <c r="S988" s="3" t="str">
        <f t="shared" si="307"/>
        <v/>
      </c>
      <c r="T988" s="84"/>
      <c r="U988" s="84"/>
      <c r="V988" s="32"/>
      <c r="W988" s="3" t="str">
        <f t="shared" si="308"/>
        <v/>
      </c>
      <c r="X988" s="84"/>
      <c r="Y988" s="84"/>
      <c r="Z988" s="32"/>
      <c r="AA988" s="3" t="str">
        <f t="shared" si="309"/>
        <v/>
      </c>
      <c r="AB988" s="84"/>
      <c r="AC988" s="84"/>
      <c r="AD988" s="36"/>
      <c r="AE988" s="82"/>
      <c r="AF988" s="3" t="str">
        <f t="shared" si="310"/>
        <v/>
      </c>
      <c r="AG988" s="84"/>
      <c r="AH988" s="84"/>
      <c r="AI988" s="39"/>
      <c r="AJ988" s="79"/>
      <c r="AK988" s="39"/>
      <c r="AL988" s="4">
        <f t="shared" si="311"/>
        <v>0</v>
      </c>
      <c r="AM988" s="4">
        <f t="shared" si="312"/>
        <v>0</v>
      </c>
      <c r="AN988" s="4">
        <f t="shared" si="313"/>
        <v>0</v>
      </c>
      <c r="AO988" s="39"/>
      <c r="AP988" s="8">
        <f t="shared" si="314"/>
        <v>0</v>
      </c>
      <c r="AQ988" s="8">
        <f t="shared" si="315"/>
        <v>0</v>
      </c>
      <c r="AR988" s="8">
        <f t="shared" si="316"/>
        <v>0</v>
      </c>
      <c r="AS988" s="42"/>
      <c r="AT988" s="84"/>
      <c r="AU988" s="84"/>
      <c r="AV988" s="4">
        <f t="shared" si="317"/>
        <v>0</v>
      </c>
      <c r="AW988" s="50" t="str">
        <f t="shared" si="318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306"/>
        <v/>
      </c>
      <c r="P989" s="84"/>
      <c r="Q989" s="84"/>
      <c r="R989" s="32"/>
      <c r="S989" s="3" t="str">
        <f t="shared" si="307"/>
        <v/>
      </c>
      <c r="T989" s="84"/>
      <c r="U989" s="84"/>
      <c r="V989" s="32"/>
      <c r="W989" s="3" t="str">
        <f t="shared" si="308"/>
        <v/>
      </c>
      <c r="X989" s="84"/>
      <c r="Y989" s="84"/>
      <c r="Z989" s="32"/>
      <c r="AA989" s="3" t="str">
        <f t="shared" si="309"/>
        <v/>
      </c>
      <c r="AB989" s="84"/>
      <c r="AC989" s="84"/>
      <c r="AD989" s="36"/>
      <c r="AE989" s="82"/>
      <c r="AF989" s="3" t="str">
        <f t="shared" si="310"/>
        <v/>
      </c>
      <c r="AG989" s="84"/>
      <c r="AH989" s="84"/>
      <c r="AI989" s="39"/>
      <c r="AJ989" s="79"/>
      <c r="AK989" s="39"/>
      <c r="AL989" s="4">
        <f t="shared" si="311"/>
        <v>0</v>
      </c>
      <c r="AM989" s="4">
        <f t="shared" si="312"/>
        <v>0</v>
      </c>
      <c r="AN989" s="4">
        <f t="shared" si="313"/>
        <v>0</v>
      </c>
      <c r="AO989" s="39"/>
      <c r="AP989" s="8">
        <f t="shared" si="314"/>
        <v>0</v>
      </c>
      <c r="AQ989" s="8">
        <f t="shared" si="315"/>
        <v>0</v>
      </c>
      <c r="AR989" s="8">
        <f t="shared" si="316"/>
        <v>0</v>
      </c>
      <c r="AS989" s="42"/>
      <c r="AT989" s="84"/>
      <c r="AU989" s="84"/>
      <c r="AV989" s="4">
        <f t="shared" si="317"/>
        <v>0</v>
      </c>
      <c r="AW989" s="50" t="str">
        <f t="shared" si="318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306"/>
        <v/>
      </c>
      <c r="P990" s="84"/>
      <c r="Q990" s="84"/>
      <c r="R990" s="32"/>
      <c r="S990" s="3" t="str">
        <f t="shared" si="307"/>
        <v/>
      </c>
      <c r="T990" s="84"/>
      <c r="U990" s="84"/>
      <c r="V990" s="32"/>
      <c r="W990" s="3" t="str">
        <f t="shared" si="308"/>
        <v/>
      </c>
      <c r="X990" s="84"/>
      <c r="Y990" s="84"/>
      <c r="Z990" s="32"/>
      <c r="AA990" s="3" t="str">
        <f t="shared" si="309"/>
        <v/>
      </c>
      <c r="AB990" s="84"/>
      <c r="AC990" s="84"/>
      <c r="AD990" s="36"/>
      <c r="AE990" s="82"/>
      <c r="AF990" s="3" t="str">
        <f t="shared" si="310"/>
        <v/>
      </c>
      <c r="AG990" s="84"/>
      <c r="AH990" s="84"/>
      <c r="AI990" s="39"/>
      <c r="AJ990" s="79"/>
      <c r="AK990" s="39"/>
      <c r="AL990" s="4">
        <f t="shared" si="311"/>
        <v>0</v>
      </c>
      <c r="AM990" s="4">
        <f t="shared" si="312"/>
        <v>0</v>
      </c>
      <c r="AN990" s="4">
        <f t="shared" si="313"/>
        <v>0</v>
      </c>
      <c r="AO990" s="39"/>
      <c r="AP990" s="8">
        <f t="shared" si="314"/>
        <v>0</v>
      </c>
      <c r="AQ990" s="8">
        <f t="shared" si="315"/>
        <v>0</v>
      </c>
      <c r="AR990" s="8">
        <f t="shared" si="316"/>
        <v>0</v>
      </c>
      <c r="AS990" s="42"/>
      <c r="AT990" s="84"/>
      <c r="AU990" s="84"/>
      <c r="AV990" s="4">
        <f t="shared" si="317"/>
        <v>0</v>
      </c>
      <c r="AW990" s="50" t="str">
        <f t="shared" si="318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306"/>
        <v/>
      </c>
      <c r="P991" s="84"/>
      <c r="Q991" s="84"/>
      <c r="R991" s="32"/>
      <c r="S991" s="3" t="str">
        <f t="shared" si="307"/>
        <v/>
      </c>
      <c r="T991" s="84"/>
      <c r="U991" s="84"/>
      <c r="V991" s="32"/>
      <c r="W991" s="3" t="str">
        <f t="shared" si="308"/>
        <v/>
      </c>
      <c r="X991" s="84"/>
      <c r="Y991" s="84"/>
      <c r="Z991" s="32"/>
      <c r="AA991" s="3" t="str">
        <f t="shared" si="309"/>
        <v/>
      </c>
      <c r="AB991" s="84"/>
      <c r="AC991" s="84"/>
      <c r="AD991" s="36"/>
      <c r="AE991" s="82"/>
      <c r="AF991" s="3" t="str">
        <f t="shared" si="310"/>
        <v/>
      </c>
      <c r="AG991" s="84"/>
      <c r="AH991" s="84"/>
      <c r="AI991" s="39"/>
      <c r="AJ991" s="79"/>
      <c r="AK991" s="39"/>
      <c r="AL991" s="4">
        <f t="shared" si="311"/>
        <v>0</v>
      </c>
      <c r="AM991" s="4">
        <f t="shared" si="312"/>
        <v>0</v>
      </c>
      <c r="AN991" s="4">
        <f t="shared" si="313"/>
        <v>0</v>
      </c>
      <c r="AO991" s="39"/>
      <c r="AP991" s="8">
        <f t="shared" si="314"/>
        <v>0</v>
      </c>
      <c r="AQ991" s="8">
        <f t="shared" si="315"/>
        <v>0</v>
      </c>
      <c r="AR991" s="8">
        <f t="shared" si="316"/>
        <v>0</v>
      </c>
      <c r="AS991" s="42"/>
      <c r="AT991" s="84"/>
      <c r="AU991" s="84"/>
      <c r="AV991" s="4">
        <f t="shared" si="317"/>
        <v>0</v>
      </c>
      <c r="AW991" s="50" t="str">
        <f t="shared" si="318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306"/>
        <v/>
      </c>
      <c r="P992" s="84"/>
      <c r="Q992" s="84"/>
      <c r="R992" s="32"/>
      <c r="S992" s="3" t="str">
        <f t="shared" si="307"/>
        <v/>
      </c>
      <c r="T992" s="84"/>
      <c r="U992" s="84"/>
      <c r="V992" s="32"/>
      <c r="W992" s="3" t="str">
        <f t="shared" si="308"/>
        <v/>
      </c>
      <c r="X992" s="84"/>
      <c r="Y992" s="84"/>
      <c r="Z992" s="32"/>
      <c r="AA992" s="3" t="str">
        <f t="shared" si="309"/>
        <v/>
      </c>
      <c r="AB992" s="84"/>
      <c r="AC992" s="84"/>
      <c r="AD992" s="36"/>
      <c r="AE992" s="82"/>
      <c r="AF992" s="3" t="str">
        <f t="shared" si="310"/>
        <v/>
      </c>
      <c r="AG992" s="84"/>
      <c r="AH992" s="84"/>
      <c r="AI992" s="39"/>
      <c r="AJ992" s="79"/>
      <c r="AK992" s="39"/>
      <c r="AL992" s="4">
        <f t="shared" si="311"/>
        <v>0</v>
      </c>
      <c r="AM992" s="4">
        <f t="shared" si="312"/>
        <v>0</v>
      </c>
      <c r="AN992" s="4">
        <f t="shared" si="313"/>
        <v>0</v>
      </c>
      <c r="AO992" s="39"/>
      <c r="AP992" s="8">
        <f t="shared" si="314"/>
        <v>0</v>
      </c>
      <c r="AQ992" s="8">
        <f t="shared" si="315"/>
        <v>0</v>
      </c>
      <c r="AR992" s="8">
        <f t="shared" si="316"/>
        <v>0</v>
      </c>
      <c r="AS992" s="42"/>
      <c r="AT992" s="84"/>
      <c r="AU992" s="84"/>
      <c r="AV992" s="4">
        <f t="shared" si="317"/>
        <v>0</v>
      </c>
      <c r="AW992" s="50" t="str">
        <f t="shared" si="318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306"/>
        <v/>
      </c>
      <c r="P993" s="84"/>
      <c r="Q993" s="84"/>
      <c r="R993" s="32"/>
      <c r="S993" s="3" t="str">
        <f t="shared" si="307"/>
        <v/>
      </c>
      <c r="T993" s="84"/>
      <c r="U993" s="84"/>
      <c r="V993" s="32"/>
      <c r="W993" s="3" t="str">
        <f t="shared" si="308"/>
        <v/>
      </c>
      <c r="X993" s="84"/>
      <c r="Y993" s="84"/>
      <c r="Z993" s="32"/>
      <c r="AA993" s="3" t="str">
        <f t="shared" si="309"/>
        <v/>
      </c>
      <c r="AB993" s="84"/>
      <c r="AC993" s="84"/>
      <c r="AD993" s="36"/>
      <c r="AE993" s="82"/>
      <c r="AF993" s="3" t="str">
        <f t="shared" si="310"/>
        <v/>
      </c>
      <c r="AG993" s="84"/>
      <c r="AH993" s="84"/>
      <c r="AI993" s="39"/>
      <c r="AJ993" s="79"/>
      <c r="AK993" s="39"/>
      <c r="AL993" s="4">
        <f t="shared" si="311"/>
        <v>0</v>
      </c>
      <c r="AM993" s="4">
        <f t="shared" si="312"/>
        <v>0</v>
      </c>
      <c r="AN993" s="4">
        <f t="shared" si="313"/>
        <v>0</v>
      </c>
      <c r="AO993" s="39"/>
      <c r="AP993" s="8">
        <f t="shared" si="314"/>
        <v>0</v>
      </c>
      <c r="AQ993" s="8">
        <f t="shared" si="315"/>
        <v>0</v>
      </c>
      <c r="AR993" s="8">
        <f t="shared" si="316"/>
        <v>0</v>
      </c>
      <c r="AS993" s="42"/>
      <c r="AT993" s="84"/>
      <c r="AU993" s="84"/>
      <c r="AV993" s="4">
        <f t="shared" si="317"/>
        <v>0</v>
      </c>
      <c r="AW993" s="50" t="str">
        <f t="shared" si="318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306"/>
        <v/>
      </c>
      <c r="P994" s="84"/>
      <c r="Q994" s="84"/>
      <c r="R994" s="32"/>
      <c r="S994" s="3" t="str">
        <f t="shared" si="307"/>
        <v/>
      </c>
      <c r="T994" s="84"/>
      <c r="U994" s="84"/>
      <c r="V994" s="32"/>
      <c r="W994" s="3" t="str">
        <f t="shared" si="308"/>
        <v/>
      </c>
      <c r="X994" s="84"/>
      <c r="Y994" s="84"/>
      <c r="Z994" s="32"/>
      <c r="AA994" s="3" t="str">
        <f t="shared" si="309"/>
        <v/>
      </c>
      <c r="AB994" s="84"/>
      <c r="AC994" s="84"/>
      <c r="AD994" s="36"/>
      <c r="AE994" s="82"/>
      <c r="AF994" s="3" t="str">
        <f t="shared" si="310"/>
        <v/>
      </c>
      <c r="AG994" s="84"/>
      <c r="AH994" s="84"/>
      <c r="AI994" s="39"/>
      <c r="AJ994" s="79"/>
      <c r="AK994" s="39"/>
      <c r="AL994" s="4">
        <f t="shared" si="311"/>
        <v>0</v>
      </c>
      <c r="AM994" s="4">
        <f t="shared" si="312"/>
        <v>0</v>
      </c>
      <c r="AN994" s="4">
        <f t="shared" si="313"/>
        <v>0</v>
      </c>
      <c r="AO994" s="39"/>
      <c r="AP994" s="8">
        <f t="shared" si="314"/>
        <v>0</v>
      </c>
      <c r="AQ994" s="8">
        <f t="shared" si="315"/>
        <v>0</v>
      </c>
      <c r="AR994" s="8">
        <f t="shared" si="316"/>
        <v>0</v>
      </c>
      <c r="AS994" s="42"/>
      <c r="AT994" s="84"/>
      <c r="AU994" s="84"/>
      <c r="AV994" s="4">
        <f t="shared" si="317"/>
        <v>0</v>
      </c>
      <c r="AW994" s="50" t="str">
        <f t="shared" si="318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306"/>
        <v/>
      </c>
      <c r="P995" s="84"/>
      <c r="Q995" s="84"/>
      <c r="R995" s="32"/>
      <c r="S995" s="3" t="str">
        <f t="shared" si="307"/>
        <v/>
      </c>
      <c r="T995" s="84"/>
      <c r="U995" s="84"/>
      <c r="V995" s="32"/>
      <c r="W995" s="3" t="str">
        <f t="shared" si="308"/>
        <v/>
      </c>
      <c r="X995" s="84"/>
      <c r="Y995" s="84"/>
      <c r="Z995" s="32"/>
      <c r="AA995" s="3" t="str">
        <f t="shared" si="309"/>
        <v/>
      </c>
      <c r="AB995" s="84"/>
      <c r="AC995" s="84"/>
      <c r="AD995" s="36"/>
      <c r="AE995" s="82"/>
      <c r="AF995" s="3" t="str">
        <f t="shared" si="310"/>
        <v/>
      </c>
      <c r="AG995" s="84"/>
      <c r="AH995" s="84"/>
      <c r="AI995" s="39"/>
      <c r="AJ995" s="79"/>
      <c r="AK995" s="39"/>
      <c r="AL995" s="4">
        <f t="shared" si="311"/>
        <v>0</v>
      </c>
      <c r="AM995" s="4">
        <f t="shared" si="312"/>
        <v>0</v>
      </c>
      <c r="AN995" s="4">
        <f t="shared" si="313"/>
        <v>0</v>
      </c>
      <c r="AO995" s="39"/>
      <c r="AP995" s="8">
        <f t="shared" si="314"/>
        <v>0</v>
      </c>
      <c r="AQ995" s="8">
        <f t="shared" si="315"/>
        <v>0</v>
      </c>
      <c r="AR995" s="8">
        <f t="shared" si="316"/>
        <v>0</v>
      </c>
      <c r="AS995" s="42"/>
      <c r="AT995" s="84"/>
      <c r="AU995" s="84"/>
      <c r="AV995" s="4">
        <f t="shared" si="317"/>
        <v>0</v>
      </c>
      <c r="AW995" s="50" t="str">
        <f t="shared" si="318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306"/>
        <v/>
      </c>
      <c r="P996" s="84"/>
      <c r="Q996" s="84"/>
      <c r="R996" s="32"/>
      <c r="S996" s="3" t="str">
        <f t="shared" si="307"/>
        <v/>
      </c>
      <c r="T996" s="84"/>
      <c r="U996" s="84"/>
      <c r="V996" s="32"/>
      <c r="W996" s="3" t="str">
        <f t="shared" si="308"/>
        <v/>
      </c>
      <c r="X996" s="84"/>
      <c r="Y996" s="84"/>
      <c r="Z996" s="32"/>
      <c r="AA996" s="3" t="str">
        <f t="shared" si="309"/>
        <v/>
      </c>
      <c r="AB996" s="84"/>
      <c r="AC996" s="84"/>
      <c r="AD996" s="36"/>
      <c r="AE996" s="82"/>
      <c r="AF996" s="3" t="str">
        <f t="shared" si="310"/>
        <v/>
      </c>
      <c r="AG996" s="84"/>
      <c r="AH996" s="84"/>
      <c r="AI996" s="39"/>
      <c r="AJ996" s="79"/>
      <c r="AK996" s="39"/>
      <c r="AL996" s="4">
        <f t="shared" si="311"/>
        <v>0</v>
      </c>
      <c r="AM996" s="4">
        <f t="shared" si="312"/>
        <v>0</v>
      </c>
      <c r="AN996" s="4">
        <f t="shared" si="313"/>
        <v>0</v>
      </c>
      <c r="AO996" s="39"/>
      <c r="AP996" s="8">
        <f t="shared" si="314"/>
        <v>0</v>
      </c>
      <c r="AQ996" s="8">
        <f t="shared" si="315"/>
        <v>0</v>
      </c>
      <c r="AR996" s="8">
        <f t="shared" si="316"/>
        <v>0</v>
      </c>
      <c r="AS996" s="42"/>
      <c r="AT996" s="84"/>
      <c r="AU996" s="84"/>
      <c r="AV996" s="4">
        <f t="shared" si="317"/>
        <v>0</v>
      </c>
      <c r="AW996" s="50" t="str">
        <f t="shared" si="318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306"/>
        <v/>
      </c>
      <c r="P997" s="84"/>
      <c r="Q997" s="84"/>
      <c r="R997" s="32"/>
      <c r="S997" s="3" t="str">
        <f t="shared" si="307"/>
        <v/>
      </c>
      <c r="T997" s="84"/>
      <c r="U997" s="84"/>
      <c r="V997" s="32"/>
      <c r="W997" s="3" t="str">
        <f t="shared" si="308"/>
        <v/>
      </c>
      <c r="X997" s="84"/>
      <c r="Y997" s="84"/>
      <c r="Z997" s="32"/>
      <c r="AA997" s="3" t="str">
        <f t="shared" si="309"/>
        <v/>
      </c>
      <c r="AB997" s="84"/>
      <c r="AC997" s="84"/>
      <c r="AD997" s="36"/>
      <c r="AE997" s="82"/>
      <c r="AF997" s="3" t="str">
        <f t="shared" si="310"/>
        <v/>
      </c>
      <c r="AG997" s="84"/>
      <c r="AH997" s="84"/>
      <c r="AI997" s="39"/>
      <c r="AJ997" s="79"/>
      <c r="AK997" s="39"/>
      <c r="AL997" s="4">
        <f t="shared" si="311"/>
        <v>0</v>
      </c>
      <c r="AM997" s="4">
        <f t="shared" si="312"/>
        <v>0</v>
      </c>
      <c r="AN997" s="4">
        <f t="shared" si="313"/>
        <v>0</v>
      </c>
      <c r="AO997" s="39"/>
      <c r="AP997" s="8">
        <f t="shared" si="314"/>
        <v>0</v>
      </c>
      <c r="AQ997" s="8">
        <f t="shared" si="315"/>
        <v>0</v>
      </c>
      <c r="AR997" s="8">
        <f t="shared" si="316"/>
        <v>0</v>
      </c>
      <c r="AS997" s="42"/>
      <c r="AT997" s="84"/>
      <c r="AU997" s="84"/>
      <c r="AV997" s="4">
        <f t="shared" si="317"/>
        <v>0</v>
      </c>
      <c r="AW997" s="50" t="str">
        <f t="shared" si="318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306"/>
        <v/>
      </c>
      <c r="P998" s="84"/>
      <c r="Q998" s="84"/>
      <c r="R998" s="32"/>
      <c r="S998" s="3" t="str">
        <f t="shared" si="307"/>
        <v/>
      </c>
      <c r="T998" s="84"/>
      <c r="U998" s="84"/>
      <c r="V998" s="32"/>
      <c r="W998" s="3" t="str">
        <f t="shared" si="308"/>
        <v/>
      </c>
      <c r="X998" s="84"/>
      <c r="Y998" s="84"/>
      <c r="Z998" s="32"/>
      <c r="AA998" s="3" t="str">
        <f t="shared" si="309"/>
        <v/>
      </c>
      <c r="AB998" s="84"/>
      <c r="AC998" s="84"/>
      <c r="AD998" s="36"/>
      <c r="AE998" s="82"/>
      <c r="AF998" s="3" t="str">
        <f t="shared" si="310"/>
        <v/>
      </c>
      <c r="AG998" s="84"/>
      <c r="AH998" s="84"/>
      <c r="AI998" s="39"/>
      <c r="AJ998" s="79"/>
      <c r="AK998" s="39"/>
      <c r="AL998" s="4">
        <f t="shared" si="311"/>
        <v>0</v>
      </c>
      <c r="AM998" s="4">
        <f t="shared" si="312"/>
        <v>0</v>
      </c>
      <c r="AN998" s="4">
        <f t="shared" si="313"/>
        <v>0</v>
      </c>
      <c r="AO998" s="39"/>
      <c r="AP998" s="8">
        <f t="shared" si="314"/>
        <v>0</v>
      </c>
      <c r="AQ998" s="8">
        <f t="shared" si="315"/>
        <v>0</v>
      </c>
      <c r="AR998" s="8">
        <f t="shared" si="316"/>
        <v>0</v>
      </c>
      <c r="AS998" s="42"/>
      <c r="AT998" s="84"/>
      <c r="AU998" s="84"/>
      <c r="AV998" s="4">
        <f t="shared" si="317"/>
        <v>0</v>
      </c>
      <c r="AW998" s="50" t="str">
        <f t="shared" si="318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306"/>
        <v/>
      </c>
      <c r="P999" s="84"/>
      <c r="Q999" s="84"/>
      <c r="R999" s="32"/>
      <c r="S999" s="3" t="str">
        <f t="shared" si="307"/>
        <v/>
      </c>
      <c r="T999" s="84"/>
      <c r="U999" s="84"/>
      <c r="V999" s="32"/>
      <c r="W999" s="3" t="str">
        <f t="shared" si="308"/>
        <v/>
      </c>
      <c r="X999" s="84"/>
      <c r="Y999" s="84"/>
      <c r="Z999" s="32"/>
      <c r="AA999" s="3" t="str">
        <f t="shared" si="309"/>
        <v/>
      </c>
      <c r="AB999" s="84"/>
      <c r="AC999" s="84"/>
      <c r="AD999" s="36"/>
      <c r="AE999" s="82"/>
      <c r="AF999" s="3" t="str">
        <f t="shared" si="310"/>
        <v/>
      </c>
      <c r="AG999" s="84"/>
      <c r="AH999" s="84"/>
      <c r="AI999" s="39"/>
      <c r="AJ999" s="79"/>
      <c r="AK999" s="39"/>
      <c r="AL999" s="4">
        <f t="shared" si="311"/>
        <v>0</v>
      </c>
      <c r="AM999" s="4">
        <f t="shared" si="312"/>
        <v>0</v>
      </c>
      <c r="AN999" s="4">
        <f t="shared" si="313"/>
        <v>0</v>
      </c>
      <c r="AO999" s="39"/>
      <c r="AP999" s="8">
        <f t="shared" si="314"/>
        <v>0</v>
      </c>
      <c r="AQ999" s="8">
        <f t="shared" si="315"/>
        <v>0</v>
      </c>
      <c r="AR999" s="8">
        <f t="shared" si="316"/>
        <v>0</v>
      </c>
      <c r="AS999" s="42"/>
      <c r="AT999" s="84"/>
      <c r="AU999" s="84"/>
      <c r="AV999" s="4">
        <f t="shared" si="317"/>
        <v>0</v>
      </c>
      <c r="AW999" s="50" t="str">
        <f t="shared" si="318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sortState xmlns:xlrd2="http://schemas.microsoft.com/office/spreadsheetml/2017/richdata2" ref="A9:BL669">
    <sortCondition ref="A1"/>
  </sortState>
  <mergeCells count="54">
    <mergeCell ref="AA2:AC2"/>
    <mergeCell ref="S2:U2"/>
    <mergeCell ref="N2:Q2"/>
    <mergeCell ref="BL6:BL7"/>
    <mergeCell ref="BJ6:BK6"/>
    <mergeCell ref="BE6:BG6"/>
    <mergeCell ref="O3:O7"/>
    <mergeCell ref="S3:S7"/>
    <mergeCell ref="AF3:AF7"/>
    <mergeCell ref="AY6:AY7"/>
    <mergeCell ref="AT6:AU6"/>
    <mergeCell ref="AP6:AQ6"/>
    <mergeCell ref="AE2:AH2"/>
    <mergeCell ref="AX2:AY5"/>
    <mergeCell ref="AG6:AH6"/>
    <mergeCell ref="AP2:AR4"/>
    <mergeCell ref="B6:B7"/>
    <mergeCell ref="A2:C2"/>
    <mergeCell ref="A3:C3"/>
    <mergeCell ref="A4:C4"/>
    <mergeCell ref="H2:L2"/>
    <mergeCell ref="E2:G2"/>
    <mergeCell ref="E3:G3"/>
    <mergeCell ref="E4:G4"/>
    <mergeCell ref="E5:G5"/>
    <mergeCell ref="A5:C5"/>
    <mergeCell ref="D6:E6"/>
    <mergeCell ref="H6:K6"/>
    <mergeCell ref="A6:A7"/>
    <mergeCell ref="F6:F7"/>
    <mergeCell ref="C6:C7"/>
    <mergeCell ref="G6:G7"/>
    <mergeCell ref="AJ2:AJ7"/>
    <mergeCell ref="AL6:AM6"/>
    <mergeCell ref="AL5:AN5"/>
    <mergeCell ref="AP5:AR5"/>
    <mergeCell ref="AX6:AX7"/>
    <mergeCell ref="AT2:AV4"/>
    <mergeCell ref="BH6:BI6"/>
    <mergeCell ref="H3:L3"/>
    <mergeCell ref="H4:L4"/>
    <mergeCell ref="AL2:AN4"/>
    <mergeCell ref="H5:L5"/>
    <mergeCell ref="P6:Q6"/>
    <mergeCell ref="W2:Y2"/>
    <mergeCell ref="AA3:AA7"/>
    <mergeCell ref="N3:N6"/>
    <mergeCell ref="T6:U6"/>
    <mergeCell ref="X6:Y6"/>
    <mergeCell ref="AB6:AC6"/>
    <mergeCell ref="W3:W7"/>
    <mergeCell ref="AZ6:BD6"/>
    <mergeCell ref="AE3:AE6"/>
    <mergeCell ref="AT5:AV5"/>
  </mergeCells>
  <phoneticPr fontId="0" type="noConversion"/>
  <conditionalFormatting sqref="A8:AW999">
    <cfRule type="expression" dxfId="3" priority="3">
      <formula>$AW8="W"</formula>
    </cfRule>
  </conditionalFormatting>
  <conditionalFormatting sqref="AJ8:AJ999">
    <cfRule type="cellIs" dxfId="2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999"/>
  <sheetViews>
    <sheetView tabSelected="1" topLeftCell="A2" workbookViewId="0">
      <pane xSplit="3" ySplit="6" topLeftCell="BE885" activePane="bottomRight" state="frozenSplit"/>
      <selection activeCell="A2" sqref="A2"/>
      <selection pane="topRight" activeCell="M2" sqref="M2"/>
      <selection pane="bottomLeft" activeCell="A8" sqref="A8"/>
      <selection pane="bottomRight" activeCell="BG887" sqref="BG887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/>
      <c r="B2" s="125"/>
      <c r="C2" s="126"/>
      <c r="D2" s="69"/>
      <c r="E2" s="132"/>
      <c r="F2" s="133"/>
      <c r="G2" s="134"/>
      <c r="H2" s="130"/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/>
      <c r="B3" s="128"/>
      <c r="C3" s="129"/>
      <c r="D3" s="70"/>
      <c r="E3" s="135"/>
      <c r="F3" s="136"/>
      <c r="G3" s="137"/>
      <c r="H3" s="87"/>
      <c r="I3" s="87"/>
      <c r="J3" s="87"/>
      <c r="K3" s="87"/>
      <c r="L3" s="88"/>
      <c r="M3" s="23"/>
      <c r="N3" s="106"/>
      <c r="O3" s="103" t="s">
        <v>23</v>
      </c>
      <c r="P3" s="78" t="s">
        <v>5</v>
      </c>
      <c r="Q3" s="46">
        <v>45809</v>
      </c>
      <c r="R3" s="28"/>
      <c r="S3" s="103" t="s">
        <v>23</v>
      </c>
      <c r="T3" s="78" t="s">
        <v>5</v>
      </c>
      <c r="U3" s="46">
        <v>45817</v>
      </c>
      <c r="V3" s="28"/>
      <c r="W3" s="103" t="s">
        <v>23</v>
      </c>
      <c r="X3" s="78" t="s">
        <v>5</v>
      </c>
      <c r="Y3" s="46">
        <v>45824</v>
      </c>
      <c r="Z3" s="29"/>
      <c r="AA3" s="103" t="s">
        <v>23</v>
      </c>
      <c r="AB3" s="78" t="s">
        <v>5</v>
      </c>
      <c r="AC3" s="46">
        <v>45831</v>
      </c>
      <c r="AD3" s="36"/>
      <c r="AE3" s="109"/>
      <c r="AF3" s="103" t="s">
        <v>23</v>
      </c>
      <c r="AG3" s="78" t="s">
        <v>5</v>
      </c>
      <c r="AH3" s="46"/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/>
      <c r="B4" s="128"/>
      <c r="C4" s="129"/>
      <c r="D4" s="70"/>
      <c r="E4" s="135"/>
      <c r="F4" s="136"/>
      <c r="G4" s="137"/>
      <c r="H4" s="87"/>
      <c r="I4" s="87"/>
      <c r="J4" s="87"/>
      <c r="K4" s="87"/>
      <c r="L4" s="88"/>
      <c r="M4" s="23"/>
      <c r="N4" s="107"/>
      <c r="O4" s="104"/>
      <c r="P4" s="78" t="s">
        <v>6</v>
      </c>
      <c r="Q4" s="46">
        <v>45816</v>
      </c>
      <c r="R4" s="28"/>
      <c r="S4" s="104"/>
      <c r="T4" s="78" t="s">
        <v>6</v>
      </c>
      <c r="U4" s="46">
        <v>45823</v>
      </c>
      <c r="V4" s="28"/>
      <c r="W4" s="104"/>
      <c r="X4" s="78" t="s">
        <v>6</v>
      </c>
      <c r="Y4" s="46">
        <v>45830</v>
      </c>
      <c r="Z4" s="29"/>
      <c r="AA4" s="104"/>
      <c r="AB4" s="78" t="s">
        <v>6</v>
      </c>
      <c r="AC4" s="46">
        <v>45838</v>
      </c>
      <c r="AD4" s="36"/>
      <c r="AE4" s="110"/>
      <c r="AF4" s="104"/>
      <c r="AG4" s="78" t="s">
        <v>6</v>
      </c>
      <c r="AH4" s="46"/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/>
      <c r="F5" s="139"/>
      <c r="G5" s="140"/>
      <c r="H5" s="99"/>
      <c r="I5" s="99"/>
      <c r="J5" s="99"/>
      <c r="K5" s="99"/>
      <c r="L5" s="100"/>
      <c r="M5" s="23"/>
      <c r="N5" s="107"/>
      <c r="O5" s="104"/>
      <c r="P5" s="21" t="s">
        <v>22</v>
      </c>
      <c r="Q5" s="47">
        <v>8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8</v>
      </c>
      <c r="AD5" s="36"/>
      <c r="AE5" s="110"/>
      <c r="AF5" s="104"/>
      <c r="AG5" s="21" t="s">
        <v>22</v>
      </c>
      <c r="AH5" s="47"/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80" t="s">
        <v>8</v>
      </c>
      <c r="AO6" s="41"/>
      <c r="AP6" s="114" t="s">
        <v>8</v>
      </c>
      <c r="AQ6" s="114"/>
      <c r="AR6" s="80" t="s">
        <v>8</v>
      </c>
      <c r="AS6" s="23"/>
      <c r="AT6" s="85" t="s">
        <v>8</v>
      </c>
      <c r="AU6" s="86"/>
      <c r="AV6" s="80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80" t="s">
        <v>9</v>
      </c>
      <c r="AM7" s="80" t="s">
        <v>10</v>
      </c>
      <c r="AN7" s="80" t="s">
        <v>11</v>
      </c>
      <c r="AO7" s="41"/>
      <c r="AP7" s="80" t="s">
        <v>9</v>
      </c>
      <c r="AQ7" s="80" t="s">
        <v>10</v>
      </c>
      <c r="AR7" s="80" t="s">
        <v>11</v>
      </c>
      <c r="AS7" s="23"/>
      <c r="AT7" s="79" t="s">
        <v>9</v>
      </c>
      <c r="AU7" s="79" t="s">
        <v>10</v>
      </c>
      <c r="AV7" s="80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56" t="s">
        <v>50</v>
      </c>
      <c r="B8" s="54" t="s">
        <v>50</v>
      </c>
      <c r="C8" s="56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53"/>
      <c r="O8" s="3" t="str">
        <f t="shared" ref="O8:O26" si="1">IF($A8="","",IF(P8=0,"A",IF(P8=AZ8,"E","A")))</f>
        <v>A</v>
      </c>
      <c r="P8" s="48">
        <v>106708.82</v>
      </c>
      <c r="Q8" s="48">
        <v>24173</v>
      </c>
      <c r="R8" s="32"/>
      <c r="S8" s="3" t="str">
        <f t="shared" ref="S8:S26" si="2">IF($A8="","",IF(T8=0,"A",IF(T8=BA8,"E","A")))</f>
        <v>A</v>
      </c>
      <c r="T8" s="48">
        <v>93054.37</v>
      </c>
      <c r="U8" s="48">
        <v>21680.22</v>
      </c>
      <c r="V8" s="32"/>
      <c r="W8" s="3" t="str">
        <f t="shared" ref="W8:W71" si="3">IF($A8="","",IF(X8=0,"A",IF(X8=BB8,"E","A")))</f>
        <v>A</v>
      </c>
      <c r="X8" s="48">
        <v>91871.61</v>
      </c>
      <c r="Y8" s="48">
        <v>25308</v>
      </c>
      <c r="Z8" s="32"/>
      <c r="AA8" s="3" t="str">
        <f t="shared" ref="AA8:AA71" si="4">IF($A8="","",IF(AB8=0,"A",IF(AB8=BC8,"E","A")))</f>
        <v>A</v>
      </c>
      <c r="AB8" s="48">
        <v>100272.76000000001</v>
      </c>
      <c r="AC8" s="48">
        <v>23435.839999999997</v>
      </c>
      <c r="AD8" s="36"/>
      <c r="AE8" s="54"/>
      <c r="AF8" s="3" t="str">
        <f t="shared" ref="AF8:AF71" si="5">IF($A8="","",IF(AG8=0,"A",IF(AG8=BD8,"E","A")))</f>
        <v>A</v>
      </c>
      <c r="AG8" s="48">
        <v>0</v>
      </c>
      <c r="AH8" s="48">
        <v>0</v>
      </c>
      <c r="AI8" s="38"/>
      <c r="AJ8" s="79" t="s">
        <v>1801</v>
      </c>
      <c r="AK8" s="38"/>
      <c r="AL8" s="8">
        <f t="shared" ref="AL8:AM23" si="6">IF($O8="A",P8,0)+IF($S8="A",T8,0)+IF($W8="A",X8,0)+IF($AA8="A",AB8,0)+IF($AF8="A",AG8,0)</f>
        <v>391907.56</v>
      </c>
      <c r="AM8" s="8">
        <f t="shared" si="6"/>
        <v>94597.06</v>
      </c>
      <c r="AN8" s="4">
        <f t="shared" ref="AN8:AN71" si="7">SUM(AL8:AM8)</f>
        <v>486504.62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48">
        <v>391907.56000000006</v>
      </c>
      <c r="AU8" s="48">
        <v>94597.06</v>
      </c>
      <c r="AV8" s="4">
        <f t="shared" ref="AV8:AV71" si="10">SUM(AT8:AU8)</f>
        <v>486504.62000000005</v>
      </c>
      <c r="AW8" s="50" t="str">
        <f t="shared" ref="AW8:AW71" si="11">IF(AV8=0,"",IF(AN8=AV8,"","W"))</f>
        <v/>
      </c>
      <c r="AX8" s="1" t="s">
        <v>1639</v>
      </c>
      <c r="AY8" s="2" t="s">
        <v>1640</v>
      </c>
      <c r="AZ8" s="2">
        <v>122072.64</v>
      </c>
      <c r="BA8" s="2">
        <v>106813.56</v>
      </c>
      <c r="BB8" s="2">
        <v>106813.56</v>
      </c>
      <c r="BC8" s="2">
        <v>122072.64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56" t="s">
        <v>50</v>
      </c>
      <c r="B9" s="54" t="s">
        <v>943</v>
      </c>
      <c r="C9" s="56" t="s">
        <v>944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54"/>
      <c r="O9" s="3" t="str">
        <f t="shared" si="1"/>
        <v>A</v>
      </c>
      <c r="P9" s="48">
        <v>75587</v>
      </c>
      <c r="Q9" s="48">
        <v>8696</v>
      </c>
      <c r="R9" s="32"/>
      <c r="S9" s="3" t="str">
        <f t="shared" si="2"/>
        <v>A</v>
      </c>
      <c r="T9" s="48">
        <v>73664</v>
      </c>
      <c r="U9" s="48">
        <v>11288</v>
      </c>
      <c r="V9" s="32"/>
      <c r="W9" s="3" t="str">
        <f t="shared" si="3"/>
        <v>A</v>
      </c>
      <c r="X9" s="48">
        <v>78219</v>
      </c>
      <c r="Y9" s="48">
        <v>7496</v>
      </c>
      <c r="Z9" s="32"/>
      <c r="AA9" s="3" t="str">
        <f t="shared" si="4"/>
        <v>A</v>
      </c>
      <c r="AB9" s="48">
        <v>90263</v>
      </c>
      <c r="AC9" s="48">
        <v>8569</v>
      </c>
      <c r="AD9" s="36"/>
      <c r="AE9" s="54"/>
      <c r="AF9" s="3" t="str">
        <f t="shared" si="5"/>
        <v>A</v>
      </c>
      <c r="AG9" s="48">
        <v>0</v>
      </c>
      <c r="AH9" s="48">
        <v>0</v>
      </c>
      <c r="AI9" s="39"/>
      <c r="AJ9" s="79" t="s">
        <v>1801</v>
      </c>
      <c r="AK9" s="39"/>
      <c r="AL9" s="4">
        <f t="shared" si="6"/>
        <v>317733</v>
      </c>
      <c r="AM9" s="4">
        <f t="shared" si="6"/>
        <v>36049</v>
      </c>
      <c r="AN9" s="4">
        <f t="shared" si="7"/>
        <v>353782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48">
        <v>317733</v>
      </c>
      <c r="AU9" s="48">
        <v>36049</v>
      </c>
      <c r="AV9" s="4">
        <f t="shared" si="10"/>
        <v>353782</v>
      </c>
      <c r="AW9" s="50" t="str">
        <f t="shared" si="11"/>
        <v/>
      </c>
      <c r="AX9" s="1" t="s">
        <v>1639</v>
      </c>
      <c r="AY9" s="2" t="s">
        <v>1640</v>
      </c>
      <c r="AZ9" s="2">
        <v>377501.44</v>
      </c>
      <c r="BA9" s="2">
        <v>330313.76</v>
      </c>
      <c r="BB9" s="2">
        <v>330313.76</v>
      </c>
      <c r="BC9" s="2">
        <v>377501.44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56" t="s">
        <v>60</v>
      </c>
      <c r="B10" s="54" t="s">
        <v>60</v>
      </c>
      <c r="C10" s="56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54"/>
      <c r="O10" s="3" t="str">
        <f t="shared" si="1"/>
        <v>A</v>
      </c>
      <c r="P10" s="48">
        <v>192684</v>
      </c>
      <c r="Q10" s="48">
        <v>21634</v>
      </c>
      <c r="R10" s="32"/>
      <c r="S10" s="3" t="str">
        <f t="shared" si="2"/>
        <v>A</v>
      </c>
      <c r="T10" s="48">
        <v>172461</v>
      </c>
      <c r="U10" s="48">
        <v>20087</v>
      </c>
      <c r="V10" s="32"/>
      <c r="W10" s="3" t="str">
        <f t="shared" si="3"/>
        <v>A</v>
      </c>
      <c r="X10" s="48">
        <v>167648</v>
      </c>
      <c r="Y10" s="48">
        <v>19220</v>
      </c>
      <c r="Z10" s="32"/>
      <c r="AA10" s="3" t="str">
        <f t="shared" si="4"/>
        <v>A</v>
      </c>
      <c r="AB10" s="48">
        <v>176795</v>
      </c>
      <c r="AC10" s="48">
        <v>19317</v>
      </c>
      <c r="AD10" s="36"/>
      <c r="AE10" s="54"/>
      <c r="AF10" s="3" t="str">
        <f t="shared" si="5"/>
        <v>A</v>
      </c>
      <c r="AG10" s="48">
        <v>0</v>
      </c>
      <c r="AH10" s="48">
        <v>0</v>
      </c>
      <c r="AI10" s="38"/>
      <c r="AJ10" s="79" t="s">
        <v>1801</v>
      </c>
      <c r="AK10" s="38"/>
      <c r="AL10" s="4">
        <f t="shared" si="6"/>
        <v>709588</v>
      </c>
      <c r="AM10" s="4">
        <f t="shared" si="6"/>
        <v>80258</v>
      </c>
      <c r="AN10" s="4">
        <f t="shared" si="7"/>
        <v>789846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48">
        <v>709588</v>
      </c>
      <c r="AU10" s="48">
        <v>80258</v>
      </c>
      <c r="AV10" s="4">
        <f t="shared" si="10"/>
        <v>789846</v>
      </c>
      <c r="AW10" s="50" t="str">
        <f t="shared" si="11"/>
        <v/>
      </c>
      <c r="AX10" s="1" t="s">
        <v>1641</v>
      </c>
      <c r="AY10" s="2" t="s">
        <v>1642</v>
      </c>
      <c r="AZ10" s="2">
        <v>179400.64</v>
      </c>
      <c r="BA10" s="2">
        <v>156975.56</v>
      </c>
      <c r="BB10" s="2">
        <v>156975.56</v>
      </c>
      <c r="BC10" s="2">
        <v>179400.64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56" t="s">
        <v>60</v>
      </c>
      <c r="B11" s="54" t="s">
        <v>616</v>
      </c>
      <c r="C11" s="56" t="s">
        <v>617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54"/>
      <c r="O11" s="3" t="str">
        <f t="shared" si="1"/>
        <v>A</v>
      </c>
      <c r="P11" s="48">
        <v>20672</v>
      </c>
      <c r="Q11" s="48">
        <v>4172</v>
      </c>
      <c r="R11" s="32"/>
      <c r="S11" s="3" t="str">
        <f t="shared" si="2"/>
        <v>A</v>
      </c>
      <c r="T11" s="48">
        <v>16268</v>
      </c>
      <c r="U11" s="48">
        <v>3914</v>
      </c>
      <c r="V11" s="32"/>
      <c r="W11" s="3" t="str">
        <f t="shared" si="3"/>
        <v>A</v>
      </c>
      <c r="X11" s="48">
        <v>17115</v>
      </c>
      <c r="Y11" s="48">
        <v>3930</v>
      </c>
      <c r="Z11" s="32"/>
      <c r="AA11" s="3" t="str">
        <f t="shared" si="4"/>
        <v>A</v>
      </c>
      <c r="AB11" s="48">
        <v>18405</v>
      </c>
      <c r="AC11" s="48">
        <v>3692</v>
      </c>
      <c r="AD11" s="36"/>
      <c r="AE11" s="54"/>
      <c r="AF11" s="3" t="str">
        <f t="shared" si="5"/>
        <v>A</v>
      </c>
      <c r="AG11" s="48">
        <v>0</v>
      </c>
      <c r="AH11" s="48">
        <v>0</v>
      </c>
      <c r="AI11" s="39"/>
      <c r="AJ11" s="79" t="s">
        <v>1801</v>
      </c>
      <c r="AK11" s="39"/>
      <c r="AL11" s="4">
        <f t="shared" si="6"/>
        <v>72460</v>
      </c>
      <c r="AM11" s="4">
        <f t="shared" si="6"/>
        <v>15708</v>
      </c>
      <c r="AN11" s="4">
        <f t="shared" si="7"/>
        <v>88168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48">
        <v>72460</v>
      </c>
      <c r="AU11" s="48">
        <v>15708</v>
      </c>
      <c r="AV11" s="4">
        <f t="shared" si="10"/>
        <v>88168</v>
      </c>
      <c r="AW11" s="50" t="str">
        <f t="shared" si="11"/>
        <v/>
      </c>
      <c r="AX11" s="1" t="s">
        <v>1641</v>
      </c>
      <c r="AY11" s="2" t="s">
        <v>1642</v>
      </c>
      <c r="AZ11" s="2">
        <v>32811.68</v>
      </c>
      <c r="BA11" s="2">
        <v>28710.22</v>
      </c>
      <c r="BB11" s="2">
        <v>28710.22</v>
      </c>
      <c r="BC11" s="2">
        <v>32811.68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56" t="s">
        <v>65</v>
      </c>
      <c r="B12" s="54" t="s">
        <v>65</v>
      </c>
      <c r="C12" s="56" t="s">
        <v>66</v>
      </c>
      <c r="D12" s="16">
        <v>36594</v>
      </c>
      <c r="E12" s="17"/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54"/>
      <c r="O12" s="3" t="str">
        <f t="shared" si="1"/>
        <v>A</v>
      </c>
      <c r="P12" s="48">
        <v>184378.7</v>
      </c>
      <c r="Q12" s="48">
        <v>40142</v>
      </c>
      <c r="R12" s="32"/>
      <c r="S12" s="3" t="str">
        <f t="shared" si="2"/>
        <v>A</v>
      </c>
      <c r="T12" s="48">
        <v>162974</v>
      </c>
      <c r="U12" s="48">
        <v>37865</v>
      </c>
      <c r="V12" s="32"/>
      <c r="W12" s="3" t="str">
        <f t="shared" si="3"/>
        <v>A</v>
      </c>
      <c r="X12" s="48">
        <v>155902.82</v>
      </c>
      <c r="Y12" s="48">
        <v>28577</v>
      </c>
      <c r="Z12" s="32"/>
      <c r="AA12" s="3" t="str">
        <f t="shared" si="4"/>
        <v>A</v>
      </c>
      <c r="AB12" s="48">
        <v>167776.75</v>
      </c>
      <c r="AC12" s="48">
        <v>36007</v>
      </c>
      <c r="AD12" s="36"/>
      <c r="AE12" s="54"/>
      <c r="AF12" s="3" t="str">
        <f t="shared" si="5"/>
        <v>A</v>
      </c>
      <c r="AG12" s="48">
        <v>0</v>
      </c>
      <c r="AH12" s="48">
        <v>0</v>
      </c>
      <c r="AI12" s="38"/>
      <c r="AJ12" s="79" t="s">
        <v>1801</v>
      </c>
      <c r="AK12" s="38"/>
      <c r="AL12" s="4">
        <f t="shared" si="6"/>
        <v>671032.27</v>
      </c>
      <c r="AM12" s="4">
        <f t="shared" si="6"/>
        <v>142591</v>
      </c>
      <c r="AN12" s="4">
        <f t="shared" si="7"/>
        <v>813623.27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48">
        <v>671032.27</v>
      </c>
      <c r="AU12" s="48">
        <v>142591</v>
      </c>
      <c r="AV12" s="4">
        <f t="shared" si="10"/>
        <v>813623.27</v>
      </c>
      <c r="AW12" s="50" t="str">
        <f t="shared" si="11"/>
        <v/>
      </c>
      <c r="AX12" s="1" t="s">
        <v>1639</v>
      </c>
      <c r="AY12" s="2" t="s">
        <v>1640</v>
      </c>
      <c r="AZ12" s="2">
        <v>192090.08</v>
      </c>
      <c r="BA12" s="2">
        <v>168078.82</v>
      </c>
      <c r="BB12" s="2">
        <v>168078.82</v>
      </c>
      <c r="BC12" s="2">
        <v>192090.08</v>
      </c>
      <c r="BE12" s="66">
        <v>2.5000000000000001E-2</v>
      </c>
      <c r="BF12" s="66">
        <v>0.02</v>
      </c>
      <c r="BG12" s="63">
        <v>45725</v>
      </c>
      <c r="BH12" s="74">
        <v>45691</v>
      </c>
      <c r="BI12" s="74">
        <v>45778</v>
      </c>
      <c r="BL12" s="1" t="s">
        <v>56</v>
      </c>
    </row>
    <row r="13" spans="1:64" s="2" customFormat="1" ht="10.8" x14ac:dyDescent="0.25">
      <c r="A13" s="56" t="s">
        <v>70</v>
      </c>
      <c r="B13" s="54" t="s">
        <v>70</v>
      </c>
      <c r="C13" s="56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54"/>
      <c r="O13" s="3" t="str">
        <f t="shared" si="1"/>
        <v>A</v>
      </c>
      <c r="P13" s="48">
        <v>142936.79999999999</v>
      </c>
      <c r="Q13" s="48">
        <v>40130</v>
      </c>
      <c r="R13" s="32"/>
      <c r="S13" s="3" t="str">
        <f t="shared" si="2"/>
        <v>A</v>
      </c>
      <c r="T13" s="48">
        <v>146722</v>
      </c>
      <c r="U13" s="48">
        <v>39150</v>
      </c>
      <c r="V13" s="32"/>
      <c r="W13" s="3" t="str">
        <f t="shared" si="3"/>
        <v>A</v>
      </c>
      <c r="X13" s="48">
        <v>123168.5</v>
      </c>
      <c r="Y13" s="48">
        <v>33514</v>
      </c>
      <c r="Z13" s="32"/>
      <c r="AA13" s="3" t="str">
        <f t="shared" si="4"/>
        <v>A</v>
      </c>
      <c r="AB13" s="48">
        <v>134404</v>
      </c>
      <c r="AC13" s="48">
        <v>34485</v>
      </c>
      <c r="AD13" s="36"/>
      <c r="AE13" s="54"/>
      <c r="AF13" s="3" t="str">
        <f t="shared" si="5"/>
        <v>A</v>
      </c>
      <c r="AG13" s="48">
        <v>0</v>
      </c>
      <c r="AH13" s="48">
        <v>0</v>
      </c>
      <c r="AI13" s="38"/>
      <c r="AJ13" s="79" t="s">
        <v>1801</v>
      </c>
      <c r="AK13" s="38"/>
      <c r="AL13" s="4">
        <f t="shared" si="6"/>
        <v>547231.30000000005</v>
      </c>
      <c r="AM13" s="4">
        <f t="shared" si="6"/>
        <v>147279</v>
      </c>
      <c r="AN13" s="4">
        <f t="shared" si="7"/>
        <v>694510.3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48">
        <v>547231.30000000005</v>
      </c>
      <c r="AU13" s="48">
        <v>147279</v>
      </c>
      <c r="AV13" s="4">
        <f t="shared" si="10"/>
        <v>694510.3</v>
      </c>
      <c r="AW13" s="50" t="str">
        <f t="shared" si="11"/>
        <v/>
      </c>
      <c r="AX13" s="1" t="s">
        <v>1639</v>
      </c>
      <c r="AY13" s="2" t="s">
        <v>1640</v>
      </c>
      <c r="AZ13" s="2">
        <v>180742.16</v>
      </c>
      <c r="BA13" s="2">
        <v>158149.39000000001</v>
      </c>
      <c r="BB13" s="2">
        <v>158149.39000000001</v>
      </c>
      <c r="BC13" s="2">
        <v>180742.16</v>
      </c>
      <c r="BE13" s="66">
        <v>2.5000000000000001E-2</v>
      </c>
      <c r="BF13" s="66">
        <v>0.02</v>
      </c>
      <c r="BG13" s="63">
        <v>45835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56" t="s">
        <v>74</v>
      </c>
      <c r="B14" s="54" t="s">
        <v>74</v>
      </c>
      <c r="C14" s="56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54"/>
      <c r="O14" s="3" t="str">
        <f t="shared" si="1"/>
        <v>A</v>
      </c>
      <c r="P14" s="48">
        <v>155012.55000000002</v>
      </c>
      <c r="Q14" s="48">
        <v>50701</v>
      </c>
      <c r="R14" s="32"/>
      <c r="S14" s="3" t="str">
        <f t="shared" si="2"/>
        <v>A</v>
      </c>
      <c r="T14" s="48">
        <v>129047.3</v>
      </c>
      <c r="U14" s="48">
        <v>51799</v>
      </c>
      <c r="V14" s="32"/>
      <c r="W14" s="3" t="str">
        <f t="shared" si="3"/>
        <v>A</v>
      </c>
      <c r="X14" s="48">
        <v>126071.59</v>
      </c>
      <c r="Y14" s="48">
        <v>44308.76</v>
      </c>
      <c r="Z14" s="32"/>
      <c r="AA14" s="3" t="str">
        <f t="shared" si="4"/>
        <v>A</v>
      </c>
      <c r="AB14" s="48">
        <v>134942.45000000001</v>
      </c>
      <c r="AC14" s="48">
        <v>37591</v>
      </c>
      <c r="AD14" s="36"/>
      <c r="AE14" s="54"/>
      <c r="AF14" s="3" t="str">
        <f t="shared" si="5"/>
        <v>A</v>
      </c>
      <c r="AG14" s="48">
        <v>0</v>
      </c>
      <c r="AH14" s="48">
        <v>0</v>
      </c>
      <c r="AI14" s="38"/>
      <c r="AJ14" s="79" t="s">
        <v>1801</v>
      </c>
      <c r="AK14" s="38"/>
      <c r="AL14" s="4">
        <f t="shared" si="6"/>
        <v>545073.89000000013</v>
      </c>
      <c r="AM14" s="4">
        <f t="shared" si="6"/>
        <v>184399.76</v>
      </c>
      <c r="AN14" s="4">
        <f t="shared" si="7"/>
        <v>729473.65000000014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48">
        <v>545073.89</v>
      </c>
      <c r="AU14" s="48">
        <v>184399.76</v>
      </c>
      <c r="AV14" s="4">
        <f t="shared" si="10"/>
        <v>729473.65</v>
      </c>
      <c r="AW14" s="50" t="str">
        <f t="shared" si="11"/>
        <v/>
      </c>
      <c r="AX14" s="1" t="s">
        <v>1639</v>
      </c>
      <c r="AY14" s="2" t="s">
        <v>1640</v>
      </c>
      <c r="AZ14" s="2">
        <v>218976.88</v>
      </c>
      <c r="BA14" s="2">
        <v>191604.77</v>
      </c>
      <c r="BB14" s="2">
        <v>191604.77</v>
      </c>
      <c r="BC14" s="2">
        <v>218976.88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56" t="s">
        <v>74</v>
      </c>
      <c r="B15" s="54" t="s">
        <v>622</v>
      </c>
      <c r="C15" s="56" t="s">
        <v>623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54"/>
      <c r="O15" s="3" t="str">
        <f t="shared" si="1"/>
        <v>A</v>
      </c>
      <c r="P15" s="48">
        <v>30002</v>
      </c>
      <c r="Q15" s="48">
        <v>13121</v>
      </c>
      <c r="R15" s="32"/>
      <c r="S15" s="3" t="str">
        <f t="shared" si="2"/>
        <v>A</v>
      </c>
      <c r="T15" s="48">
        <v>27605</v>
      </c>
      <c r="U15" s="48">
        <v>14209</v>
      </c>
      <c r="V15" s="32"/>
      <c r="W15" s="3" t="str">
        <f t="shared" si="3"/>
        <v>A</v>
      </c>
      <c r="X15" s="48">
        <v>26894</v>
      </c>
      <c r="Y15" s="48">
        <v>9586</v>
      </c>
      <c r="Z15" s="32"/>
      <c r="AA15" s="3" t="str">
        <f t="shared" si="4"/>
        <v>A</v>
      </c>
      <c r="AB15" s="48">
        <v>27469</v>
      </c>
      <c r="AC15" s="48">
        <v>13582</v>
      </c>
      <c r="AD15" s="36"/>
      <c r="AE15" s="54"/>
      <c r="AF15" s="3" t="str">
        <f t="shared" si="5"/>
        <v>A</v>
      </c>
      <c r="AG15" s="48">
        <v>0</v>
      </c>
      <c r="AH15" s="48">
        <v>0</v>
      </c>
      <c r="AI15" s="39"/>
      <c r="AJ15" s="79" t="s">
        <v>1801</v>
      </c>
      <c r="AK15" s="39"/>
      <c r="AL15" s="4">
        <f t="shared" si="6"/>
        <v>111970</v>
      </c>
      <c r="AM15" s="4">
        <f t="shared" si="6"/>
        <v>50498</v>
      </c>
      <c r="AN15" s="4">
        <f t="shared" si="7"/>
        <v>162468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48">
        <v>111970</v>
      </c>
      <c r="AU15" s="48">
        <v>50498</v>
      </c>
      <c r="AV15" s="4">
        <f t="shared" si="10"/>
        <v>162468</v>
      </c>
      <c r="AW15" s="50" t="str">
        <f t="shared" si="11"/>
        <v/>
      </c>
      <c r="AX15" s="1" t="s">
        <v>1639</v>
      </c>
      <c r="AY15" s="2" t="s">
        <v>1640</v>
      </c>
      <c r="AZ15" s="2">
        <v>77600.240000000005</v>
      </c>
      <c r="BA15" s="2">
        <v>67900.210000000006</v>
      </c>
      <c r="BB15" s="2">
        <v>67900.210000000006</v>
      </c>
      <c r="BC15" s="2">
        <v>77600.240000000005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56" t="s">
        <v>74</v>
      </c>
      <c r="B16" s="54" t="s">
        <v>892</v>
      </c>
      <c r="C16" s="56" t="s">
        <v>893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54"/>
      <c r="O16" s="3" t="str">
        <f t="shared" si="1"/>
        <v>A</v>
      </c>
      <c r="P16" s="48">
        <v>80312</v>
      </c>
      <c r="Q16" s="48">
        <v>20158</v>
      </c>
      <c r="R16" s="32"/>
      <c r="S16" s="3" t="str">
        <f t="shared" si="2"/>
        <v>A</v>
      </c>
      <c r="T16" s="48">
        <v>68172</v>
      </c>
      <c r="U16" s="48">
        <v>17242</v>
      </c>
      <c r="V16" s="32"/>
      <c r="W16" s="3" t="str">
        <f t="shared" si="3"/>
        <v>A</v>
      </c>
      <c r="X16" s="48">
        <v>67418</v>
      </c>
      <c r="Y16" s="48">
        <v>16667</v>
      </c>
      <c r="Z16" s="32"/>
      <c r="AA16" s="3" t="str">
        <f t="shared" si="4"/>
        <v>A</v>
      </c>
      <c r="AB16" s="48">
        <v>74840</v>
      </c>
      <c r="AC16" s="48">
        <v>16948</v>
      </c>
      <c r="AD16" s="36"/>
      <c r="AE16" s="54"/>
      <c r="AF16" s="3" t="str">
        <f t="shared" si="5"/>
        <v>A</v>
      </c>
      <c r="AG16" s="48">
        <v>0</v>
      </c>
      <c r="AH16" s="48">
        <v>0</v>
      </c>
      <c r="AI16" s="39"/>
      <c r="AJ16" s="79" t="s">
        <v>1801</v>
      </c>
      <c r="AK16" s="39"/>
      <c r="AL16" s="4">
        <f t="shared" si="6"/>
        <v>290742</v>
      </c>
      <c r="AM16" s="4">
        <f t="shared" si="6"/>
        <v>71015</v>
      </c>
      <c r="AN16" s="4">
        <f t="shared" si="7"/>
        <v>361757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48">
        <v>290742</v>
      </c>
      <c r="AU16" s="48">
        <v>71015</v>
      </c>
      <c r="AV16" s="4">
        <f t="shared" si="10"/>
        <v>361757</v>
      </c>
      <c r="AW16" s="50" t="str">
        <f t="shared" si="11"/>
        <v/>
      </c>
      <c r="AX16" s="1" t="s">
        <v>1639</v>
      </c>
      <c r="AY16" s="2" t="s">
        <v>1640</v>
      </c>
      <c r="AZ16" s="2">
        <v>69808.08</v>
      </c>
      <c r="BA16" s="2">
        <v>61082.07</v>
      </c>
      <c r="BB16" s="2">
        <v>61082.07</v>
      </c>
      <c r="BC16" s="2">
        <v>69808.08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56" t="s">
        <v>81</v>
      </c>
      <c r="B17" s="54" t="s">
        <v>81</v>
      </c>
      <c r="C17" s="56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54"/>
      <c r="O17" s="3" t="str">
        <f t="shared" si="1"/>
        <v>A</v>
      </c>
      <c r="P17" s="48">
        <v>119187.44</v>
      </c>
      <c r="Q17" s="48">
        <v>27479.8</v>
      </c>
      <c r="R17" s="32"/>
      <c r="S17" s="3" t="str">
        <f t="shared" si="2"/>
        <v>A</v>
      </c>
      <c r="T17" s="48">
        <v>106399.2</v>
      </c>
      <c r="U17" s="48">
        <v>25075.4</v>
      </c>
      <c r="V17" s="32"/>
      <c r="W17" s="3" t="str">
        <f t="shared" si="3"/>
        <v>A</v>
      </c>
      <c r="X17" s="48">
        <v>106182</v>
      </c>
      <c r="Y17" s="48">
        <v>23980</v>
      </c>
      <c r="Z17" s="32"/>
      <c r="AA17" s="3" t="str">
        <f t="shared" si="4"/>
        <v>A</v>
      </c>
      <c r="AB17" s="48">
        <v>112580.2</v>
      </c>
      <c r="AC17" s="48">
        <v>28533</v>
      </c>
      <c r="AD17" s="36"/>
      <c r="AE17" s="54"/>
      <c r="AF17" s="3" t="str">
        <f t="shared" si="5"/>
        <v>A</v>
      </c>
      <c r="AG17" s="48">
        <v>0</v>
      </c>
      <c r="AH17" s="48">
        <v>0</v>
      </c>
      <c r="AI17" s="38"/>
      <c r="AJ17" s="79" t="s">
        <v>1801</v>
      </c>
      <c r="AK17" s="38"/>
      <c r="AL17" s="4">
        <f t="shared" si="6"/>
        <v>444348.84</v>
      </c>
      <c r="AM17" s="4">
        <f t="shared" si="6"/>
        <v>105068.2</v>
      </c>
      <c r="AN17" s="4">
        <f t="shared" si="7"/>
        <v>549417.04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48">
        <v>444348.83999999997</v>
      </c>
      <c r="AU17" s="48">
        <v>105068.2</v>
      </c>
      <c r="AV17" s="4">
        <f t="shared" si="10"/>
        <v>549417.03999999992</v>
      </c>
      <c r="AW17" s="50" t="str">
        <f t="shared" si="11"/>
        <v/>
      </c>
      <c r="AX17" s="1" t="s">
        <v>1639</v>
      </c>
      <c r="AY17" s="2" t="s">
        <v>1640</v>
      </c>
      <c r="AZ17" s="2">
        <v>106217.92</v>
      </c>
      <c r="BA17" s="2">
        <v>92940.68</v>
      </c>
      <c r="BB17" s="2">
        <v>92940.68</v>
      </c>
      <c r="BC17" s="2">
        <v>106217.92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56" t="s">
        <v>85</v>
      </c>
      <c r="B18" s="54" t="s">
        <v>85</v>
      </c>
      <c r="C18" s="56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54"/>
      <c r="O18" s="3" t="str">
        <f t="shared" si="1"/>
        <v>A</v>
      </c>
      <c r="P18" s="48">
        <v>236427.90000000002</v>
      </c>
      <c r="Q18" s="48">
        <v>38441.5</v>
      </c>
      <c r="R18" s="32"/>
      <c r="S18" s="3" t="str">
        <f t="shared" si="2"/>
        <v>A</v>
      </c>
      <c r="T18" s="48">
        <v>212379.8</v>
      </c>
      <c r="U18" s="48">
        <v>27724</v>
      </c>
      <c r="V18" s="32"/>
      <c r="W18" s="3" t="str">
        <f t="shared" si="3"/>
        <v>A</v>
      </c>
      <c r="X18" s="48">
        <v>194003</v>
      </c>
      <c r="Y18" s="48">
        <v>27906</v>
      </c>
      <c r="Z18" s="32"/>
      <c r="AA18" s="3" t="str">
        <f t="shared" si="4"/>
        <v>A</v>
      </c>
      <c r="AB18" s="48">
        <v>222211.20000000001</v>
      </c>
      <c r="AC18" s="48">
        <v>30698</v>
      </c>
      <c r="AD18" s="36"/>
      <c r="AE18" s="54"/>
      <c r="AF18" s="3" t="str">
        <f t="shared" si="5"/>
        <v>A</v>
      </c>
      <c r="AG18" s="48">
        <v>0</v>
      </c>
      <c r="AH18" s="48">
        <v>0</v>
      </c>
      <c r="AI18" s="38"/>
      <c r="AJ18" s="79" t="s">
        <v>1801</v>
      </c>
      <c r="AK18" s="38"/>
      <c r="AL18" s="4">
        <f t="shared" si="6"/>
        <v>865021.89999999991</v>
      </c>
      <c r="AM18" s="4">
        <f t="shared" si="6"/>
        <v>124769.5</v>
      </c>
      <c r="AN18" s="4">
        <f t="shared" si="7"/>
        <v>989791.39999999991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48">
        <v>865021.9</v>
      </c>
      <c r="AU18" s="48">
        <v>124769.5</v>
      </c>
      <c r="AV18" s="4">
        <f t="shared" si="10"/>
        <v>989791.4</v>
      </c>
      <c r="AW18" s="50" t="str">
        <f t="shared" si="11"/>
        <v/>
      </c>
      <c r="AX18" s="1" t="s">
        <v>1639</v>
      </c>
      <c r="AY18" s="2" t="s">
        <v>1640</v>
      </c>
      <c r="AZ18" s="2">
        <v>295319.2</v>
      </c>
      <c r="BA18" s="2">
        <v>258404.3</v>
      </c>
      <c r="BB18" s="2">
        <v>258404.3</v>
      </c>
      <c r="BC18" s="2">
        <v>295319.2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56" t="s">
        <v>89</v>
      </c>
      <c r="B19" s="54" t="s">
        <v>89</v>
      </c>
      <c r="C19" s="56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54"/>
      <c r="O19" s="3" t="str">
        <f t="shared" si="1"/>
        <v>A</v>
      </c>
      <c r="P19" s="48">
        <v>201867.40000000002</v>
      </c>
      <c r="Q19" s="48">
        <v>34620</v>
      </c>
      <c r="R19" s="32"/>
      <c r="S19" s="3" t="str">
        <f t="shared" si="2"/>
        <v>A</v>
      </c>
      <c r="T19" s="48">
        <v>176718</v>
      </c>
      <c r="U19" s="48">
        <v>31320</v>
      </c>
      <c r="V19" s="32"/>
      <c r="W19" s="3" t="str">
        <f t="shared" si="3"/>
        <v>A</v>
      </c>
      <c r="X19" s="48">
        <v>161256.4</v>
      </c>
      <c r="Y19" s="48">
        <v>27307</v>
      </c>
      <c r="Z19" s="32"/>
      <c r="AA19" s="3" t="str">
        <f t="shared" si="4"/>
        <v>A</v>
      </c>
      <c r="AB19" s="48">
        <v>186543.4</v>
      </c>
      <c r="AC19" s="48">
        <v>30762</v>
      </c>
      <c r="AD19" s="36"/>
      <c r="AE19" s="54"/>
      <c r="AF19" s="3" t="str">
        <f t="shared" si="5"/>
        <v>A</v>
      </c>
      <c r="AG19" s="48">
        <v>0</v>
      </c>
      <c r="AH19" s="48">
        <v>0</v>
      </c>
      <c r="AI19" s="38"/>
      <c r="AJ19" s="79" t="s">
        <v>1801</v>
      </c>
      <c r="AK19" s="38"/>
      <c r="AL19" s="4">
        <f t="shared" si="6"/>
        <v>726385.20000000007</v>
      </c>
      <c r="AM19" s="4">
        <f t="shared" si="6"/>
        <v>124009</v>
      </c>
      <c r="AN19" s="4">
        <f t="shared" si="7"/>
        <v>850394.20000000007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48">
        <v>726385.20000000019</v>
      </c>
      <c r="AU19" s="48">
        <v>124009</v>
      </c>
      <c r="AV19" s="4">
        <f t="shared" si="10"/>
        <v>850394.20000000019</v>
      </c>
      <c r="AW19" s="50" t="str">
        <f t="shared" si="11"/>
        <v/>
      </c>
      <c r="AX19" s="1" t="s">
        <v>1639</v>
      </c>
      <c r="AY19" s="2" t="s">
        <v>1640</v>
      </c>
      <c r="AZ19" s="2">
        <v>223949.52</v>
      </c>
      <c r="BA19" s="2">
        <v>195955.83</v>
      </c>
      <c r="BB19" s="2">
        <v>195955.83</v>
      </c>
      <c r="BC19" s="2">
        <v>223949.52</v>
      </c>
      <c r="BE19" s="66">
        <v>2.5000000000000001E-2</v>
      </c>
      <c r="BF19" s="66">
        <v>0.02</v>
      </c>
      <c r="BG19" s="63">
        <v>45835</v>
      </c>
      <c r="BL19" s="1" t="s">
        <v>56</v>
      </c>
    </row>
    <row r="20" spans="1:64" s="2" customFormat="1" ht="10.8" x14ac:dyDescent="0.25">
      <c r="A20" s="56" t="s">
        <v>91</v>
      </c>
      <c r="B20" s="54" t="s">
        <v>91</v>
      </c>
      <c r="C20" s="56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54"/>
      <c r="O20" s="3" t="str">
        <f t="shared" si="1"/>
        <v>A</v>
      </c>
      <c r="P20" s="48">
        <v>215223.8</v>
      </c>
      <c r="Q20" s="48">
        <v>54296</v>
      </c>
      <c r="R20" s="32"/>
      <c r="S20" s="3" t="str">
        <f t="shared" si="2"/>
        <v>A</v>
      </c>
      <c r="T20" s="48">
        <v>165682</v>
      </c>
      <c r="U20" s="48">
        <v>45591</v>
      </c>
      <c r="V20" s="32"/>
      <c r="W20" s="3" t="str">
        <f t="shared" si="3"/>
        <v>A</v>
      </c>
      <c r="X20" s="48">
        <v>160602</v>
      </c>
      <c r="Y20" s="48">
        <v>42579</v>
      </c>
      <c r="Z20" s="32"/>
      <c r="AA20" s="3" t="str">
        <f t="shared" si="4"/>
        <v>A</v>
      </c>
      <c r="AB20" s="48">
        <v>183820</v>
      </c>
      <c r="AC20" s="48">
        <v>49595</v>
      </c>
      <c r="AD20" s="36"/>
      <c r="AE20" s="54"/>
      <c r="AF20" s="3" t="str">
        <f t="shared" si="5"/>
        <v>A</v>
      </c>
      <c r="AG20" s="48">
        <v>0</v>
      </c>
      <c r="AH20" s="48">
        <v>0</v>
      </c>
      <c r="AI20" s="38"/>
      <c r="AJ20" s="79" t="s">
        <v>1801</v>
      </c>
      <c r="AK20" s="38"/>
      <c r="AL20" s="4">
        <f t="shared" si="6"/>
        <v>725327.8</v>
      </c>
      <c r="AM20" s="4">
        <f t="shared" si="6"/>
        <v>192061</v>
      </c>
      <c r="AN20" s="4">
        <f t="shared" si="7"/>
        <v>917388.80000000005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48">
        <v>725327.8</v>
      </c>
      <c r="AU20" s="48">
        <v>192061</v>
      </c>
      <c r="AV20" s="4">
        <f t="shared" si="10"/>
        <v>917388.80000000005</v>
      </c>
      <c r="AW20" s="50" t="str">
        <f t="shared" si="11"/>
        <v/>
      </c>
      <c r="AX20" s="1" t="s">
        <v>1639</v>
      </c>
      <c r="AY20" s="2" t="s">
        <v>1640</v>
      </c>
      <c r="AZ20" s="2">
        <v>263500.56</v>
      </c>
      <c r="BA20" s="2">
        <v>230562.99</v>
      </c>
      <c r="BB20" s="2">
        <v>230562.99</v>
      </c>
      <c r="BC20" s="2">
        <v>263500.56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56" t="s">
        <v>91</v>
      </c>
      <c r="B21" s="54" t="s">
        <v>626</v>
      </c>
      <c r="C21" s="56" t="s">
        <v>627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54"/>
      <c r="O21" s="3" t="str">
        <f t="shared" si="1"/>
        <v>A</v>
      </c>
      <c r="P21" s="48">
        <v>161149</v>
      </c>
      <c r="Q21" s="48">
        <v>40900</v>
      </c>
      <c r="R21" s="32"/>
      <c r="S21" s="3" t="str">
        <f t="shared" si="2"/>
        <v>A</v>
      </c>
      <c r="T21" s="48">
        <v>126431</v>
      </c>
      <c r="U21" s="48">
        <v>33891</v>
      </c>
      <c r="V21" s="32"/>
      <c r="W21" s="3" t="str">
        <f t="shared" si="3"/>
        <v>A</v>
      </c>
      <c r="X21" s="48">
        <v>118397</v>
      </c>
      <c r="Y21" s="48">
        <v>30969</v>
      </c>
      <c r="Z21" s="32"/>
      <c r="AA21" s="3" t="str">
        <f t="shared" si="4"/>
        <v>A</v>
      </c>
      <c r="AB21" s="48">
        <v>139201</v>
      </c>
      <c r="AC21" s="48">
        <v>28672</v>
      </c>
      <c r="AD21" s="36"/>
      <c r="AE21" s="54"/>
      <c r="AF21" s="3" t="str">
        <f t="shared" si="5"/>
        <v>A</v>
      </c>
      <c r="AG21" s="48">
        <v>0</v>
      </c>
      <c r="AH21" s="48">
        <v>0</v>
      </c>
      <c r="AI21" s="39"/>
      <c r="AJ21" s="79" t="s">
        <v>1801</v>
      </c>
      <c r="AK21" s="39"/>
      <c r="AL21" s="4">
        <f t="shared" si="6"/>
        <v>545178</v>
      </c>
      <c r="AM21" s="4">
        <f t="shared" si="6"/>
        <v>134432</v>
      </c>
      <c r="AN21" s="4">
        <f t="shared" si="7"/>
        <v>679610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48">
        <v>545178</v>
      </c>
      <c r="AU21" s="48">
        <v>134432</v>
      </c>
      <c r="AV21" s="4">
        <f t="shared" si="10"/>
        <v>679610</v>
      </c>
      <c r="AW21" s="50" t="str">
        <f t="shared" si="11"/>
        <v/>
      </c>
      <c r="AX21" s="1" t="s">
        <v>1639</v>
      </c>
      <c r="AY21" s="2" t="s">
        <v>1640</v>
      </c>
      <c r="AZ21" s="2">
        <v>156292.32</v>
      </c>
      <c r="BA21" s="2">
        <v>136755.78</v>
      </c>
      <c r="BB21" s="2">
        <v>136755.78</v>
      </c>
      <c r="BC21" s="2">
        <v>156292.32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56" t="s">
        <v>91</v>
      </c>
      <c r="B22" s="54" t="s">
        <v>861</v>
      </c>
      <c r="C22" s="56" t="s">
        <v>862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54"/>
      <c r="O22" s="3" t="str">
        <f t="shared" si="1"/>
        <v>E</v>
      </c>
      <c r="P22" s="48">
        <v>19630.48</v>
      </c>
      <c r="Q22" s="48">
        <v>4926.72</v>
      </c>
      <c r="R22" s="32"/>
      <c r="S22" s="3" t="str">
        <f t="shared" si="2"/>
        <v>E</v>
      </c>
      <c r="T22" s="48">
        <v>17176.669999999998</v>
      </c>
      <c r="U22" s="48">
        <v>4310.88</v>
      </c>
      <c r="V22" s="32"/>
      <c r="W22" s="3" t="str">
        <f t="shared" si="3"/>
        <v>E</v>
      </c>
      <c r="X22" s="48">
        <v>17176.669999999998</v>
      </c>
      <c r="Y22" s="48">
        <v>4310.88</v>
      </c>
      <c r="Z22" s="32"/>
      <c r="AA22" s="3" t="str">
        <f t="shared" si="4"/>
        <v>E</v>
      </c>
      <c r="AB22" s="48">
        <v>19630.48</v>
      </c>
      <c r="AC22" s="48">
        <v>4926.72</v>
      </c>
      <c r="AD22" s="36"/>
      <c r="AE22" s="54"/>
      <c r="AF22" s="3" t="str">
        <f t="shared" si="5"/>
        <v>A</v>
      </c>
      <c r="AG22" s="48"/>
      <c r="AH22" s="48"/>
      <c r="AI22" s="39"/>
      <c r="AJ22" s="79" t="s">
        <v>38</v>
      </c>
      <c r="AK22" s="39"/>
      <c r="AL22" s="4">
        <f t="shared" si="6"/>
        <v>0</v>
      </c>
      <c r="AM22" s="4">
        <f t="shared" si="6"/>
        <v>0</v>
      </c>
      <c r="AN22" s="4">
        <f t="shared" si="7"/>
        <v>0</v>
      </c>
      <c r="AO22" s="39"/>
      <c r="AP22" s="8">
        <f t="shared" si="8"/>
        <v>73614.299999999988</v>
      </c>
      <c r="AQ22" s="8">
        <f t="shared" si="8"/>
        <v>18475.2</v>
      </c>
      <c r="AR22" s="8">
        <f t="shared" si="9"/>
        <v>92089.499999999985</v>
      </c>
      <c r="AS22" s="42"/>
      <c r="AT22" s="48"/>
      <c r="AU22" s="48"/>
      <c r="AV22" s="4">
        <f t="shared" si="10"/>
        <v>0</v>
      </c>
      <c r="AW22" s="50" t="str">
        <f t="shared" si="11"/>
        <v/>
      </c>
      <c r="AX22" s="1" t="s">
        <v>1639</v>
      </c>
      <c r="AY22" s="2" t="s">
        <v>1640</v>
      </c>
      <c r="AZ22" s="2">
        <v>19630.48</v>
      </c>
      <c r="BA22" s="2">
        <v>17176.669999999998</v>
      </c>
      <c r="BB22" s="2">
        <v>17176.669999999998</v>
      </c>
      <c r="BC22" s="2">
        <v>19630.48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56" t="s">
        <v>93</v>
      </c>
      <c r="B23" s="54" t="s">
        <v>93</v>
      </c>
      <c r="C23" s="56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54"/>
      <c r="O23" s="3" t="str">
        <f t="shared" si="1"/>
        <v>A</v>
      </c>
      <c r="P23" s="48">
        <v>96812</v>
      </c>
      <c r="Q23" s="48">
        <v>7793</v>
      </c>
      <c r="R23" s="32"/>
      <c r="S23" s="3" t="str">
        <f t="shared" si="2"/>
        <v>A</v>
      </c>
      <c r="T23" s="48">
        <v>85315</v>
      </c>
      <c r="U23" s="48">
        <v>6046</v>
      </c>
      <c r="V23" s="32"/>
      <c r="W23" s="3" t="str">
        <f t="shared" si="3"/>
        <v>A</v>
      </c>
      <c r="X23" s="48">
        <v>79537</v>
      </c>
      <c r="Y23" s="48">
        <v>6452</v>
      </c>
      <c r="Z23" s="32"/>
      <c r="AA23" s="3" t="str">
        <f t="shared" si="4"/>
        <v>A</v>
      </c>
      <c r="AB23" s="48">
        <v>100246</v>
      </c>
      <c r="AC23" s="48">
        <v>6943</v>
      </c>
      <c r="AD23" s="36"/>
      <c r="AE23" s="54"/>
      <c r="AF23" s="3" t="str">
        <f t="shared" si="5"/>
        <v>A</v>
      </c>
      <c r="AG23" s="48">
        <v>0</v>
      </c>
      <c r="AH23" s="48">
        <v>0</v>
      </c>
      <c r="AI23" s="38"/>
      <c r="AJ23" s="79" t="s">
        <v>1801</v>
      </c>
      <c r="AK23" s="38"/>
      <c r="AL23" s="4">
        <f t="shared" si="6"/>
        <v>361910</v>
      </c>
      <c r="AM23" s="4">
        <f t="shared" si="6"/>
        <v>27234</v>
      </c>
      <c r="AN23" s="4">
        <f t="shared" si="7"/>
        <v>389144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48">
        <v>361910</v>
      </c>
      <c r="AU23" s="48">
        <v>27234</v>
      </c>
      <c r="AV23" s="4">
        <f t="shared" si="10"/>
        <v>389144</v>
      </c>
      <c r="AW23" s="50" t="str">
        <f t="shared" si="11"/>
        <v/>
      </c>
      <c r="AX23" s="1" t="s">
        <v>1643</v>
      </c>
      <c r="AY23" s="2" t="s">
        <v>1644</v>
      </c>
      <c r="AZ23" s="2">
        <v>164483.6</v>
      </c>
      <c r="BA23" s="2">
        <v>143923.15</v>
      </c>
      <c r="BB23" s="2">
        <v>143923.15</v>
      </c>
      <c r="BC23" s="2">
        <v>164483.6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56" t="s">
        <v>93</v>
      </c>
      <c r="B24" s="54" t="s">
        <v>628</v>
      </c>
      <c r="C24" s="56" t="s">
        <v>629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54"/>
      <c r="O24" s="3" t="str">
        <f t="shared" si="1"/>
        <v>A</v>
      </c>
      <c r="P24" s="48">
        <v>125560</v>
      </c>
      <c r="Q24" s="48">
        <v>10609</v>
      </c>
      <c r="R24" s="32"/>
      <c r="S24" s="3" t="str">
        <f t="shared" si="2"/>
        <v>A</v>
      </c>
      <c r="T24" s="48">
        <v>126633</v>
      </c>
      <c r="U24" s="48">
        <v>12473</v>
      </c>
      <c r="V24" s="32"/>
      <c r="W24" s="3" t="str">
        <f t="shared" si="3"/>
        <v>A</v>
      </c>
      <c r="X24" s="48">
        <v>119951</v>
      </c>
      <c r="Y24" s="48">
        <v>9243</v>
      </c>
      <c r="Z24" s="32"/>
      <c r="AA24" s="3" t="str">
        <f t="shared" si="4"/>
        <v>A</v>
      </c>
      <c r="AB24" s="48">
        <v>137718</v>
      </c>
      <c r="AC24" s="48">
        <v>11364</v>
      </c>
      <c r="AD24" s="36"/>
      <c r="AE24" s="54"/>
      <c r="AF24" s="3" t="str">
        <f t="shared" si="5"/>
        <v>A</v>
      </c>
      <c r="AG24" s="48">
        <v>0</v>
      </c>
      <c r="AH24" s="48">
        <v>0</v>
      </c>
      <c r="AI24" s="39"/>
      <c r="AJ24" s="79" t="s">
        <v>1801</v>
      </c>
      <c r="AK24" s="39"/>
      <c r="AL24" s="4">
        <f t="shared" ref="AL24:AM87" si="12">IF($O24="A",P24,0)+IF($S24="A",T24,0)+IF($W24="A",X24,0)+IF($AA24="A",AB24,0)+IF($AF24="A",AG24,0)</f>
        <v>509862</v>
      </c>
      <c r="AM24" s="4">
        <f t="shared" si="12"/>
        <v>43689</v>
      </c>
      <c r="AN24" s="4">
        <f t="shared" si="7"/>
        <v>553551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48">
        <v>509862</v>
      </c>
      <c r="AU24" s="48">
        <v>43689</v>
      </c>
      <c r="AV24" s="4">
        <f t="shared" si="10"/>
        <v>553551</v>
      </c>
      <c r="AW24" s="50" t="str">
        <f t="shared" si="11"/>
        <v/>
      </c>
      <c r="AX24" s="1" t="s">
        <v>1643</v>
      </c>
      <c r="AY24" s="2" t="s">
        <v>1644</v>
      </c>
      <c r="AZ24" s="2">
        <v>120648.88</v>
      </c>
      <c r="BA24" s="2">
        <v>105567.77</v>
      </c>
      <c r="BB24" s="2">
        <v>105567.77</v>
      </c>
      <c r="BC24" s="2">
        <v>120648.88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56" t="s">
        <v>100</v>
      </c>
      <c r="B25" s="54" t="s">
        <v>100</v>
      </c>
      <c r="C25" s="56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54"/>
      <c r="O25" s="3" t="str">
        <f t="shared" si="1"/>
        <v>A</v>
      </c>
      <c r="P25" s="48">
        <v>201281</v>
      </c>
      <c r="Q25" s="48">
        <v>39707</v>
      </c>
      <c r="R25" s="32"/>
      <c r="S25" s="3" t="str">
        <f t="shared" si="2"/>
        <v>A</v>
      </c>
      <c r="T25" s="48">
        <v>172120</v>
      </c>
      <c r="U25" s="48">
        <v>38770</v>
      </c>
      <c r="V25" s="32"/>
      <c r="W25" s="3" t="str">
        <f t="shared" si="3"/>
        <v>A</v>
      </c>
      <c r="X25" s="48">
        <v>155664</v>
      </c>
      <c r="Y25" s="48">
        <v>28872</v>
      </c>
      <c r="Z25" s="32"/>
      <c r="AA25" s="3" t="str">
        <f t="shared" si="4"/>
        <v>A</v>
      </c>
      <c r="AB25" s="48">
        <v>167849</v>
      </c>
      <c r="AC25" s="48">
        <v>29231</v>
      </c>
      <c r="AD25" s="36"/>
      <c r="AE25" s="54"/>
      <c r="AF25" s="3" t="str">
        <f t="shared" si="5"/>
        <v>A</v>
      </c>
      <c r="AG25" s="48">
        <v>0</v>
      </c>
      <c r="AH25" s="48">
        <v>0</v>
      </c>
      <c r="AI25" s="38"/>
      <c r="AJ25" s="79" t="s">
        <v>1801</v>
      </c>
      <c r="AK25" s="38"/>
      <c r="AL25" s="4">
        <f t="shared" si="12"/>
        <v>696914</v>
      </c>
      <c r="AM25" s="4">
        <f t="shared" si="12"/>
        <v>136580</v>
      </c>
      <c r="AN25" s="4">
        <f t="shared" si="7"/>
        <v>833494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48">
        <v>696914</v>
      </c>
      <c r="AU25" s="48">
        <v>136580</v>
      </c>
      <c r="AV25" s="4">
        <f t="shared" si="10"/>
        <v>833494</v>
      </c>
      <c r="AW25" s="50" t="str">
        <f t="shared" si="11"/>
        <v/>
      </c>
      <c r="AX25" s="1" t="s">
        <v>1645</v>
      </c>
      <c r="AY25" s="2" t="s">
        <v>1646</v>
      </c>
      <c r="AZ25" s="2">
        <v>169749.6</v>
      </c>
      <c r="BA25" s="2">
        <v>148530.9</v>
      </c>
      <c r="BB25" s="2">
        <v>148530.9</v>
      </c>
      <c r="BC25" s="2">
        <v>169749.6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56" t="s">
        <v>100</v>
      </c>
      <c r="B26" s="54" t="s">
        <v>630</v>
      </c>
      <c r="C26" s="56" t="s">
        <v>631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54"/>
      <c r="O26" s="3" t="str">
        <f t="shared" si="1"/>
        <v>A</v>
      </c>
      <c r="P26" s="48">
        <v>117211</v>
      </c>
      <c r="Q26" s="48">
        <v>24012</v>
      </c>
      <c r="R26" s="32"/>
      <c r="S26" s="3" t="str">
        <f t="shared" si="2"/>
        <v>A</v>
      </c>
      <c r="T26" s="48">
        <v>101324</v>
      </c>
      <c r="U26" s="48">
        <v>20390</v>
      </c>
      <c r="V26" s="32"/>
      <c r="W26" s="3" t="str">
        <f t="shared" si="3"/>
        <v>A</v>
      </c>
      <c r="X26" s="48">
        <v>88234</v>
      </c>
      <c r="Y26" s="48">
        <v>15160</v>
      </c>
      <c r="Z26" s="32"/>
      <c r="AA26" s="3" t="str">
        <f t="shared" si="4"/>
        <v>A</v>
      </c>
      <c r="AB26" s="48">
        <v>99223</v>
      </c>
      <c r="AC26" s="48">
        <v>16620</v>
      </c>
      <c r="AD26" s="36"/>
      <c r="AE26" s="54"/>
      <c r="AF26" s="3" t="str">
        <f t="shared" si="5"/>
        <v>A</v>
      </c>
      <c r="AG26" s="48">
        <v>0</v>
      </c>
      <c r="AH26" s="48">
        <v>0</v>
      </c>
      <c r="AI26" s="39"/>
      <c r="AJ26" s="79" t="s">
        <v>1801</v>
      </c>
      <c r="AK26" s="39"/>
      <c r="AL26" s="4">
        <f t="shared" si="12"/>
        <v>405992</v>
      </c>
      <c r="AM26" s="4">
        <f t="shared" si="12"/>
        <v>76182</v>
      </c>
      <c r="AN26" s="4">
        <f t="shared" si="7"/>
        <v>482174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48">
        <v>405992</v>
      </c>
      <c r="AU26" s="48">
        <v>76182</v>
      </c>
      <c r="AV26" s="4">
        <f t="shared" si="10"/>
        <v>482174</v>
      </c>
      <c r="AW26" s="50" t="str">
        <f t="shared" si="11"/>
        <v/>
      </c>
      <c r="AX26" s="1" t="s">
        <v>1645</v>
      </c>
      <c r="AY26" s="2" t="s">
        <v>1646</v>
      </c>
      <c r="AZ26" s="2">
        <v>131743.67999999999</v>
      </c>
      <c r="BA26" s="2">
        <v>115275.72</v>
      </c>
      <c r="BB26" s="2">
        <v>115275.72</v>
      </c>
      <c r="BC26" s="2">
        <v>131743.67999999999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56" t="s">
        <v>100</v>
      </c>
      <c r="B27" s="54" t="s">
        <v>1503</v>
      </c>
      <c r="C27" s="56" t="s">
        <v>1504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54"/>
      <c r="O27" s="3" t="str">
        <f>IF($A27="","",IF(P27=AZ27,"E","A"))</f>
        <v>A</v>
      </c>
      <c r="P27" s="48">
        <v>237590</v>
      </c>
      <c r="Q27" s="48">
        <v>25635</v>
      </c>
      <c r="R27" s="32"/>
      <c r="S27" s="3" t="str">
        <f>IF($A27="","",IF(T27=BA27,"E","A"))</f>
        <v>A</v>
      </c>
      <c r="T27" s="48">
        <v>205538</v>
      </c>
      <c r="U27" s="48">
        <v>20658</v>
      </c>
      <c r="V27" s="32"/>
      <c r="W27" s="3" t="str">
        <f t="shared" si="3"/>
        <v>A</v>
      </c>
      <c r="X27" s="48">
        <v>190976</v>
      </c>
      <c r="Y27" s="48">
        <v>17383</v>
      </c>
      <c r="Z27" s="32"/>
      <c r="AA27" s="3" t="str">
        <f t="shared" si="4"/>
        <v>A</v>
      </c>
      <c r="AB27" s="48">
        <v>207822</v>
      </c>
      <c r="AC27" s="48">
        <v>18331</v>
      </c>
      <c r="AD27" s="36"/>
      <c r="AE27" s="54"/>
      <c r="AF27" s="3" t="str">
        <f t="shared" si="5"/>
        <v>A</v>
      </c>
      <c r="AG27" s="48">
        <v>0</v>
      </c>
      <c r="AH27" s="48">
        <v>0</v>
      </c>
      <c r="AI27" s="39"/>
      <c r="AJ27" s="79" t="s">
        <v>1801</v>
      </c>
      <c r="AK27" s="39"/>
      <c r="AL27" s="4">
        <f t="shared" si="12"/>
        <v>841926</v>
      </c>
      <c r="AM27" s="4">
        <f t="shared" si="12"/>
        <v>82007</v>
      </c>
      <c r="AN27" s="4">
        <f t="shared" si="7"/>
        <v>923933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48">
        <v>841926</v>
      </c>
      <c r="AU27" s="48">
        <v>82007</v>
      </c>
      <c r="AV27" s="4">
        <f t="shared" si="10"/>
        <v>923933</v>
      </c>
      <c r="AW27" s="50" t="str">
        <f t="shared" si="11"/>
        <v/>
      </c>
      <c r="AX27" s="1" t="s">
        <v>1645</v>
      </c>
      <c r="AY27" s="2" t="s">
        <v>1646</v>
      </c>
      <c r="AZ27" s="2">
        <v>93029.440000000002</v>
      </c>
      <c r="BA27" s="2">
        <v>81400.759999999995</v>
      </c>
      <c r="BB27" s="2">
        <v>81400.759999999995</v>
      </c>
      <c r="BC27" s="2">
        <v>93029.440000000002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56" t="s">
        <v>107</v>
      </c>
      <c r="B28" s="54" t="s">
        <v>107</v>
      </c>
      <c r="C28" s="56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54"/>
      <c r="O28" s="3" t="str">
        <f>IF($A28="","",IF(P28=0,"A",IF(P28=AZ28,"E","A")))</f>
        <v>A</v>
      </c>
      <c r="P28" s="48">
        <v>239966.75</v>
      </c>
      <c r="Q28" s="48">
        <v>40141</v>
      </c>
      <c r="R28" s="32"/>
      <c r="S28" s="3" t="str">
        <f>IF($A28="","",IF(T28=0,"A",IF(T28=BA28,"E","A")))</f>
        <v>A</v>
      </c>
      <c r="T28" s="48">
        <v>217439.56</v>
      </c>
      <c r="U28" s="48">
        <v>44480.479999999996</v>
      </c>
      <c r="V28" s="32"/>
      <c r="W28" s="3" t="str">
        <f t="shared" si="3"/>
        <v>A</v>
      </c>
      <c r="X28" s="48">
        <v>212016.25999999998</v>
      </c>
      <c r="Y28" s="48">
        <v>35933</v>
      </c>
      <c r="Z28" s="32"/>
      <c r="AA28" s="3" t="str">
        <f t="shared" si="4"/>
        <v>A</v>
      </c>
      <c r="AB28" s="48">
        <v>206993.22999999998</v>
      </c>
      <c r="AC28" s="48">
        <v>34478.129999999997</v>
      </c>
      <c r="AD28" s="36"/>
      <c r="AE28" s="54"/>
      <c r="AF28" s="3" t="str">
        <f t="shared" si="5"/>
        <v>A</v>
      </c>
      <c r="AG28" s="48">
        <v>0</v>
      </c>
      <c r="AH28" s="48">
        <v>0</v>
      </c>
      <c r="AI28" s="38"/>
      <c r="AJ28" s="79" t="s">
        <v>1801</v>
      </c>
      <c r="AK28" s="38"/>
      <c r="AL28" s="4">
        <f t="shared" si="12"/>
        <v>876415.79999999993</v>
      </c>
      <c r="AM28" s="4">
        <f t="shared" si="12"/>
        <v>155032.60999999999</v>
      </c>
      <c r="AN28" s="4">
        <f t="shared" si="7"/>
        <v>1031448.4099999999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48">
        <v>876415.8</v>
      </c>
      <c r="AU28" s="48">
        <v>155032.60999999999</v>
      </c>
      <c r="AV28" s="4">
        <f t="shared" si="10"/>
        <v>1031448.41</v>
      </c>
      <c r="AW28" s="50" t="str">
        <f t="shared" si="11"/>
        <v/>
      </c>
      <c r="AX28" s="1" t="s">
        <v>1647</v>
      </c>
      <c r="AY28" s="2" t="s">
        <v>1640</v>
      </c>
      <c r="AZ28" s="2">
        <v>184507.12</v>
      </c>
      <c r="BA28" s="2">
        <v>161443.73000000001</v>
      </c>
      <c r="BB28" s="2">
        <v>161443.73000000001</v>
      </c>
      <c r="BC28" s="2">
        <v>184507.12</v>
      </c>
      <c r="BE28" s="66">
        <v>2.5000000000000001E-2</v>
      </c>
      <c r="BF28" s="66">
        <v>0.02</v>
      </c>
      <c r="BG28" s="63">
        <v>45835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56" t="s">
        <v>114</v>
      </c>
      <c r="B29" s="54" t="s">
        <v>114</v>
      </c>
      <c r="C29" s="56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54"/>
      <c r="O29" s="3" t="str">
        <f>IF($A29="","",IF(P29=0,"A",IF(P29=AZ29,"E","A")))</f>
        <v>A</v>
      </c>
      <c r="P29" s="48">
        <v>98972</v>
      </c>
      <c r="Q29" s="48">
        <v>5375</v>
      </c>
      <c r="R29" s="32"/>
      <c r="S29" s="3" t="str">
        <f>IF($A29="","",IF(T29=0,"A",IF(T29=BA29,"E","A")))</f>
        <v>A</v>
      </c>
      <c r="T29" s="48">
        <v>83001</v>
      </c>
      <c r="U29" s="48">
        <v>5613</v>
      </c>
      <c r="V29" s="32"/>
      <c r="W29" s="3" t="str">
        <f t="shared" si="3"/>
        <v>A</v>
      </c>
      <c r="X29" s="48">
        <v>79627</v>
      </c>
      <c r="Y29" s="48">
        <v>5601</v>
      </c>
      <c r="Z29" s="32"/>
      <c r="AA29" s="3" t="str">
        <f t="shared" si="4"/>
        <v>A</v>
      </c>
      <c r="AB29" s="48">
        <v>84084</v>
      </c>
      <c r="AC29" s="48">
        <v>5418</v>
      </c>
      <c r="AD29" s="36"/>
      <c r="AE29" s="54"/>
      <c r="AF29" s="3" t="str">
        <f t="shared" si="5"/>
        <v>A</v>
      </c>
      <c r="AG29" s="48">
        <v>0</v>
      </c>
      <c r="AH29" s="48">
        <v>0</v>
      </c>
      <c r="AI29" s="38"/>
      <c r="AJ29" s="79" t="s">
        <v>1801</v>
      </c>
      <c r="AK29" s="38"/>
      <c r="AL29" s="4">
        <f t="shared" si="12"/>
        <v>345684</v>
      </c>
      <c r="AM29" s="4">
        <f t="shared" si="12"/>
        <v>22007</v>
      </c>
      <c r="AN29" s="4">
        <f t="shared" si="7"/>
        <v>367691</v>
      </c>
      <c r="AO29" s="38"/>
      <c r="AP29" s="8">
        <f t="shared" si="13"/>
        <v>0</v>
      </c>
      <c r="AQ29" s="8">
        <f t="shared" si="13"/>
        <v>0</v>
      </c>
      <c r="AR29" s="8">
        <f t="shared" si="9"/>
        <v>0</v>
      </c>
      <c r="AS29" s="42"/>
      <c r="AT29" s="48">
        <v>345684</v>
      </c>
      <c r="AU29" s="48">
        <v>22007</v>
      </c>
      <c r="AV29" s="4">
        <f t="shared" si="10"/>
        <v>367691</v>
      </c>
      <c r="AW29" s="50" t="str">
        <f t="shared" si="11"/>
        <v/>
      </c>
      <c r="AX29" s="1" t="s">
        <v>1648</v>
      </c>
      <c r="AY29" s="2" t="s">
        <v>1649</v>
      </c>
      <c r="AZ29" s="2">
        <v>112136.88</v>
      </c>
      <c r="BA29" s="2">
        <v>98119.77</v>
      </c>
      <c r="BB29" s="2">
        <v>98119.77</v>
      </c>
      <c r="BC29" s="2">
        <v>112136.88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56" t="s">
        <v>114</v>
      </c>
      <c r="B30" s="54" t="s">
        <v>632</v>
      </c>
      <c r="C30" s="56" t="s">
        <v>633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54"/>
      <c r="O30" s="3" t="str">
        <f>IF($A30="","",IF(P30=0,"A",IF(P30=AZ30,"E","A")))</f>
        <v>A</v>
      </c>
      <c r="P30" s="48">
        <v>15364</v>
      </c>
      <c r="Q30" s="48">
        <v>1830</v>
      </c>
      <c r="R30" s="32"/>
      <c r="S30" s="3" t="str">
        <f>IF($A30="","",IF(T30=0,"A",IF(T30=BA30,"E","A")))</f>
        <v>A</v>
      </c>
      <c r="T30" s="48">
        <v>22795</v>
      </c>
      <c r="U30" s="48">
        <v>2375</v>
      </c>
      <c r="V30" s="32"/>
      <c r="W30" s="3" t="str">
        <f t="shared" si="3"/>
        <v>A</v>
      </c>
      <c r="X30" s="48">
        <v>21553</v>
      </c>
      <c r="Y30" s="48">
        <v>2485</v>
      </c>
      <c r="Z30" s="32"/>
      <c r="AA30" s="3" t="str">
        <f t="shared" si="4"/>
        <v>A</v>
      </c>
      <c r="AB30" s="48">
        <v>25293</v>
      </c>
      <c r="AC30" s="48">
        <v>2120</v>
      </c>
      <c r="AD30" s="36"/>
      <c r="AE30" s="54"/>
      <c r="AF30" s="3" t="str">
        <f t="shared" si="5"/>
        <v>A</v>
      </c>
      <c r="AG30" s="48">
        <v>0</v>
      </c>
      <c r="AH30" s="48">
        <v>0</v>
      </c>
      <c r="AI30" s="39"/>
      <c r="AJ30" s="79" t="s">
        <v>1801</v>
      </c>
      <c r="AK30" s="39"/>
      <c r="AL30" s="4">
        <f t="shared" si="12"/>
        <v>85005</v>
      </c>
      <c r="AM30" s="4">
        <f t="shared" si="12"/>
        <v>8810</v>
      </c>
      <c r="AN30" s="4">
        <f t="shared" si="7"/>
        <v>93815</v>
      </c>
      <c r="AO30" s="39"/>
      <c r="AP30" s="8">
        <f t="shared" si="13"/>
        <v>0</v>
      </c>
      <c r="AQ30" s="8">
        <f t="shared" si="13"/>
        <v>0</v>
      </c>
      <c r="AR30" s="8">
        <f t="shared" si="9"/>
        <v>0</v>
      </c>
      <c r="AS30" s="42"/>
      <c r="AT30" s="48">
        <v>85005</v>
      </c>
      <c r="AU30" s="48">
        <v>8810</v>
      </c>
      <c r="AV30" s="4">
        <f t="shared" si="10"/>
        <v>93815</v>
      </c>
      <c r="AW30" s="50" t="str">
        <f t="shared" si="11"/>
        <v/>
      </c>
      <c r="AX30" s="1" t="s">
        <v>1648</v>
      </c>
      <c r="AY30" s="2" t="s">
        <v>1649</v>
      </c>
      <c r="AZ30" s="2">
        <v>27775.119999999999</v>
      </c>
      <c r="BA30" s="2">
        <v>24303.23</v>
      </c>
      <c r="BB30" s="2">
        <v>24303.23</v>
      </c>
      <c r="BC30" s="2">
        <v>27775.119999999999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56" t="s">
        <v>114</v>
      </c>
      <c r="B31" s="54" t="s">
        <v>1037</v>
      </c>
      <c r="C31" s="56" t="s">
        <v>1038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54"/>
      <c r="O31" s="3" t="str">
        <f>IF($A31="","",IF(P31=0,"A",IF(P31=AZ31,"E","A")))</f>
        <v>A</v>
      </c>
      <c r="P31" s="48">
        <v>126146</v>
      </c>
      <c r="Q31" s="48">
        <v>3800</v>
      </c>
      <c r="R31" s="32"/>
      <c r="S31" s="3" t="str">
        <f>IF($A31="","",IF(T31=0,"A",IF(T31=BA31,"E","A")))</f>
        <v>A</v>
      </c>
      <c r="T31" s="48">
        <v>105293</v>
      </c>
      <c r="U31" s="48">
        <v>2395</v>
      </c>
      <c r="V31" s="32"/>
      <c r="W31" s="3" t="str">
        <f t="shared" si="3"/>
        <v>A</v>
      </c>
      <c r="X31" s="48">
        <v>103125</v>
      </c>
      <c r="Y31" s="48">
        <v>2275</v>
      </c>
      <c r="Z31" s="32"/>
      <c r="AA31" s="3" t="str">
        <f t="shared" si="4"/>
        <v>A</v>
      </c>
      <c r="AB31" s="48">
        <v>122046</v>
      </c>
      <c r="AC31" s="48">
        <v>3580</v>
      </c>
      <c r="AD31" s="36"/>
      <c r="AE31" s="54"/>
      <c r="AF31" s="3" t="str">
        <f t="shared" si="5"/>
        <v>A</v>
      </c>
      <c r="AG31" s="48">
        <v>0</v>
      </c>
      <c r="AH31" s="48">
        <v>0</v>
      </c>
      <c r="AI31" s="39"/>
      <c r="AJ31" s="79" t="s">
        <v>1801</v>
      </c>
      <c r="AK31" s="39"/>
      <c r="AL31" s="4">
        <f t="shared" si="12"/>
        <v>456610</v>
      </c>
      <c r="AM31" s="4">
        <f t="shared" si="12"/>
        <v>12050</v>
      </c>
      <c r="AN31" s="4">
        <f t="shared" si="7"/>
        <v>468660</v>
      </c>
      <c r="AO31" s="39"/>
      <c r="AP31" s="8">
        <f t="shared" si="13"/>
        <v>0</v>
      </c>
      <c r="AQ31" s="8">
        <f t="shared" si="13"/>
        <v>0</v>
      </c>
      <c r="AR31" s="8">
        <f t="shared" si="9"/>
        <v>0</v>
      </c>
      <c r="AS31" s="42"/>
      <c r="AT31" s="48">
        <v>456610</v>
      </c>
      <c r="AU31" s="48">
        <v>12050</v>
      </c>
      <c r="AV31" s="4">
        <f t="shared" si="10"/>
        <v>468660</v>
      </c>
      <c r="AW31" s="50" t="str">
        <f t="shared" si="11"/>
        <v/>
      </c>
      <c r="AX31" s="1" t="s">
        <v>1648</v>
      </c>
      <c r="AY31" s="2" t="s">
        <v>1649</v>
      </c>
      <c r="AZ31" s="2">
        <v>40546.959999999999</v>
      </c>
      <c r="BA31" s="2">
        <v>35478.589999999997</v>
      </c>
      <c r="BB31" s="2">
        <v>35478.589999999997</v>
      </c>
      <c r="BC31" s="2">
        <v>40546.959999999999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56" t="s">
        <v>114</v>
      </c>
      <c r="B32" s="54" t="s">
        <v>1152</v>
      </c>
      <c r="C32" s="56" t="s">
        <v>1153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54"/>
      <c r="O32" s="3" t="str">
        <f>IF($A32="","",IF(P32=0,"A",IF(P32=AZ32,"E","A")))</f>
        <v>A</v>
      </c>
      <c r="P32" s="48">
        <v>118917</v>
      </c>
      <c r="Q32" s="48">
        <v>4295</v>
      </c>
      <c r="R32" s="32"/>
      <c r="S32" s="3" t="str">
        <f>IF($A32="","",IF(T32=0,"A",IF(T32=BA32,"E","A")))</f>
        <v>A</v>
      </c>
      <c r="T32" s="48">
        <v>99562</v>
      </c>
      <c r="U32" s="48">
        <v>4505</v>
      </c>
      <c r="V32" s="32"/>
      <c r="W32" s="3" t="str">
        <f t="shared" si="3"/>
        <v>A</v>
      </c>
      <c r="X32" s="48">
        <v>92912</v>
      </c>
      <c r="Y32" s="48">
        <v>2360</v>
      </c>
      <c r="Z32" s="32"/>
      <c r="AA32" s="3" t="str">
        <f t="shared" si="4"/>
        <v>A</v>
      </c>
      <c r="AB32" s="48">
        <v>105465</v>
      </c>
      <c r="AC32" s="48">
        <v>3585</v>
      </c>
      <c r="AD32" s="36"/>
      <c r="AE32" s="54"/>
      <c r="AF32" s="3" t="str">
        <f t="shared" si="5"/>
        <v>A</v>
      </c>
      <c r="AG32" s="48">
        <v>0</v>
      </c>
      <c r="AH32" s="48">
        <v>0</v>
      </c>
      <c r="AI32" s="39"/>
      <c r="AJ32" s="79" t="s">
        <v>1801</v>
      </c>
      <c r="AK32" s="39"/>
      <c r="AL32" s="4">
        <f t="shared" si="12"/>
        <v>416856</v>
      </c>
      <c r="AM32" s="4">
        <f t="shared" si="12"/>
        <v>14745</v>
      </c>
      <c r="AN32" s="4">
        <f t="shared" si="7"/>
        <v>431601</v>
      </c>
      <c r="AO32" s="39"/>
      <c r="AP32" s="8">
        <f t="shared" si="13"/>
        <v>0</v>
      </c>
      <c r="AQ32" s="8">
        <f t="shared" si="13"/>
        <v>0</v>
      </c>
      <c r="AR32" s="8">
        <f t="shared" si="9"/>
        <v>0</v>
      </c>
      <c r="AS32" s="42"/>
      <c r="AT32" s="48">
        <v>416856</v>
      </c>
      <c r="AU32" s="48">
        <v>14745</v>
      </c>
      <c r="AV32" s="4">
        <f t="shared" si="10"/>
        <v>431601</v>
      </c>
      <c r="AW32" s="50" t="str">
        <f t="shared" si="11"/>
        <v/>
      </c>
      <c r="AX32" s="1" t="s">
        <v>1648</v>
      </c>
      <c r="AY32" s="2" t="s">
        <v>1649</v>
      </c>
      <c r="AZ32" s="2">
        <v>61859.360000000001</v>
      </c>
      <c r="BA32" s="2">
        <v>54126.94</v>
      </c>
      <c r="BB32" s="2">
        <v>54126.94</v>
      </c>
      <c r="BC32" s="2">
        <v>61859.360000000001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56" t="s">
        <v>114</v>
      </c>
      <c r="B33" s="54" t="s">
        <v>1600</v>
      </c>
      <c r="C33" s="56" t="s">
        <v>1601</v>
      </c>
      <c r="D33" s="16">
        <v>45813</v>
      </c>
      <c r="E33" s="17"/>
      <c r="F33" s="2" t="s">
        <v>116</v>
      </c>
      <c r="G33" s="2" t="s">
        <v>117</v>
      </c>
      <c r="H33" s="10" t="s">
        <v>98</v>
      </c>
      <c r="I33" s="11" t="s">
        <v>53</v>
      </c>
      <c r="J33" s="11" t="s">
        <v>118</v>
      </c>
      <c r="K33" s="61"/>
      <c r="L33" s="11" t="s">
        <v>67</v>
      </c>
      <c r="M33" s="25"/>
      <c r="N33" s="54"/>
      <c r="O33" s="3" t="str">
        <f>IF($A33="","",IF(P33=AZ33,"E","A"))</f>
        <v>A</v>
      </c>
      <c r="P33" s="48">
        <v>85990</v>
      </c>
      <c r="Q33" s="48">
        <v>855</v>
      </c>
      <c r="R33" s="32"/>
      <c r="S33" s="3" t="str">
        <f>IF($A33="","",IF(T33=BA33,"E","A"))</f>
        <v>A</v>
      </c>
      <c r="T33" s="48">
        <v>69240</v>
      </c>
      <c r="U33" s="48">
        <v>415</v>
      </c>
      <c r="V33" s="32"/>
      <c r="W33" s="3" t="str">
        <f t="shared" si="3"/>
        <v>A</v>
      </c>
      <c r="X33" s="48">
        <v>74644</v>
      </c>
      <c r="Y33" s="48">
        <v>880</v>
      </c>
      <c r="Z33" s="32"/>
      <c r="AA33" s="3" t="str">
        <f t="shared" si="4"/>
        <v>A</v>
      </c>
      <c r="AB33" s="48">
        <v>90703</v>
      </c>
      <c r="AC33" s="48">
        <v>1170</v>
      </c>
      <c r="AD33" s="36"/>
      <c r="AE33" s="54"/>
      <c r="AF33" s="3" t="str">
        <f t="shared" si="5"/>
        <v>A</v>
      </c>
      <c r="AG33" s="48">
        <v>0</v>
      </c>
      <c r="AH33" s="48">
        <v>0</v>
      </c>
      <c r="AI33" s="39"/>
      <c r="AJ33" s="79" t="s">
        <v>1801</v>
      </c>
      <c r="AK33" s="39"/>
      <c r="AL33" s="4">
        <f t="shared" si="12"/>
        <v>320577</v>
      </c>
      <c r="AM33" s="4">
        <f t="shared" si="12"/>
        <v>3320</v>
      </c>
      <c r="AN33" s="4">
        <f t="shared" si="7"/>
        <v>323897</v>
      </c>
      <c r="AO33" s="39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48">
        <v>320577</v>
      </c>
      <c r="AU33" s="48">
        <v>3320</v>
      </c>
      <c r="AV33" s="4">
        <f t="shared" si="10"/>
        <v>323897</v>
      </c>
      <c r="AW33" s="50" t="str">
        <f t="shared" si="11"/>
        <v/>
      </c>
      <c r="AX33" s="1" t="s">
        <v>1648</v>
      </c>
      <c r="AY33" s="2" t="s">
        <v>1649</v>
      </c>
      <c r="AZ33" s="2">
        <v>53396.24</v>
      </c>
      <c r="BA33" s="2">
        <v>46721.71</v>
      </c>
      <c r="BB33" s="2">
        <v>46721.71</v>
      </c>
      <c r="BC33" s="2">
        <v>53396.24</v>
      </c>
      <c r="BE33" s="66">
        <v>0</v>
      </c>
      <c r="BF33" s="66">
        <v>0.05</v>
      </c>
      <c r="BG33" s="63">
        <v>45805</v>
      </c>
      <c r="BJ33" s="2">
        <v>206250</v>
      </c>
      <c r="BK33" s="2">
        <v>8250</v>
      </c>
      <c r="BL33" s="1" t="s">
        <v>97</v>
      </c>
    </row>
    <row r="34" spans="1:64" s="2" customFormat="1" ht="10.8" x14ac:dyDescent="0.25">
      <c r="A34" s="56" t="s">
        <v>119</v>
      </c>
      <c r="B34" s="54" t="s">
        <v>119</v>
      </c>
      <c r="C34" s="56" t="s">
        <v>120</v>
      </c>
      <c r="D34" s="16">
        <v>36584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54"/>
      <c r="O34" s="3" t="str">
        <f t="shared" ref="O34:O52" si="14">IF($A34="","",IF(P34=0,"A",IF(P34=AZ34,"E","A")))</f>
        <v>A</v>
      </c>
      <c r="P34" s="48">
        <v>64547</v>
      </c>
      <c r="Q34" s="48">
        <v>19556</v>
      </c>
      <c r="R34" s="32"/>
      <c r="S34" s="3" t="str">
        <f t="shared" ref="S34:S52" si="15">IF($A34="","",IF(T34=0,"A",IF(T34=BA34,"E","A")))</f>
        <v>A</v>
      </c>
      <c r="T34" s="48">
        <v>59527.700000000004</v>
      </c>
      <c r="U34" s="48">
        <v>17947</v>
      </c>
      <c r="V34" s="32"/>
      <c r="W34" s="3" t="str">
        <f t="shared" si="3"/>
        <v>A</v>
      </c>
      <c r="X34" s="48">
        <v>61014.2</v>
      </c>
      <c r="Y34" s="48">
        <v>18599</v>
      </c>
      <c r="Z34" s="32"/>
      <c r="AA34" s="3" t="str">
        <f t="shared" si="4"/>
        <v>A</v>
      </c>
      <c r="AB34" s="48">
        <v>64358.400000000001</v>
      </c>
      <c r="AC34" s="48">
        <v>15043</v>
      </c>
      <c r="AD34" s="36"/>
      <c r="AE34" s="54"/>
      <c r="AF34" s="3" t="str">
        <f t="shared" si="5"/>
        <v>A</v>
      </c>
      <c r="AG34" s="48">
        <v>0</v>
      </c>
      <c r="AH34" s="48">
        <v>0</v>
      </c>
      <c r="AI34" s="38"/>
      <c r="AJ34" s="79" t="s">
        <v>1801</v>
      </c>
      <c r="AK34" s="38"/>
      <c r="AL34" s="4">
        <f t="shared" si="12"/>
        <v>249447.30000000002</v>
      </c>
      <c r="AM34" s="4">
        <f t="shared" si="12"/>
        <v>71145</v>
      </c>
      <c r="AN34" s="4">
        <f t="shared" si="7"/>
        <v>320592.30000000005</v>
      </c>
      <c r="AO34" s="38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48">
        <v>249447.30000000002</v>
      </c>
      <c r="AU34" s="48">
        <v>71145</v>
      </c>
      <c r="AV34" s="4">
        <f t="shared" si="10"/>
        <v>320592.30000000005</v>
      </c>
      <c r="AW34" s="50" t="str">
        <f t="shared" si="11"/>
        <v/>
      </c>
      <c r="AX34" s="1" t="s">
        <v>1639</v>
      </c>
      <c r="AY34" s="2" t="s">
        <v>1640</v>
      </c>
      <c r="AZ34" s="2">
        <v>204502.96</v>
      </c>
      <c r="BA34" s="2">
        <v>178940.09</v>
      </c>
      <c r="BB34" s="2">
        <v>178940.09</v>
      </c>
      <c r="BC34" s="2">
        <v>204502.96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56" t="s">
        <v>121</v>
      </c>
      <c r="B35" s="54" t="s">
        <v>121</v>
      </c>
      <c r="C35" s="56" t="s">
        <v>122</v>
      </c>
      <c r="D35" s="16">
        <v>33970</v>
      </c>
      <c r="E35" s="17"/>
      <c r="F35" s="2" t="s">
        <v>76</v>
      </c>
      <c r="G35" s="2" t="s">
        <v>78</v>
      </c>
      <c r="H35" s="10" t="s">
        <v>57</v>
      </c>
      <c r="I35" s="11" t="s">
        <v>77</v>
      </c>
      <c r="J35" s="11" t="s">
        <v>79</v>
      </c>
      <c r="K35" s="61" t="s">
        <v>80</v>
      </c>
      <c r="L35" s="11" t="s">
        <v>67</v>
      </c>
      <c r="M35" s="25"/>
      <c r="N35" s="54"/>
      <c r="O35" s="3" t="str">
        <f t="shared" si="14"/>
        <v>A</v>
      </c>
      <c r="P35" s="48">
        <v>82932.800000000003</v>
      </c>
      <c r="Q35" s="48">
        <v>20040</v>
      </c>
      <c r="R35" s="32"/>
      <c r="S35" s="3" t="str">
        <f t="shared" si="15"/>
        <v>A</v>
      </c>
      <c r="T35" s="48">
        <v>68501.8</v>
      </c>
      <c r="U35" s="48">
        <v>19450</v>
      </c>
      <c r="V35" s="32"/>
      <c r="W35" s="3" t="str">
        <f t="shared" si="3"/>
        <v>A</v>
      </c>
      <c r="X35" s="48">
        <v>67079.5</v>
      </c>
      <c r="Y35" s="48">
        <v>15399</v>
      </c>
      <c r="Z35" s="32"/>
      <c r="AA35" s="3" t="str">
        <f t="shared" si="4"/>
        <v>A</v>
      </c>
      <c r="AB35" s="48">
        <v>63460</v>
      </c>
      <c r="AC35" s="48">
        <v>16723</v>
      </c>
      <c r="AD35" s="36"/>
      <c r="AE35" s="54"/>
      <c r="AF35" s="3" t="str">
        <f t="shared" si="5"/>
        <v>A</v>
      </c>
      <c r="AG35" s="48">
        <v>0</v>
      </c>
      <c r="AH35" s="48">
        <v>0</v>
      </c>
      <c r="AI35" s="38"/>
      <c r="AJ35" s="79" t="s">
        <v>1801</v>
      </c>
      <c r="AK35" s="38"/>
      <c r="AL35" s="4">
        <f t="shared" si="12"/>
        <v>281974.09999999998</v>
      </c>
      <c r="AM35" s="4">
        <f t="shared" si="12"/>
        <v>71612</v>
      </c>
      <c r="AN35" s="4">
        <f t="shared" si="7"/>
        <v>353586.1</v>
      </c>
      <c r="AO35" s="38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48">
        <v>281974.09999999998</v>
      </c>
      <c r="AU35" s="48">
        <v>71612</v>
      </c>
      <c r="AV35" s="4">
        <f t="shared" si="10"/>
        <v>353586.1</v>
      </c>
      <c r="AW35" s="50" t="str">
        <f t="shared" si="11"/>
        <v/>
      </c>
      <c r="AX35" s="1" t="s">
        <v>1639</v>
      </c>
      <c r="AY35" s="2" t="s">
        <v>1640</v>
      </c>
      <c r="AZ35" s="2">
        <v>101168.32000000001</v>
      </c>
      <c r="BA35" s="2">
        <v>88522.28</v>
      </c>
      <c r="BB35" s="2">
        <v>88522.28</v>
      </c>
      <c r="BC35" s="2">
        <v>101168.32000000001</v>
      </c>
      <c r="BE35" s="66">
        <v>2.5000000000000001E-2</v>
      </c>
      <c r="BF35" s="66">
        <v>0.02</v>
      </c>
      <c r="BG35" s="63">
        <v>45657</v>
      </c>
      <c r="BI35" s="74">
        <v>38695</v>
      </c>
      <c r="BL35" s="1" t="s">
        <v>56</v>
      </c>
    </row>
    <row r="36" spans="1:64" s="2" customFormat="1" ht="10.8" x14ac:dyDescent="0.25">
      <c r="A36" s="56" t="s">
        <v>121</v>
      </c>
      <c r="B36" s="54" t="s">
        <v>640</v>
      </c>
      <c r="C36" s="56" t="s">
        <v>641</v>
      </c>
      <c r="D36" s="16">
        <v>43075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54"/>
      <c r="O36" s="3" t="str">
        <f t="shared" si="14"/>
        <v>A</v>
      </c>
      <c r="P36" s="48">
        <v>60165</v>
      </c>
      <c r="Q36" s="48">
        <v>17732</v>
      </c>
      <c r="R36" s="32"/>
      <c r="S36" s="3" t="str">
        <f t="shared" si="15"/>
        <v>A</v>
      </c>
      <c r="T36" s="48">
        <v>52432</v>
      </c>
      <c r="U36" s="48">
        <v>17430</v>
      </c>
      <c r="V36" s="32"/>
      <c r="W36" s="3" t="str">
        <f t="shared" si="3"/>
        <v>A</v>
      </c>
      <c r="X36" s="48">
        <v>51184</v>
      </c>
      <c r="Y36" s="48">
        <v>15189</v>
      </c>
      <c r="Z36" s="32"/>
      <c r="AA36" s="3" t="str">
        <f t="shared" si="4"/>
        <v>A</v>
      </c>
      <c r="AB36" s="48">
        <v>59481</v>
      </c>
      <c r="AC36" s="48">
        <v>16777</v>
      </c>
      <c r="AD36" s="36"/>
      <c r="AE36" s="54"/>
      <c r="AF36" s="3" t="str">
        <f t="shared" si="5"/>
        <v>A</v>
      </c>
      <c r="AG36" s="48">
        <v>0</v>
      </c>
      <c r="AH36" s="48">
        <v>0</v>
      </c>
      <c r="AI36" s="39"/>
      <c r="AJ36" s="79" t="s">
        <v>1801</v>
      </c>
      <c r="AK36" s="39"/>
      <c r="AL36" s="4">
        <f t="shared" si="12"/>
        <v>223262</v>
      </c>
      <c r="AM36" s="4">
        <f t="shared" si="12"/>
        <v>67128</v>
      </c>
      <c r="AN36" s="4">
        <f t="shared" si="7"/>
        <v>290390</v>
      </c>
      <c r="AO36" s="39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48">
        <v>223262</v>
      </c>
      <c r="AU36" s="48">
        <v>67128</v>
      </c>
      <c r="AV36" s="4">
        <f t="shared" si="10"/>
        <v>290390</v>
      </c>
      <c r="AW36" s="50" t="str">
        <f t="shared" si="11"/>
        <v/>
      </c>
      <c r="AX36" s="1" t="s">
        <v>1639</v>
      </c>
      <c r="AY36" s="2" t="s">
        <v>1640</v>
      </c>
      <c r="AZ36" s="2">
        <v>66913.440000000002</v>
      </c>
      <c r="BA36" s="2">
        <v>58549.26</v>
      </c>
      <c r="BB36" s="2">
        <v>58549.26</v>
      </c>
      <c r="BC36" s="2">
        <v>66913.440000000002</v>
      </c>
      <c r="BE36" s="66">
        <v>0</v>
      </c>
      <c r="BF36" s="66">
        <v>0.02</v>
      </c>
      <c r="BG36" s="63">
        <v>45657</v>
      </c>
      <c r="BL36" s="1" t="s">
        <v>56</v>
      </c>
    </row>
    <row r="37" spans="1:64" s="2" customFormat="1" ht="10.8" x14ac:dyDescent="0.25">
      <c r="A37" s="56" t="s">
        <v>121</v>
      </c>
      <c r="B37" s="54" t="s">
        <v>963</v>
      </c>
      <c r="C37" s="56" t="s">
        <v>964</v>
      </c>
      <c r="D37" s="16">
        <v>0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54"/>
      <c r="O37" s="3" t="str">
        <f t="shared" si="14"/>
        <v>A</v>
      </c>
      <c r="P37" s="48">
        <v>25757</v>
      </c>
      <c r="Q37" s="48">
        <v>9795</v>
      </c>
      <c r="R37" s="32"/>
      <c r="S37" s="3" t="str">
        <f t="shared" si="15"/>
        <v>A</v>
      </c>
      <c r="T37" s="48">
        <v>25069</v>
      </c>
      <c r="U37" s="48">
        <v>12005</v>
      </c>
      <c r="V37" s="32"/>
      <c r="W37" s="3" t="str">
        <f t="shared" si="3"/>
        <v>A</v>
      </c>
      <c r="X37" s="48">
        <v>22584</v>
      </c>
      <c r="Y37" s="48">
        <v>12657</v>
      </c>
      <c r="Z37" s="32"/>
      <c r="AA37" s="3" t="str">
        <f t="shared" si="4"/>
        <v>A</v>
      </c>
      <c r="AB37" s="48">
        <v>24115</v>
      </c>
      <c r="AC37" s="48">
        <v>10087</v>
      </c>
      <c r="AD37" s="36"/>
      <c r="AE37" s="54"/>
      <c r="AF37" s="3" t="str">
        <f t="shared" si="5"/>
        <v>A</v>
      </c>
      <c r="AG37" s="48">
        <v>0</v>
      </c>
      <c r="AH37" s="48">
        <v>0</v>
      </c>
      <c r="AI37" s="39"/>
      <c r="AJ37" s="79" t="s">
        <v>1801</v>
      </c>
      <c r="AK37" s="39"/>
      <c r="AL37" s="4">
        <f t="shared" si="12"/>
        <v>97525</v>
      </c>
      <c r="AM37" s="4">
        <f t="shared" si="12"/>
        <v>44544</v>
      </c>
      <c r="AN37" s="4">
        <f t="shared" si="7"/>
        <v>142069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48">
        <v>97525</v>
      </c>
      <c r="AU37" s="48">
        <v>44544</v>
      </c>
      <c r="AV37" s="4">
        <f t="shared" si="10"/>
        <v>142069</v>
      </c>
      <c r="AW37" s="50" t="str">
        <f t="shared" si="11"/>
        <v/>
      </c>
      <c r="AX37" s="1" t="s">
        <v>1639</v>
      </c>
      <c r="AY37" s="2" t="s">
        <v>1640</v>
      </c>
      <c r="AZ37" s="2">
        <v>36106.160000000003</v>
      </c>
      <c r="BA37" s="2">
        <v>31592.89</v>
      </c>
      <c r="BB37" s="2">
        <v>31592.89</v>
      </c>
      <c r="BC37" s="2">
        <v>36106.160000000003</v>
      </c>
      <c r="BE37" s="66">
        <v>0</v>
      </c>
      <c r="BF37" s="66">
        <v>0.02</v>
      </c>
      <c r="BG37" s="63">
        <v>44538</v>
      </c>
      <c r="BJ37" s="2">
        <v>135000</v>
      </c>
      <c r="BK37" s="2">
        <v>25000</v>
      </c>
      <c r="BL37" s="1" t="s">
        <v>56</v>
      </c>
    </row>
    <row r="38" spans="1:64" s="2" customFormat="1" ht="10.8" x14ac:dyDescent="0.25">
      <c r="A38" s="56" t="s">
        <v>123</v>
      </c>
      <c r="B38" s="54" t="s">
        <v>123</v>
      </c>
      <c r="C38" s="56" t="s">
        <v>124</v>
      </c>
      <c r="D38" s="16">
        <v>34121</v>
      </c>
      <c r="E38" s="17"/>
      <c r="F38" s="2" t="s">
        <v>52</v>
      </c>
      <c r="G38" s="2" t="s">
        <v>55</v>
      </c>
      <c r="H38" s="10" t="s">
        <v>57</v>
      </c>
      <c r="I38" s="11" t="s">
        <v>54</v>
      </c>
      <c r="J38" s="11" t="s">
        <v>58</v>
      </c>
      <c r="K38" s="61" t="s">
        <v>59</v>
      </c>
      <c r="L38" s="11" t="s">
        <v>67</v>
      </c>
      <c r="M38" s="25"/>
      <c r="N38" s="54"/>
      <c r="O38" s="3" t="str">
        <f t="shared" si="14"/>
        <v>A</v>
      </c>
      <c r="P38" s="48">
        <v>149620.81</v>
      </c>
      <c r="Q38" s="48">
        <v>33714</v>
      </c>
      <c r="R38" s="32"/>
      <c r="S38" s="3" t="str">
        <f t="shared" si="15"/>
        <v>A</v>
      </c>
      <c r="T38" s="48">
        <v>144807.4</v>
      </c>
      <c r="U38" s="48">
        <v>31614</v>
      </c>
      <c r="V38" s="32"/>
      <c r="W38" s="3" t="str">
        <f t="shared" si="3"/>
        <v>A</v>
      </c>
      <c r="X38" s="48">
        <v>129080</v>
      </c>
      <c r="Y38" s="48">
        <v>29726</v>
      </c>
      <c r="Z38" s="32"/>
      <c r="AA38" s="3" t="str">
        <f t="shared" si="4"/>
        <v>A</v>
      </c>
      <c r="AB38" s="48">
        <v>145962.9</v>
      </c>
      <c r="AC38" s="48">
        <v>30041</v>
      </c>
      <c r="AD38" s="36"/>
      <c r="AE38" s="54"/>
      <c r="AF38" s="3" t="str">
        <f t="shared" si="5"/>
        <v>A</v>
      </c>
      <c r="AG38" s="48">
        <v>0</v>
      </c>
      <c r="AH38" s="48">
        <v>0</v>
      </c>
      <c r="AI38" s="38"/>
      <c r="AJ38" s="79" t="s">
        <v>1801</v>
      </c>
      <c r="AK38" s="38"/>
      <c r="AL38" s="4">
        <f t="shared" si="12"/>
        <v>569471.11</v>
      </c>
      <c r="AM38" s="4">
        <f t="shared" si="12"/>
        <v>125095</v>
      </c>
      <c r="AN38" s="4">
        <f t="shared" si="7"/>
        <v>694566.11</v>
      </c>
      <c r="AO38" s="38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48">
        <v>569471.11</v>
      </c>
      <c r="AU38" s="48">
        <v>125095</v>
      </c>
      <c r="AV38" s="4">
        <f t="shared" si="10"/>
        <v>694566.11</v>
      </c>
      <c r="AW38" s="50" t="str">
        <f t="shared" si="11"/>
        <v/>
      </c>
      <c r="AX38" s="1" t="s">
        <v>1639</v>
      </c>
      <c r="AY38" s="2" t="s">
        <v>1640</v>
      </c>
      <c r="AZ38" s="2">
        <v>230322.88</v>
      </c>
      <c r="BA38" s="2">
        <v>201532.52</v>
      </c>
      <c r="BB38" s="2">
        <v>201532.52</v>
      </c>
      <c r="BC38" s="2">
        <v>230322.88</v>
      </c>
      <c r="BE38" s="66">
        <v>2.5000000000000001E-2</v>
      </c>
      <c r="BF38" s="66">
        <v>0.02</v>
      </c>
      <c r="BG38" s="63">
        <v>45657</v>
      </c>
      <c r="BL38" s="1" t="s">
        <v>56</v>
      </c>
    </row>
    <row r="39" spans="1:64" s="2" customFormat="1" ht="10.8" x14ac:dyDescent="0.25">
      <c r="A39" s="56" t="s">
        <v>123</v>
      </c>
      <c r="B39" s="54" t="s">
        <v>642</v>
      </c>
      <c r="C39" s="56" t="s">
        <v>643</v>
      </c>
      <c r="D39" s="16">
        <v>42426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54"/>
      <c r="O39" s="3" t="str">
        <f t="shared" si="14"/>
        <v>A</v>
      </c>
      <c r="P39" s="48">
        <v>80464</v>
      </c>
      <c r="Q39" s="48">
        <v>13820</v>
      </c>
      <c r="R39" s="32"/>
      <c r="S39" s="3" t="str">
        <f t="shared" si="15"/>
        <v>A</v>
      </c>
      <c r="T39" s="48">
        <v>69732</v>
      </c>
      <c r="U39" s="48">
        <v>12265</v>
      </c>
      <c r="V39" s="32"/>
      <c r="W39" s="3" t="str">
        <f t="shared" si="3"/>
        <v>A</v>
      </c>
      <c r="X39" s="48">
        <v>66235</v>
      </c>
      <c r="Y39" s="48">
        <v>11129</v>
      </c>
      <c r="Z39" s="32"/>
      <c r="AA39" s="3" t="str">
        <f t="shared" si="4"/>
        <v>A</v>
      </c>
      <c r="AB39" s="48">
        <v>74228</v>
      </c>
      <c r="AC39" s="48">
        <v>11986</v>
      </c>
      <c r="AD39" s="36"/>
      <c r="AE39" s="54"/>
      <c r="AF39" s="3" t="str">
        <f t="shared" si="5"/>
        <v>A</v>
      </c>
      <c r="AG39" s="48">
        <v>0</v>
      </c>
      <c r="AH39" s="48">
        <v>0</v>
      </c>
      <c r="AI39" s="39"/>
      <c r="AJ39" s="79" t="s">
        <v>1801</v>
      </c>
      <c r="AK39" s="39"/>
      <c r="AL39" s="4">
        <f t="shared" si="12"/>
        <v>290659</v>
      </c>
      <c r="AM39" s="4">
        <f t="shared" si="12"/>
        <v>49200</v>
      </c>
      <c r="AN39" s="4">
        <f t="shared" si="7"/>
        <v>339859</v>
      </c>
      <c r="AO39" s="39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48">
        <v>290659</v>
      </c>
      <c r="AU39" s="48">
        <v>49200</v>
      </c>
      <c r="AV39" s="4">
        <f t="shared" si="10"/>
        <v>339859</v>
      </c>
      <c r="AW39" s="50" t="str">
        <f t="shared" si="11"/>
        <v/>
      </c>
      <c r="AX39" s="1" t="s">
        <v>1639</v>
      </c>
      <c r="AY39" s="2" t="s">
        <v>1640</v>
      </c>
      <c r="AZ39" s="2">
        <v>89178.72</v>
      </c>
      <c r="BA39" s="2">
        <v>78031.38</v>
      </c>
      <c r="BB39" s="2">
        <v>78031.38</v>
      </c>
      <c r="BC39" s="2">
        <v>89178.72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56" t="s">
        <v>125</v>
      </c>
      <c r="B40" s="54" t="s">
        <v>125</v>
      </c>
      <c r="C40" s="56" t="s">
        <v>126</v>
      </c>
      <c r="D40" s="16">
        <v>34151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54"/>
      <c r="O40" s="3" t="str">
        <f t="shared" si="14"/>
        <v>A</v>
      </c>
      <c r="P40" s="48">
        <v>118538.4</v>
      </c>
      <c r="Q40" s="48">
        <v>23972.2</v>
      </c>
      <c r="R40" s="32"/>
      <c r="S40" s="3" t="str">
        <f t="shared" si="15"/>
        <v>A</v>
      </c>
      <c r="T40" s="48">
        <v>110918.59999999999</v>
      </c>
      <c r="U40" s="48">
        <v>18159.2</v>
      </c>
      <c r="V40" s="32"/>
      <c r="W40" s="3" t="str">
        <f t="shared" si="3"/>
        <v>A</v>
      </c>
      <c r="X40" s="48">
        <v>92890.3</v>
      </c>
      <c r="Y40" s="48">
        <v>21342.9</v>
      </c>
      <c r="Z40" s="32"/>
      <c r="AA40" s="3" t="str">
        <f t="shared" si="4"/>
        <v>A</v>
      </c>
      <c r="AB40" s="48">
        <v>101682.85</v>
      </c>
      <c r="AC40" s="48">
        <v>20023.150000000001</v>
      </c>
      <c r="AD40" s="36"/>
      <c r="AE40" s="54"/>
      <c r="AF40" s="3" t="str">
        <f t="shared" si="5"/>
        <v>A</v>
      </c>
      <c r="AG40" s="48">
        <v>0</v>
      </c>
      <c r="AH40" s="48">
        <v>0</v>
      </c>
      <c r="AI40" s="38"/>
      <c r="AJ40" s="79" t="s">
        <v>1801</v>
      </c>
      <c r="AK40" s="38"/>
      <c r="AL40" s="4">
        <f t="shared" si="12"/>
        <v>424030.15</v>
      </c>
      <c r="AM40" s="4">
        <f t="shared" si="12"/>
        <v>83497.450000000012</v>
      </c>
      <c r="AN40" s="4">
        <f t="shared" si="7"/>
        <v>507527.60000000003</v>
      </c>
      <c r="AO40" s="38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48">
        <v>424030.14999999997</v>
      </c>
      <c r="AU40" s="48">
        <v>83497.449999999983</v>
      </c>
      <c r="AV40" s="4">
        <f t="shared" si="10"/>
        <v>507527.6</v>
      </c>
      <c r="AW40" s="50" t="str">
        <f t="shared" si="11"/>
        <v/>
      </c>
      <c r="AX40" s="1" t="s">
        <v>1639</v>
      </c>
      <c r="AY40" s="2" t="s">
        <v>1640</v>
      </c>
      <c r="AZ40" s="2">
        <v>179300.4</v>
      </c>
      <c r="BA40" s="2">
        <v>156887.85</v>
      </c>
      <c r="BB40" s="2">
        <v>156887.85</v>
      </c>
      <c r="BC40" s="2">
        <v>179300.4</v>
      </c>
      <c r="BE40" s="66">
        <v>2.5000000000000001E-2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56" t="s">
        <v>125</v>
      </c>
      <c r="B41" s="54" t="s">
        <v>644</v>
      </c>
      <c r="C41" s="56" t="s">
        <v>645</v>
      </c>
      <c r="D41" s="16">
        <v>43133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54"/>
      <c r="O41" s="3" t="str">
        <f t="shared" si="14"/>
        <v>A</v>
      </c>
      <c r="P41" s="48">
        <v>20205</v>
      </c>
      <c r="Q41" s="48">
        <v>8105</v>
      </c>
      <c r="R41" s="32"/>
      <c r="S41" s="3" t="str">
        <f t="shared" si="15"/>
        <v>A</v>
      </c>
      <c r="T41" s="48">
        <v>15666</v>
      </c>
      <c r="U41" s="48">
        <v>6049</v>
      </c>
      <c r="V41" s="32"/>
      <c r="W41" s="3" t="str">
        <f t="shared" si="3"/>
        <v>A</v>
      </c>
      <c r="X41" s="48">
        <v>14326</v>
      </c>
      <c r="Y41" s="48">
        <v>7208</v>
      </c>
      <c r="Z41" s="32"/>
      <c r="AA41" s="3" t="str">
        <f t="shared" si="4"/>
        <v>A</v>
      </c>
      <c r="AB41" s="48">
        <v>12931</v>
      </c>
      <c r="AC41" s="48">
        <v>5192</v>
      </c>
      <c r="AD41" s="36"/>
      <c r="AE41" s="54"/>
      <c r="AF41" s="3" t="str">
        <f t="shared" si="5"/>
        <v>A</v>
      </c>
      <c r="AG41" s="48">
        <v>0</v>
      </c>
      <c r="AH41" s="48">
        <v>0</v>
      </c>
      <c r="AI41" s="39"/>
      <c r="AJ41" s="79" t="s">
        <v>1801</v>
      </c>
      <c r="AK41" s="39"/>
      <c r="AL41" s="4">
        <f t="shared" si="12"/>
        <v>63128</v>
      </c>
      <c r="AM41" s="4">
        <f t="shared" si="12"/>
        <v>26554</v>
      </c>
      <c r="AN41" s="4">
        <f t="shared" si="7"/>
        <v>89682</v>
      </c>
      <c r="AO41" s="39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48">
        <v>63128</v>
      </c>
      <c r="AU41" s="48">
        <v>26554</v>
      </c>
      <c r="AV41" s="4">
        <f t="shared" si="10"/>
        <v>89682</v>
      </c>
      <c r="AW41" s="50" t="str">
        <f t="shared" si="11"/>
        <v/>
      </c>
      <c r="AX41" s="1" t="s">
        <v>1639</v>
      </c>
      <c r="AY41" s="2" t="s">
        <v>1640</v>
      </c>
      <c r="AZ41" s="2">
        <v>47704.24</v>
      </c>
      <c r="BA41" s="2">
        <v>41741.21</v>
      </c>
      <c r="BB41" s="2">
        <v>41741.21</v>
      </c>
      <c r="BC41" s="2">
        <v>47704.24</v>
      </c>
      <c r="BE41" s="66">
        <v>0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56" t="s">
        <v>127</v>
      </c>
      <c r="B42" s="54" t="s">
        <v>127</v>
      </c>
      <c r="C42" s="56" t="s">
        <v>128</v>
      </c>
      <c r="D42" s="16">
        <v>34220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72</v>
      </c>
      <c r="K42" s="61" t="s">
        <v>73</v>
      </c>
      <c r="L42" s="11" t="s">
        <v>67</v>
      </c>
      <c r="M42" s="25"/>
      <c r="N42" s="54"/>
      <c r="O42" s="3" t="str">
        <f t="shared" si="14"/>
        <v>A</v>
      </c>
      <c r="P42" s="48">
        <v>141270.5</v>
      </c>
      <c r="Q42" s="48">
        <v>36624.75</v>
      </c>
      <c r="R42" s="32"/>
      <c r="S42" s="3" t="str">
        <f t="shared" si="15"/>
        <v>A</v>
      </c>
      <c r="T42" s="48">
        <v>117849.44999999998</v>
      </c>
      <c r="U42" s="48">
        <v>31042</v>
      </c>
      <c r="V42" s="32"/>
      <c r="W42" s="3" t="str">
        <f t="shared" si="3"/>
        <v>A</v>
      </c>
      <c r="X42" s="48">
        <v>122721.04999999999</v>
      </c>
      <c r="Y42" s="48">
        <v>30446.25</v>
      </c>
      <c r="Z42" s="32"/>
      <c r="AA42" s="3" t="str">
        <f t="shared" si="4"/>
        <v>A</v>
      </c>
      <c r="AB42" s="48">
        <v>141004.74000000002</v>
      </c>
      <c r="AC42" s="48">
        <v>32936.86</v>
      </c>
      <c r="AD42" s="36"/>
      <c r="AE42" s="54"/>
      <c r="AF42" s="3" t="str">
        <f t="shared" si="5"/>
        <v>A</v>
      </c>
      <c r="AG42" s="48">
        <v>0</v>
      </c>
      <c r="AH42" s="48">
        <v>0</v>
      </c>
      <c r="AI42" s="38"/>
      <c r="AJ42" s="79" t="s">
        <v>1801</v>
      </c>
      <c r="AK42" s="38"/>
      <c r="AL42" s="4">
        <f t="shared" si="12"/>
        <v>522845.74</v>
      </c>
      <c r="AM42" s="4">
        <f t="shared" si="12"/>
        <v>131049.86</v>
      </c>
      <c r="AN42" s="4">
        <f t="shared" si="7"/>
        <v>653895.6</v>
      </c>
      <c r="AO42" s="38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48">
        <v>522845.74000000005</v>
      </c>
      <c r="AU42" s="48">
        <v>131049.86</v>
      </c>
      <c r="AV42" s="4">
        <f t="shared" si="10"/>
        <v>653895.60000000009</v>
      </c>
      <c r="AW42" s="50" t="str">
        <f t="shared" si="11"/>
        <v/>
      </c>
      <c r="AX42" s="1" t="s">
        <v>1639</v>
      </c>
      <c r="AY42" s="2" t="s">
        <v>1640</v>
      </c>
      <c r="AZ42" s="2">
        <v>219192.8</v>
      </c>
      <c r="BA42" s="2">
        <v>191793.7</v>
      </c>
      <c r="BB42" s="2">
        <v>191793.7</v>
      </c>
      <c r="BC42" s="2">
        <v>219192.8</v>
      </c>
      <c r="BE42" s="66">
        <v>2.5000000000000001E-2</v>
      </c>
      <c r="BF42" s="66">
        <v>0.02</v>
      </c>
      <c r="BG42" s="63">
        <v>44051</v>
      </c>
      <c r="BL42" s="1" t="s">
        <v>56</v>
      </c>
    </row>
    <row r="43" spans="1:64" s="2" customFormat="1" ht="10.8" x14ac:dyDescent="0.25">
      <c r="A43" s="56" t="s">
        <v>129</v>
      </c>
      <c r="B43" s="54" t="s">
        <v>129</v>
      </c>
      <c r="C43" s="56" t="s">
        <v>130</v>
      </c>
      <c r="D43" s="16">
        <v>34432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131</v>
      </c>
      <c r="K43" s="61" t="s">
        <v>132</v>
      </c>
      <c r="L43" s="11" t="s">
        <v>67</v>
      </c>
      <c r="M43" s="25"/>
      <c r="N43" s="54"/>
      <c r="O43" s="3" t="str">
        <f t="shared" si="14"/>
        <v>A</v>
      </c>
      <c r="P43" s="48">
        <v>139006.20000000001</v>
      </c>
      <c r="Q43" s="48">
        <v>24346</v>
      </c>
      <c r="R43" s="32"/>
      <c r="S43" s="3" t="str">
        <f t="shared" si="15"/>
        <v>A</v>
      </c>
      <c r="T43" s="48">
        <v>108843.13000000002</v>
      </c>
      <c r="U43" s="48">
        <v>20708.849999999999</v>
      </c>
      <c r="V43" s="32"/>
      <c r="W43" s="3" t="str">
        <f t="shared" si="3"/>
        <v>A</v>
      </c>
      <c r="X43" s="48">
        <v>113914.47</v>
      </c>
      <c r="Y43" s="48">
        <v>18150.52</v>
      </c>
      <c r="Z43" s="32"/>
      <c r="AA43" s="3" t="str">
        <f t="shared" si="4"/>
        <v>A</v>
      </c>
      <c r="AB43" s="48">
        <v>128716.24</v>
      </c>
      <c r="AC43" s="48">
        <v>25559.5</v>
      </c>
      <c r="AD43" s="36"/>
      <c r="AE43" s="54"/>
      <c r="AF43" s="3" t="str">
        <f t="shared" si="5"/>
        <v>A</v>
      </c>
      <c r="AG43" s="48">
        <v>0</v>
      </c>
      <c r="AH43" s="48">
        <v>0</v>
      </c>
      <c r="AI43" s="38"/>
      <c r="AJ43" s="79" t="s">
        <v>1801</v>
      </c>
      <c r="AK43" s="38"/>
      <c r="AL43" s="4">
        <f t="shared" si="12"/>
        <v>490480.04000000004</v>
      </c>
      <c r="AM43" s="4">
        <f t="shared" si="12"/>
        <v>88764.87</v>
      </c>
      <c r="AN43" s="4">
        <f t="shared" si="7"/>
        <v>579244.91</v>
      </c>
      <c r="AO43" s="38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48">
        <v>490480.04</v>
      </c>
      <c r="AU43" s="48">
        <v>88764.87</v>
      </c>
      <c r="AV43" s="4">
        <f t="shared" si="10"/>
        <v>579244.90999999992</v>
      </c>
      <c r="AW43" s="50" t="str">
        <f t="shared" si="11"/>
        <v/>
      </c>
      <c r="AX43" s="1" t="s">
        <v>1639</v>
      </c>
      <c r="AY43" s="2" t="s">
        <v>1640</v>
      </c>
      <c r="AZ43" s="2">
        <v>286102.64</v>
      </c>
      <c r="BA43" s="2">
        <v>250339.81</v>
      </c>
      <c r="BB43" s="2">
        <v>250339.81</v>
      </c>
      <c r="BC43" s="2">
        <v>286102.64</v>
      </c>
      <c r="BE43" s="66">
        <v>2.5000000000000001E-2</v>
      </c>
      <c r="BF43" s="66">
        <v>0.02</v>
      </c>
      <c r="BG43" s="63">
        <v>44358</v>
      </c>
      <c r="BL43" s="1" t="s">
        <v>56</v>
      </c>
    </row>
    <row r="44" spans="1:64" s="2" customFormat="1" ht="10.8" x14ac:dyDescent="0.25">
      <c r="A44" s="56" t="s">
        <v>133</v>
      </c>
      <c r="B44" s="54" t="s">
        <v>133</v>
      </c>
      <c r="C44" s="56" t="s">
        <v>134</v>
      </c>
      <c r="D44" s="16">
        <v>34820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135</v>
      </c>
      <c r="K44" s="61" t="s">
        <v>136</v>
      </c>
      <c r="L44" s="11" t="s">
        <v>67</v>
      </c>
      <c r="M44" s="25"/>
      <c r="N44" s="54"/>
      <c r="O44" s="3" t="str">
        <f t="shared" si="14"/>
        <v>A</v>
      </c>
      <c r="P44" s="48">
        <v>116082.2</v>
      </c>
      <c r="Q44" s="48">
        <v>22461</v>
      </c>
      <c r="R44" s="32"/>
      <c r="S44" s="3" t="str">
        <f t="shared" si="15"/>
        <v>A</v>
      </c>
      <c r="T44" s="48">
        <v>96522.15</v>
      </c>
      <c r="U44" s="48">
        <v>16709.5</v>
      </c>
      <c r="V44" s="32"/>
      <c r="W44" s="3" t="str">
        <f t="shared" si="3"/>
        <v>A</v>
      </c>
      <c r="X44" s="48">
        <v>87996.1</v>
      </c>
      <c r="Y44" s="48">
        <v>18271</v>
      </c>
      <c r="Z44" s="32"/>
      <c r="AA44" s="3" t="str">
        <f t="shared" si="4"/>
        <v>A</v>
      </c>
      <c r="AB44" s="48">
        <v>96025.45</v>
      </c>
      <c r="AC44" s="48">
        <v>18222.5</v>
      </c>
      <c r="AD44" s="36"/>
      <c r="AE44" s="54"/>
      <c r="AF44" s="3" t="str">
        <f t="shared" si="5"/>
        <v>A</v>
      </c>
      <c r="AG44" s="48">
        <v>0</v>
      </c>
      <c r="AH44" s="48">
        <v>0</v>
      </c>
      <c r="AI44" s="38"/>
      <c r="AJ44" s="79" t="s">
        <v>1801</v>
      </c>
      <c r="AK44" s="38"/>
      <c r="AL44" s="4">
        <f t="shared" si="12"/>
        <v>396625.89999999997</v>
      </c>
      <c r="AM44" s="4">
        <f t="shared" si="12"/>
        <v>75664</v>
      </c>
      <c r="AN44" s="4">
        <f t="shared" si="7"/>
        <v>472289.89999999997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48">
        <v>396625.89999999997</v>
      </c>
      <c r="AU44" s="48">
        <v>75664</v>
      </c>
      <c r="AV44" s="4">
        <f t="shared" si="10"/>
        <v>472289.89999999997</v>
      </c>
      <c r="AW44" s="50" t="str">
        <f t="shared" si="11"/>
        <v/>
      </c>
      <c r="AX44" s="1" t="s">
        <v>1639</v>
      </c>
      <c r="AY44" s="2" t="s">
        <v>1640</v>
      </c>
      <c r="AZ44" s="2">
        <v>127699.12</v>
      </c>
      <c r="BA44" s="2">
        <v>111736.73</v>
      </c>
      <c r="BB44" s="2">
        <v>111736.73</v>
      </c>
      <c r="BC44" s="2">
        <v>127699.12</v>
      </c>
      <c r="BE44" s="66">
        <v>2.5000000000000001E-2</v>
      </c>
      <c r="BF44" s="66">
        <v>0.02</v>
      </c>
      <c r="BG44" s="63">
        <v>45657</v>
      </c>
      <c r="BL44" s="1" t="s">
        <v>56</v>
      </c>
    </row>
    <row r="45" spans="1:64" s="2" customFormat="1" ht="10.8" x14ac:dyDescent="0.25">
      <c r="A45" s="56" t="s">
        <v>133</v>
      </c>
      <c r="B45" s="54" t="s">
        <v>648</v>
      </c>
      <c r="C45" s="56" t="s">
        <v>649</v>
      </c>
      <c r="D45" s="16">
        <v>42833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135</v>
      </c>
      <c r="K45" s="61" t="s">
        <v>136</v>
      </c>
      <c r="L45" s="11" t="s">
        <v>67</v>
      </c>
      <c r="M45" s="25"/>
      <c r="N45" s="54"/>
      <c r="O45" s="3" t="str">
        <f t="shared" si="14"/>
        <v>A</v>
      </c>
      <c r="P45" s="48">
        <v>21249</v>
      </c>
      <c r="Q45" s="48">
        <v>15348</v>
      </c>
      <c r="R45" s="32"/>
      <c r="S45" s="3" t="str">
        <f t="shared" si="15"/>
        <v>A</v>
      </c>
      <c r="T45" s="48">
        <v>17531</v>
      </c>
      <c r="U45" s="48">
        <v>11037</v>
      </c>
      <c r="V45" s="32"/>
      <c r="W45" s="3" t="str">
        <f t="shared" si="3"/>
        <v>A</v>
      </c>
      <c r="X45" s="48">
        <v>19990</v>
      </c>
      <c r="Y45" s="48">
        <v>12162</v>
      </c>
      <c r="Z45" s="32"/>
      <c r="AA45" s="3" t="str">
        <f t="shared" si="4"/>
        <v>A</v>
      </c>
      <c r="AB45" s="48">
        <v>22188</v>
      </c>
      <c r="AC45" s="48">
        <v>13790</v>
      </c>
      <c r="AD45" s="36"/>
      <c r="AE45" s="54"/>
      <c r="AF45" s="3" t="str">
        <f t="shared" si="5"/>
        <v>A</v>
      </c>
      <c r="AG45" s="48">
        <v>0</v>
      </c>
      <c r="AH45" s="48">
        <v>0</v>
      </c>
      <c r="AI45" s="39"/>
      <c r="AJ45" s="79" t="s">
        <v>1801</v>
      </c>
      <c r="AK45" s="39"/>
      <c r="AL45" s="4">
        <f t="shared" si="12"/>
        <v>80958</v>
      </c>
      <c r="AM45" s="4">
        <f t="shared" si="12"/>
        <v>52337</v>
      </c>
      <c r="AN45" s="4">
        <f t="shared" si="7"/>
        <v>133295</v>
      </c>
      <c r="AO45" s="39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48">
        <v>80958</v>
      </c>
      <c r="AU45" s="48">
        <v>52337</v>
      </c>
      <c r="AV45" s="4">
        <f t="shared" si="10"/>
        <v>133295</v>
      </c>
      <c r="AW45" s="50" t="str">
        <f t="shared" si="11"/>
        <v/>
      </c>
      <c r="AX45" s="1" t="s">
        <v>1639</v>
      </c>
      <c r="AY45" s="2" t="s">
        <v>1640</v>
      </c>
      <c r="AZ45" s="2">
        <v>25244.16</v>
      </c>
      <c r="BA45" s="2">
        <v>22088.639999999999</v>
      </c>
      <c r="BB45" s="2">
        <v>22088.639999999999</v>
      </c>
      <c r="BC45" s="2">
        <v>25244.16</v>
      </c>
      <c r="BE45" s="66">
        <v>3.5000000000000003E-2</v>
      </c>
      <c r="BF45" s="66">
        <v>0.02</v>
      </c>
      <c r="BG45" s="63">
        <v>45657</v>
      </c>
      <c r="BL45" s="1" t="s">
        <v>56</v>
      </c>
    </row>
    <row r="46" spans="1:64" s="2" customFormat="1" ht="10.8" x14ac:dyDescent="0.25">
      <c r="A46" s="56" t="s">
        <v>133</v>
      </c>
      <c r="B46" s="54" t="s">
        <v>650</v>
      </c>
      <c r="C46" s="56" t="s">
        <v>651</v>
      </c>
      <c r="D46" s="16">
        <v>40418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135</v>
      </c>
      <c r="K46" s="61" t="s">
        <v>136</v>
      </c>
      <c r="L46" s="11" t="s">
        <v>67</v>
      </c>
      <c r="M46" s="25"/>
      <c r="N46" s="54"/>
      <c r="O46" s="3" t="str">
        <f t="shared" si="14"/>
        <v>A</v>
      </c>
      <c r="P46" s="48">
        <v>28279</v>
      </c>
      <c r="Q46" s="48">
        <v>11056</v>
      </c>
      <c r="R46" s="32"/>
      <c r="S46" s="3" t="str">
        <f t="shared" si="15"/>
        <v>A</v>
      </c>
      <c r="T46" s="48">
        <v>26339</v>
      </c>
      <c r="U46" s="48">
        <v>11456</v>
      </c>
      <c r="V46" s="32"/>
      <c r="W46" s="3" t="str">
        <f t="shared" si="3"/>
        <v>A</v>
      </c>
      <c r="X46" s="48">
        <v>24467</v>
      </c>
      <c r="Y46" s="48">
        <v>10224</v>
      </c>
      <c r="Z46" s="32"/>
      <c r="AA46" s="3" t="str">
        <f t="shared" si="4"/>
        <v>A</v>
      </c>
      <c r="AB46" s="48">
        <v>29811</v>
      </c>
      <c r="AC46" s="48">
        <v>10740</v>
      </c>
      <c r="AD46" s="36"/>
      <c r="AE46" s="54"/>
      <c r="AF46" s="3" t="str">
        <f t="shared" si="5"/>
        <v>A</v>
      </c>
      <c r="AG46" s="48">
        <v>0</v>
      </c>
      <c r="AH46" s="48">
        <v>0</v>
      </c>
      <c r="AI46" s="39"/>
      <c r="AJ46" s="79" t="s">
        <v>1801</v>
      </c>
      <c r="AK46" s="39"/>
      <c r="AL46" s="4">
        <f t="shared" si="12"/>
        <v>108896</v>
      </c>
      <c r="AM46" s="4">
        <f t="shared" si="12"/>
        <v>43476</v>
      </c>
      <c r="AN46" s="4">
        <f t="shared" si="7"/>
        <v>152372</v>
      </c>
      <c r="AO46" s="39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48">
        <v>108896</v>
      </c>
      <c r="AU46" s="48">
        <v>43476</v>
      </c>
      <c r="AV46" s="4">
        <f t="shared" si="10"/>
        <v>152372</v>
      </c>
      <c r="AW46" s="50" t="str">
        <f t="shared" si="11"/>
        <v/>
      </c>
      <c r="AX46" s="1" t="s">
        <v>1639</v>
      </c>
      <c r="AY46" s="2" t="s">
        <v>1640</v>
      </c>
      <c r="AZ46" s="2">
        <v>41116.959999999999</v>
      </c>
      <c r="BA46" s="2">
        <v>35977.339999999997</v>
      </c>
      <c r="BB46" s="2">
        <v>35977.339999999997</v>
      </c>
      <c r="BC46" s="2">
        <v>41116.959999999999</v>
      </c>
      <c r="BE46" s="66">
        <v>2.5000000000000001E-2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56" t="s">
        <v>137</v>
      </c>
      <c r="B47" s="54" t="s">
        <v>137</v>
      </c>
      <c r="C47" s="56" t="s">
        <v>138</v>
      </c>
      <c r="D47" s="16">
        <v>34950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139</v>
      </c>
      <c r="K47" s="61" t="s">
        <v>140</v>
      </c>
      <c r="L47" s="11" t="s">
        <v>67</v>
      </c>
      <c r="M47" s="25"/>
      <c r="N47" s="54"/>
      <c r="O47" s="3" t="str">
        <f t="shared" si="14"/>
        <v>A</v>
      </c>
      <c r="P47" s="48">
        <v>115319.55</v>
      </c>
      <c r="Q47" s="48">
        <v>17085</v>
      </c>
      <c r="R47" s="32"/>
      <c r="S47" s="3" t="str">
        <f t="shared" si="15"/>
        <v>A</v>
      </c>
      <c r="T47" s="48">
        <v>102373</v>
      </c>
      <c r="U47" s="48">
        <v>16289</v>
      </c>
      <c r="V47" s="32"/>
      <c r="W47" s="3" t="str">
        <f t="shared" si="3"/>
        <v>A</v>
      </c>
      <c r="X47" s="48">
        <v>100470.04999999999</v>
      </c>
      <c r="Y47" s="48">
        <v>15680</v>
      </c>
      <c r="Z47" s="32"/>
      <c r="AA47" s="3" t="str">
        <f t="shared" si="4"/>
        <v>A</v>
      </c>
      <c r="AB47" s="48">
        <v>119871.1</v>
      </c>
      <c r="AC47" s="48">
        <v>15349</v>
      </c>
      <c r="AD47" s="36"/>
      <c r="AE47" s="54"/>
      <c r="AF47" s="3" t="str">
        <f t="shared" si="5"/>
        <v>A</v>
      </c>
      <c r="AG47" s="48">
        <v>0</v>
      </c>
      <c r="AH47" s="48">
        <v>0</v>
      </c>
      <c r="AI47" s="38"/>
      <c r="AJ47" s="79" t="s">
        <v>1801</v>
      </c>
      <c r="AK47" s="38"/>
      <c r="AL47" s="4">
        <f t="shared" si="12"/>
        <v>438033.69999999995</v>
      </c>
      <c r="AM47" s="4">
        <f t="shared" si="12"/>
        <v>64403</v>
      </c>
      <c r="AN47" s="4">
        <f t="shared" si="7"/>
        <v>502436.69999999995</v>
      </c>
      <c r="AO47" s="38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48">
        <v>438033.7</v>
      </c>
      <c r="AU47" s="48">
        <v>64403</v>
      </c>
      <c r="AV47" s="4">
        <f t="shared" si="10"/>
        <v>502436.7</v>
      </c>
      <c r="AW47" s="50" t="str">
        <f t="shared" si="11"/>
        <v/>
      </c>
      <c r="AX47" s="1" t="s">
        <v>1639</v>
      </c>
      <c r="AY47" s="2" t="s">
        <v>1640</v>
      </c>
      <c r="AZ47" s="2">
        <v>131031.76</v>
      </c>
      <c r="BA47" s="2">
        <v>114652.79</v>
      </c>
      <c r="BB47" s="2">
        <v>114652.79</v>
      </c>
      <c r="BC47" s="2">
        <v>131031.76</v>
      </c>
      <c r="BE47" s="66">
        <v>2.5000000000000001E-2</v>
      </c>
      <c r="BF47" s="66">
        <v>0.02</v>
      </c>
      <c r="BG47" s="63">
        <v>44396</v>
      </c>
      <c r="BL47" s="1" t="s">
        <v>56</v>
      </c>
    </row>
    <row r="48" spans="1:64" s="2" customFormat="1" ht="10.8" x14ac:dyDescent="0.25">
      <c r="A48" s="56" t="s">
        <v>137</v>
      </c>
      <c r="B48" s="54" t="s">
        <v>652</v>
      </c>
      <c r="C48" s="56" t="s">
        <v>653</v>
      </c>
      <c r="D48" s="16">
        <v>42353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139</v>
      </c>
      <c r="K48" s="61" t="s">
        <v>140</v>
      </c>
      <c r="L48" s="11" t="s">
        <v>67</v>
      </c>
      <c r="M48" s="25"/>
      <c r="N48" s="54"/>
      <c r="O48" s="3" t="str">
        <f t="shared" si="14"/>
        <v>A</v>
      </c>
      <c r="P48" s="48">
        <v>64252</v>
      </c>
      <c r="Q48" s="48">
        <v>13711</v>
      </c>
      <c r="R48" s="32"/>
      <c r="S48" s="3" t="str">
        <f t="shared" si="15"/>
        <v>A</v>
      </c>
      <c r="T48" s="48">
        <v>50940.15</v>
      </c>
      <c r="U48" s="48">
        <v>11240</v>
      </c>
      <c r="V48" s="32"/>
      <c r="W48" s="3" t="str">
        <f t="shared" si="3"/>
        <v>A</v>
      </c>
      <c r="X48" s="48">
        <v>61691.57</v>
      </c>
      <c r="Y48" s="48">
        <v>12394</v>
      </c>
      <c r="Z48" s="32"/>
      <c r="AA48" s="3" t="str">
        <f t="shared" si="4"/>
        <v>A</v>
      </c>
      <c r="AB48" s="48">
        <v>62006</v>
      </c>
      <c r="AC48" s="48">
        <v>13708</v>
      </c>
      <c r="AD48" s="36"/>
      <c r="AE48" s="54"/>
      <c r="AF48" s="3" t="str">
        <f t="shared" si="5"/>
        <v>A</v>
      </c>
      <c r="AG48" s="48">
        <v>0</v>
      </c>
      <c r="AH48" s="48">
        <v>0</v>
      </c>
      <c r="AI48" s="39"/>
      <c r="AJ48" s="79" t="s">
        <v>1801</v>
      </c>
      <c r="AK48" s="39"/>
      <c r="AL48" s="4">
        <f t="shared" si="12"/>
        <v>238889.72</v>
      </c>
      <c r="AM48" s="4">
        <f t="shared" si="12"/>
        <v>51053</v>
      </c>
      <c r="AN48" s="4">
        <f t="shared" si="7"/>
        <v>289942.71999999997</v>
      </c>
      <c r="AO48" s="39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48">
        <v>238889.72</v>
      </c>
      <c r="AU48" s="48">
        <v>51053</v>
      </c>
      <c r="AV48" s="4">
        <f t="shared" si="10"/>
        <v>289942.71999999997</v>
      </c>
      <c r="AW48" s="50" t="str">
        <f t="shared" si="11"/>
        <v/>
      </c>
      <c r="AX48" s="1" t="s">
        <v>1639</v>
      </c>
      <c r="AY48" s="2" t="s">
        <v>1640</v>
      </c>
      <c r="AZ48" s="2">
        <v>90567.039999999994</v>
      </c>
      <c r="BA48" s="2">
        <v>79246.16</v>
      </c>
      <c r="BB48" s="2">
        <v>79246.16</v>
      </c>
      <c r="BC48" s="2">
        <v>90567.039999999994</v>
      </c>
      <c r="BE48" s="66">
        <v>2.5000000000000001E-2</v>
      </c>
      <c r="BF48" s="66">
        <v>0.02</v>
      </c>
      <c r="BG48" s="63">
        <v>44396</v>
      </c>
      <c r="BL48" s="1" t="s">
        <v>56</v>
      </c>
    </row>
    <row r="49" spans="1:64" s="2" customFormat="1" ht="10.8" x14ac:dyDescent="0.25">
      <c r="A49" s="56" t="s">
        <v>141</v>
      </c>
      <c r="B49" s="54" t="s">
        <v>141</v>
      </c>
      <c r="C49" s="56" t="s">
        <v>142</v>
      </c>
      <c r="D49" s="16">
        <v>35125</v>
      </c>
      <c r="E49" s="17"/>
      <c r="F49" s="2" t="s">
        <v>143</v>
      </c>
      <c r="G49" s="2" t="s">
        <v>144</v>
      </c>
      <c r="H49" s="10" t="s">
        <v>105</v>
      </c>
      <c r="I49" s="11" t="s">
        <v>53</v>
      </c>
      <c r="J49" s="11" t="s">
        <v>145</v>
      </c>
      <c r="K49" s="61"/>
      <c r="L49" s="11" t="s">
        <v>67</v>
      </c>
      <c r="M49" s="25"/>
      <c r="N49" s="54"/>
      <c r="O49" s="3" t="str">
        <f t="shared" si="14"/>
        <v>A</v>
      </c>
      <c r="P49" s="48">
        <v>260940</v>
      </c>
      <c r="Q49" s="48">
        <v>12616</v>
      </c>
      <c r="R49" s="32"/>
      <c r="S49" s="3" t="str">
        <f t="shared" si="15"/>
        <v>A</v>
      </c>
      <c r="T49" s="48">
        <v>220806</v>
      </c>
      <c r="U49" s="48">
        <v>14986</v>
      </c>
      <c r="V49" s="32"/>
      <c r="W49" s="3" t="str">
        <f t="shared" si="3"/>
        <v>A</v>
      </c>
      <c r="X49" s="48">
        <v>207733</v>
      </c>
      <c r="Y49" s="48">
        <v>14188</v>
      </c>
      <c r="Z49" s="32"/>
      <c r="AA49" s="3" t="str">
        <f t="shared" si="4"/>
        <v>A</v>
      </c>
      <c r="AB49" s="48">
        <v>229528</v>
      </c>
      <c r="AC49" s="48">
        <v>12740</v>
      </c>
      <c r="AD49" s="36"/>
      <c r="AE49" s="54"/>
      <c r="AF49" s="3" t="str">
        <f t="shared" si="5"/>
        <v>A</v>
      </c>
      <c r="AG49" s="48">
        <v>0</v>
      </c>
      <c r="AH49" s="48">
        <v>0</v>
      </c>
      <c r="AI49" s="38"/>
      <c r="AJ49" s="79" t="s">
        <v>1801</v>
      </c>
      <c r="AK49" s="38"/>
      <c r="AL49" s="4">
        <f t="shared" si="12"/>
        <v>919007</v>
      </c>
      <c r="AM49" s="4">
        <f t="shared" si="12"/>
        <v>54530</v>
      </c>
      <c r="AN49" s="4">
        <f t="shared" si="7"/>
        <v>973537</v>
      </c>
      <c r="AO49" s="38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48">
        <v>919007</v>
      </c>
      <c r="AU49" s="48">
        <v>54530</v>
      </c>
      <c r="AV49" s="4">
        <f t="shared" si="10"/>
        <v>973537</v>
      </c>
      <c r="AW49" s="50" t="str">
        <f t="shared" si="11"/>
        <v/>
      </c>
      <c r="AX49" s="1" t="s">
        <v>1650</v>
      </c>
      <c r="AY49" s="2" t="s">
        <v>1651</v>
      </c>
      <c r="AZ49" s="2">
        <v>236174.16</v>
      </c>
      <c r="BA49" s="2">
        <v>206652.39</v>
      </c>
      <c r="BB49" s="2">
        <v>206652.39</v>
      </c>
      <c r="BC49" s="2">
        <v>236174.16</v>
      </c>
      <c r="BE49" s="66">
        <v>3.5000000000000003E-2</v>
      </c>
      <c r="BF49" s="66">
        <v>0.05</v>
      </c>
      <c r="BG49" s="63">
        <v>44092</v>
      </c>
      <c r="BH49" s="74">
        <v>43910</v>
      </c>
      <c r="BI49" s="74">
        <v>43922</v>
      </c>
      <c r="BL49" s="1" t="s">
        <v>104</v>
      </c>
    </row>
    <row r="50" spans="1:64" s="2" customFormat="1" ht="10.8" x14ac:dyDescent="0.25">
      <c r="A50" s="56" t="s">
        <v>141</v>
      </c>
      <c r="B50" s="54" t="s">
        <v>823</v>
      </c>
      <c r="C50" s="56" t="s">
        <v>824</v>
      </c>
      <c r="D50" s="16">
        <v>43603</v>
      </c>
      <c r="E50" s="17"/>
      <c r="F50" s="2" t="s">
        <v>143</v>
      </c>
      <c r="G50" s="2" t="s">
        <v>144</v>
      </c>
      <c r="H50" s="10" t="s">
        <v>105</v>
      </c>
      <c r="I50" s="11" t="s">
        <v>53</v>
      </c>
      <c r="J50" s="11" t="s">
        <v>145</v>
      </c>
      <c r="K50" s="61"/>
      <c r="L50" s="11" t="s">
        <v>67</v>
      </c>
      <c r="M50" s="25"/>
      <c r="N50" s="54"/>
      <c r="O50" s="3" t="str">
        <f t="shared" si="14"/>
        <v>A</v>
      </c>
      <c r="P50" s="48">
        <v>178329</v>
      </c>
      <c r="Q50" s="48">
        <v>14512</v>
      </c>
      <c r="R50" s="32"/>
      <c r="S50" s="3" t="str">
        <f t="shared" si="15"/>
        <v>A</v>
      </c>
      <c r="T50" s="48">
        <v>153656</v>
      </c>
      <c r="U50" s="48">
        <v>17383</v>
      </c>
      <c r="V50" s="32"/>
      <c r="W50" s="3" t="str">
        <f t="shared" si="3"/>
        <v>A</v>
      </c>
      <c r="X50" s="48">
        <v>139281</v>
      </c>
      <c r="Y50" s="48">
        <v>16211</v>
      </c>
      <c r="Z50" s="32"/>
      <c r="AA50" s="3" t="str">
        <f t="shared" si="4"/>
        <v>A</v>
      </c>
      <c r="AB50" s="48">
        <v>157477</v>
      </c>
      <c r="AC50" s="48">
        <v>16924</v>
      </c>
      <c r="AD50" s="36"/>
      <c r="AE50" s="54"/>
      <c r="AF50" s="3" t="str">
        <f t="shared" si="5"/>
        <v>A</v>
      </c>
      <c r="AG50" s="48">
        <v>0</v>
      </c>
      <c r="AH50" s="48">
        <v>0</v>
      </c>
      <c r="AI50" s="39"/>
      <c r="AJ50" s="79" t="s">
        <v>1801</v>
      </c>
      <c r="AK50" s="39"/>
      <c r="AL50" s="4">
        <f t="shared" si="12"/>
        <v>628743</v>
      </c>
      <c r="AM50" s="4">
        <f t="shared" si="12"/>
        <v>65030</v>
      </c>
      <c r="AN50" s="4">
        <f t="shared" si="7"/>
        <v>693773</v>
      </c>
      <c r="AO50" s="39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48">
        <v>628743</v>
      </c>
      <c r="AU50" s="48">
        <v>65030</v>
      </c>
      <c r="AV50" s="4">
        <f t="shared" si="10"/>
        <v>693773</v>
      </c>
      <c r="AW50" s="50" t="str">
        <f t="shared" si="11"/>
        <v/>
      </c>
      <c r="AX50" s="1" t="s">
        <v>1650</v>
      </c>
      <c r="AY50" s="2" t="s">
        <v>1651</v>
      </c>
      <c r="AZ50" s="2">
        <v>119416.24</v>
      </c>
      <c r="BA50" s="2">
        <v>104489.21</v>
      </c>
      <c r="BB50" s="2">
        <v>104489.21</v>
      </c>
      <c r="BC50" s="2">
        <v>119416.24</v>
      </c>
      <c r="BE50" s="66">
        <v>4.4999999999999998E-2</v>
      </c>
      <c r="BF50" s="66">
        <v>0.05</v>
      </c>
      <c r="BG50" s="63">
        <v>44092</v>
      </c>
      <c r="BH50" s="74">
        <v>43949</v>
      </c>
      <c r="BI50" s="74">
        <v>43953</v>
      </c>
      <c r="BL50" s="1" t="s">
        <v>104</v>
      </c>
    </row>
    <row r="51" spans="1:64" s="5" customFormat="1" ht="10.8" x14ac:dyDescent="0.25">
      <c r="A51" s="56" t="s">
        <v>141</v>
      </c>
      <c r="B51" s="54" t="s">
        <v>937</v>
      </c>
      <c r="C51" s="56" t="s">
        <v>938</v>
      </c>
      <c r="D51" s="16">
        <v>0</v>
      </c>
      <c r="E51" s="17"/>
      <c r="F51" s="2" t="s">
        <v>143</v>
      </c>
      <c r="G51" s="2" t="s">
        <v>144</v>
      </c>
      <c r="H51" s="10" t="s">
        <v>105</v>
      </c>
      <c r="I51" s="11" t="s">
        <v>53</v>
      </c>
      <c r="J51" s="11" t="s">
        <v>145</v>
      </c>
      <c r="K51" s="61"/>
      <c r="L51" s="11" t="s">
        <v>67</v>
      </c>
      <c r="M51" s="25"/>
      <c r="N51" s="54"/>
      <c r="O51" s="3" t="str">
        <f t="shared" si="14"/>
        <v>A</v>
      </c>
      <c r="P51" s="48">
        <v>169273</v>
      </c>
      <c r="Q51" s="48">
        <v>5858</v>
      </c>
      <c r="R51" s="32"/>
      <c r="S51" s="3" t="str">
        <f t="shared" si="15"/>
        <v>A</v>
      </c>
      <c r="T51" s="48">
        <v>146012</v>
      </c>
      <c r="U51" s="48">
        <v>7757</v>
      </c>
      <c r="V51" s="32"/>
      <c r="W51" s="3" t="str">
        <f t="shared" si="3"/>
        <v>A</v>
      </c>
      <c r="X51" s="48">
        <v>141114</v>
      </c>
      <c r="Y51" s="48">
        <v>6477</v>
      </c>
      <c r="Z51" s="32"/>
      <c r="AA51" s="3" t="str">
        <f t="shared" si="4"/>
        <v>A</v>
      </c>
      <c r="AB51" s="48">
        <v>155144</v>
      </c>
      <c r="AC51" s="48">
        <v>4153</v>
      </c>
      <c r="AD51" s="36"/>
      <c r="AE51" s="54"/>
      <c r="AF51" s="3" t="str">
        <f t="shared" si="5"/>
        <v>A</v>
      </c>
      <c r="AG51" s="48">
        <v>0</v>
      </c>
      <c r="AH51" s="48">
        <v>0</v>
      </c>
      <c r="AI51" s="39"/>
      <c r="AJ51" s="79" t="s">
        <v>1801</v>
      </c>
      <c r="AK51" s="39"/>
      <c r="AL51" s="4">
        <f t="shared" si="12"/>
        <v>611543</v>
      </c>
      <c r="AM51" s="4">
        <f t="shared" si="12"/>
        <v>24245</v>
      </c>
      <c r="AN51" s="4">
        <f t="shared" si="7"/>
        <v>635788</v>
      </c>
      <c r="AO51" s="39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48">
        <v>611543</v>
      </c>
      <c r="AU51" s="48">
        <v>24245</v>
      </c>
      <c r="AV51" s="4">
        <f t="shared" si="10"/>
        <v>635788</v>
      </c>
      <c r="AW51" s="50" t="str">
        <f t="shared" si="11"/>
        <v/>
      </c>
      <c r="AX51" s="1" t="s">
        <v>1650</v>
      </c>
      <c r="AY51" s="2" t="s">
        <v>1651</v>
      </c>
      <c r="AZ51" s="2">
        <v>49055.68</v>
      </c>
      <c r="BA51" s="2">
        <v>42923.72</v>
      </c>
      <c r="BB51" s="2">
        <v>42923.72</v>
      </c>
      <c r="BC51" s="2">
        <v>49055.68</v>
      </c>
      <c r="BD51" s="2"/>
      <c r="BE51" s="66">
        <v>0</v>
      </c>
      <c r="BF51" s="66">
        <v>0.05</v>
      </c>
      <c r="BG51" s="63">
        <v>44151</v>
      </c>
      <c r="BH51" s="74">
        <v>45072</v>
      </c>
      <c r="BI51" s="74">
        <v>45082</v>
      </c>
      <c r="BJ51" s="2">
        <v>332903.93</v>
      </c>
      <c r="BK51" s="2">
        <v>36989.33</v>
      </c>
      <c r="BL51" s="1" t="s">
        <v>104</v>
      </c>
    </row>
    <row r="52" spans="1:64" x14ac:dyDescent="0.25">
      <c r="A52" s="56" t="s">
        <v>141</v>
      </c>
      <c r="B52" s="54" t="s">
        <v>976</v>
      </c>
      <c r="C52" s="56" t="s">
        <v>977</v>
      </c>
      <c r="D52" s="16">
        <v>44545</v>
      </c>
      <c r="E52" s="17"/>
      <c r="F52" s="2" t="s">
        <v>143</v>
      </c>
      <c r="G52" s="2" t="s">
        <v>144</v>
      </c>
      <c r="H52" s="10" t="s">
        <v>105</v>
      </c>
      <c r="I52" s="11" t="s">
        <v>53</v>
      </c>
      <c r="J52" s="11" t="s">
        <v>145</v>
      </c>
      <c r="K52" s="61"/>
      <c r="L52" s="11" t="s">
        <v>67</v>
      </c>
      <c r="M52" s="25"/>
      <c r="N52" s="54"/>
      <c r="O52" s="3" t="str">
        <f t="shared" si="14"/>
        <v>A</v>
      </c>
      <c r="P52" s="48">
        <v>380163</v>
      </c>
      <c r="Q52" s="48">
        <v>15654</v>
      </c>
      <c r="R52" s="32"/>
      <c r="S52" s="3" t="str">
        <f t="shared" si="15"/>
        <v>A</v>
      </c>
      <c r="T52" s="48">
        <v>331196</v>
      </c>
      <c r="U52" s="48">
        <v>17155</v>
      </c>
      <c r="V52" s="32"/>
      <c r="W52" s="3" t="str">
        <f t="shared" si="3"/>
        <v>A</v>
      </c>
      <c r="X52" s="48">
        <v>312965</v>
      </c>
      <c r="Y52" s="48">
        <v>15164</v>
      </c>
      <c r="Z52" s="32"/>
      <c r="AA52" s="3" t="str">
        <f t="shared" si="4"/>
        <v>A</v>
      </c>
      <c r="AB52" s="48">
        <v>362427</v>
      </c>
      <c r="AC52" s="48">
        <v>14590</v>
      </c>
      <c r="AD52" s="36"/>
      <c r="AE52" s="54"/>
      <c r="AF52" s="3" t="str">
        <f t="shared" si="5"/>
        <v>A</v>
      </c>
      <c r="AG52" s="48">
        <v>0</v>
      </c>
      <c r="AH52" s="48">
        <v>0</v>
      </c>
      <c r="AI52" s="39"/>
      <c r="AJ52" s="79" t="s">
        <v>1801</v>
      </c>
      <c r="AK52" s="39"/>
      <c r="AL52" s="4">
        <f t="shared" si="12"/>
        <v>1386751</v>
      </c>
      <c r="AM52" s="4">
        <f t="shared" si="12"/>
        <v>62563</v>
      </c>
      <c r="AN52" s="4">
        <f t="shared" si="7"/>
        <v>1449314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48">
        <v>1386751</v>
      </c>
      <c r="AU52" s="48">
        <v>62563</v>
      </c>
      <c r="AV52" s="4">
        <f t="shared" si="10"/>
        <v>1449314</v>
      </c>
      <c r="AW52" s="50" t="str">
        <f t="shared" si="11"/>
        <v/>
      </c>
      <c r="AX52" s="1" t="s">
        <v>1650</v>
      </c>
      <c r="AY52" s="2" t="s">
        <v>1651</v>
      </c>
      <c r="AZ52" s="2">
        <v>89805.84</v>
      </c>
      <c r="BA52" s="73">
        <v>78580.11</v>
      </c>
      <c r="BB52" s="73">
        <v>78580.11</v>
      </c>
      <c r="BC52" s="73">
        <v>89805.84</v>
      </c>
      <c r="BD52" s="73"/>
      <c r="BE52" s="66">
        <v>0</v>
      </c>
      <c r="BF52" s="66">
        <v>0.05</v>
      </c>
      <c r="BG52" s="63">
        <v>44544</v>
      </c>
      <c r="BH52" s="2"/>
      <c r="BI52" s="2"/>
      <c r="BJ52" s="2">
        <v>335778.75</v>
      </c>
      <c r="BK52" s="2">
        <v>37308.75</v>
      </c>
      <c r="BL52" s="1" t="s">
        <v>104</v>
      </c>
    </row>
    <row r="53" spans="1:64" x14ac:dyDescent="0.25">
      <c r="A53" s="56" t="s">
        <v>141</v>
      </c>
      <c r="B53" s="54" t="s">
        <v>1411</v>
      </c>
      <c r="C53" s="56" t="s">
        <v>1412</v>
      </c>
      <c r="D53" s="16">
        <v>45349</v>
      </c>
      <c r="E53" s="17"/>
      <c r="F53" s="2" t="s">
        <v>143</v>
      </c>
      <c r="G53" s="2" t="s">
        <v>144</v>
      </c>
      <c r="H53" s="10" t="s">
        <v>105</v>
      </c>
      <c r="I53" s="11" t="s">
        <v>53</v>
      </c>
      <c r="J53" s="11" t="s">
        <v>145</v>
      </c>
      <c r="K53" s="61"/>
      <c r="L53" s="11" t="s">
        <v>67</v>
      </c>
      <c r="M53" s="25"/>
      <c r="N53" s="54"/>
      <c r="O53" s="3" t="str">
        <f>IF($A53="","",IF(P53=AZ53,"E","A"))</f>
        <v>A</v>
      </c>
      <c r="P53" s="48">
        <v>227828</v>
      </c>
      <c r="Q53" s="48">
        <v>6190</v>
      </c>
      <c r="R53" s="32"/>
      <c r="S53" s="3" t="str">
        <f>IF($A53="","",IF(T53=BA53,"E","A"))</f>
        <v>A</v>
      </c>
      <c r="T53" s="48">
        <v>183695</v>
      </c>
      <c r="U53" s="48">
        <v>8445</v>
      </c>
      <c r="V53" s="32"/>
      <c r="W53" s="3" t="str">
        <f t="shared" si="3"/>
        <v>A</v>
      </c>
      <c r="X53" s="48">
        <v>161043</v>
      </c>
      <c r="Y53" s="48">
        <v>6605</v>
      </c>
      <c r="Z53" s="32"/>
      <c r="AA53" s="3" t="str">
        <f t="shared" si="4"/>
        <v>A</v>
      </c>
      <c r="AB53" s="48">
        <v>189403</v>
      </c>
      <c r="AC53" s="48">
        <v>6005</v>
      </c>
      <c r="AD53" s="36"/>
      <c r="AE53" s="54"/>
      <c r="AF53" s="3" t="str">
        <f t="shared" si="5"/>
        <v>A</v>
      </c>
      <c r="AG53" s="48">
        <v>0</v>
      </c>
      <c r="AH53" s="48">
        <v>0</v>
      </c>
      <c r="AI53" s="39"/>
      <c r="AJ53" s="79" t="s">
        <v>1801</v>
      </c>
      <c r="AK53" s="39"/>
      <c r="AL53" s="4">
        <f t="shared" si="12"/>
        <v>761969</v>
      </c>
      <c r="AM53" s="4">
        <f t="shared" si="12"/>
        <v>27245</v>
      </c>
      <c r="AN53" s="4">
        <f t="shared" si="7"/>
        <v>789214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48">
        <v>761969</v>
      </c>
      <c r="AU53" s="48">
        <v>27245</v>
      </c>
      <c r="AV53" s="4">
        <f t="shared" si="10"/>
        <v>789214</v>
      </c>
      <c r="AW53" s="50" t="str">
        <f t="shared" si="11"/>
        <v/>
      </c>
      <c r="AX53" s="1" t="s">
        <v>1650</v>
      </c>
      <c r="AY53" s="2" t="s">
        <v>1651</v>
      </c>
      <c r="AZ53" s="2">
        <v>136050.64000000001</v>
      </c>
      <c r="BA53" s="73">
        <v>119044.31</v>
      </c>
      <c r="BB53" s="73">
        <v>119044.31</v>
      </c>
      <c r="BC53" s="73">
        <v>136050.64000000001</v>
      </c>
      <c r="BD53" s="73"/>
      <c r="BE53" s="66">
        <v>0</v>
      </c>
      <c r="BF53" s="66">
        <v>0.05</v>
      </c>
      <c r="BG53" s="63">
        <v>45349</v>
      </c>
      <c r="BH53" s="2"/>
      <c r="BI53" s="2"/>
      <c r="BJ53" s="2">
        <v>491589</v>
      </c>
      <c r="BK53" s="2">
        <v>25808.42</v>
      </c>
      <c r="BL53" s="1" t="s">
        <v>104</v>
      </c>
    </row>
    <row r="54" spans="1:64" x14ac:dyDescent="0.25">
      <c r="A54" s="56" t="s">
        <v>146</v>
      </c>
      <c r="B54" s="54" t="s">
        <v>146</v>
      </c>
      <c r="C54" s="56" t="s">
        <v>147</v>
      </c>
      <c r="D54" s="16">
        <v>35216</v>
      </c>
      <c r="E54" s="17"/>
      <c r="F54" s="2" t="s">
        <v>52</v>
      </c>
      <c r="G54" s="2" t="s">
        <v>55</v>
      </c>
      <c r="H54" s="10" t="s">
        <v>57</v>
      </c>
      <c r="I54" s="11" t="s">
        <v>54</v>
      </c>
      <c r="J54" s="11" t="s">
        <v>135</v>
      </c>
      <c r="K54" s="61" t="s">
        <v>136</v>
      </c>
      <c r="L54" s="11" t="s">
        <v>67</v>
      </c>
      <c r="M54" s="25"/>
      <c r="N54" s="54"/>
      <c r="O54" s="3" t="str">
        <f t="shared" ref="O54:O82" si="16">IF($A54="","",IF(P54=0,"A",IF(P54=AZ54,"E","A")))</f>
        <v>A</v>
      </c>
      <c r="P54" s="48">
        <v>143057.15</v>
      </c>
      <c r="Q54" s="48">
        <v>24518</v>
      </c>
      <c r="R54" s="32"/>
      <c r="S54" s="3" t="str">
        <f t="shared" ref="S54:S82" si="17">IF($A54="","",IF(T54=0,"A",IF(T54=BA54,"E","A")))</f>
        <v>A</v>
      </c>
      <c r="T54" s="48">
        <v>122021.29999999999</v>
      </c>
      <c r="U54" s="48">
        <v>23879</v>
      </c>
      <c r="V54" s="32"/>
      <c r="W54" s="3" t="str">
        <f t="shared" si="3"/>
        <v>A</v>
      </c>
      <c r="X54" s="48">
        <v>112424.35</v>
      </c>
      <c r="Y54" s="48">
        <v>19453</v>
      </c>
      <c r="Z54" s="32"/>
      <c r="AA54" s="3" t="str">
        <f t="shared" si="4"/>
        <v>A</v>
      </c>
      <c r="AB54" s="48">
        <v>124632.90000000001</v>
      </c>
      <c r="AC54" s="48">
        <v>21060.799999999999</v>
      </c>
      <c r="AD54" s="36"/>
      <c r="AE54" s="54"/>
      <c r="AF54" s="3" t="str">
        <f t="shared" si="5"/>
        <v>A</v>
      </c>
      <c r="AG54" s="48">
        <v>0</v>
      </c>
      <c r="AH54" s="48">
        <v>0</v>
      </c>
      <c r="AI54" s="38"/>
      <c r="AJ54" s="79" t="s">
        <v>1801</v>
      </c>
      <c r="AK54" s="38"/>
      <c r="AL54" s="4">
        <f t="shared" si="12"/>
        <v>502135.69999999995</v>
      </c>
      <c r="AM54" s="4">
        <f t="shared" si="12"/>
        <v>88910.8</v>
      </c>
      <c r="AN54" s="4">
        <f t="shared" si="7"/>
        <v>591046.5</v>
      </c>
      <c r="AO54" s="38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48">
        <v>502135.69999999995</v>
      </c>
      <c r="AU54" s="48">
        <v>88910.8</v>
      </c>
      <c r="AV54" s="4">
        <f t="shared" si="10"/>
        <v>591046.5</v>
      </c>
      <c r="AW54" s="50" t="str">
        <f t="shared" si="11"/>
        <v/>
      </c>
      <c r="AX54" s="1" t="s">
        <v>1639</v>
      </c>
      <c r="AY54" s="2" t="s">
        <v>1640</v>
      </c>
      <c r="AZ54" s="2">
        <v>136294.39999999999</v>
      </c>
      <c r="BA54" s="73">
        <v>119257.60000000001</v>
      </c>
      <c r="BB54" s="73">
        <v>119257.60000000001</v>
      </c>
      <c r="BC54" s="73">
        <v>136294.39999999999</v>
      </c>
      <c r="BD54" s="73"/>
      <c r="BE54" s="66">
        <v>2.5000000000000001E-2</v>
      </c>
      <c r="BF54" s="66">
        <v>0.02</v>
      </c>
      <c r="BG54" s="63">
        <v>45657</v>
      </c>
      <c r="BH54" s="2"/>
      <c r="BI54" s="2"/>
      <c r="BJ54" s="2"/>
      <c r="BK54" s="2"/>
      <c r="BL54" s="1" t="s">
        <v>56</v>
      </c>
    </row>
    <row r="55" spans="1:64" x14ac:dyDescent="0.25">
      <c r="A55" s="56" t="s">
        <v>146</v>
      </c>
      <c r="B55" s="54" t="s">
        <v>654</v>
      </c>
      <c r="C55" s="56" t="s">
        <v>655</v>
      </c>
      <c r="D55" s="16">
        <v>35404</v>
      </c>
      <c r="E55" s="17"/>
      <c r="F55" s="2" t="s">
        <v>52</v>
      </c>
      <c r="G55" s="2" t="s">
        <v>55</v>
      </c>
      <c r="H55" s="10" t="s">
        <v>57</v>
      </c>
      <c r="I55" s="11" t="s">
        <v>54</v>
      </c>
      <c r="J55" s="11" t="s">
        <v>135</v>
      </c>
      <c r="K55" s="61" t="s">
        <v>136</v>
      </c>
      <c r="L55" s="11" t="s">
        <v>67</v>
      </c>
      <c r="M55" s="25"/>
      <c r="N55" s="54"/>
      <c r="O55" s="3" t="str">
        <f t="shared" si="16"/>
        <v>A</v>
      </c>
      <c r="P55" s="48">
        <v>52618</v>
      </c>
      <c r="Q55" s="48">
        <v>15450</v>
      </c>
      <c r="R55" s="32"/>
      <c r="S55" s="3" t="str">
        <f t="shared" si="17"/>
        <v>A</v>
      </c>
      <c r="T55" s="48">
        <v>48094</v>
      </c>
      <c r="U55" s="48">
        <v>15437</v>
      </c>
      <c r="V55" s="32"/>
      <c r="W55" s="3" t="str">
        <f t="shared" si="3"/>
        <v>A</v>
      </c>
      <c r="X55" s="48">
        <v>49358</v>
      </c>
      <c r="Y55" s="48">
        <v>14538</v>
      </c>
      <c r="Z55" s="32"/>
      <c r="AA55" s="3" t="str">
        <f t="shared" si="4"/>
        <v>A</v>
      </c>
      <c r="AB55" s="48">
        <v>45703</v>
      </c>
      <c r="AC55" s="48">
        <v>14883</v>
      </c>
      <c r="AD55" s="36"/>
      <c r="AE55" s="54"/>
      <c r="AF55" s="3" t="str">
        <f t="shared" si="5"/>
        <v>A</v>
      </c>
      <c r="AG55" s="48">
        <v>0</v>
      </c>
      <c r="AH55" s="48">
        <v>0</v>
      </c>
      <c r="AI55" s="39"/>
      <c r="AJ55" s="79" t="s">
        <v>1801</v>
      </c>
      <c r="AK55" s="39"/>
      <c r="AL55" s="4">
        <f t="shared" si="12"/>
        <v>195773</v>
      </c>
      <c r="AM55" s="4">
        <f t="shared" si="12"/>
        <v>60308</v>
      </c>
      <c r="AN55" s="4">
        <f t="shared" si="7"/>
        <v>256081</v>
      </c>
      <c r="AO55" s="39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48">
        <v>195773</v>
      </c>
      <c r="AU55" s="48">
        <v>60308</v>
      </c>
      <c r="AV55" s="4">
        <f t="shared" si="10"/>
        <v>256081</v>
      </c>
      <c r="AW55" s="50" t="str">
        <f t="shared" si="11"/>
        <v/>
      </c>
      <c r="AX55" s="1" t="s">
        <v>1639</v>
      </c>
      <c r="AY55" s="2" t="s">
        <v>1640</v>
      </c>
      <c r="AZ55" s="2">
        <v>44652.480000000003</v>
      </c>
      <c r="BA55" s="73">
        <v>39070.92</v>
      </c>
      <c r="BB55" s="73">
        <v>39070.92</v>
      </c>
      <c r="BC55" s="73">
        <v>44652.480000000003</v>
      </c>
      <c r="BD55" s="73"/>
      <c r="BE55" s="66">
        <v>3.5000000000000003E-2</v>
      </c>
      <c r="BF55" s="66">
        <v>0.02</v>
      </c>
      <c r="BG55" s="63">
        <v>45657</v>
      </c>
      <c r="BH55" s="2"/>
      <c r="BI55" s="2"/>
      <c r="BJ55" s="2"/>
      <c r="BK55" s="2"/>
      <c r="BL55" s="1" t="s">
        <v>56</v>
      </c>
    </row>
    <row r="56" spans="1:64" x14ac:dyDescent="0.25">
      <c r="A56" s="56" t="s">
        <v>148</v>
      </c>
      <c r="B56" s="54" t="s">
        <v>148</v>
      </c>
      <c r="C56" s="56" t="s">
        <v>149</v>
      </c>
      <c r="D56" s="16">
        <v>35186</v>
      </c>
      <c r="E56" s="17"/>
      <c r="F56" s="2" t="s">
        <v>52</v>
      </c>
      <c r="G56" s="2" t="s">
        <v>55</v>
      </c>
      <c r="H56" s="10" t="s">
        <v>57</v>
      </c>
      <c r="I56" s="11" t="s">
        <v>54</v>
      </c>
      <c r="J56" s="11" t="s">
        <v>135</v>
      </c>
      <c r="K56" s="61" t="s">
        <v>136</v>
      </c>
      <c r="L56" s="11" t="s">
        <v>67</v>
      </c>
      <c r="M56" s="25"/>
      <c r="N56" s="54"/>
      <c r="O56" s="3" t="str">
        <f t="shared" si="16"/>
        <v>A</v>
      </c>
      <c r="P56" s="48">
        <v>105221.03</v>
      </c>
      <c r="Q56" s="48">
        <v>17840.36</v>
      </c>
      <c r="R56" s="32"/>
      <c r="S56" s="3" t="str">
        <f t="shared" si="17"/>
        <v>A</v>
      </c>
      <c r="T56" s="48">
        <v>111043.98999999999</v>
      </c>
      <c r="U56" s="48">
        <v>20650.349999999999</v>
      </c>
      <c r="V56" s="32"/>
      <c r="W56" s="3" t="str">
        <f t="shared" si="3"/>
        <v>A</v>
      </c>
      <c r="X56" s="48">
        <v>103110.13000000002</v>
      </c>
      <c r="Y56" s="48">
        <v>22557.54</v>
      </c>
      <c r="Z56" s="32"/>
      <c r="AA56" s="3" t="str">
        <f t="shared" si="4"/>
        <v>A</v>
      </c>
      <c r="AB56" s="48">
        <v>112863.16999999998</v>
      </c>
      <c r="AC56" s="48">
        <v>18887.29</v>
      </c>
      <c r="AD56" s="36"/>
      <c r="AE56" s="54"/>
      <c r="AF56" s="3" t="str">
        <f t="shared" si="5"/>
        <v>A</v>
      </c>
      <c r="AG56" s="48">
        <v>0</v>
      </c>
      <c r="AH56" s="48">
        <v>0</v>
      </c>
      <c r="AI56" s="38"/>
      <c r="AJ56" s="79" t="s">
        <v>1801</v>
      </c>
      <c r="AK56" s="38"/>
      <c r="AL56" s="4">
        <f t="shared" si="12"/>
        <v>432238.32</v>
      </c>
      <c r="AM56" s="4">
        <f t="shared" si="12"/>
        <v>79935.540000000008</v>
      </c>
      <c r="AN56" s="4">
        <f t="shared" si="7"/>
        <v>512173.86</v>
      </c>
      <c r="AO56" s="38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48">
        <v>432238.31999999989</v>
      </c>
      <c r="AU56" s="48">
        <v>79935.539999999994</v>
      </c>
      <c r="AV56" s="4">
        <f t="shared" si="10"/>
        <v>512173.85999999987</v>
      </c>
      <c r="AW56" s="50" t="str">
        <f t="shared" si="11"/>
        <v/>
      </c>
      <c r="AX56" s="1" t="s">
        <v>1639</v>
      </c>
      <c r="AY56" s="2" t="s">
        <v>1640</v>
      </c>
      <c r="AZ56" s="2">
        <v>120789.28</v>
      </c>
      <c r="BA56" s="73">
        <v>105690.62</v>
      </c>
      <c r="BB56" s="73">
        <v>105690.62</v>
      </c>
      <c r="BC56" s="73">
        <v>120789.28</v>
      </c>
      <c r="BD56" s="73"/>
      <c r="BE56" s="66">
        <v>2.5000000000000001E-2</v>
      </c>
      <c r="BF56" s="66">
        <v>0.02</v>
      </c>
      <c r="BG56" s="63">
        <v>45752</v>
      </c>
      <c r="BH56" s="2"/>
      <c r="BI56" s="2"/>
      <c r="BJ56" s="2"/>
      <c r="BK56" s="2"/>
      <c r="BL56" s="1" t="s">
        <v>56</v>
      </c>
    </row>
    <row r="57" spans="1:64" x14ac:dyDescent="0.25">
      <c r="A57" s="56" t="s">
        <v>148</v>
      </c>
      <c r="B57" s="54" t="s">
        <v>656</v>
      </c>
      <c r="C57" s="56" t="s">
        <v>657</v>
      </c>
      <c r="D57" s="16">
        <v>0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135</v>
      </c>
      <c r="K57" s="61" t="s">
        <v>136</v>
      </c>
      <c r="L57" s="11" t="s">
        <v>67</v>
      </c>
      <c r="M57" s="25"/>
      <c r="N57" s="54"/>
      <c r="O57" s="3" t="str">
        <f t="shared" si="16"/>
        <v>A</v>
      </c>
      <c r="P57" s="48">
        <v>25267</v>
      </c>
      <c r="Q57" s="48">
        <v>9764</v>
      </c>
      <c r="R57" s="32"/>
      <c r="S57" s="3" t="str">
        <f t="shared" si="17"/>
        <v>A</v>
      </c>
      <c r="T57" s="48">
        <v>22120</v>
      </c>
      <c r="U57" s="48">
        <v>8141</v>
      </c>
      <c r="V57" s="32"/>
      <c r="W57" s="3" t="str">
        <f t="shared" si="3"/>
        <v>A</v>
      </c>
      <c r="X57" s="48">
        <v>19263</v>
      </c>
      <c r="Y57" s="48">
        <v>8070</v>
      </c>
      <c r="Z57" s="32"/>
      <c r="AA57" s="3" t="str">
        <f t="shared" si="4"/>
        <v>A</v>
      </c>
      <c r="AB57" s="48">
        <v>21609</v>
      </c>
      <c r="AC57" s="48">
        <v>10340</v>
      </c>
      <c r="AD57" s="36"/>
      <c r="AE57" s="54"/>
      <c r="AF57" s="3" t="str">
        <f t="shared" si="5"/>
        <v>A</v>
      </c>
      <c r="AG57" s="48">
        <v>0</v>
      </c>
      <c r="AH57" s="48">
        <v>0</v>
      </c>
      <c r="AI57" s="39"/>
      <c r="AJ57" s="79" t="s">
        <v>1801</v>
      </c>
      <c r="AK57" s="39"/>
      <c r="AL57" s="4">
        <f t="shared" si="12"/>
        <v>88259</v>
      </c>
      <c r="AM57" s="4">
        <f t="shared" si="12"/>
        <v>36315</v>
      </c>
      <c r="AN57" s="4">
        <f t="shared" si="7"/>
        <v>124574</v>
      </c>
      <c r="AO57" s="39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48">
        <v>88259</v>
      </c>
      <c r="AU57" s="48">
        <v>36315</v>
      </c>
      <c r="AV57" s="4">
        <f t="shared" si="10"/>
        <v>124574</v>
      </c>
      <c r="AW57" s="50" t="str">
        <f t="shared" si="11"/>
        <v/>
      </c>
      <c r="AX57" s="1" t="s">
        <v>1639</v>
      </c>
      <c r="AY57" s="2" t="s">
        <v>1640</v>
      </c>
      <c r="AZ57" s="2">
        <v>23696.240000000002</v>
      </c>
      <c r="BA57" s="73">
        <v>20734.21</v>
      </c>
      <c r="BB57" s="73">
        <v>20734.21</v>
      </c>
      <c r="BC57" s="73">
        <v>23696.240000000002</v>
      </c>
      <c r="BD57" s="73"/>
      <c r="BE57" s="66">
        <v>2.5000000000000001E-2</v>
      </c>
      <c r="BF57" s="66">
        <v>0.02</v>
      </c>
      <c r="BG57" s="63">
        <v>45752</v>
      </c>
      <c r="BH57" s="74">
        <v>43953</v>
      </c>
      <c r="BI57" s="74">
        <v>43963</v>
      </c>
      <c r="BJ57" s="2"/>
      <c r="BK57" s="2"/>
      <c r="BL57" s="1" t="s">
        <v>56</v>
      </c>
    </row>
    <row r="58" spans="1:64" x14ac:dyDescent="0.25">
      <c r="A58" s="56" t="s">
        <v>148</v>
      </c>
      <c r="B58" s="54" t="s">
        <v>1057</v>
      </c>
      <c r="C58" s="56" t="s">
        <v>1058</v>
      </c>
      <c r="D58" s="16">
        <v>44720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135</v>
      </c>
      <c r="K58" s="61" t="s">
        <v>136</v>
      </c>
      <c r="L58" s="11" t="s">
        <v>67</v>
      </c>
      <c r="M58" s="25"/>
      <c r="N58" s="54"/>
      <c r="O58" s="3" t="str">
        <f t="shared" si="16"/>
        <v>A</v>
      </c>
      <c r="P58" s="48">
        <v>19225</v>
      </c>
      <c r="Q58" s="48">
        <v>6665</v>
      </c>
      <c r="R58" s="32"/>
      <c r="S58" s="3" t="str">
        <f t="shared" si="17"/>
        <v>E</v>
      </c>
      <c r="T58" s="48">
        <v>64393.35</v>
      </c>
      <c r="U58" s="48">
        <v>6302.1</v>
      </c>
      <c r="V58" s="32"/>
      <c r="W58" s="3" t="str">
        <f t="shared" si="3"/>
        <v>E</v>
      </c>
      <c r="X58" s="48">
        <v>64393.35</v>
      </c>
      <c r="Y58" s="48">
        <v>6302.1</v>
      </c>
      <c r="Z58" s="32"/>
      <c r="AA58" s="3" t="str">
        <f t="shared" si="4"/>
        <v>E</v>
      </c>
      <c r="AB58" s="48">
        <v>73592.399999999994</v>
      </c>
      <c r="AC58" s="48">
        <v>7202.4</v>
      </c>
      <c r="AD58" s="36"/>
      <c r="AE58" s="54"/>
      <c r="AF58" s="3" t="str">
        <f t="shared" si="5"/>
        <v>A</v>
      </c>
      <c r="AG58" s="48">
        <v>0</v>
      </c>
      <c r="AH58" s="48">
        <v>0</v>
      </c>
      <c r="AI58" s="39"/>
      <c r="AJ58" s="79" t="s">
        <v>38</v>
      </c>
      <c r="AK58" s="39"/>
      <c r="AL58" s="4">
        <f t="shared" si="12"/>
        <v>19225</v>
      </c>
      <c r="AM58" s="4">
        <f t="shared" si="12"/>
        <v>6665</v>
      </c>
      <c r="AN58" s="4">
        <f t="shared" si="7"/>
        <v>25890</v>
      </c>
      <c r="AO58" s="39"/>
      <c r="AP58" s="8">
        <f t="shared" si="13"/>
        <v>202379.09999999998</v>
      </c>
      <c r="AQ58" s="8">
        <f t="shared" si="13"/>
        <v>19806.599999999999</v>
      </c>
      <c r="AR58" s="8">
        <f t="shared" si="9"/>
        <v>222185.69999999998</v>
      </c>
      <c r="AS58" s="42"/>
      <c r="AT58" s="48">
        <v>19225</v>
      </c>
      <c r="AU58" s="48">
        <v>6665</v>
      </c>
      <c r="AV58" s="4">
        <f t="shared" si="10"/>
        <v>25890</v>
      </c>
      <c r="AW58" s="50" t="str">
        <f t="shared" si="11"/>
        <v/>
      </c>
      <c r="AX58" s="1" t="s">
        <v>1639</v>
      </c>
      <c r="AY58" s="2" t="s">
        <v>1640</v>
      </c>
      <c r="AZ58" s="2">
        <v>73592.399999999994</v>
      </c>
      <c r="BA58" s="73">
        <v>64393.35</v>
      </c>
      <c r="BB58" s="73">
        <v>64393.35</v>
      </c>
      <c r="BC58" s="73">
        <v>73592.399999999994</v>
      </c>
      <c r="BD58" s="73"/>
      <c r="BE58" s="66">
        <v>0</v>
      </c>
      <c r="BF58" s="66">
        <v>0.02</v>
      </c>
      <c r="BG58" s="63">
        <v>44710</v>
      </c>
      <c r="BH58" s="2"/>
      <c r="BI58" s="2"/>
      <c r="BJ58" s="2">
        <v>268045.2</v>
      </c>
      <c r="BK58" s="2">
        <v>29782.799999999999</v>
      </c>
      <c r="BL58" s="1" t="s">
        <v>56</v>
      </c>
    </row>
    <row r="59" spans="1:64" x14ac:dyDescent="0.25">
      <c r="A59" s="56" t="s">
        <v>150</v>
      </c>
      <c r="B59" s="54" t="s">
        <v>150</v>
      </c>
      <c r="C59" s="56" t="s">
        <v>151</v>
      </c>
      <c r="D59" s="16">
        <v>35472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72</v>
      </c>
      <c r="K59" s="61" t="s">
        <v>73</v>
      </c>
      <c r="L59" s="11" t="s">
        <v>67</v>
      </c>
      <c r="M59" s="25"/>
      <c r="N59" s="54"/>
      <c r="O59" s="3" t="str">
        <f t="shared" si="16"/>
        <v>A</v>
      </c>
      <c r="P59" s="48">
        <v>147763</v>
      </c>
      <c r="Q59" s="48">
        <v>40103</v>
      </c>
      <c r="R59" s="32"/>
      <c r="S59" s="3" t="str">
        <f t="shared" si="17"/>
        <v>A</v>
      </c>
      <c r="T59" s="48">
        <v>141694</v>
      </c>
      <c r="U59" s="48">
        <v>34231</v>
      </c>
      <c r="V59" s="32"/>
      <c r="W59" s="3" t="str">
        <f t="shared" si="3"/>
        <v>A</v>
      </c>
      <c r="X59" s="48">
        <v>126889</v>
      </c>
      <c r="Y59" s="48">
        <v>29360</v>
      </c>
      <c r="Z59" s="32"/>
      <c r="AA59" s="3" t="str">
        <f t="shared" si="4"/>
        <v>A</v>
      </c>
      <c r="AB59" s="48">
        <v>131586</v>
      </c>
      <c r="AC59" s="48">
        <v>31496</v>
      </c>
      <c r="AD59" s="36"/>
      <c r="AE59" s="54"/>
      <c r="AF59" s="3" t="str">
        <f t="shared" si="5"/>
        <v>A</v>
      </c>
      <c r="AG59" s="48">
        <v>0</v>
      </c>
      <c r="AH59" s="48">
        <v>0</v>
      </c>
      <c r="AI59" s="38"/>
      <c r="AJ59" s="79" t="s">
        <v>1801</v>
      </c>
      <c r="AK59" s="38"/>
      <c r="AL59" s="4">
        <f t="shared" si="12"/>
        <v>547932</v>
      </c>
      <c r="AM59" s="4">
        <f t="shared" si="12"/>
        <v>135190</v>
      </c>
      <c r="AN59" s="4">
        <f t="shared" si="7"/>
        <v>683122</v>
      </c>
      <c r="AO59" s="38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48">
        <v>547932</v>
      </c>
      <c r="AU59" s="48">
        <v>135190</v>
      </c>
      <c r="AV59" s="4">
        <f t="shared" si="10"/>
        <v>683122</v>
      </c>
      <c r="AW59" s="50" t="str">
        <f t="shared" si="11"/>
        <v/>
      </c>
      <c r="AX59" s="1" t="s">
        <v>1639</v>
      </c>
      <c r="AY59" s="2" t="s">
        <v>1640</v>
      </c>
      <c r="AZ59" s="2">
        <v>219372.16</v>
      </c>
      <c r="BA59" s="73">
        <v>191950.64</v>
      </c>
      <c r="BB59" s="73">
        <v>191950.64</v>
      </c>
      <c r="BC59" s="73">
        <v>219372.16</v>
      </c>
      <c r="BD59" s="73"/>
      <c r="BE59" s="66">
        <v>2.5000000000000001E-2</v>
      </c>
      <c r="BF59" s="66">
        <v>0.02</v>
      </c>
      <c r="BG59" s="63">
        <v>45835</v>
      </c>
      <c r="BH59" s="2"/>
      <c r="BI59" s="2"/>
      <c r="BJ59" s="2"/>
      <c r="BK59" s="2"/>
      <c r="BL59" s="1" t="s">
        <v>56</v>
      </c>
    </row>
    <row r="60" spans="1:64" x14ac:dyDescent="0.25">
      <c r="A60" s="56" t="s">
        <v>152</v>
      </c>
      <c r="B60" s="54" t="s">
        <v>152</v>
      </c>
      <c r="C60" s="56" t="s">
        <v>153</v>
      </c>
      <c r="D60" s="16">
        <v>35539</v>
      </c>
      <c r="E60" s="17"/>
      <c r="F60" s="2" t="s">
        <v>154</v>
      </c>
      <c r="G60" s="2" t="s">
        <v>155</v>
      </c>
      <c r="H60" s="10" t="s">
        <v>57</v>
      </c>
      <c r="I60" s="11" t="s">
        <v>53</v>
      </c>
      <c r="J60" s="11" t="s">
        <v>156</v>
      </c>
      <c r="K60" s="61"/>
      <c r="L60" s="11" t="s">
        <v>67</v>
      </c>
      <c r="M60" s="25"/>
      <c r="N60" s="54"/>
      <c r="O60" s="3" t="str">
        <f t="shared" si="16"/>
        <v>A</v>
      </c>
      <c r="P60" s="48">
        <v>452629</v>
      </c>
      <c r="Q60" s="48">
        <v>66329</v>
      </c>
      <c r="R60" s="32"/>
      <c r="S60" s="3" t="str">
        <f t="shared" si="17"/>
        <v>A</v>
      </c>
      <c r="T60" s="48">
        <v>391676</v>
      </c>
      <c r="U60" s="48">
        <v>49236</v>
      </c>
      <c r="V60" s="32"/>
      <c r="W60" s="3" t="str">
        <f t="shared" si="3"/>
        <v>A</v>
      </c>
      <c r="X60" s="48">
        <v>354125</v>
      </c>
      <c r="Y60" s="48">
        <v>42153</v>
      </c>
      <c r="Z60" s="32"/>
      <c r="AA60" s="3" t="str">
        <f t="shared" si="4"/>
        <v>A</v>
      </c>
      <c r="AB60" s="48">
        <v>407087</v>
      </c>
      <c r="AC60" s="48">
        <v>45373</v>
      </c>
      <c r="AD60" s="36"/>
      <c r="AE60" s="54"/>
      <c r="AF60" s="3" t="str">
        <f t="shared" si="5"/>
        <v>A</v>
      </c>
      <c r="AG60" s="48">
        <v>0</v>
      </c>
      <c r="AH60" s="48">
        <v>0</v>
      </c>
      <c r="AI60" s="38"/>
      <c r="AJ60" s="79" t="s">
        <v>1801</v>
      </c>
      <c r="AK60" s="38"/>
      <c r="AL60" s="4">
        <f t="shared" si="12"/>
        <v>1605517</v>
      </c>
      <c r="AM60" s="4">
        <f t="shared" si="12"/>
        <v>203091</v>
      </c>
      <c r="AN60" s="4">
        <f t="shared" si="7"/>
        <v>1808608</v>
      </c>
      <c r="AO60" s="38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48">
        <v>1605517</v>
      </c>
      <c r="AU60" s="48">
        <v>203091</v>
      </c>
      <c r="AV60" s="4">
        <f t="shared" si="10"/>
        <v>1808608</v>
      </c>
      <c r="AW60" s="50" t="str">
        <f t="shared" si="11"/>
        <v/>
      </c>
      <c r="AX60" s="1" t="s">
        <v>1652</v>
      </c>
      <c r="AY60" s="2" t="s">
        <v>1653</v>
      </c>
      <c r="AZ60" s="2">
        <v>518331.36</v>
      </c>
      <c r="BA60" s="73">
        <v>453539.94</v>
      </c>
      <c r="BB60" s="73">
        <v>453539.94</v>
      </c>
      <c r="BC60" s="73">
        <v>518331.36</v>
      </c>
      <c r="BD60" s="73"/>
      <c r="BE60" s="66">
        <v>0.04</v>
      </c>
      <c r="BF60" s="66">
        <v>0.05</v>
      </c>
      <c r="BG60" s="63">
        <v>44606</v>
      </c>
      <c r="BH60" s="74">
        <v>43919</v>
      </c>
      <c r="BI60" s="74">
        <v>43934</v>
      </c>
      <c r="BJ60" s="2"/>
      <c r="BK60" s="2"/>
      <c r="BL60" s="1" t="s">
        <v>56</v>
      </c>
    </row>
    <row r="61" spans="1:64" x14ac:dyDescent="0.25">
      <c r="A61" s="56" t="s">
        <v>157</v>
      </c>
      <c r="B61" s="54" t="s">
        <v>157</v>
      </c>
      <c r="C61" s="56" t="s">
        <v>158</v>
      </c>
      <c r="D61" s="16">
        <v>35573</v>
      </c>
      <c r="E61" s="17"/>
      <c r="F61" s="2" t="s">
        <v>76</v>
      </c>
      <c r="G61" s="2" t="s">
        <v>78</v>
      </c>
      <c r="H61" s="10" t="s">
        <v>57</v>
      </c>
      <c r="I61" s="11" t="s">
        <v>77</v>
      </c>
      <c r="J61" s="11" t="s">
        <v>87</v>
      </c>
      <c r="K61" s="61" t="s">
        <v>88</v>
      </c>
      <c r="L61" s="11" t="s">
        <v>67</v>
      </c>
      <c r="M61" s="25"/>
      <c r="N61" s="54"/>
      <c r="O61" s="3" t="str">
        <f t="shared" si="16"/>
        <v>A</v>
      </c>
      <c r="P61" s="48">
        <v>171947</v>
      </c>
      <c r="Q61" s="48">
        <v>29322</v>
      </c>
      <c r="R61" s="32"/>
      <c r="S61" s="3" t="str">
        <f t="shared" si="17"/>
        <v>A</v>
      </c>
      <c r="T61" s="48">
        <v>148014.35</v>
      </c>
      <c r="U61" s="48">
        <v>30410</v>
      </c>
      <c r="V61" s="32"/>
      <c r="W61" s="3" t="str">
        <f t="shared" si="3"/>
        <v>A</v>
      </c>
      <c r="X61" s="48">
        <v>115311</v>
      </c>
      <c r="Y61" s="48">
        <v>18728</v>
      </c>
      <c r="Z61" s="32"/>
      <c r="AA61" s="3" t="str">
        <f t="shared" si="4"/>
        <v>A</v>
      </c>
      <c r="AB61" s="48">
        <v>124973</v>
      </c>
      <c r="AC61" s="48">
        <v>24359</v>
      </c>
      <c r="AD61" s="36"/>
      <c r="AE61" s="54"/>
      <c r="AF61" s="3" t="str">
        <f t="shared" si="5"/>
        <v>A</v>
      </c>
      <c r="AG61" s="48">
        <v>0</v>
      </c>
      <c r="AH61" s="48">
        <v>0</v>
      </c>
      <c r="AI61" s="38"/>
      <c r="AJ61" s="79" t="s">
        <v>1801</v>
      </c>
      <c r="AK61" s="38"/>
      <c r="AL61" s="4">
        <f t="shared" si="12"/>
        <v>560245.35</v>
      </c>
      <c r="AM61" s="4">
        <f t="shared" si="12"/>
        <v>102819</v>
      </c>
      <c r="AN61" s="4">
        <f t="shared" si="7"/>
        <v>663064.35</v>
      </c>
      <c r="AO61" s="38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48">
        <v>560245.35</v>
      </c>
      <c r="AU61" s="48">
        <v>102819</v>
      </c>
      <c r="AV61" s="4">
        <f t="shared" si="10"/>
        <v>663064.35</v>
      </c>
      <c r="AW61" s="50" t="str">
        <f t="shared" si="11"/>
        <v/>
      </c>
      <c r="AX61" s="1" t="s">
        <v>1639</v>
      </c>
      <c r="AY61" s="2" t="s">
        <v>1640</v>
      </c>
      <c r="AZ61" s="2">
        <v>173689.76</v>
      </c>
      <c r="BA61" s="73">
        <v>151978.54</v>
      </c>
      <c r="BB61" s="73">
        <v>151978.54</v>
      </c>
      <c r="BC61" s="73">
        <v>173689.76</v>
      </c>
      <c r="BD61" s="73"/>
      <c r="BE61" s="66">
        <v>2.5000000000000001E-2</v>
      </c>
      <c r="BF61" s="66">
        <v>0.02</v>
      </c>
      <c r="BG61" s="63">
        <v>45657</v>
      </c>
      <c r="BH61" s="74">
        <v>45722</v>
      </c>
      <c r="BI61" s="74">
        <v>45786</v>
      </c>
      <c r="BJ61" s="2"/>
      <c r="BK61" s="2"/>
      <c r="BL61" s="1" t="s">
        <v>56</v>
      </c>
    </row>
    <row r="62" spans="1:64" x14ac:dyDescent="0.25">
      <c r="A62" s="56" t="s">
        <v>157</v>
      </c>
      <c r="B62" s="54" t="s">
        <v>662</v>
      </c>
      <c r="C62" s="56" t="s">
        <v>663</v>
      </c>
      <c r="D62" s="16">
        <v>42767</v>
      </c>
      <c r="E62" s="17"/>
      <c r="F62" s="2" t="s">
        <v>76</v>
      </c>
      <c r="G62" s="2" t="s">
        <v>78</v>
      </c>
      <c r="H62" s="10" t="s">
        <v>57</v>
      </c>
      <c r="I62" s="11" t="s">
        <v>77</v>
      </c>
      <c r="J62" s="11" t="s">
        <v>87</v>
      </c>
      <c r="K62" s="61" t="s">
        <v>88</v>
      </c>
      <c r="L62" s="11" t="s">
        <v>67</v>
      </c>
      <c r="M62" s="25"/>
      <c r="N62" s="54"/>
      <c r="O62" s="3" t="str">
        <f t="shared" si="16"/>
        <v>A</v>
      </c>
      <c r="P62" s="48">
        <v>24006</v>
      </c>
      <c r="Q62" s="48">
        <v>8752</v>
      </c>
      <c r="R62" s="32"/>
      <c r="S62" s="3" t="str">
        <f t="shared" si="17"/>
        <v>A</v>
      </c>
      <c r="T62" s="48">
        <v>18629</v>
      </c>
      <c r="U62" s="48">
        <v>6414</v>
      </c>
      <c r="V62" s="32"/>
      <c r="W62" s="3" t="str">
        <f t="shared" si="3"/>
        <v>A</v>
      </c>
      <c r="X62" s="48">
        <v>17075</v>
      </c>
      <c r="Y62" s="48">
        <v>7046</v>
      </c>
      <c r="Z62" s="32"/>
      <c r="AA62" s="3" t="str">
        <f t="shared" si="4"/>
        <v>A</v>
      </c>
      <c r="AB62" s="48">
        <v>17351</v>
      </c>
      <c r="AC62" s="48">
        <v>5798</v>
      </c>
      <c r="AD62" s="36"/>
      <c r="AE62" s="54"/>
      <c r="AF62" s="3" t="str">
        <f t="shared" si="5"/>
        <v>A</v>
      </c>
      <c r="AG62" s="48">
        <v>0</v>
      </c>
      <c r="AH62" s="48">
        <v>0</v>
      </c>
      <c r="AI62" s="39"/>
      <c r="AJ62" s="79" t="s">
        <v>1801</v>
      </c>
      <c r="AK62" s="39"/>
      <c r="AL62" s="4">
        <f t="shared" si="12"/>
        <v>77061</v>
      </c>
      <c r="AM62" s="4">
        <f t="shared" si="12"/>
        <v>28010</v>
      </c>
      <c r="AN62" s="4">
        <f t="shared" si="7"/>
        <v>105071</v>
      </c>
      <c r="AO62" s="39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48">
        <v>77061</v>
      </c>
      <c r="AU62" s="48">
        <v>28010</v>
      </c>
      <c r="AV62" s="4">
        <f t="shared" si="10"/>
        <v>105071</v>
      </c>
      <c r="AW62" s="50" t="str">
        <f t="shared" si="11"/>
        <v/>
      </c>
      <c r="AX62" s="1" t="s">
        <v>1639</v>
      </c>
      <c r="AY62" s="2" t="s">
        <v>1640</v>
      </c>
      <c r="AZ62" s="2">
        <v>10701.28</v>
      </c>
      <c r="BA62" s="73">
        <v>9363.6200000000008</v>
      </c>
      <c r="BB62" s="73">
        <v>9363.6200000000008</v>
      </c>
      <c r="BC62" s="73">
        <v>10701.28</v>
      </c>
      <c r="BD62" s="73"/>
      <c r="BE62" s="66">
        <v>3.5000000000000003E-2</v>
      </c>
      <c r="BF62" s="66">
        <v>0.02</v>
      </c>
      <c r="BG62" s="63">
        <v>45657</v>
      </c>
      <c r="BH62" s="74">
        <v>45473</v>
      </c>
      <c r="BI62" s="74">
        <v>45759</v>
      </c>
      <c r="BJ62" s="2"/>
      <c r="BK62" s="2"/>
      <c r="BL62" s="1" t="s">
        <v>56</v>
      </c>
    </row>
    <row r="63" spans="1:64" x14ac:dyDescent="0.25">
      <c r="A63" s="56" t="s">
        <v>159</v>
      </c>
      <c r="B63" s="54" t="s">
        <v>159</v>
      </c>
      <c r="C63" s="56" t="s">
        <v>160</v>
      </c>
      <c r="D63" s="16">
        <v>35691</v>
      </c>
      <c r="E63" s="17"/>
      <c r="F63" s="2" t="s">
        <v>76</v>
      </c>
      <c r="G63" s="2" t="s">
        <v>78</v>
      </c>
      <c r="H63" s="10" t="s">
        <v>57</v>
      </c>
      <c r="I63" s="11" t="s">
        <v>77</v>
      </c>
      <c r="J63" s="11" t="s">
        <v>87</v>
      </c>
      <c r="K63" s="61" t="s">
        <v>88</v>
      </c>
      <c r="L63" s="11" t="s">
        <v>67</v>
      </c>
      <c r="M63" s="25"/>
      <c r="N63" s="54"/>
      <c r="O63" s="3" t="str">
        <f t="shared" si="16"/>
        <v>A</v>
      </c>
      <c r="P63" s="48">
        <v>212783.25</v>
      </c>
      <c r="Q63" s="48">
        <v>22718.9</v>
      </c>
      <c r="R63" s="32"/>
      <c r="S63" s="3" t="str">
        <f t="shared" si="17"/>
        <v>A</v>
      </c>
      <c r="T63" s="48">
        <v>175640</v>
      </c>
      <c r="U63" s="48">
        <v>19598</v>
      </c>
      <c r="V63" s="32"/>
      <c r="W63" s="3" t="str">
        <f t="shared" si="3"/>
        <v>A</v>
      </c>
      <c r="X63" s="48">
        <v>157550.55000000002</v>
      </c>
      <c r="Y63" s="48">
        <v>15836</v>
      </c>
      <c r="Z63" s="32"/>
      <c r="AA63" s="3" t="str">
        <f t="shared" si="4"/>
        <v>A</v>
      </c>
      <c r="AB63" s="48">
        <v>186268.7</v>
      </c>
      <c r="AC63" s="48">
        <v>22181</v>
      </c>
      <c r="AD63" s="36"/>
      <c r="AE63" s="54"/>
      <c r="AF63" s="3" t="str">
        <f t="shared" si="5"/>
        <v>A</v>
      </c>
      <c r="AG63" s="48">
        <v>0</v>
      </c>
      <c r="AH63" s="48">
        <v>0</v>
      </c>
      <c r="AI63" s="38"/>
      <c r="AJ63" s="79" t="s">
        <v>1801</v>
      </c>
      <c r="AK63" s="38"/>
      <c r="AL63" s="4">
        <f t="shared" si="12"/>
        <v>732242.5</v>
      </c>
      <c r="AM63" s="4">
        <f t="shared" si="12"/>
        <v>80333.899999999994</v>
      </c>
      <c r="AN63" s="4">
        <f t="shared" si="7"/>
        <v>812576.4</v>
      </c>
      <c r="AO63" s="38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48">
        <v>732242.5</v>
      </c>
      <c r="AU63" s="48">
        <v>80333.899999999994</v>
      </c>
      <c r="AV63" s="4">
        <f t="shared" si="10"/>
        <v>812576.4</v>
      </c>
      <c r="AW63" s="50" t="str">
        <f t="shared" si="11"/>
        <v/>
      </c>
      <c r="AX63" s="1" t="s">
        <v>1639</v>
      </c>
      <c r="AY63" s="2" t="s">
        <v>1640</v>
      </c>
      <c r="AZ63" s="2">
        <v>224469.76000000001</v>
      </c>
      <c r="BA63" s="73">
        <v>196411.04</v>
      </c>
      <c r="BB63" s="73">
        <v>196411.04</v>
      </c>
      <c r="BC63" s="73">
        <v>224469.76000000001</v>
      </c>
      <c r="BD63" s="73"/>
      <c r="BE63" s="66">
        <v>2.5000000000000001E-2</v>
      </c>
      <c r="BF63" s="66">
        <v>0.02</v>
      </c>
      <c r="BG63" s="63">
        <v>45677</v>
      </c>
      <c r="BH63" s="2"/>
      <c r="BI63" s="2"/>
      <c r="BJ63" s="2"/>
      <c r="BK63" s="2"/>
      <c r="BL63" s="1" t="s">
        <v>56</v>
      </c>
    </row>
    <row r="64" spans="1:64" x14ac:dyDescent="0.25">
      <c r="A64" s="56" t="s">
        <v>159</v>
      </c>
      <c r="B64" s="54" t="s">
        <v>664</v>
      </c>
      <c r="C64" s="56" t="s">
        <v>665</v>
      </c>
      <c r="D64" s="16">
        <v>41264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54"/>
      <c r="O64" s="3" t="str">
        <f t="shared" si="16"/>
        <v>A</v>
      </c>
      <c r="P64" s="48">
        <v>143453</v>
      </c>
      <c r="Q64" s="48">
        <v>32365</v>
      </c>
      <c r="R64" s="32"/>
      <c r="S64" s="3" t="str">
        <f t="shared" si="17"/>
        <v>A</v>
      </c>
      <c r="T64" s="48">
        <v>117044</v>
      </c>
      <c r="U64" s="48">
        <v>32873</v>
      </c>
      <c r="V64" s="32"/>
      <c r="W64" s="3" t="str">
        <f t="shared" si="3"/>
        <v>A</v>
      </c>
      <c r="X64" s="48">
        <v>122611</v>
      </c>
      <c r="Y64" s="48">
        <v>24787</v>
      </c>
      <c r="Z64" s="32"/>
      <c r="AA64" s="3" t="str">
        <f t="shared" si="4"/>
        <v>A</v>
      </c>
      <c r="AB64" s="48">
        <v>127243</v>
      </c>
      <c r="AC64" s="48">
        <v>28559</v>
      </c>
      <c r="AD64" s="36"/>
      <c r="AE64" s="54"/>
      <c r="AF64" s="3" t="str">
        <f t="shared" si="5"/>
        <v>A</v>
      </c>
      <c r="AG64" s="48">
        <v>0</v>
      </c>
      <c r="AH64" s="48">
        <v>0</v>
      </c>
      <c r="AI64" s="39"/>
      <c r="AJ64" s="79" t="s">
        <v>1801</v>
      </c>
      <c r="AK64" s="39"/>
      <c r="AL64" s="4">
        <f t="shared" si="12"/>
        <v>510351</v>
      </c>
      <c r="AM64" s="4">
        <f t="shared" si="12"/>
        <v>118584</v>
      </c>
      <c r="AN64" s="4">
        <f t="shared" si="7"/>
        <v>628935</v>
      </c>
      <c r="AO64" s="39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48">
        <v>510351</v>
      </c>
      <c r="AU64" s="48">
        <v>118584</v>
      </c>
      <c r="AV64" s="4">
        <f t="shared" si="10"/>
        <v>628935</v>
      </c>
      <c r="AW64" s="50" t="str">
        <f t="shared" si="11"/>
        <v/>
      </c>
      <c r="AX64" s="1" t="s">
        <v>1639</v>
      </c>
      <c r="AY64" s="2" t="s">
        <v>1640</v>
      </c>
      <c r="AZ64" s="2">
        <v>109486.64</v>
      </c>
      <c r="BA64" s="73">
        <v>95800.81</v>
      </c>
      <c r="BB64" s="73">
        <v>95800.81</v>
      </c>
      <c r="BC64" s="73">
        <v>109486.64</v>
      </c>
      <c r="BD64" s="73"/>
      <c r="BE64" s="66">
        <v>2.5000000000000001E-2</v>
      </c>
      <c r="BF64" s="66">
        <v>0.02</v>
      </c>
      <c r="BG64" s="63">
        <v>45677</v>
      </c>
      <c r="BH64" s="2"/>
      <c r="BI64" s="2"/>
      <c r="BJ64" s="2"/>
      <c r="BK64" s="2"/>
      <c r="BL64" s="1" t="s">
        <v>56</v>
      </c>
    </row>
    <row r="65" spans="1:64" x14ac:dyDescent="0.25">
      <c r="A65" s="56" t="s">
        <v>159</v>
      </c>
      <c r="B65" s="54" t="s">
        <v>666</v>
      </c>
      <c r="C65" s="56" t="s">
        <v>667</v>
      </c>
      <c r="D65" s="16">
        <v>42356</v>
      </c>
      <c r="E65" s="17"/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54"/>
      <c r="O65" s="3" t="str">
        <f t="shared" si="16"/>
        <v>A</v>
      </c>
      <c r="P65" s="48">
        <v>2386</v>
      </c>
      <c r="Q65" s="48">
        <v>436</v>
      </c>
      <c r="R65" s="32"/>
      <c r="S65" s="3" t="str">
        <f t="shared" si="17"/>
        <v>A</v>
      </c>
      <c r="T65" s="48">
        <v>9301</v>
      </c>
      <c r="U65" s="48">
        <v>1607</v>
      </c>
      <c r="V65" s="32"/>
      <c r="W65" s="3" t="str">
        <f t="shared" si="3"/>
        <v>A</v>
      </c>
      <c r="X65" s="48">
        <v>9957</v>
      </c>
      <c r="Y65" s="48">
        <v>1438</v>
      </c>
      <c r="Z65" s="32"/>
      <c r="AA65" s="3" t="str">
        <f t="shared" si="4"/>
        <v>A</v>
      </c>
      <c r="AB65" s="48">
        <v>11851</v>
      </c>
      <c r="AC65" s="48">
        <v>2569</v>
      </c>
      <c r="AD65" s="36"/>
      <c r="AE65" s="54"/>
      <c r="AF65" s="3" t="str">
        <f t="shared" si="5"/>
        <v>A</v>
      </c>
      <c r="AG65" s="48">
        <v>0</v>
      </c>
      <c r="AH65" s="48">
        <v>0</v>
      </c>
      <c r="AI65" s="39"/>
      <c r="AJ65" s="79" t="s">
        <v>1801</v>
      </c>
      <c r="AK65" s="39"/>
      <c r="AL65" s="4">
        <f t="shared" si="12"/>
        <v>33495</v>
      </c>
      <c r="AM65" s="4">
        <f t="shared" si="12"/>
        <v>6050</v>
      </c>
      <c r="AN65" s="4">
        <f t="shared" si="7"/>
        <v>39545</v>
      </c>
      <c r="AO65" s="39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48">
        <v>33495</v>
      </c>
      <c r="AU65" s="48">
        <v>6050</v>
      </c>
      <c r="AV65" s="4">
        <f t="shared" si="10"/>
        <v>39545</v>
      </c>
      <c r="AW65" s="50" t="str">
        <f t="shared" si="11"/>
        <v/>
      </c>
      <c r="AX65" s="1" t="s">
        <v>1639</v>
      </c>
      <c r="AY65" s="2" t="s">
        <v>1640</v>
      </c>
      <c r="AZ65" s="2">
        <v>8501.0400000000009</v>
      </c>
      <c r="BA65" s="73">
        <v>7438.41</v>
      </c>
      <c r="BB65" s="73">
        <v>7438.41</v>
      </c>
      <c r="BC65" s="73">
        <v>8501.0400000000009</v>
      </c>
      <c r="BD65" s="73"/>
      <c r="BE65" s="66">
        <v>2.5000000000000001E-2</v>
      </c>
      <c r="BF65" s="66">
        <v>0.02</v>
      </c>
      <c r="BG65" s="63">
        <v>45677</v>
      </c>
      <c r="BH65" s="74">
        <v>45597</v>
      </c>
      <c r="BI65" s="74">
        <v>45813</v>
      </c>
      <c r="BJ65" s="2"/>
      <c r="BK65" s="2"/>
      <c r="BL65" s="1" t="s">
        <v>56</v>
      </c>
    </row>
    <row r="66" spans="1:64" x14ac:dyDescent="0.25">
      <c r="A66" s="56" t="s">
        <v>161</v>
      </c>
      <c r="B66" s="54" t="s">
        <v>161</v>
      </c>
      <c r="C66" s="56" t="s">
        <v>162</v>
      </c>
      <c r="D66" s="16">
        <v>35674</v>
      </c>
      <c r="E66" s="17"/>
      <c r="F66" s="2" t="s">
        <v>52</v>
      </c>
      <c r="G66" s="2" t="s">
        <v>55</v>
      </c>
      <c r="H66" s="10" t="s">
        <v>57</v>
      </c>
      <c r="I66" s="11" t="s">
        <v>54</v>
      </c>
      <c r="J66" s="11" t="s">
        <v>72</v>
      </c>
      <c r="K66" s="61" t="s">
        <v>73</v>
      </c>
      <c r="L66" s="11" t="s">
        <v>67</v>
      </c>
      <c r="M66" s="25"/>
      <c r="N66" s="54"/>
      <c r="O66" s="3" t="str">
        <f t="shared" si="16"/>
        <v>A</v>
      </c>
      <c r="P66" s="48">
        <v>183416.59</v>
      </c>
      <c r="Q66" s="48">
        <v>35842.36</v>
      </c>
      <c r="R66" s="32"/>
      <c r="S66" s="3" t="str">
        <f t="shared" si="17"/>
        <v>A</v>
      </c>
      <c r="T66" s="48">
        <v>173101.44999999998</v>
      </c>
      <c r="U66" s="48">
        <v>34022</v>
      </c>
      <c r="V66" s="32"/>
      <c r="W66" s="3" t="str">
        <f t="shared" si="3"/>
        <v>A</v>
      </c>
      <c r="X66" s="48">
        <v>151816.19999999998</v>
      </c>
      <c r="Y66" s="48">
        <v>24511</v>
      </c>
      <c r="Z66" s="32"/>
      <c r="AA66" s="3" t="str">
        <f t="shared" si="4"/>
        <v>A</v>
      </c>
      <c r="AB66" s="48">
        <v>171227.25</v>
      </c>
      <c r="AC66" s="48">
        <v>32636</v>
      </c>
      <c r="AD66" s="36"/>
      <c r="AE66" s="54"/>
      <c r="AF66" s="3" t="str">
        <f t="shared" si="5"/>
        <v>A</v>
      </c>
      <c r="AG66" s="48">
        <v>0</v>
      </c>
      <c r="AH66" s="48">
        <v>0</v>
      </c>
      <c r="AI66" s="38"/>
      <c r="AJ66" s="79" t="s">
        <v>1801</v>
      </c>
      <c r="AK66" s="38"/>
      <c r="AL66" s="4">
        <f t="shared" si="12"/>
        <v>679561.49</v>
      </c>
      <c r="AM66" s="4">
        <f t="shared" si="12"/>
        <v>127011.36</v>
      </c>
      <c r="AN66" s="4">
        <f t="shared" si="7"/>
        <v>806572.85</v>
      </c>
      <c r="AO66" s="38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48">
        <v>679561.48999999987</v>
      </c>
      <c r="AU66" s="48">
        <v>127011.36</v>
      </c>
      <c r="AV66" s="4">
        <f t="shared" si="10"/>
        <v>806572.84999999986</v>
      </c>
      <c r="AW66" s="50" t="str">
        <f t="shared" si="11"/>
        <v/>
      </c>
      <c r="AX66" s="1" t="s">
        <v>1639</v>
      </c>
      <c r="AY66" s="2" t="s">
        <v>1640</v>
      </c>
      <c r="AZ66" s="2">
        <v>216466.4</v>
      </c>
      <c r="BA66" s="73">
        <v>189408.1</v>
      </c>
      <c r="BB66" s="73">
        <v>189408.1</v>
      </c>
      <c r="BC66" s="73">
        <v>216466.4</v>
      </c>
      <c r="BD66" s="73"/>
      <c r="BE66" s="66">
        <v>2.5000000000000001E-2</v>
      </c>
      <c r="BF66" s="66">
        <v>0.02</v>
      </c>
      <c r="BG66" s="63">
        <v>45835</v>
      </c>
      <c r="BH66" s="2"/>
      <c r="BI66" s="2"/>
      <c r="BJ66" s="2"/>
      <c r="BK66" s="2"/>
      <c r="BL66" s="1" t="s">
        <v>56</v>
      </c>
    </row>
    <row r="67" spans="1:64" x14ac:dyDescent="0.25">
      <c r="A67" s="56" t="s">
        <v>163</v>
      </c>
      <c r="B67" s="54" t="s">
        <v>163</v>
      </c>
      <c r="C67" s="56" t="s">
        <v>164</v>
      </c>
      <c r="D67" s="16">
        <v>35727</v>
      </c>
      <c r="E67" s="17"/>
      <c r="F67" s="2" t="s">
        <v>52</v>
      </c>
      <c r="G67" s="2" t="s">
        <v>55</v>
      </c>
      <c r="H67" s="10" t="s">
        <v>57</v>
      </c>
      <c r="I67" s="11" t="s">
        <v>54</v>
      </c>
      <c r="J67" s="11" t="s">
        <v>139</v>
      </c>
      <c r="K67" s="61" t="s">
        <v>140</v>
      </c>
      <c r="L67" s="11" t="s">
        <v>67</v>
      </c>
      <c r="M67" s="25"/>
      <c r="N67" s="54"/>
      <c r="O67" s="3" t="str">
        <f t="shared" si="16"/>
        <v>A</v>
      </c>
      <c r="P67" s="48">
        <v>198427.33</v>
      </c>
      <c r="Q67" s="48">
        <v>57299.22</v>
      </c>
      <c r="R67" s="32"/>
      <c r="S67" s="3" t="str">
        <f t="shared" si="17"/>
        <v>A</v>
      </c>
      <c r="T67" s="48">
        <v>165881.63</v>
      </c>
      <c r="U67" s="48">
        <v>43954.570000000007</v>
      </c>
      <c r="V67" s="32"/>
      <c r="W67" s="3" t="str">
        <f t="shared" si="3"/>
        <v>A</v>
      </c>
      <c r="X67" s="48">
        <v>157933.75</v>
      </c>
      <c r="Y67" s="48">
        <v>38981</v>
      </c>
      <c r="Z67" s="32"/>
      <c r="AA67" s="3" t="str">
        <f t="shared" si="4"/>
        <v>A</v>
      </c>
      <c r="AB67" s="48">
        <v>178796.66999999998</v>
      </c>
      <c r="AC67" s="48">
        <v>39908.69</v>
      </c>
      <c r="AD67" s="36"/>
      <c r="AE67" s="54"/>
      <c r="AF67" s="3" t="str">
        <f t="shared" si="5"/>
        <v>A</v>
      </c>
      <c r="AG67" s="48">
        <v>0</v>
      </c>
      <c r="AH67" s="48">
        <v>0</v>
      </c>
      <c r="AI67" s="38"/>
      <c r="AJ67" s="79" t="s">
        <v>1801</v>
      </c>
      <c r="AK67" s="38"/>
      <c r="AL67" s="4">
        <f t="shared" si="12"/>
        <v>701039.37999999989</v>
      </c>
      <c r="AM67" s="4">
        <f t="shared" si="12"/>
        <v>180143.48</v>
      </c>
      <c r="AN67" s="4">
        <f t="shared" si="7"/>
        <v>881182.85999999987</v>
      </c>
      <c r="AO67" s="38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48">
        <v>701039.38</v>
      </c>
      <c r="AU67" s="48">
        <v>180143.48</v>
      </c>
      <c r="AV67" s="4">
        <f t="shared" si="10"/>
        <v>881182.86</v>
      </c>
      <c r="AW67" s="50" t="str">
        <f t="shared" si="11"/>
        <v/>
      </c>
      <c r="AX67" s="1" t="s">
        <v>1639</v>
      </c>
      <c r="AY67" s="2" t="s">
        <v>1640</v>
      </c>
      <c r="AZ67" s="2">
        <v>247644.48</v>
      </c>
      <c r="BA67" s="73">
        <v>216688.92</v>
      </c>
      <c r="BB67" s="73">
        <v>216688.92</v>
      </c>
      <c r="BC67" s="73">
        <v>247644.48</v>
      </c>
      <c r="BD67" s="73"/>
      <c r="BE67" s="66">
        <v>2.5000000000000001E-2</v>
      </c>
      <c r="BF67" s="66">
        <v>0.02</v>
      </c>
      <c r="BG67" s="63">
        <v>45657</v>
      </c>
      <c r="BH67" s="2"/>
      <c r="BI67" s="2"/>
      <c r="BJ67" s="2"/>
      <c r="BK67" s="2"/>
      <c r="BL67" s="1" t="s">
        <v>56</v>
      </c>
    </row>
    <row r="68" spans="1:64" x14ac:dyDescent="0.25">
      <c r="A68" s="56" t="s">
        <v>165</v>
      </c>
      <c r="B68" s="54" t="s">
        <v>165</v>
      </c>
      <c r="C68" s="56" t="s">
        <v>166</v>
      </c>
      <c r="D68" s="16">
        <v>35762</v>
      </c>
      <c r="E68" s="17"/>
      <c r="F68" s="2" t="s">
        <v>52</v>
      </c>
      <c r="G68" s="2" t="s">
        <v>55</v>
      </c>
      <c r="H68" s="10" t="s">
        <v>57</v>
      </c>
      <c r="I68" s="11" t="s">
        <v>54</v>
      </c>
      <c r="J68" s="11" t="s">
        <v>68</v>
      </c>
      <c r="K68" s="61" t="s">
        <v>69</v>
      </c>
      <c r="L68" s="11" t="s">
        <v>67</v>
      </c>
      <c r="M68" s="25"/>
      <c r="N68" s="54"/>
      <c r="O68" s="3" t="str">
        <f t="shared" si="16"/>
        <v>A</v>
      </c>
      <c r="P68" s="48">
        <v>87160</v>
      </c>
      <c r="Q68" s="48">
        <v>13897</v>
      </c>
      <c r="R68" s="32"/>
      <c r="S68" s="3" t="str">
        <f t="shared" si="17"/>
        <v>A</v>
      </c>
      <c r="T68" s="48">
        <v>79745.350000000006</v>
      </c>
      <c r="U68" s="48">
        <v>10513</v>
      </c>
      <c r="V68" s="32"/>
      <c r="W68" s="3" t="str">
        <f t="shared" si="3"/>
        <v>A</v>
      </c>
      <c r="X68" s="48">
        <v>75874</v>
      </c>
      <c r="Y68" s="48">
        <v>11566</v>
      </c>
      <c r="Z68" s="32"/>
      <c r="AA68" s="3" t="str">
        <f t="shared" si="4"/>
        <v>A</v>
      </c>
      <c r="AB68" s="48">
        <v>85751</v>
      </c>
      <c r="AC68" s="48">
        <v>12612</v>
      </c>
      <c r="AD68" s="36"/>
      <c r="AE68" s="54"/>
      <c r="AF68" s="3" t="str">
        <f t="shared" si="5"/>
        <v>A</v>
      </c>
      <c r="AG68" s="48">
        <v>0</v>
      </c>
      <c r="AH68" s="48">
        <v>0</v>
      </c>
      <c r="AI68" s="38"/>
      <c r="AJ68" s="79" t="s">
        <v>1801</v>
      </c>
      <c r="AK68" s="38"/>
      <c r="AL68" s="4">
        <f t="shared" si="12"/>
        <v>328530.34999999998</v>
      </c>
      <c r="AM68" s="4">
        <f t="shared" si="12"/>
        <v>48588</v>
      </c>
      <c r="AN68" s="4">
        <f t="shared" si="7"/>
        <v>377118.35</v>
      </c>
      <c r="AO68" s="38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48">
        <v>328530.34999999998</v>
      </c>
      <c r="AU68" s="48">
        <v>48588</v>
      </c>
      <c r="AV68" s="4">
        <f t="shared" si="10"/>
        <v>377118.35</v>
      </c>
      <c r="AW68" s="50" t="str">
        <f t="shared" si="11"/>
        <v/>
      </c>
      <c r="AX68" s="1" t="s">
        <v>1639</v>
      </c>
      <c r="AY68" s="2" t="s">
        <v>1640</v>
      </c>
      <c r="AZ68" s="2">
        <v>102846.48</v>
      </c>
      <c r="BA68" s="73">
        <v>89990.67</v>
      </c>
      <c r="BB68" s="73">
        <v>89990.67</v>
      </c>
      <c r="BC68" s="73">
        <v>102846.48</v>
      </c>
      <c r="BD68" s="73"/>
      <c r="BE68" s="66">
        <v>2.5000000000000001E-2</v>
      </c>
      <c r="BF68" s="66">
        <v>0.02</v>
      </c>
      <c r="BG68" s="63">
        <v>44204</v>
      </c>
      <c r="BH68" s="2"/>
      <c r="BI68" s="2"/>
      <c r="BJ68" s="2"/>
      <c r="BK68" s="2"/>
      <c r="BL68" s="1" t="s">
        <v>56</v>
      </c>
    </row>
    <row r="69" spans="1:64" x14ac:dyDescent="0.25">
      <c r="A69" s="56" t="s">
        <v>167</v>
      </c>
      <c r="B69" s="54" t="s">
        <v>167</v>
      </c>
      <c r="C69" s="56" t="s">
        <v>168</v>
      </c>
      <c r="D69" s="16">
        <v>35840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68</v>
      </c>
      <c r="K69" s="61" t="s">
        <v>69</v>
      </c>
      <c r="L69" s="11" t="s">
        <v>67</v>
      </c>
      <c r="M69" s="25"/>
      <c r="N69" s="54"/>
      <c r="O69" s="3" t="str">
        <f t="shared" si="16"/>
        <v>A</v>
      </c>
      <c r="P69" s="48">
        <v>71858.75</v>
      </c>
      <c r="Q69" s="48">
        <v>42037</v>
      </c>
      <c r="R69" s="32"/>
      <c r="S69" s="3" t="str">
        <f t="shared" si="17"/>
        <v>A</v>
      </c>
      <c r="T69" s="48">
        <v>44970.649999999994</v>
      </c>
      <c r="U69" s="48">
        <v>34655</v>
      </c>
      <c r="V69" s="32"/>
      <c r="W69" s="3" t="str">
        <f t="shared" si="3"/>
        <v>A</v>
      </c>
      <c r="X69" s="48">
        <v>53460.950001000005</v>
      </c>
      <c r="Y69" s="48">
        <v>30173</v>
      </c>
      <c r="Z69" s="32"/>
      <c r="AA69" s="3" t="str">
        <f t="shared" si="4"/>
        <v>A</v>
      </c>
      <c r="AB69" s="48">
        <v>72687.016667000004</v>
      </c>
      <c r="AC69" s="48">
        <v>39158.333333999995</v>
      </c>
      <c r="AD69" s="36"/>
      <c r="AE69" s="54"/>
      <c r="AF69" s="3" t="str">
        <f t="shared" si="5"/>
        <v>A</v>
      </c>
      <c r="AG69" s="48">
        <v>0</v>
      </c>
      <c r="AH69" s="48">
        <v>0</v>
      </c>
      <c r="AI69" s="38"/>
      <c r="AJ69" s="79" t="s">
        <v>1801</v>
      </c>
      <c r="AK69" s="38"/>
      <c r="AL69" s="4">
        <f t="shared" si="12"/>
        <v>242977.366668</v>
      </c>
      <c r="AM69" s="4">
        <f t="shared" si="12"/>
        <v>146023.333334</v>
      </c>
      <c r="AN69" s="4">
        <f t="shared" si="7"/>
        <v>389000.70000199997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48">
        <v>242977.36666799994</v>
      </c>
      <c r="AU69" s="48">
        <v>146023.333334</v>
      </c>
      <c r="AV69" s="4">
        <f t="shared" si="10"/>
        <v>389000.70000199997</v>
      </c>
      <c r="AW69" s="50" t="str">
        <f t="shared" si="11"/>
        <v/>
      </c>
      <c r="AX69" s="1" t="s">
        <v>1639</v>
      </c>
      <c r="AY69" s="2" t="s">
        <v>1640</v>
      </c>
      <c r="AZ69" s="2">
        <v>132189.92000000001</v>
      </c>
      <c r="BA69" s="73">
        <v>115666.18</v>
      </c>
      <c r="BB69" s="73">
        <v>115666.18</v>
      </c>
      <c r="BC69" s="73">
        <v>132189.92000000001</v>
      </c>
      <c r="BD69" s="73"/>
      <c r="BE69" s="66">
        <v>2.5000000000000001E-2</v>
      </c>
      <c r="BF69" s="66">
        <v>0.02</v>
      </c>
      <c r="BG69" s="63">
        <v>45835</v>
      </c>
      <c r="BH69" s="74">
        <v>39895</v>
      </c>
      <c r="BI69" s="74">
        <v>39972</v>
      </c>
      <c r="BJ69" s="2"/>
      <c r="BK69" s="2"/>
      <c r="BL69" s="1" t="s">
        <v>56</v>
      </c>
    </row>
    <row r="70" spans="1:64" x14ac:dyDescent="0.25">
      <c r="A70" s="56" t="s">
        <v>169</v>
      </c>
      <c r="B70" s="54" t="s">
        <v>169</v>
      </c>
      <c r="C70" s="56" t="s">
        <v>170</v>
      </c>
      <c r="D70" s="16">
        <v>36107</v>
      </c>
      <c r="E70" s="17"/>
      <c r="F70" s="2" t="s">
        <v>171</v>
      </c>
      <c r="G70" s="2" t="s">
        <v>172</v>
      </c>
      <c r="H70" s="10" t="s">
        <v>105</v>
      </c>
      <c r="I70" s="11" t="s">
        <v>53</v>
      </c>
      <c r="J70" s="11" t="s">
        <v>145</v>
      </c>
      <c r="K70" s="61"/>
      <c r="L70" s="11" t="s">
        <v>67</v>
      </c>
      <c r="M70" s="25"/>
      <c r="N70" s="54"/>
      <c r="O70" s="3" t="str">
        <f t="shared" si="16"/>
        <v>A</v>
      </c>
      <c r="P70" s="48">
        <v>183778</v>
      </c>
      <c r="Q70" s="48">
        <v>63580</v>
      </c>
      <c r="R70" s="32"/>
      <c r="S70" s="3" t="str">
        <f t="shared" si="17"/>
        <v>A</v>
      </c>
      <c r="T70" s="48">
        <v>194305</v>
      </c>
      <c r="U70" s="48">
        <v>50981</v>
      </c>
      <c r="V70" s="32"/>
      <c r="W70" s="3" t="str">
        <f t="shared" si="3"/>
        <v>A</v>
      </c>
      <c r="X70" s="48">
        <v>133056</v>
      </c>
      <c r="Y70" s="48">
        <v>48676.5</v>
      </c>
      <c r="Z70" s="32"/>
      <c r="AA70" s="3" t="str">
        <f t="shared" si="4"/>
        <v>A</v>
      </c>
      <c r="AB70" s="48">
        <v>160482</v>
      </c>
      <c r="AC70" s="48">
        <v>38294</v>
      </c>
      <c r="AD70" s="36"/>
      <c r="AE70" s="54"/>
      <c r="AF70" s="3" t="str">
        <f t="shared" si="5"/>
        <v>A</v>
      </c>
      <c r="AG70" s="48">
        <v>0</v>
      </c>
      <c r="AH70" s="48">
        <v>0</v>
      </c>
      <c r="AI70" s="38"/>
      <c r="AJ70" s="79" t="s">
        <v>1801</v>
      </c>
      <c r="AK70" s="38"/>
      <c r="AL70" s="4">
        <f t="shared" si="12"/>
        <v>671621</v>
      </c>
      <c r="AM70" s="4">
        <f t="shared" si="12"/>
        <v>201531.5</v>
      </c>
      <c r="AN70" s="4">
        <f t="shared" si="7"/>
        <v>873152.5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48">
        <v>671621</v>
      </c>
      <c r="AU70" s="48">
        <v>201531.5</v>
      </c>
      <c r="AV70" s="4">
        <f t="shared" si="10"/>
        <v>873152.5</v>
      </c>
      <c r="AW70" s="50" t="str">
        <f t="shared" si="11"/>
        <v/>
      </c>
      <c r="AX70" s="1" t="s">
        <v>1654</v>
      </c>
      <c r="AY70" s="2" t="s">
        <v>1655</v>
      </c>
      <c r="AZ70" s="2">
        <v>301588.32</v>
      </c>
      <c r="BA70" s="73">
        <v>263889.78000000003</v>
      </c>
      <c r="BB70" s="73">
        <v>263889.78000000003</v>
      </c>
      <c r="BC70" s="73">
        <v>301588.32</v>
      </c>
      <c r="BD70" s="73"/>
      <c r="BE70" s="66">
        <v>3.5000000000000003E-2</v>
      </c>
      <c r="BF70" s="66">
        <v>0.05</v>
      </c>
      <c r="BG70" s="63">
        <v>45496</v>
      </c>
      <c r="BH70" s="2"/>
      <c r="BI70" s="2"/>
      <c r="BJ70" s="2"/>
      <c r="BK70" s="2"/>
      <c r="BL70" s="1" t="s">
        <v>104</v>
      </c>
    </row>
    <row r="71" spans="1:64" x14ac:dyDescent="0.25">
      <c r="A71" s="56" t="s">
        <v>173</v>
      </c>
      <c r="B71" s="54" t="s">
        <v>173</v>
      </c>
      <c r="C71" s="56" t="s">
        <v>174</v>
      </c>
      <c r="D71" s="16">
        <v>36192</v>
      </c>
      <c r="E71" s="17"/>
      <c r="F71" s="2" t="s">
        <v>76</v>
      </c>
      <c r="G71" s="2" t="s">
        <v>78</v>
      </c>
      <c r="H71" s="10" t="s">
        <v>57</v>
      </c>
      <c r="I71" s="11" t="s">
        <v>77</v>
      </c>
      <c r="J71" s="11" t="s">
        <v>79</v>
      </c>
      <c r="K71" s="61" t="s">
        <v>80</v>
      </c>
      <c r="L71" s="11" t="s">
        <v>67</v>
      </c>
      <c r="M71" s="25"/>
      <c r="N71" s="54"/>
      <c r="O71" s="3" t="str">
        <f t="shared" si="16"/>
        <v>A</v>
      </c>
      <c r="P71" s="48">
        <v>104840.6</v>
      </c>
      <c r="Q71" s="48">
        <v>54992.1</v>
      </c>
      <c r="R71" s="32"/>
      <c r="S71" s="3" t="str">
        <f t="shared" si="17"/>
        <v>A</v>
      </c>
      <c r="T71" s="48">
        <v>85384.4</v>
      </c>
      <c r="U71" s="48">
        <v>50394</v>
      </c>
      <c r="V71" s="32"/>
      <c r="W71" s="3" t="str">
        <f t="shared" si="3"/>
        <v>A</v>
      </c>
      <c r="X71" s="48">
        <v>82876.97</v>
      </c>
      <c r="Y71" s="48">
        <v>47072.83</v>
      </c>
      <c r="Z71" s="32"/>
      <c r="AA71" s="3" t="str">
        <f t="shared" si="4"/>
        <v>A</v>
      </c>
      <c r="AB71" s="48">
        <v>96058.6</v>
      </c>
      <c r="AC71" s="48">
        <v>46211</v>
      </c>
      <c r="AD71" s="36"/>
      <c r="AE71" s="54"/>
      <c r="AF71" s="3" t="str">
        <f t="shared" si="5"/>
        <v>A</v>
      </c>
      <c r="AG71" s="48">
        <v>0</v>
      </c>
      <c r="AH71" s="48">
        <v>0</v>
      </c>
      <c r="AI71" s="38"/>
      <c r="AJ71" s="79" t="s">
        <v>1801</v>
      </c>
      <c r="AK71" s="38"/>
      <c r="AL71" s="4">
        <f t="shared" si="12"/>
        <v>369160.56999999995</v>
      </c>
      <c r="AM71" s="4">
        <f t="shared" si="12"/>
        <v>198669.93</v>
      </c>
      <c r="AN71" s="4">
        <f t="shared" si="7"/>
        <v>567830.5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48">
        <v>369160.57</v>
      </c>
      <c r="AU71" s="48">
        <v>198669.93</v>
      </c>
      <c r="AV71" s="4">
        <f t="shared" si="10"/>
        <v>567830.5</v>
      </c>
      <c r="AW71" s="50" t="str">
        <f t="shared" si="11"/>
        <v/>
      </c>
      <c r="AX71" s="1" t="s">
        <v>1639</v>
      </c>
      <c r="AY71" s="2" t="s">
        <v>1640</v>
      </c>
      <c r="AZ71" s="2">
        <v>111607.76</v>
      </c>
      <c r="BA71" s="73">
        <v>97656.79</v>
      </c>
      <c r="BB71" s="73">
        <v>97656.79</v>
      </c>
      <c r="BC71" s="73">
        <v>111607.76</v>
      </c>
      <c r="BD71" s="73"/>
      <c r="BE71" s="66">
        <v>2.5000000000000001E-2</v>
      </c>
      <c r="BF71" s="66">
        <v>0.02</v>
      </c>
      <c r="BG71" s="63">
        <v>45657</v>
      </c>
      <c r="BH71" s="2"/>
      <c r="BI71" s="2"/>
      <c r="BJ71" s="2"/>
      <c r="BK71" s="2"/>
      <c r="BL71" s="1" t="s">
        <v>56</v>
      </c>
    </row>
    <row r="72" spans="1:64" x14ac:dyDescent="0.25">
      <c r="A72" s="56" t="s">
        <v>173</v>
      </c>
      <c r="B72" s="54" t="s">
        <v>672</v>
      </c>
      <c r="C72" s="56" t="s">
        <v>673</v>
      </c>
      <c r="D72" s="16">
        <v>40061</v>
      </c>
      <c r="E72" s="17"/>
      <c r="F72" s="2" t="s">
        <v>76</v>
      </c>
      <c r="G72" s="2" t="s">
        <v>78</v>
      </c>
      <c r="H72" s="10" t="s">
        <v>57</v>
      </c>
      <c r="I72" s="11" t="s">
        <v>77</v>
      </c>
      <c r="J72" s="11" t="s">
        <v>79</v>
      </c>
      <c r="K72" s="61" t="s">
        <v>80</v>
      </c>
      <c r="L72" s="11" t="s">
        <v>67</v>
      </c>
      <c r="M72" s="25"/>
      <c r="N72" s="54"/>
      <c r="O72" s="3" t="str">
        <f t="shared" si="16"/>
        <v>E</v>
      </c>
      <c r="P72" s="48">
        <v>22856.880000000001</v>
      </c>
      <c r="Q72" s="48">
        <v>10676.56</v>
      </c>
      <c r="R72" s="32"/>
      <c r="S72" s="3" t="str">
        <f t="shared" si="17"/>
        <v>E</v>
      </c>
      <c r="T72" s="48">
        <v>19999.77</v>
      </c>
      <c r="U72" s="48">
        <v>9341.99</v>
      </c>
      <c r="V72" s="32"/>
      <c r="W72" s="3" t="str">
        <f t="shared" ref="W72:W135" si="18">IF($A72="","",IF(X72=0,"A",IF(X72=BB72,"E","A")))</f>
        <v>E</v>
      </c>
      <c r="X72" s="48">
        <v>19999.77</v>
      </c>
      <c r="Y72" s="48">
        <v>9341.99</v>
      </c>
      <c r="Z72" s="32"/>
      <c r="AA72" s="3" t="str">
        <f t="shared" ref="AA72:AA135" si="19">IF($A72="","",IF(AB72=0,"A",IF(AB72=BC72,"E","A")))</f>
        <v>E</v>
      </c>
      <c r="AB72" s="48">
        <v>22856.880000000001</v>
      </c>
      <c r="AC72" s="48">
        <v>10676.56</v>
      </c>
      <c r="AD72" s="36"/>
      <c r="AE72" s="54"/>
      <c r="AF72" s="3" t="str">
        <f t="shared" ref="AF72:AF135" si="20">IF($A72="","",IF(AG72=0,"A",IF(AG72=BD72,"E","A")))</f>
        <v>A</v>
      </c>
      <c r="AG72" s="48"/>
      <c r="AH72" s="48"/>
      <c r="AI72" s="39"/>
      <c r="AJ72" s="79" t="s">
        <v>38</v>
      </c>
      <c r="AK72" s="39"/>
      <c r="AL72" s="4">
        <f t="shared" si="12"/>
        <v>0</v>
      </c>
      <c r="AM72" s="4">
        <f t="shared" si="12"/>
        <v>0</v>
      </c>
      <c r="AN72" s="4">
        <f t="shared" ref="AN72:AN135" si="21">SUM(AL72:AM72)</f>
        <v>0</v>
      </c>
      <c r="AO72" s="39"/>
      <c r="AP72" s="8">
        <f t="shared" si="13"/>
        <v>85713.3</v>
      </c>
      <c r="AQ72" s="8">
        <f t="shared" si="13"/>
        <v>40037.1</v>
      </c>
      <c r="AR72" s="8">
        <f t="shared" ref="AR72:AR135" si="22">SUM(AP72:AQ72)</f>
        <v>125750.39999999999</v>
      </c>
      <c r="AS72" s="42"/>
      <c r="AT72" s="48"/>
      <c r="AU72" s="48"/>
      <c r="AV72" s="4">
        <f t="shared" ref="AV72:AV135" si="23">SUM(AT72:AU72)</f>
        <v>0</v>
      </c>
      <c r="AW72" s="50" t="str">
        <f t="shared" ref="AW72:AW135" si="24">IF(AV72=0,"",IF(AN72=AV72,"","W"))</f>
        <v/>
      </c>
      <c r="AX72" s="1" t="s">
        <v>1639</v>
      </c>
      <c r="AY72" s="2" t="s">
        <v>1640</v>
      </c>
      <c r="AZ72" s="2">
        <v>22856.880000000001</v>
      </c>
      <c r="BA72" s="73">
        <v>19999.77</v>
      </c>
      <c r="BB72" s="73">
        <v>19999.77</v>
      </c>
      <c r="BC72" s="73">
        <v>22856.880000000001</v>
      </c>
      <c r="BD72" s="73"/>
      <c r="BE72" s="66">
        <v>2.5000000000000001E-2</v>
      </c>
      <c r="BF72" s="66">
        <v>0.02</v>
      </c>
      <c r="BG72" s="63">
        <v>45657</v>
      </c>
      <c r="BH72" s="2"/>
      <c r="BI72" s="2"/>
      <c r="BJ72" s="2"/>
      <c r="BK72" s="2"/>
      <c r="BL72" s="1" t="s">
        <v>56</v>
      </c>
    </row>
    <row r="73" spans="1:64" x14ac:dyDescent="0.25">
      <c r="A73" s="56" t="s">
        <v>173</v>
      </c>
      <c r="B73" s="54" t="s">
        <v>674</v>
      </c>
      <c r="C73" s="56" t="s">
        <v>675</v>
      </c>
      <c r="D73" s="16">
        <v>0</v>
      </c>
      <c r="E73" s="17"/>
      <c r="F73" s="2" t="s">
        <v>76</v>
      </c>
      <c r="G73" s="2" t="s">
        <v>78</v>
      </c>
      <c r="H73" s="10" t="s">
        <v>57</v>
      </c>
      <c r="I73" s="11" t="s">
        <v>77</v>
      </c>
      <c r="J73" s="11" t="s">
        <v>79</v>
      </c>
      <c r="K73" s="61" t="s">
        <v>80</v>
      </c>
      <c r="L73" s="11" t="s">
        <v>67</v>
      </c>
      <c r="M73" s="25"/>
      <c r="N73" s="54"/>
      <c r="O73" s="3" t="str">
        <f t="shared" si="16"/>
        <v>A</v>
      </c>
      <c r="P73" s="48">
        <v>51427</v>
      </c>
      <c r="Q73" s="48">
        <v>22741</v>
      </c>
      <c r="R73" s="32"/>
      <c r="S73" s="3" t="str">
        <f t="shared" si="17"/>
        <v>A</v>
      </c>
      <c r="T73" s="48">
        <v>38919</v>
      </c>
      <c r="U73" s="48">
        <v>16244</v>
      </c>
      <c r="V73" s="32"/>
      <c r="W73" s="3" t="str">
        <f t="shared" si="18"/>
        <v>A</v>
      </c>
      <c r="X73" s="48">
        <v>32306</v>
      </c>
      <c r="Y73" s="48">
        <v>18411</v>
      </c>
      <c r="Z73" s="32"/>
      <c r="AA73" s="3" t="str">
        <f t="shared" si="19"/>
        <v>A</v>
      </c>
      <c r="AB73" s="48">
        <v>39067</v>
      </c>
      <c r="AC73" s="48">
        <v>15474</v>
      </c>
      <c r="AD73" s="36"/>
      <c r="AE73" s="54"/>
      <c r="AF73" s="3" t="str">
        <f t="shared" si="20"/>
        <v>A</v>
      </c>
      <c r="AG73" s="48">
        <v>0</v>
      </c>
      <c r="AH73" s="48">
        <v>0</v>
      </c>
      <c r="AI73" s="39"/>
      <c r="AJ73" s="79" t="s">
        <v>1801</v>
      </c>
      <c r="AK73" s="39"/>
      <c r="AL73" s="4">
        <f t="shared" si="12"/>
        <v>161719</v>
      </c>
      <c r="AM73" s="4">
        <f t="shared" si="12"/>
        <v>72870</v>
      </c>
      <c r="AN73" s="4">
        <f t="shared" si="21"/>
        <v>234589</v>
      </c>
      <c r="AO73" s="39"/>
      <c r="AP73" s="8">
        <f t="shared" si="13"/>
        <v>0</v>
      </c>
      <c r="AQ73" s="8">
        <f t="shared" si="13"/>
        <v>0</v>
      </c>
      <c r="AR73" s="8">
        <f t="shared" si="22"/>
        <v>0</v>
      </c>
      <c r="AS73" s="42"/>
      <c r="AT73" s="48">
        <v>161719</v>
      </c>
      <c r="AU73" s="48">
        <v>72870</v>
      </c>
      <c r="AV73" s="4">
        <f t="shared" si="23"/>
        <v>234589</v>
      </c>
      <c r="AW73" s="50" t="str">
        <f t="shared" si="24"/>
        <v/>
      </c>
      <c r="AX73" s="1" t="s">
        <v>1639</v>
      </c>
      <c r="AY73" s="2" t="s">
        <v>1640</v>
      </c>
      <c r="AZ73" s="2">
        <v>54928.08</v>
      </c>
      <c r="BA73" s="73">
        <v>48062.07</v>
      </c>
      <c r="BB73" s="73">
        <v>48062.07</v>
      </c>
      <c r="BC73" s="73">
        <v>54928.08</v>
      </c>
      <c r="BD73" s="73"/>
      <c r="BE73" s="66">
        <v>2.5000000000000001E-2</v>
      </c>
      <c r="BF73" s="66">
        <v>0.02</v>
      </c>
      <c r="BG73" s="63">
        <v>45657</v>
      </c>
      <c r="BH73" s="2"/>
      <c r="BI73" s="2"/>
      <c r="BJ73" s="2"/>
      <c r="BK73" s="2"/>
      <c r="BL73" s="1" t="s">
        <v>56</v>
      </c>
    </row>
    <row r="74" spans="1:64" x14ac:dyDescent="0.25">
      <c r="A74" s="56" t="s">
        <v>173</v>
      </c>
      <c r="B74" s="54" t="s">
        <v>676</v>
      </c>
      <c r="C74" s="56" t="s">
        <v>677</v>
      </c>
      <c r="D74" s="16">
        <v>40418</v>
      </c>
      <c r="E74" s="17"/>
      <c r="F74" s="2" t="s">
        <v>76</v>
      </c>
      <c r="G74" s="2" t="s">
        <v>78</v>
      </c>
      <c r="H74" s="10" t="s">
        <v>57</v>
      </c>
      <c r="I74" s="11" t="s">
        <v>77</v>
      </c>
      <c r="J74" s="11" t="s">
        <v>79</v>
      </c>
      <c r="K74" s="61" t="s">
        <v>80</v>
      </c>
      <c r="L74" s="11" t="s">
        <v>67</v>
      </c>
      <c r="M74" s="25"/>
      <c r="N74" s="54"/>
      <c r="O74" s="3" t="str">
        <f t="shared" si="16"/>
        <v>A</v>
      </c>
      <c r="P74" s="48">
        <v>22705</v>
      </c>
      <c r="Q74" s="48">
        <v>18041</v>
      </c>
      <c r="R74" s="32"/>
      <c r="S74" s="3" t="str">
        <f t="shared" si="17"/>
        <v>A</v>
      </c>
      <c r="T74" s="48">
        <v>19605</v>
      </c>
      <c r="U74" s="48">
        <v>17763</v>
      </c>
      <c r="V74" s="32"/>
      <c r="W74" s="3" t="str">
        <f t="shared" si="18"/>
        <v>A</v>
      </c>
      <c r="X74" s="48">
        <v>19828</v>
      </c>
      <c r="Y74" s="48">
        <v>13208</v>
      </c>
      <c r="Z74" s="32"/>
      <c r="AA74" s="3" t="str">
        <f t="shared" si="19"/>
        <v>A</v>
      </c>
      <c r="AB74" s="48">
        <v>20491</v>
      </c>
      <c r="AC74" s="48">
        <v>13001</v>
      </c>
      <c r="AD74" s="36"/>
      <c r="AE74" s="54"/>
      <c r="AF74" s="3" t="str">
        <f t="shared" si="20"/>
        <v>A</v>
      </c>
      <c r="AG74" s="48">
        <v>0</v>
      </c>
      <c r="AH74" s="48">
        <v>0</v>
      </c>
      <c r="AI74" s="39"/>
      <c r="AJ74" s="79" t="s">
        <v>1801</v>
      </c>
      <c r="AK74" s="39"/>
      <c r="AL74" s="4">
        <f t="shared" si="12"/>
        <v>82629</v>
      </c>
      <c r="AM74" s="4">
        <f t="shared" si="12"/>
        <v>62013</v>
      </c>
      <c r="AN74" s="4">
        <f t="shared" si="21"/>
        <v>144642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48">
        <v>82629</v>
      </c>
      <c r="AU74" s="48">
        <v>62013</v>
      </c>
      <c r="AV74" s="4">
        <f t="shared" si="23"/>
        <v>144642</v>
      </c>
      <c r="AW74" s="50" t="str">
        <f t="shared" si="24"/>
        <v/>
      </c>
      <c r="AX74" s="1" t="s">
        <v>1639</v>
      </c>
      <c r="AY74" s="2" t="s">
        <v>1640</v>
      </c>
      <c r="AZ74" s="2">
        <v>55042.8</v>
      </c>
      <c r="BA74" s="73">
        <v>48162.45</v>
      </c>
      <c r="BB74" s="73">
        <v>48162.45</v>
      </c>
      <c r="BC74" s="73">
        <v>55042.8</v>
      </c>
      <c r="BD74" s="73"/>
      <c r="BE74" s="66">
        <v>2.5000000000000001E-2</v>
      </c>
      <c r="BF74" s="66">
        <v>0.02</v>
      </c>
      <c r="BG74" s="63">
        <v>45657</v>
      </c>
      <c r="BH74" s="2"/>
      <c r="BI74" s="2"/>
      <c r="BJ74" s="2"/>
      <c r="BK74" s="2"/>
      <c r="BL74" s="1" t="s">
        <v>56</v>
      </c>
    </row>
    <row r="75" spans="1:64" x14ac:dyDescent="0.25">
      <c r="A75" s="56" t="s">
        <v>175</v>
      </c>
      <c r="B75" s="54" t="s">
        <v>175</v>
      </c>
      <c r="C75" s="56" t="s">
        <v>176</v>
      </c>
      <c r="D75" s="16">
        <v>36282</v>
      </c>
      <c r="E75" s="17"/>
      <c r="F75" s="2" t="s">
        <v>52</v>
      </c>
      <c r="G75" s="2" t="s">
        <v>55</v>
      </c>
      <c r="H75" s="10" t="s">
        <v>57</v>
      </c>
      <c r="I75" s="11" t="s">
        <v>54</v>
      </c>
      <c r="J75" s="11" t="s">
        <v>83</v>
      </c>
      <c r="K75" s="61" t="s">
        <v>84</v>
      </c>
      <c r="L75" s="11" t="s">
        <v>67</v>
      </c>
      <c r="M75" s="25"/>
      <c r="N75" s="54"/>
      <c r="O75" s="3" t="str">
        <f t="shared" si="16"/>
        <v>A</v>
      </c>
      <c r="P75" s="48">
        <v>173265.14</v>
      </c>
      <c r="Q75" s="48">
        <v>34260.770000000004</v>
      </c>
      <c r="R75" s="32"/>
      <c r="S75" s="3" t="str">
        <f t="shared" si="17"/>
        <v>A</v>
      </c>
      <c r="T75" s="48">
        <v>166402.85</v>
      </c>
      <c r="U75" s="48">
        <v>32903</v>
      </c>
      <c r="V75" s="32"/>
      <c r="W75" s="3" t="str">
        <f t="shared" si="18"/>
        <v>A</v>
      </c>
      <c r="X75" s="48">
        <v>166880.1</v>
      </c>
      <c r="Y75" s="48">
        <v>31180.25</v>
      </c>
      <c r="Z75" s="32"/>
      <c r="AA75" s="3" t="str">
        <f t="shared" si="19"/>
        <v>A</v>
      </c>
      <c r="AB75" s="48">
        <v>167607.20000000001</v>
      </c>
      <c r="AC75" s="48">
        <v>30331</v>
      </c>
      <c r="AD75" s="36"/>
      <c r="AE75" s="54"/>
      <c r="AF75" s="3" t="str">
        <f t="shared" si="20"/>
        <v>A</v>
      </c>
      <c r="AG75" s="48">
        <v>0</v>
      </c>
      <c r="AH75" s="48">
        <v>0</v>
      </c>
      <c r="AI75" s="38"/>
      <c r="AJ75" s="79" t="s">
        <v>1801</v>
      </c>
      <c r="AK75" s="38"/>
      <c r="AL75" s="4">
        <f t="shared" si="12"/>
        <v>674155.29</v>
      </c>
      <c r="AM75" s="4">
        <f t="shared" si="12"/>
        <v>128675.02</v>
      </c>
      <c r="AN75" s="4">
        <f t="shared" si="21"/>
        <v>802830.31</v>
      </c>
      <c r="AO75" s="38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48">
        <v>674155.28999999992</v>
      </c>
      <c r="AU75" s="48">
        <v>128675.02</v>
      </c>
      <c r="AV75" s="4">
        <f t="shared" si="23"/>
        <v>802830.30999999994</v>
      </c>
      <c r="AW75" s="50" t="str">
        <f t="shared" si="24"/>
        <v/>
      </c>
      <c r="AX75" s="1" t="s">
        <v>1639</v>
      </c>
      <c r="AY75" s="2" t="s">
        <v>1640</v>
      </c>
      <c r="AZ75" s="2">
        <v>129245.92</v>
      </c>
      <c r="BA75" s="73">
        <v>113090.18</v>
      </c>
      <c r="BB75" s="73">
        <v>113090.18</v>
      </c>
      <c r="BC75" s="73">
        <v>129245.92</v>
      </c>
      <c r="BD75" s="73"/>
      <c r="BE75" s="66">
        <v>2.5000000000000001E-2</v>
      </c>
      <c r="BF75" s="66">
        <v>0.02</v>
      </c>
      <c r="BG75" s="63">
        <v>45657</v>
      </c>
      <c r="BH75" s="74">
        <v>43918</v>
      </c>
      <c r="BI75" s="74">
        <v>43921</v>
      </c>
      <c r="BJ75" s="2"/>
      <c r="BK75" s="2"/>
      <c r="BL75" s="1" t="s">
        <v>56</v>
      </c>
    </row>
    <row r="76" spans="1:64" x14ac:dyDescent="0.25">
      <c r="A76" s="56" t="s">
        <v>177</v>
      </c>
      <c r="B76" s="54" t="s">
        <v>177</v>
      </c>
      <c r="C76" s="56" t="s">
        <v>178</v>
      </c>
      <c r="D76" s="16">
        <v>36294</v>
      </c>
      <c r="E76" s="17"/>
      <c r="F76" s="2" t="s">
        <v>154</v>
      </c>
      <c r="G76" s="2" t="s">
        <v>155</v>
      </c>
      <c r="H76" s="10" t="s">
        <v>57</v>
      </c>
      <c r="I76" s="11" t="s">
        <v>53</v>
      </c>
      <c r="J76" s="11" t="s">
        <v>156</v>
      </c>
      <c r="K76" s="61"/>
      <c r="L76" s="11" t="s">
        <v>67</v>
      </c>
      <c r="M76" s="25"/>
      <c r="N76" s="54"/>
      <c r="O76" s="3" t="str">
        <f t="shared" si="16"/>
        <v>A</v>
      </c>
      <c r="P76" s="48">
        <v>311808</v>
      </c>
      <c r="Q76" s="48">
        <v>60790</v>
      </c>
      <c r="R76" s="32"/>
      <c r="S76" s="3" t="str">
        <f t="shared" si="17"/>
        <v>A</v>
      </c>
      <c r="T76" s="48">
        <v>279213</v>
      </c>
      <c r="U76" s="48">
        <v>58024</v>
      </c>
      <c r="V76" s="32"/>
      <c r="W76" s="3" t="str">
        <f t="shared" si="18"/>
        <v>A</v>
      </c>
      <c r="X76" s="48">
        <v>254377</v>
      </c>
      <c r="Y76" s="48">
        <v>46498</v>
      </c>
      <c r="Z76" s="32"/>
      <c r="AA76" s="3" t="str">
        <f t="shared" si="19"/>
        <v>A</v>
      </c>
      <c r="AB76" s="48">
        <v>277090</v>
      </c>
      <c r="AC76" s="48">
        <v>58884</v>
      </c>
      <c r="AD76" s="36"/>
      <c r="AE76" s="54"/>
      <c r="AF76" s="3" t="str">
        <f t="shared" si="20"/>
        <v>A</v>
      </c>
      <c r="AG76" s="48">
        <v>0</v>
      </c>
      <c r="AH76" s="48">
        <v>0</v>
      </c>
      <c r="AI76" s="38"/>
      <c r="AJ76" s="79" t="s">
        <v>1801</v>
      </c>
      <c r="AK76" s="38"/>
      <c r="AL76" s="4">
        <f t="shared" si="12"/>
        <v>1122488</v>
      </c>
      <c r="AM76" s="4">
        <f t="shared" si="12"/>
        <v>224196</v>
      </c>
      <c r="AN76" s="4">
        <f t="shared" si="21"/>
        <v>1346684</v>
      </c>
      <c r="AO76" s="38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48">
        <v>1122488</v>
      </c>
      <c r="AU76" s="48">
        <v>224196</v>
      </c>
      <c r="AV76" s="4">
        <f t="shared" si="23"/>
        <v>1346684</v>
      </c>
      <c r="AW76" s="50" t="str">
        <f t="shared" si="24"/>
        <v/>
      </c>
      <c r="AX76" s="1" t="s">
        <v>1652</v>
      </c>
      <c r="AY76" s="2" t="s">
        <v>1653</v>
      </c>
      <c r="AZ76" s="2">
        <v>305712.08</v>
      </c>
      <c r="BA76" s="73">
        <v>267498.07</v>
      </c>
      <c r="BB76" s="73">
        <v>267498.07</v>
      </c>
      <c r="BC76" s="73">
        <v>305712.08</v>
      </c>
      <c r="BD76" s="73"/>
      <c r="BE76" s="66">
        <v>3.5000000000000003E-2</v>
      </c>
      <c r="BF76" s="66">
        <v>0.05</v>
      </c>
      <c r="BG76" s="63">
        <v>45657</v>
      </c>
      <c r="BH76" s="74">
        <v>43919</v>
      </c>
      <c r="BI76" s="74">
        <v>43934</v>
      </c>
      <c r="BJ76" s="2"/>
      <c r="BK76" s="2"/>
      <c r="BL76" s="1" t="s">
        <v>56</v>
      </c>
    </row>
    <row r="77" spans="1:64" x14ac:dyDescent="0.25">
      <c r="A77" s="56" t="s">
        <v>177</v>
      </c>
      <c r="B77" s="54" t="s">
        <v>678</v>
      </c>
      <c r="C77" s="56" t="s">
        <v>679</v>
      </c>
      <c r="D77" s="16">
        <v>40331</v>
      </c>
      <c r="E77" s="17"/>
      <c r="F77" s="2" t="s">
        <v>154</v>
      </c>
      <c r="G77" s="2" t="s">
        <v>155</v>
      </c>
      <c r="H77" s="10" t="s">
        <v>57</v>
      </c>
      <c r="I77" s="11" t="s">
        <v>53</v>
      </c>
      <c r="J77" s="11" t="s">
        <v>156</v>
      </c>
      <c r="K77" s="61"/>
      <c r="L77" s="11" t="s">
        <v>67</v>
      </c>
      <c r="M77" s="25"/>
      <c r="N77" s="54"/>
      <c r="O77" s="3" t="str">
        <f t="shared" si="16"/>
        <v>A</v>
      </c>
      <c r="P77" s="48">
        <v>315030</v>
      </c>
      <c r="Q77" s="48">
        <v>62331</v>
      </c>
      <c r="R77" s="32"/>
      <c r="S77" s="3" t="str">
        <f t="shared" si="17"/>
        <v>A</v>
      </c>
      <c r="T77" s="48">
        <v>258791</v>
      </c>
      <c r="U77" s="48">
        <v>52564</v>
      </c>
      <c r="V77" s="32"/>
      <c r="W77" s="3" t="str">
        <f t="shared" si="18"/>
        <v>A</v>
      </c>
      <c r="X77" s="48">
        <v>247125</v>
      </c>
      <c r="Y77" s="48">
        <v>42115</v>
      </c>
      <c r="Z77" s="32"/>
      <c r="AA77" s="3" t="str">
        <f t="shared" si="19"/>
        <v>A</v>
      </c>
      <c r="AB77" s="48">
        <v>266322</v>
      </c>
      <c r="AC77" s="48">
        <v>37041</v>
      </c>
      <c r="AD77" s="36"/>
      <c r="AE77" s="54"/>
      <c r="AF77" s="3" t="str">
        <f t="shared" si="20"/>
        <v>A</v>
      </c>
      <c r="AG77" s="48">
        <v>0</v>
      </c>
      <c r="AH77" s="48">
        <v>0</v>
      </c>
      <c r="AI77" s="39"/>
      <c r="AJ77" s="79" t="s">
        <v>1801</v>
      </c>
      <c r="AK77" s="39"/>
      <c r="AL77" s="4">
        <f t="shared" si="12"/>
        <v>1087268</v>
      </c>
      <c r="AM77" s="4">
        <f t="shared" si="12"/>
        <v>194051</v>
      </c>
      <c r="AN77" s="4">
        <f t="shared" si="21"/>
        <v>1281319</v>
      </c>
      <c r="AO77" s="39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48">
        <v>1087268</v>
      </c>
      <c r="AU77" s="48">
        <v>194051</v>
      </c>
      <c r="AV77" s="4">
        <f t="shared" si="23"/>
        <v>1281319</v>
      </c>
      <c r="AW77" s="50" t="str">
        <f t="shared" si="24"/>
        <v/>
      </c>
      <c r="AX77" s="1" t="s">
        <v>1652</v>
      </c>
      <c r="AY77" s="2" t="s">
        <v>1653</v>
      </c>
      <c r="AZ77" s="2">
        <v>179507.68</v>
      </c>
      <c r="BA77" s="73">
        <v>157069.22</v>
      </c>
      <c r="BB77" s="73">
        <v>157069.22</v>
      </c>
      <c r="BC77" s="73">
        <v>179507.68</v>
      </c>
      <c r="BD77" s="73"/>
      <c r="BE77" s="66">
        <v>3.5000000000000003E-2</v>
      </c>
      <c r="BF77" s="66">
        <v>0.05</v>
      </c>
      <c r="BG77" s="63">
        <v>45657</v>
      </c>
      <c r="BH77" s="74">
        <v>43919</v>
      </c>
      <c r="BI77" s="74">
        <v>43934</v>
      </c>
      <c r="BJ77" s="2"/>
      <c r="BK77" s="2"/>
      <c r="BL77" s="1" t="s">
        <v>56</v>
      </c>
    </row>
    <row r="78" spans="1:64" x14ac:dyDescent="0.25">
      <c r="A78" s="56" t="s">
        <v>179</v>
      </c>
      <c r="B78" s="54" t="s">
        <v>179</v>
      </c>
      <c r="C78" s="56" t="s">
        <v>180</v>
      </c>
      <c r="D78" s="16">
        <v>36336</v>
      </c>
      <c r="E78" s="17"/>
      <c r="F78" s="2" t="s">
        <v>52</v>
      </c>
      <c r="G78" s="2" t="s">
        <v>55</v>
      </c>
      <c r="H78" s="10" t="s">
        <v>57</v>
      </c>
      <c r="I78" s="11" t="s">
        <v>54</v>
      </c>
      <c r="J78" s="11" t="s">
        <v>83</v>
      </c>
      <c r="K78" s="61" t="s">
        <v>84</v>
      </c>
      <c r="L78" s="11" t="s">
        <v>67</v>
      </c>
      <c r="M78" s="25"/>
      <c r="N78" s="54"/>
      <c r="O78" s="3" t="str">
        <f t="shared" si="16"/>
        <v>A</v>
      </c>
      <c r="P78" s="48">
        <v>131085.6</v>
      </c>
      <c r="Q78" s="48">
        <v>20594</v>
      </c>
      <c r="R78" s="32"/>
      <c r="S78" s="3" t="str">
        <f t="shared" si="17"/>
        <v>A</v>
      </c>
      <c r="T78" s="48">
        <v>121797.5</v>
      </c>
      <c r="U78" s="48">
        <v>16656</v>
      </c>
      <c r="V78" s="32"/>
      <c r="W78" s="3" t="str">
        <f t="shared" si="18"/>
        <v>A</v>
      </c>
      <c r="X78" s="48">
        <v>107571</v>
      </c>
      <c r="Y78" s="48">
        <v>20112</v>
      </c>
      <c r="Z78" s="32"/>
      <c r="AA78" s="3" t="str">
        <f t="shared" si="19"/>
        <v>A</v>
      </c>
      <c r="AB78" s="48">
        <v>131496.35</v>
      </c>
      <c r="AC78" s="48">
        <v>21270</v>
      </c>
      <c r="AD78" s="36"/>
      <c r="AE78" s="54"/>
      <c r="AF78" s="3" t="str">
        <f t="shared" si="20"/>
        <v>A</v>
      </c>
      <c r="AG78" s="48">
        <v>0</v>
      </c>
      <c r="AH78" s="48">
        <v>0</v>
      </c>
      <c r="AI78" s="38"/>
      <c r="AJ78" s="79" t="s">
        <v>1801</v>
      </c>
      <c r="AK78" s="38"/>
      <c r="AL78" s="4">
        <f t="shared" si="12"/>
        <v>491950.44999999995</v>
      </c>
      <c r="AM78" s="4">
        <f t="shared" si="12"/>
        <v>78632</v>
      </c>
      <c r="AN78" s="4">
        <f t="shared" si="21"/>
        <v>570582.44999999995</v>
      </c>
      <c r="AO78" s="38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48">
        <v>491950.45</v>
      </c>
      <c r="AU78" s="48">
        <v>78632</v>
      </c>
      <c r="AV78" s="4">
        <f t="shared" si="23"/>
        <v>570582.44999999995</v>
      </c>
      <c r="AW78" s="50" t="str">
        <f t="shared" si="24"/>
        <v/>
      </c>
      <c r="AX78" s="1" t="s">
        <v>1639</v>
      </c>
      <c r="AY78" s="2" t="s">
        <v>1640</v>
      </c>
      <c r="AZ78" s="2">
        <v>127922.08</v>
      </c>
      <c r="BA78" s="73">
        <v>111931.82</v>
      </c>
      <c r="BB78" s="73">
        <v>111931.82</v>
      </c>
      <c r="BC78" s="73">
        <v>127922.08</v>
      </c>
      <c r="BD78" s="73"/>
      <c r="BE78" s="66">
        <v>2.5000000000000001E-2</v>
      </c>
      <c r="BF78" s="66">
        <v>0.02</v>
      </c>
      <c r="BG78" s="63">
        <v>45657</v>
      </c>
      <c r="BH78" s="2"/>
      <c r="BI78" s="2"/>
      <c r="BJ78" s="2"/>
      <c r="BK78" s="2"/>
      <c r="BL78" s="1" t="s">
        <v>56</v>
      </c>
    </row>
    <row r="79" spans="1:64" x14ac:dyDescent="0.25">
      <c r="A79" s="56" t="s">
        <v>181</v>
      </c>
      <c r="B79" s="54" t="s">
        <v>181</v>
      </c>
      <c r="C79" s="56" t="s">
        <v>182</v>
      </c>
      <c r="D79" s="16">
        <v>36377</v>
      </c>
      <c r="E79" s="17"/>
      <c r="F79" s="2" t="s">
        <v>102</v>
      </c>
      <c r="G79" s="2" t="s">
        <v>103</v>
      </c>
      <c r="H79" s="10" t="s">
        <v>105</v>
      </c>
      <c r="I79" s="11" t="s">
        <v>53</v>
      </c>
      <c r="J79" s="11" t="s">
        <v>106</v>
      </c>
      <c r="K79" s="61"/>
      <c r="L79" s="11" t="s">
        <v>67</v>
      </c>
      <c r="M79" s="25"/>
      <c r="N79" s="54"/>
      <c r="O79" s="3" t="str">
        <f t="shared" si="16"/>
        <v>E</v>
      </c>
      <c r="P79" s="48">
        <v>271608.8</v>
      </c>
      <c r="Q79" s="48">
        <v>56109.599999999999</v>
      </c>
      <c r="R79" s="32"/>
      <c r="S79" s="3" t="str">
        <f t="shared" si="17"/>
        <v>E</v>
      </c>
      <c r="T79" s="48">
        <v>237657.7</v>
      </c>
      <c r="U79" s="48">
        <v>49095.9</v>
      </c>
      <c r="V79" s="32"/>
      <c r="W79" s="3" t="str">
        <f t="shared" si="18"/>
        <v>E</v>
      </c>
      <c r="X79" s="48">
        <v>237657.7</v>
      </c>
      <c r="Y79" s="48">
        <v>49095.9</v>
      </c>
      <c r="Z79" s="32"/>
      <c r="AA79" s="3" t="str">
        <f t="shared" si="19"/>
        <v>E</v>
      </c>
      <c r="AB79" s="48">
        <v>271608.8</v>
      </c>
      <c r="AC79" s="48">
        <v>56109.599999999999</v>
      </c>
      <c r="AD79" s="36"/>
      <c r="AE79" s="54"/>
      <c r="AF79" s="3" t="str">
        <f t="shared" si="20"/>
        <v>A</v>
      </c>
      <c r="AG79" s="48"/>
      <c r="AH79" s="48"/>
      <c r="AI79" s="38"/>
      <c r="AJ79" s="79" t="s">
        <v>38</v>
      </c>
      <c r="AK79" s="38"/>
      <c r="AL79" s="4">
        <f t="shared" si="12"/>
        <v>0</v>
      </c>
      <c r="AM79" s="4">
        <f t="shared" si="12"/>
        <v>0</v>
      </c>
      <c r="AN79" s="4">
        <f t="shared" si="21"/>
        <v>0</v>
      </c>
      <c r="AO79" s="38"/>
      <c r="AP79" s="8">
        <f t="shared" si="13"/>
        <v>1018533</v>
      </c>
      <c r="AQ79" s="8">
        <f t="shared" si="13"/>
        <v>210411</v>
      </c>
      <c r="AR79" s="8">
        <f t="shared" si="22"/>
        <v>1228944</v>
      </c>
      <c r="AS79" s="42"/>
      <c r="AT79" s="48"/>
      <c r="AU79" s="48"/>
      <c r="AV79" s="4">
        <f t="shared" si="23"/>
        <v>0</v>
      </c>
      <c r="AW79" s="50" t="str">
        <f t="shared" si="24"/>
        <v/>
      </c>
      <c r="AX79" s="1" t="s">
        <v>1645</v>
      </c>
      <c r="AY79" s="2" t="s">
        <v>1646</v>
      </c>
      <c r="AZ79" s="2">
        <v>271608.8</v>
      </c>
      <c r="BA79" s="73">
        <v>237657.7</v>
      </c>
      <c r="BB79" s="73">
        <v>237657.7</v>
      </c>
      <c r="BC79" s="73">
        <v>271608.8</v>
      </c>
      <c r="BD79" s="73"/>
      <c r="BE79" s="66">
        <v>3.5000000000000003E-2</v>
      </c>
      <c r="BF79" s="66">
        <v>0.05</v>
      </c>
      <c r="BG79" s="63">
        <v>45608</v>
      </c>
      <c r="BH79" s="2"/>
      <c r="BI79" s="2"/>
      <c r="BJ79" s="2"/>
      <c r="BK79" s="2"/>
      <c r="BL79" s="1" t="s">
        <v>104</v>
      </c>
    </row>
    <row r="80" spans="1:64" x14ac:dyDescent="0.25">
      <c r="A80" s="56" t="s">
        <v>181</v>
      </c>
      <c r="B80" s="54" t="s">
        <v>680</v>
      </c>
      <c r="C80" s="56" t="s">
        <v>681</v>
      </c>
      <c r="D80" s="16">
        <v>41062</v>
      </c>
      <c r="E80" s="17"/>
      <c r="F80" s="2" t="s">
        <v>102</v>
      </c>
      <c r="G80" s="2" t="s">
        <v>103</v>
      </c>
      <c r="H80" s="10" t="s">
        <v>105</v>
      </c>
      <c r="I80" s="11" t="s">
        <v>53</v>
      </c>
      <c r="J80" s="11" t="s">
        <v>106</v>
      </c>
      <c r="K80" s="61"/>
      <c r="L80" s="11" t="s">
        <v>67</v>
      </c>
      <c r="M80" s="25"/>
      <c r="N80" s="54"/>
      <c r="O80" s="3" t="str">
        <f t="shared" si="16"/>
        <v>A</v>
      </c>
      <c r="P80" s="48">
        <v>37190</v>
      </c>
      <c r="Q80" s="48">
        <v>18717</v>
      </c>
      <c r="R80" s="32"/>
      <c r="S80" s="3" t="str">
        <f t="shared" si="17"/>
        <v>A</v>
      </c>
      <c r="T80" s="48">
        <v>36345</v>
      </c>
      <c r="U80" s="48">
        <v>17654</v>
      </c>
      <c r="V80" s="32"/>
      <c r="W80" s="3" t="str">
        <f t="shared" si="18"/>
        <v>A</v>
      </c>
      <c r="X80" s="48">
        <v>32469</v>
      </c>
      <c r="Y80" s="48">
        <v>15359</v>
      </c>
      <c r="Z80" s="32"/>
      <c r="AA80" s="3" t="str">
        <f t="shared" si="19"/>
        <v>A</v>
      </c>
      <c r="AB80" s="48">
        <v>34930</v>
      </c>
      <c r="AC80" s="48">
        <v>14941</v>
      </c>
      <c r="AD80" s="36"/>
      <c r="AE80" s="54"/>
      <c r="AF80" s="3" t="str">
        <f t="shared" si="20"/>
        <v>A</v>
      </c>
      <c r="AG80" s="48">
        <v>0</v>
      </c>
      <c r="AH80" s="48">
        <v>0</v>
      </c>
      <c r="AI80" s="39"/>
      <c r="AJ80" s="79" t="s">
        <v>1801</v>
      </c>
      <c r="AK80" s="39"/>
      <c r="AL80" s="4">
        <f t="shared" si="12"/>
        <v>140934</v>
      </c>
      <c r="AM80" s="4">
        <f t="shared" si="12"/>
        <v>66671</v>
      </c>
      <c r="AN80" s="4">
        <f t="shared" si="21"/>
        <v>207605</v>
      </c>
      <c r="AO80" s="39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48">
        <v>140934</v>
      </c>
      <c r="AU80" s="48">
        <v>66671</v>
      </c>
      <c r="AV80" s="4">
        <f t="shared" si="23"/>
        <v>207605</v>
      </c>
      <c r="AW80" s="50" t="str">
        <f t="shared" si="24"/>
        <v/>
      </c>
      <c r="AX80" s="1" t="s">
        <v>1645</v>
      </c>
      <c r="AY80" s="2" t="s">
        <v>1646</v>
      </c>
      <c r="AZ80" s="2">
        <v>33806.559999999998</v>
      </c>
      <c r="BA80" s="73">
        <v>29580.74</v>
      </c>
      <c r="BB80" s="73">
        <v>29580.74</v>
      </c>
      <c r="BC80" s="73">
        <v>33806.559999999998</v>
      </c>
      <c r="BD80" s="73"/>
      <c r="BE80" s="66">
        <v>3.5000000000000003E-2</v>
      </c>
      <c r="BF80" s="66">
        <v>0.05</v>
      </c>
      <c r="BG80" s="63">
        <v>45608</v>
      </c>
      <c r="BH80" s="74">
        <v>43934</v>
      </c>
      <c r="BI80" s="74">
        <v>43952</v>
      </c>
      <c r="BJ80" s="2"/>
      <c r="BK80" s="2"/>
      <c r="BL80" s="1" t="s">
        <v>104</v>
      </c>
    </row>
    <row r="81" spans="1:64" x14ac:dyDescent="0.25">
      <c r="A81" s="56" t="s">
        <v>181</v>
      </c>
      <c r="B81" s="54" t="s">
        <v>682</v>
      </c>
      <c r="C81" s="56" t="s">
        <v>683</v>
      </c>
      <c r="D81" s="16">
        <v>35674</v>
      </c>
      <c r="E81" s="17"/>
      <c r="F81" s="2" t="s">
        <v>102</v>
      </c>
      <c r="G81" s="2" t="s">
        <v>103</v>
      </c>
      <c r="H81" s="10" t="s">
        <v>105</v>
      </c>
      <c r="I81" s="11" t="s">
        <v>53</v>
      </c>
      <c r="J81" s="11" t="s">
        <v>106</v>
      </c>
      <c r="K81" s="61"/>
      <c r="L81" s="11" t="s">
        <v>67</v>
      </c>
      <c r="M81" s="25"/>
      <c r="N81" s="54"/>
      <c r="O81" s="3" t="str">
        <f t="shared" si="16"/>
        <v>E</v>
      </c>
      <c r="P81" s="48">
        <v>58742.239999999998</v>
      </c>
      <c r="Q81" s="48">
        <v>30607.439999999999</v>
      </c>
      <c r="R81" s="32"/>
      <c r="S81" s="3" t="str">
        <f t="shared" si="17"/>
        <v>E</v>
      </c>
      <c r="T81" s="48">
        <v>51399.46</v>
      </c>
      <c r="U81" s="48">
        <v>26781.51</v>
      </c>
      <c r="V81" s="32"/>
      <c r="W81" s="3" t="str">
        <f t="shared" si="18"/>
        <v>E</v>
      </c>
      <c r="X81" s="48">
        <v>51399.46</v>
      </c>
      <c r="Y81" s="48">
        <v>26781.51</v>
      </c>
      <c r="Z81" s="32"/>
      <c r="AA81" s="3" t="str">
        <f t="shared" si="19"/>
        <v>E</v>
      </c>
      <c r="AB81" s="48">
        <v>58742.239999999998</v>
      </c>
      <c r="AC81" s="48">
        <v>30607.439999999999</v>
      </c>
      <c r="AD81" s="36"/>
      <c r="AE81" s="54"/>
      <c r="AF81" s="3" t="str">
        <f t="shared" si="20"/>
        <v>A</v>
      </c>
      <c r="AG81" s="48"/>
      <c r="AH81" s="48"/>
      <c r="AI81" s="39"/>
      <c r="AJ81" s="79" t="s">
        <v>38</v>
      </c>
      <c r="AK81" s="39"/>
      <c r="AL81" s="4">
        <f t="shared" si="12"/>
        <v>0</v>
      </c>
      <c r="AM81" s="4">
        <f t="shared" si="12"/>
        <v>0</v>
      </c>
      <c r="AN81" s="4">
        <f t="shared" si="21"/>
        <v>0</v>
      </c>
      <c r="AO81" s="39"/>
      <c r="AP81" s="8">
        <f t="shared" si="13"/>
        <v>220283.4</v>
      </c>
      <c r="AQ81" s="8">
        <f t="shared" si="13"/>
        <v>114777.9</v>
      </c>
      <c r="AR81" s="8">
        <f t="shared" si="22"/>
        <v>335061.3</v>
      </c>
      <c r="AS81" s="42"/>
      <c r="AT81" s="48"/>
      <c r="AU81" s="48"/>
      <c r="AV81" s="4">
        <f t="shared" si="23"/>
        <v>0</v>
      </c>
      <c r="AW81" s="50" t="str">
        <f t="shared" si="24"/>
        <v/>
      </c>
      <c r="AX81" s="1" t="s">
        <v>1645</v>
      </c>
      <c r="AY81" s="2" t="s">
        <v>1646</v>
      </c>
      <c r="AZ81" s="2">
        <v>58742.239999999998</v>
      </c>
      <c r="BA81" s="73">
        <v>51399.46</v>
      </c>
      <c r="BB81" s="73">
        <v>51399.46</v>
      </c>
      <c r="BC81" s="73">
        <v>58742.239999999998</v>
      </c>
      <c r="BD81" s="73"/>
      <c r="BE81" s="66">
        <v>3.5000000000000003E-2</v>
      </c>
      <c r="BF81" s="66">
        <v>0.05</v>
      </c>
      <c r="BG81" s="63">
        <v>45608</v>
      </c>
      <c r="BH81" s="2"/>
      <c r="BI81" s="2"/>
      <c r="BJ81" s="2"/>
      <c r="BK81" s="2"/>
      <c r="BL81" s="1" t="s">
        <v>104</v>
      </c>
    </row>
    <row r="82" spans="1:64" x14ac:dyDescent="0.25">
      <c r="A82" s="56" t="s">
        <v>183</v>
      </c>
      <c r="B82" s="54" t="s">
        <v>183</v>
      </c>
      <c r="C82" s="56" t="s">
        <v>184</v>
      </c>
      <c r="D82" s="16">
        <v>36399</v>
      </c>
      <c r="E82" s="17"/>
      <c r="F82" s="2" t="s">
        <v>76</v>
      </c>
      <c r="G82" s="2" t="s">
        <v>78</v>
      </c>
      <c r="H82" s="10" t="s">
        <v>57</v>
      </c>
      <c r="I82" s="11" t="s">
        <v>77</v>
      </c>
      <c r="J82" s="11" t="s">
        <v>79</v>
      </c>
      <c r="K82" s="61" t="s">
        <v>80</v>
      </c>
      <c r="L82" s="11" t="s">
        <v>67</v>
      </c>
      <c r="M82" s="25"/>
      <c r="N82" s="54"/>
      <c r="O82" s="3" t="str">
        <f t="shared" si="16"/>
        <v>A</v>
      </c>
      <c r="P82" s="48">
        <v>92918.6</v>
      </c>
      <c r="Q82" s="48">
        <v>33625</v>
      </c>
      <c r="R82" s="32"/>
      <c r="S82" s="3" t="str">
        <f t="shared" si="17"/>
        <v>A</v>
      </c>
      <c r="T82" s="48">
        <v>79225.75</v>
      </c>
      <c r="U82" s="48">
        <v>24531</v>
      </c>
      <c r="V82" s="32"/>
      <c r="W82" s="3" t="str">
        <f t="shared" si="18"/>
        <v>A</v>
      </c>
      <c r="X82" s="48">
        <v>71722</v>
      </c>
      <c r="Y82" s="48">
        <v>21729</v>
      </c>
      <c r="Z82" s="32"/>
      <c r="AA82" s="3" t="str">
        <f t="shared" si="19"/>
        <v>A</v>
      </c>
      <c r="AB82" s="48">
        <v>78094</v>
      </c>
      <c r="AC82" s="48">
        <v>25529</v>
      </c>
      <c r="AD82" s="36"/>
      <c r="AE82" s="54"/>
      <c r="AF82" s="3" t="str">
        <f t="shared" si="20"/>
        <v>A</v>
      </c>
      <c r="AG82" s="48">
        <v>0</v>
      </c>
      <c r="AH82" s="48">
        <v>0</v>
      </c>
      <c r="AI82" s="38"/>
      <c r="AJ82" s="79" t="s">
        <v>1801</v>
      </c>
      <c r="AK82" s="38"/>
      <c r="AL82" s="4">
        <f t="shared" si="12"/>
        <v>321960.34999999998</v>
      </c>
      <c r="AM82" s="4">
        <f t="shared" si="12"/>
        <v>105414</v>
      </c>
      <c r="AN82" s="4">
        <f t="shared" si="21"/>
        <v>427374.35</v>
      </c>
      <c r="AO82" s="38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48">
        <v>321960.34999999998</v>
      </c>
      <c r="AU82" s="48">
        <v>105414</v>
      </c>
      <c r="AV82" s="4">
        <f t="shared" si="23"/>
        <v>427374.35</v>
      </c>
      <c r="AW82" s="50" t="str">
        <f t="shared" si="24"/>
        <v/>
      </c>
      <c r="AX82" s="1" t="s">
        <v>1639</v>
      </c>
      <c r="AY82" s="2" t="s">
        <v>1640</v>
      </c>
      <c r="AZ82" s="2">
        <v>109513.04</v>
      </c>
      <c r="BA82" s="73">
        <v>95823.91</v>
      </c>
      <c r="BB82" s="73">
        <v>95823.91</v>
      </c>
      <c r="BC82" s="73">
        <v>109513.04</v>
      </c>
      <c r="BD82" s="73"/>
      <c r="BE82" s="66">
        <v>2.5000000000000001E-2</v>
      </c>
      <c r="BF82" s="66">
        <v>0.02</v>
      </c>
      <c r="BG82" s="63">
        <v>45657</v>
      </c>
      <c r="BH82" s="74">
        <v>42767</v>
      </c>
      <c r="BI82" s="74">
        <v>42894</v>
      </c>
      <c r="BJ82" s="2"/>
      <c r="BK82" s="2"/>
      <c r="BL82" s="1" t="s">
        <v>56</v>
      </c>
    </row>
    <row r="83" spans="1:64" x14ac:dyDescent="0.25">
      <c r="A83" s="56" t="s">
        <v>183</v>
      </c>
      <c r="B83" s="54" t="s">
        <v>1491</v>
      </c>
      <c r="C83" s="56" t="s">
        <v>1492</v>
      </c>
      <c r="D83" s="16">
        <v>0</v>
      </c>
      <c r="E83" s="17"/>
      <c r="F83" s="2" t="s">
        <v>76</v>
      </c>
      <c r="G83" s="2" t="s">
        <v>78</v>
      </c>
      <c r="H83" s="10" t="s">
        <v>57</v>
      </c>
      <c r="I83" s="11" t="s">
        <v>77</v>
      </c>
      <c r="J83" s="11" t="s">
        <v>79</v>
      </c>
      <c r="K83" s="61" t="s">
        <v>80</v>
      </c>
      <c r="L83" s="11" t="s">
        <v>67</v>
      </c>
      <c r="M83" s="25"/>
      <c r="N83" s="54"/>
      <c r="O83" s="3" t="str">
        <f>IF($A83="","",IF(P83=AZ83,"E","A"))</f>
        <v>A</v>
      </c>
      <c r="P83" s="48">
        <v>31771</v>
      </c>
      <c r="Q83" s="48">
        <v>2795</v>
      </c>
      <c r="R83" s="32"/>
      <c r="S83" s="3" t="str">
        <f>IF($A83="","",IF(T83=BA83,"E","A"))</f>
        <v>A</v>
      </c>
      <c r="T83" s="48">
        <v>23969</v>
      </c>
      <c r="U83" s="48">
        <v>1735</v>
      </c>
      <c r="V83" s="32"/>
      <c r="W83" s="3" t="str">
        <f t="shared" si="18"/>
        <v>A</v>
      </c>
      <c r="X83" s="48">
        <v>21134</v>
      </c>
      <c r="Y83" s="48">
        <v>2090</v>
      </c>
      <c r="Z83" s="32"/>
      <c r="AA83" s="3" t="str">
        <f t="shared" si="19"/>
        <v>A</v>
      </c>
      <c r="AB83" s="48">
        <v>19623</v>
      </c>
      <c r="AC83" s="48">
        <v>2980</v>
      </c>
      <c r="AD83" s="36"/>
      <c r="AE83" s="54"/>
      <c r="AF83" s="3" t="str">
        <f t="shared" si="20"/>
        <v>A</v>
      </c>
      <c r="AG83" s="48">
        <v>0</v>
      </c>
      <c r="AH83" s="48">
        <v>0</v>
      </c>
      <c r="AI83" s="39"/>
      <c r="AJ83" s="79" t="s">
        <v>1801</v>
      </c>
      <c r="AK83" s="39"/>
      <c r="AL83" s="4">
        <f t="shared" si="12"/>
        <v>96497</v>
      </c>
      <c r="AM83" s="4">
        <f t="shared" si="12"/>
        <v>9600</v>
      </c>
      <c r="AN83" s="4">
        <f t="shared" si="21"/>
        <v>106097</v>
      </c>
      <c r="AO83" s="39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48">
        <v>96497</v>
      </c>
      <c r="AU83" s="48">
        <v>9600</v>
      </c>
      <c r="AV83" s="4">
        <f t="shared" si="23"/>
        <v>106097</v>
      </c>
      <c r="AW83" s="50" t="str">
        <f t="shared" si="24"/>
        <v/>
      </c>
      <c r="AX83" s="1" t="s">
        <v>1639</v>
      </c>
      <c r="AY83" s="2" t="s">
        <v>1640</v>
      </c>
      <c r="AZ83" s="2">
        <v>22510.32</v>
      </c>
      <c r="BA83" s="73">
        <v>19696.53</v>
      </c>
      <c r="BB83" s="73">
        <v>19696.53</v>
      </c>
      <c r="BC83" s="73">
        <v>22510.32</v>
      </c>
      <c r="BD83" s="73"/>
      <c r="BE83" s="66">
        <v>0</v>
      </c>
      <c r="BF83" s="66">
        <v>0.02</v>
      </c>
      <c r="BG83" s="63">
        <v>45436</v>
      </c>
      <c r="BH83" s="2"/>
      <c r="BI83" s="2"/>
      <c r="BJ83" s="2">
        <v>142768.5</v>
      </c>
      <c r="BK83" s="2">
        <v>7495.35</v>
      </c>
      <c r="BL83" s="1" t="s">
        <v>56</v>
      </c>
    </row>
    <row r="84" spans="1:64" x14ac:dyDescent="0.25">
      <c r="A84" s="56" t="s">
        <v>185</v>
      </c>
      <c r="B84" s="54" t="s">
        <v>185</v>
      </c>
      <c r="C84" s="56" t="s">
        <v>186</v>
      </c>
      <c r="D84" s="16">
        <v>36402</v>
      </c>
      <c r="E84" s="17"/>
      <c r="F84" s="2" t="s">
        <v>187</v>
      </c>
      <c r="G84" s="2" t="s">
        <v>189</v>
      </c>
      <c r="H84" s="10" t="s">
        <v>57</v>
      </c>
      <c r="I84" s="11" t="s">
        <v>188</v>
      </c>
      <c r="J84" s="11" t="s">
        <v>190</v>
      </c>
      <c r="K84" s="61" t="s">
        <v>191</v>
      </c>
      <c r="L84" s="11" t="s">
        <v>67</v>
      </c>
      <c r="M84" s="25"/>
      <c r="N84" s="54"/>
      <c r="O84" s="3" t="str">
        <f>IF($A84="","",IF(P84=0,"A",IF(P84=AZ84,"E","A")))</f>
        <v>A</v>
      </c>
      <c r="P84" s="48">
        <v>389316.2</v>
      </c>
      <c r="Q84" s="48">
        <v>63229</v>
      </c>
      <c r="R84" s="32"/>
      <c r="S84" s="3" t="str">
        <f>IF($A84="","",IF(T84=0,"A",IF(T84=BA84,"E","A")))</f>
        <v>A</v>
      </c>
      <c r="T84" s="48">
        <v>361611.65</v>
      </c>
      <c r="U84" s="48">
        <v>62862</v>
      </c>
      <c r="V84" s="32"/>
      <c r="W84" s="3" t="str">
        <f t="shared" si="18"/>
        <v>A</v>
      </c>
      <c r="X84" s="48">
        <v>301511.3</v>
      </c>
      <c r="Y84" s="48">
        <v>41036</v>
      </c>
      <c r="Z84" s="32"/>
      <c r="AA84" s="3" t="str">
        <f t="shared" si="19"/>
        <v>A</v>
      </c>
      <c r="AB84" s="48">
        <v>334351.95</v>
      </c>
      <c r="AC84" s="48">
        <v>53124</v>
      </c>
      <c r="AD84" s="36"/>
      <c r="AE84" s="54"/>
      <c r="AF84" s="3" t="str">
        <f t="shared" si="20"/>
        <v>A</v>
      </c>
      <c r="AG84" s="48">
        <v>0</v>
      </c>
      <c r="AH84" s="48">
        <v>0</v>
      </c>
      <c r="AI84" s="38"/>
      <c r="AJ84" s="79" t="s">
        <v>1801</v>
      </c>
      <c r="AK84" s="38"/>
      <c r="AL84" s="4">
        <f t="shared" si="12"/>
        <v>1386791.1</v>
      </c>
      <c r="AM84" s="4">
        <f t="shared" si="12"/>
        <v>220251</v>
      </c>
      <c r="AN84" s="4">
        <f t="shared" si="21"/>
        <v>1607042.1</v>
      </c>
      <c r="AO84" s="38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48">
        <v>1386791.1000000003</v>
      </c>
      <c r="AU84" s="48">
        <v>220251</v>
      </c>
      <c r="AV84" s="4">
        <f t="shared" si="23"/>
        <v>1607042.1000000003</v>
      </c>
      <c r="AW84" s="50" t="str">
        <f t="shared" si="24"/>
        <v/>
      </c>
      <c r="AX84" s="1" t="s">
        <v>1639</v>
      </c>
      <c r="AY84" s="2" t="s">
        <v>1640</v>
      </c>
      <c r="AZ84" s="2">
        <v>297911.2</v>
      </c>
      <c r="BA84" s="73">
        <v>260672.3</v>
      </c>
      <c r="BB84" s="73">
        <v>260672.3</v>
      </c>
      <c r="BC84" s="73">
        <v>297911.2</v>
      </c>
      <c r="BD84" s="73"/>
      <c r="BE84" s="66">
        <v>2.5000000000000001E-2</v>
      </c>
      <c r="BF84" s="66">
        <v>0.02</v>
      </c>
      <c r="BG84" s="63">
        <v>45527</v>
      </c>
      <c r="BH84" s="2"/>
      <c r="BI84" s="2"/>
      <c r="BJ84" s="2"/>
      <c r="BK84" s="2"/>
      <c r="BL84" s="1" t="s">
        <v>56</v>
      </c>
    </row>
    <row r="85" spans="1:64" x14ac:dyDescent="0.25">
      <c r="A85" s="56" t="s">
        <v>185</v>
      </c>
      <c r="B85" s="54" t="s">
        <v>1547</v>
      </c>
      <c r="C85" s="56" t="s">
        <v>1548</v>
      </c>
      <c r="D85" s="16">
        <v>43804</v>
      </c>
      <c r="E85" s="17"/>
      <c r="F85" s="2" t="s">
        <v>187</v>
      </c>
      <c r="G85" s="2" t="s">
        <v>189</v>
      </c>
      <c r="H85" s="10" t="s">
        <v>57</v>
      </c>
      <c r="I85" s="11" t="s">
        <v>188</v>
      </c>
      <c r="J85" s="11" t="s">
        <v>190</v>
      </c>
      <c r="K85" s="61" t="s">
        <v>191</v>
      </c>
      <c r="L85" s="11" t="s">
        <v>67</v>
      </c>
      <c r="M85" s="25"/>
      <c r="N85" s="54"/>
      <c r="O85" s="3" t="str">
        <f>IF($A85="","",IF(P85=AZ85,"E","A"))</f>
        <v>A</v>
      </c>
      <c r="P85" s="48">
        <v>39715</v>
      </c>
      <c r="Q85" s="48">
        <v>8082</v>
      </c>
      <c r="R85" s="32"/>
      <c r="S85" s="3" t="str">
        <f>IF($A85="","",IF(T85=BA85,"E","A"))</f>
        <v>A</v>
      </c>
      <c r="T85" s="48">
        <v>38503</v>
      </c>
      <c r="U85" s="48">
        <v>10233</v>
      </c>
      <c r="V85" s="32"/>
      <c r="W85" s="3" t="str">
        <f t="shared" si="18"/>
        <v>A</v>
      </c>
      <c r="X85" s="48">
        <v>34758</v>
      </c>
      <c r="Y85" s="48">
        <v>6208</v>
      </c>
      <c r="Z85" s="32"/>
      <c r="AA85" s="3" t="str">
        <f t="shared" si="19"/>
        <v>A</v>
      </c>
      <c r="AB85" s="48">
        <v>29125</v>
      </c>
      <c r="AC85" s="48">
        <v>5784</v>
      </c>
      <c r="AD85" s="36"/>
      <c r="AE85" s="54"/>
      <c r="AF85" s="3" t="str">
        <f t="shared" si="20"/>
        <v>A</v>
      </c>
      <c r="AG85" s="48">
        <v>0</v>
      </c>
      <c r="AH85" s="48">
        <v>0</v>
      </c>
      <c r="AI85" s="39"/>
      <c r="AJ85" s="79" t="s">
        <v>1801</v>
      </c>
      <c r="AK85" s="39"/>
      <c r="AL85" s="4">
        <f t="shared" si="12"/>
        <v>142101</v>
      </c>
      <c r="AM85" s="4">
        <f t="shared" si="12"/>
        <v>30307</v>
      </c>
      <c r="AN85" s="4">
        <f t="shared" si="21"/>
        <v>172408</v>
      </c>
      <c r="AO85" s="39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48">
        <v>142101</v>
      </c>
      <c r="AU85" s="48">
        <v>30307</v>
      </c>
      <c r="AV85" s="4">
        <f t="shared" si="23"/>
        <v>172408</v>
      </c>
      <c r="AW85" s="50" t="str">
        <f t="shared" si="24"/>
        <v/>
      </c>
      <c r="AX85" s="1" t="s">
        <v>1639</v>
      </c>
      <c r="AY85" s="2" t="s">
        <v>1640</v>
      </c>
      <c r="AZ85" s="2">
        <v>93215.44</v>
      </c>
      <c r="BA85" s="73">
        <v>81563.509999999995</v>
      </c>
      <c r="BB85" s="73">
        <v>81563.509999999995</v>
      </c>
      <c r="BC85" s="73">
        <v>93215.44</v>
      </c>
      <c r="BD85" s="73"/>
      <c r="BE85" s="66">
        <v>0</v>
      </c>
      <c r="BF85" s="66">
        <v>0.02</v>
      </c>
      <c r="BG85" s="63">
        <v>45616</v>
      </c>
      <c r="BH85" s="2"/>
      <c r="BI85" s="2"/>
      <c r="BJ85" s="2">
        <v>357672</v>
      </c>
      <c r="BK85" s="2">
        <v>89418</v>
      </c>
      <c r="BL85" s="1" t="s">
        <v>56</v>
      </c>
    </row>
    <row r="86" spans="1:64" x14ac:dyDescent="0.25">
      <c r="A86" s="56" t="s">
        <v>192</v>
      </c>
      <c r="B86" s="54" t="s">
        <v>192</v>
      </c>
      <c r="C86" s="56" t="s">
        <v>193</v>
      </c>
      <c r="D86" s="16">
        <v>36461</v>
      </c>
      <c r="E86" s="17"/>
      <c r="F86" s="2" t="s">
        <v>52</v>
      </c>
      <c r="G86" s="2" t="s">
        <v>55</v>
      </c>
      <c r="H86" s="10" t="s">
        <v>57</v>
      </c>
      <c r="I86" s="11" t="s">
        <v>54</v>
      </c>
      <c r="J86" s="11" t="s">
        <v>72</v>
      </c>
      <c r="K86" s="61" t="s">
        <v>73</v>
      </c>
      <c r="L86" s="11" t="s">
        <v>67</v>
      </c>
      <c r="M86" s="25"/>
      <c r="N86" s="54"/>
      <c r="O86" s="3" t="str">
        <f>IF($A86="","",IF(P86=0,"A",IF(P86=AZ86,"E","A")))</f>
        <v>A</v>
      </c>
      <c r="P86" s="48">
        <v>110759.7</v>
      </c>
      <c r="Q86" s="48">
        <v>34609</v>
      </c>
      <c r="R86" s="32"/>
      <c r="S86" s="3" t="str">
        <f>IF($A86="","",IF(T86=0,"A",IF(T86=BA86,"E","A")))</f>
        <v>A</v>
      </c>
      <c r="T86" s="48">
        <v>98387.199999999997</v>
      </c>
      <c r="U86" s="48">
        <v>28686.75</v>
      </c>
      <c r="V86" s="32"/>
      <c r="W86" s="3" t="str">
        <f t="shared" si="18"/>
        <v>A</v>
      </c>
      <c r="X86" s="48">
        <v>98294.150000000009</v>
      </c>
      <c r="Y86" s="48">
        <v>23989</v>
      </c>
      <c r="Z86" s="32"/>
      <c r="AA86" s="3" t="str">
        <f t="shared" si="19"/>
        <v>A</v>
      </c>
      <c r="AB86" s="48">
        <v>111492.34</v>
      </c>
      <c r="AC86" s="48">
        <v>27832.86</v>
      </c>
      <c r="AD86" s="36"/>
      <c r="AE86" s="54"/>
      <c r="AF86" s="3" t="str">
        <f t="shared" si="20"/>
        <v>A</v>
      </c>
      <c r="AG86" s="48">
        <v>0</v>
      </c>
      <c r="AH86" s="48">
        <v>0</v>
      </c>
      <c r="AI86" s="38"/>
      <c r="AJ86" s="79" t="s">
        <v>1801</v>
      </c>
      <c r="AK86" s="38"/>
      <c r="AL86" s="4">
        <f t="shared" si="12"/>
        <v>418933.39</v>
      </c>
      <c r="AM86" s="4">
        <f t="shared" si="12"/>
        <v>115117.61</v>
      </c>
      <c r="AN86" s="4">
        <f t="shared" si="21"/>
        <v>534051</v>
      </c>
      <c r="AO86" s="38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48">
        <v>418933.39</v>
      </c>
      <c r="AU86" s="48">
        <v>115117.61</v>
      </c>
      <c r="AV86" s="4">
        <f t="shared" si="23"/>
        <v>534051</v>
      </c>
      <c r="AW86" s="50" t="str">
        <f t="shared" si="24"/>
        <v/>
      </c>
      <c r="AX86" s="1" t="s">
        <v>1639</v>
      </c>
      <c r="AY86" s="2" t="s">
        <v>1640</v>
      </c>
      <c r="AZ86" s="2">
        <v>178175.44</v>
      </c>
      <c r="BA86" s="73">
        <v>155903.51</v>
      </c>
      <c r="BB86" s="73">
        <v>155903.51</v>
      </c>
      <c r="BC86" s="73">
        <v>178175.44</v>
      </c>
      <c r="BD86" s="73"/>
      <c r="BE86" s="66">
        <v>2.5000000000000001E-2</v>
      </c>
      <c r="BF86" s="66">
        <v>0.02</v>
      </c>
      <c r="BG86" s="63">
        <v>45585</v>
      </c>
      <c r="BH86" s="2"/>
      <c r="BI86" s="74">
        <v>40168</v>
      </c>
      <c r="BJ86" s="2"/>
      <c r="BK86" s="2"/>
      <c r="BL86" s="1" t="s">
        <v>56</v>
      </c>
    </row>
    <row r="87" spans="1:64" x14ac:dyDescent="0.25">
      <c r="A87" s="56" t="s">
        <v>194</v>
      </c>
      <c r="B87" s="54" t="s">
        <v>194</v>
      </c>
      <c r="C87" s="56" t="s">
        <v>195</v>
      </c>
      <c r="D87" s="16">
        <v>38937</v>
      </c>
      <c r="E87" s="17"/>
      <c r="F87" s="2" t="s">
        <v>52</v>
      </c>
      <c r="G87" s="2" t="s">
        <v>55</v>
      </c>
      <c r="H87" s="10" t="s">
        <v>57</v>
      </c>
      <c r="I87" s="11" t="s">
        <v>54</v>
      </c>
      <c r="J87" s="11" t="s">
        <v>68</v>
      </c>
      <c r="K87" s="61" t="s">
        <v>196</v>
      </c>
      <c r="L87" s="11" t="s">
        <v>67</v>
      </c>
      <c r="M87" s="25"/>
      <c r="N87" s="54"/>
      <c r="O87" s="3" t="str">
        <f>IF($A87="","",IF(P87=0,"A",IF(P87=AZ87,"E","A")))</f>
        <v>A</v>
      </c>
      <c r="P87" s="48">
        <v>75611</v>
      </c>
      <c r="Q87" s="48">
        <v>23746</v>
      </c>
      <c r="R87" s="32"/>
      <c r="S87" s="3" t="str">
        <f>IF($A87="","",IF(T87=0,"A",IF(T87=BA87,"E","A")))</f>
        <v>A</v>
      </c>
      <c r="T87" s="48">
        <v>66858.8</v>
      </c>
      <c r="U87" s="48">
        <v>16124</v>
      </c>
      <c r="V87" s="32"/>
      <c r="W87" s="3" t="str">
        <f t="shared" si="18"/>
        <v>A</v>
      </c>
      <c r="X87" s="48">
        <v>69766.399999999994</v>
      </c>
      <c r="Y87" s="48">
        <v>17229</v>
      </c>
      <c r="Z87" s="32"/>
      <c r="AA87" s="3" t="str">
        <f t="shared" si="19"/>
        <v>A</v>
      </c>
      <c r="AB87" s="48">
        <v>81750.899999999994</v>
      </c>
      <c r="AC87" s="48">
        <v>21729</v>
      </c>
      <c r="AD87" s="36"/>
      <c r="AE87" s="54"/>
      <c r="AF87" s="3" t="str">
        <f t="shared" si="20"/>
        <v>A</v>
      </c>
      <c r="AG87" s="48">
        <v>0</v>
      </c>
      <c r="AH87" s="48">
        <v>0</v>
      </c>
      <c r="AI87" s="38"/>
      <c r="AJ87" s="79" t="s">
        <v>1801</v>
      </c>
      <c r="AK87" s="38"/>
      <c r="AL87" s="4">
        <f t="shared" si="12"/>
        <v>293987.09999999998</v>
      </c>
      <c r="AM87" s="4">
        <f t="shared" si="12"/>
        <v>78828</v>
      </c>
      <c r="AN87" s="4">
        <f t="shared" si="21"/>
        <v>372815.1</v>
      </c>
      <c r="AO87" s="38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48">
        <v>293987.09999999998</v>
      </c>
      <c r="AU87" s="48">
        <v>78828</v>
      </c>
      <c r="AV87" s="4">
        <f t="shared" si="23"/>
        <v>372815.1</v>
      </c>
      <c r="AW87" s="50" t="str">
        <f t="shared" si="24"/>
        <v/>
      </c>
      <c r="AX87" s="1" t="s">
        <v>1639</v>
      </c>
      <c r="AY87" s="2" t="s">
        <v>1640</v>
      </c>
      <c r="AZ87" s="2">
        <v>114620</v>
      </c>
      <c r="BA87" s="73">
        <v>100292.5</v>
      </c>
      <c r="BB87" s="73">
        <v>100292.5</v>
      </c>
      <c r="BC87" s="73">
        <v>114620</v>
      </c>
      <c r="BD87" s="73"/>
      <c r="BE87" s="66">
        <v>2.5000000000000001E-2</v>
      </c>
      <c r="BF87" s="66">
        <v>0.02</v>
      </c>
      <c r="BG87" s="63">
        <v>44416</v>
      </c>
      <c r="BH87" s="2"/>
      <c r="BI87" s="2"/>
      <c r="BJ87" s="2"/>
      <c r="BK87" s="2"/>
      <c r="BL87" s="1" t="s">
        <v>56</v>
      </c>
    </row>
    <row r="88" spans="1:64" x14ac:dyDescent="0.25">
      <c r="A88" s="56" t="s">
        <v>197</v>
      </c>
      <c r="B88" s="54" t="s">
        <v>197</v>
      </c>
      <c r="C88" s="56" t="s">
        <v>198</v>
      </c>
      <c r="D88" s="16">
        <v>36434</v>
      </c>
      <c r="E88" s="17"/>
      <c r="F88" s="2" t="s">
        <v>76</v>
      </c>
      <c r="G88" s="2" t="s">
        <v>78</v>
      </c>
      <c r="H88" s="10" t="s">
        <v>57</v>
      </c>
      <c r="I88" s="11" t="s">
        <v>77</v>
      </c>
      <c r="J88" s="11" t="s">
        <v>87</v>
      </c>
      <c r="K88" s="61" t="s">
        <v>88</v>
      </c>
      <c r="L88" s="11" t="s">
        <v>67</v>
      </c>
      <c r="M88" s="25"/>
      <c r="N88" s="54"/>
      <c r="O88" s="3" t="str">
        <f>IF($A88="","",IF(P88=0,"A",IF(P88=AZ88,"E","A")))</f>
        <v>A</v>
      </c>
      <c r="P88" s="48">
        <v>158533.40000000002</v>
      </c>
      <c r="Q88" s="48">
        <v>54043</v>
      </c>
      <c r="R88" s="32"/>
      <c r="S88" s="3" t="str">
        <f>IF($A88="","",IF(T88=0,"A",IF(T88=BA88,"E","A")))</f>
        <v>A</v>
      </c>
      <c r="T88" s="48">
        <v>146921.20000000001</v>
      </c>
      <c r="U88" s="48">
        <v>43364</v>
      </c>
      <c r="V88" s="32"/>
      <c r="W88" s="3" t="str">
        <f t="shared" si="18"/>
        <v>A</v>
      </c>
      <c r="X88" s="48">
        <v>127331.95</v>
      </c>
      <c r="Y88" s="48">
        <v>44542.5</v>
      </c>
      <c r="Z88" s="32"/>
      <c r="AA88" s="3" t="str">
        <f t="shared" si="19"/>
        <v>A</v>
      </c>
      <c r="AB88" s="48">
        <v>144738.34999999998</v>
      </c>
      <c r="AC88" s="48">
        <v>52063.9</v>
      </c>
      <c r="AD88" s="36"/>
      <c r="AE88" s="54"/>
      <c r="AF88" s="3" t="str">
        <f t="shared" si="20"/>
        <v>A</v>
      </c>
      <c r="AG88" s="48">
        <v>0</v>
      </c>
      <c r="AH88" s="48">
        <v>0</v>
      </c>
      <c r="AI88" s="38"/>
      <c r="AJ88" s="79" t="s">
        <v>1801</v>
      </c>
      <c r="AK88" s="38"/>
      <c r="AL88" s="4">
        <f t="shared" ref="AL88:AM151" si="25">IF($O88="A",P88,0)+IF($S88="A",T88,0)+IF($W88="A",X88,0)+IF($AA88="A",AB88,0)+IF($AF88="A",AG88,0)</f>
        <v>577524.9</v>
      </c>
      <c r="AM88" s="4">
        <f t="shared" si="25"/>
        <v>194013.4</v>
      </c>
      <c r="AN88" s="4">
        <f t="shared" si="21"/>
        <v>771538.3</v>
      </c>
      <c r="AO88" s="38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48">
        <v>577524.90000000014</v>
      </c>
      <c r="AU88" s="48">
        <v>194013.4</v>
      </c>
      <c r="AV88" s="4">
        <f t="shared" si="23"/>
        <v>771538.30000000016</v>
      </c>
      <c r="AW88" s="50" t="str">
        <f t="shared" si="24"/>
        <v/>
      </c>
      <c r="AX88" s="1" t="s">
        <v>1639</v>
      </c>
      <c r="AY88" s="2" t="s">
        <v>1640</v>
      </c>
      <c r="AZ88" s="2">
        <v>154892.4</v>
      </c>
      <c r="BA88" s="73">
        <v>135530.85</v>
      </c>
      <c r="BB88" s="73">
        <v>135530.85</v>
      </c>
      <c r="BC88" s="73">
        <v>154892.4</v>
      </c>
      <c r="BD88" s="73"/>
      <c r="BE88" s="66">
        <v>2.5000000000000001E-2</v>
      </c>
      <c r="BF88" s="66">
        <v>0.02</v>
      </c>
      <c r="BG88" s="63">
        <v>45657</v>
      </c>
      <c r="BH88" s="2"/>
      <c r="BI88" s="2"/>
      <c r="BJ88" s="2"/>
      <c r="BK88" s="2"/>
      <c r="BL88" s="1" t="s">
        <v>56</v>
      </c>
    </row>
    <row r="89" spans="1:64" x14ac:dyDescent="0.25">
      <c r="A89" s="56" t="s">
        <v>197</v>
      </c>
      <c r="B89" s="54" t="s">
        <v>1564</v>
      </c>
      <c r="C89" s="56" t="s">
        <v>1565</v>
      </c>
      <c r="D89" s="16">
        <v>0</v>
      </c>
      <c r="E89" s="17"/>
      <c r="F89" s="2" t="s">
        <v>76</v>
      </c>
      <c r="G89" s="2" t="s">
        <v>78</v>
      </c>
      <c r="H89" s="10" t="s">
        <v>57</v>
      </c>
      <c r="I89" s="11" t="s">
        <v>77</v>
      </c>
      <c r="J89" s="11" t="s">
        <v>87</v>
      </c>
      <c r="K89" s="61" t="s">
        <v>88</v>
      </c>
      <c r="L89" s="11" t="s">
        <v>67</v>
      </c>
      <c r="M89" s="25"/>
      <c r="N89" s="54"/>
      <c r="O89" s="3" t="str">
        <f>IF($A89="","",IF(P89=AZ89,"E","A"))</f>
        <v>A</v>
      </c>
      <c r="P89" s="48">
        <v>15961</v>
      </c>
      <c r="Q89" s="48">
        <v>3619</v>
      </c>
      <c r="R89" s="32"/>
      <c r="S89" s="3" t="str">
        <f>IF($A89="","",IF(T89=BA89,"E","A"))</f>
        <v>A</v>
      </c>
      <c r="T89" s="48">
        <v>11004</v>
      </c>
      <c r="U89" s="48">
        <v>1942</v>
      </c>
      <c r="V89" s="32"/>
      <c r="W89" s="3" t="str">
        <f t="shared" si="18"/>
        <v>A</v>
      </c>
      <c r="X89" s="48">
        <v>16417</v>
      </c>
      <c r="Y89" s="48">
        <v>3350</v>
      </c>
      <c r="Z89" s="32"/>
      <c r="AA89" s="3" t="str">
        <f t="shared" si="19"/>
        <v>A</v>
      </c>
      <c r="AB89" s="48">
        <v>17676</v>
      </c>
      <c r="AC89" s="48">
        <v>4018</v>
      </c>
      <c r="AD89" s="36"/>
      <c r="AE89" s="54"/>
      <c r="AF89" s="3" t="str">
        <f t="shared" si="20"/>
        <v>A</v>
      </c>
      <c r="AG89" s="48">
        <v>0</v>
      </c>
      <c r="AH89" s="48">
        <v>0</v>
      </c>
      <c r="AI89" s="39"/>
      <c r="AJ89" s="79" t="s">
        <v>1801</v>
      </c>
      <c r="AK89" s="39"/>
      <c r="AL89" s="4">
        <f t="shared" si="25"/>
        <v>61058</v>
      </c>
      <c r="AM89" s="4">
        <f t="shared" si="25"/>
        <v>12929</v>
      </c>
      <c r="AN89" s="4">
        <f t="shared" si="21"/>
        <v>73987</v>
      </c>
      <c r="AO89" s="39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48">
        <v>61058</v>
      </c>
      <c r="AU89" s="48">
        <v>12929</v>
      </c>
      <c r="AV89" s="4">
        <f t="shared" si="23"/>
        <v>73987</v>
      </c>
      <c r="AW89" s="50" t="str">
        <f t="shared" si="24"/>
        <v/>
      </c>
      <c r="AX89" s="1" t="s">
        <v>1639</v>
      </c>
      <c r="AY89" s="2" t="s">
        <v>1640</v>
      </c>
      <c r="AZ89" s="2">
        <v>23455.599999999999</v>
      </c>
      <c r="BA89" s="73">
        <v>20523.650000000001</v>
      </c>
      <c r="BB89" s="73">
        <v>20523.650000000001</v>
      </c>
      <c r="BC89" s="73">
        <v>23455.599999999999</v>
      </c>
      <c r="BD89" s="73"/>
      <c r="BE89" s="66">
        <v>0</v>
      </c>
      <c r="BF89" s="66">
        <v>0.05</v>
      </c>
      <c r="BG89" s="63">
        <v>45627</v>
      </c>
      <c r="BH89" s="2"/>
      <c r="BI89" s="2"/>
      <c r="BJ89" s="2">
        <v>90000</v>
      </c>
      <c r="BK89" s="2">
        <v>4725</v>
      </c>
      <c r="BL89" s="1" t="s">
        <v>56</v>
      </c>
    </row>
    <row r="90" spans="1:64" x14ac:dyDescent="0.25">
      <c r="A90" s="56" t="s">
        <v>199</v>
      </c>
      <c r="B90" s="54" t="s">
        <v>199</v>
      </c>
      <c r="C90" s="56" t="s">
        <v>200</v>
      </c>
      <c r="D90" s="16">
        <v>36957</v>
      </c>
      <c r="E90" s="17"/>
      <c r="F90" s="2" t="s">
        <v>201</v>
      </c>
      <c r="G90" s="2" t="s">
        <v>202</v>
      </c>
      <c r="H90" s="10" t="s">
        <v>57</v>
      </c>
      <c r="I90" s="11" t="s">
        <v>53</v>
      </c>
      <c r="J90" s="11" t="s">
        <v>156</v>
      </c>
      <c r="K90" s="61"/>
      <c r="L90" s="11" t="s">
        <v>67</v>
      </c>
      <c r="M90" s="25"/>
      <c r="N90" s="54"/>
      <c r="O90" s="3" t="str">
        <f t="shared" ref="O90:O101" si="27">IF($A90="","",IF(P90=0,"A",IF(P90=AZ90,"E","A")))</f>
        <v>A</v>
      </c>
      <c r="P90" s="48">
        <v>108085</v>
      </c>
      <c r="Q90" s="48">
        <v>21798</v>
      </c>
      <c r="R90" s="32"/>
      <c r="S90" s="3" t="str">
        <f t="shared" ref="S90:S101" si="28">IF($A90="","",IF(T90=0,"A",IF(T90=BA90,"E","A")))</f>
        <v>A</v>
      </c>
      <c r="T90" s="48">
        <v>93097</v>
      </c>
      <c r="U90" s="48">
        <v>17671</v>
      </c>
      <c r="V90" s="32"/>
      <c r="W90" s="3" t="str">
        <f t="shared" si="18"/>
        <v>A</v>
      </c>
      <c r="X90" s="48">
        <v>79325</v>
      </c>
      <c r="Y90" s="48">
        <v>16719</v>
      </c>
      <c r="Z90" s="32"/>
      <c r="AA90" s="3" t="str">
        <f t="shared" si="19"/>
        <v>A</v>
      </c>
      <c r="AB90" s="48">
        <v>88055</v>
      </c>
      <c r="AC90" s="48">
        <v>16261</v>
      </c>
      <c r="AD90" s="36"/>
      <c r="AE90" s="54"/>
      <c r="AF90" s="3" t="str">
        <f t="shared" si="20"/>
        <v>A</v>
      </c>
      <c r="AG90" s="48">
        <v>0</v>
      </c>
      <c r="AH90" s="48">
        <v>0</v>
      </c>
      <c r="AI90" s="39"/>
      <c r="AJ90" s="79" t="s">
        <v>1801</v>
      </c>
      <c r="AK90" s="39"/>
      <c r="AL90" s="4">
        <f t="shared" si="25"/>
        <v>368562</v>
      </c>
      <c r="AM90" s="4">
        <f t="shared" si="25"/>
        <v>72449</v>
      </c>
      <c r="AN90" s="4">
        <f t="shared" si="21"/>
        <v>441011</v>
      </c>
      <c r="AO90" s="39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48">
        <v>368562</v>
      </c>
      <c r="AU90" s="48">
        <v>72449</v>
      </c>
      <c r="AV90" s="4">
        <f t="shared" si="23"/>
        <v>441011</v>
      </c>
      <c r="AW90" s="50" t="str">
        <f t="shared" si="24"/>
        <v/>
      </c>
      <c r="AX90" s="1" t="s">
        <v>1656</v>
      </c>
      <c r="AY90" s="2" t="s">
        <v>1657</v>
      </c>
      <c r="AZ90" s="2">
        <v>130535.28</v>
      </c>
      <c r="BA90" s="77">
        <v>114218.37</v>
      </c>
      <c r="BB90" s="77">
        <v>114218.37</v>
      </c>
      <c r="BC90" s="77">
        <v>130535.28</v>
      </c>
      <c r="BD90" s="77"/>
      <c r="BE90" s="66">
        <v>3.5000000000000003E-2</v>
      </c>
      <c r="BF90" s="66">
        <v>0.05</v>
      </c>
      <c r="BG90" s="63">
        <v>44262</v>
      </c>
      <c r="BH90" s="2"/>
      <c r="BI90" s="2"/>
      <c r="BJ90" s="2"/>
      <c r="BK90" s="2"/>
      <c r="BL90" s="1" t="s">
        <v>56</v>
      </c>
    </row>
    <row r="91" spans="1:64" x14ac:dyDescent="0.25">
      <c r="A91" s="56" t="s">
        <v>203</v>
      </c>
      <c r="B91" s="54" t="s">
        <v>203</v>
      </c>
      <c r="C91" s="56" t="s">
        <v>204</v>
      </c>
      <c r="D91" s="16">
        <v>36567</v>
      </c>
      <c r="E91" s="17"/>
      <c r="F91" s="2" t="s">
        <v>52</v>
      </c>
      <c r="G91" s="2" t="s">
        <v>55</v>
      </c>
      <c r="H91" s="10" t="s">
        <v>57</v>
      </c>
      <c r="I91" s="11" t="s">
        <v>54</v>
      </c>
      <c r="J91" s="11" t="s">
        <v>139</v>
      </c>
      <c r="K91" s="61" t="s">
        <v>140</v>
      </c>
      <c r="L91" s="11" t="s">
        <v>67</v>
      </c>
      <c r="M91" s="25"/>
      <c r="N91" s="54"/>
      <c r="O91" s="3" t="str">
        <f t="shared" si="27"/>
        <v>A</v>
      </c>
      <c r="P91" s="48">
        <v>222520.13999999998</v>
      </c>
      <c r="Q91" s="48">
        <v>47951.43</v>
      </c>
      <c r="R91" s="32"/>
      <c r="S91" s="3" t="str">
        <f t="shared" si="28"/>
        <v>A</v>
      </c>
      <c r="T91" s="48">
        <v>197650.47</v>
      </c>
      <c r="U91" s="48">
        <v>34639</v>
      </c>
      <c r="V91" s="32"/>
      <c r="W91" s="3" t="str">
        <f t="shared" si="18"/>
        <v>A</v>
      </c>
      <c r="X91" s="48">
        <v>177681.33000000002</v>
      </c>
      <c r="Y91" s="48">
        <v>30310.52</v>
      </c>
      <c r="Z91" s="32"/>
      <c r="AA91" s="3" t="str">
        <f t="shared" si="19"/>
        <v>A</v>
      </c>
      <c r="AB91" s="48">
        <v>193328.25000000003</v>
      </c>
      <c r="AC91" s="48">
        <v>31502</v>
      </c>
      <c r="AD91" s="36"/>
      <c r="AE91" s="54"/>
      <c r="AF91" s="3" t="str">
        <f t="shared" si="20"/>
        <v>A</v>
      </c>
      <c r="AG91" s="48">
        <v>0</v>
      </c>
      <c r="AH91" s="48">
        <v>0</v>
      </c>
      <c r="AI91" s="39"/>
      <c r="AJ91" s="79" t="s">
        <v>1801</v>
      </c>
      <c r="AK91" s="39"/>
      <c r="AL91" s="4">
        <f t="shared" si="25"/>
        <v>791180.19</v>
      </c>
      <c r="AM91" s="4">
        <f t="shared" si="25"/>
        <v>144402.95000000001</v>
      </c>
      <c r="AN91" s="4">
        <f t="shared" si="21"/>
        <v>935583.1399999999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48">
        <v>791180.19</v>
      </c>
      <c r="AU91" s="48">
        <v>144402.95000000001</v>
      </c>
      <c r="AV91" s="4">
        <f t="shared" si="23"/>
        <v>935583.1399999999</v>
      </c>
      <c r="AW91" s="50" t="str">
        <f t="shared" si="24"/>
        <v/>
      </c>
      <c r="AX91" s="1" t="s">
        <v>1639</v>
      </c>
      <c r="AY91" s="2" t="s">
        <v>1640</v>
      </c>
      <c r="AZ91" s="2">
        <v>291382.08</v>
      </c>
      <c r="BA91" s="73">
        <v>254959.32</v>
      </c>
      <c r="BB91" s="73">
        <v>254959.32</v>
      </c>
      <c r="BC91" s="73">
        <v>291382.08</v>
      </c>
      <c r="BD91" s="73"/>
      <c r="BE91" s="66">
        <v>2.5000000000000001E-2</v>
      </c>
      <c r="BF91" s="66">
        <v>0.02</v>
      </c>
      <c r="BG91" s="63">
        <v>45657</v>
      </c>
      <c r="BH91" s="2"/>
      <c r="BI91" s="2"/>
      <c r="BJ91" s="2"/>
      <c r="BK91" s="2"/>
      <c r="BL91" s="1" t="s">
        <v>56</v>
      </c>
    </row>
    <row r="92" spans="1:64" x14ac:dyDescent="0.25">
      <c r="A92" s="56" t="s">
        <v>205</v>
      </c>
      <c r="B92" s="54" t="s">
        <v>205</v>
      </c>
      <c r="C92" s="56" t="s">
        <v>206</v>
      </c>
      <c r="D92" s="16">
        <v>36617</v>
      </c>
      <c r="E92" s="17"/>
      <c r="F92" s="2" t="s">
        <v>171</v>
      </c>
      <c r="G92" s="2" t="s">
        <v>172</v>
      </c>
      <c r="H92" s="10" t="s">
        <v>105</v>
      </c>
      <c r="I92" s="11" t="s">
        <v>53</v>
      </c>
      <c r="J92" s="11" t="s">
        <v>145</v>
      </c>
      <c r="K92" s="61"/>
      <c r="L92" s="11" t="s">
        <v>67</v>
      </c>
      <c r="M92" s="25"/>
      <c r="N92" s="54"/>
      <c r="O92" s="3" t="str">
        <f t="shared" si="27"/>
        <v>A</v>
      </c>
      <c r="P92" s="48">
        <v>271749</v>
      </c>
      <c r="Q92" s="48">
        <v>86646.5</v>
      </c>
      <c r="R92" s="32"/>
      <c r="S92" s="3" t="str">
        <f t="shared" si="28"/>
        <v>A</v>
      </c>
      <c r="T92" s="48">
        <v>232845</v>
      </c>
      <c r="U92" s="48">
        <v>74140</v>
      </c>
      <c r="V92" s="32"/>
      <c r="W92" s="3" t="str">
        <f t="shared" si="18"/>
        <v>A</v>
      </c>
      <c r="X92" s="48">
        <v>195173</v>
      </c>
      <c r="Y92" s="48">
        <v>61573</v>
      </c>
      <c r="Z92" s="32"/>
      <c r="AA92" s="3" t="str">
        <f t="shared" si="19"/>
        <v>A</v>
      </c>
      <c r="AB92" s="48">
        <v>236171</v>
      </c>
      <c r="AC92" s="48">
        <v>70549</v>
      </c>
      <c r="AD92" s="36"/>
      <c r="AE92" s="54"/>
      <c r="AF92" s="3" t="str">
        <f t="shared" si="20"/>
        <v>A</v>
      </c>
      <c r="AG92" s="48">
        <v>0</v>
      </c>
      <c r="AH92" s="48">
        <v>0</v>
      </c>
      <c r="AI92" s="39"/>
      <c r="AJ92" s="79" t="s">
        <v>1801</v>
      </c>
      <c r="AK92" s="39"/>
      <c r="AL92" s="4">
        <f t="shared" si="25"/>
        <v>935938</v>
      </c>
      <c r="AM92" s="4">
        <f t="shared" si="25"/>
        <v>292908.5</v>
      </c>
      <c r="AN92" s="4">
        <f t="shared" si="21"/>
        <v>1228846.5</v>
      </c>
      <c r="AO92" s="39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48">
        <v>935938</v>
      </c>
      <c r="AU92" s="48">
        <v>292908.5</v>
      </c>
      <c r="AV92" s="4">
        <f t="shared" si="23"/>
        <v>1228846.5</v>
      </c>
      <c r="AW92" s="50" t="str">
        <f t="shared" si="24"/>
        <v/>
      </c>
      <c r="AX92" s="1" t="s">
        <v>1654</v>
      </c>
      <c r="AY92" s="2" t="s">
        <v>1655</v>
      </c>
      <c r="AZ92" s="2">
        <v>287899.36</v>
      </c>
      <c r="BA92" s="73">
        <v>251911.94</v>
      </c>
      <c r="BB92" s="73">
        <v>251911.94</v>
      </c>
      <c r="BC92" s="73">
        <v>287899.36</v>
      </c>
      <c r="BD92" s="73"/>
      <c r="BE92" s="66">
        <v>3.5000000000000003E-2</v>
      </c>
      <c r="BF92" s="66">
        <v>0.05</v>
      </c>
      <c r="BG92" s="63">
        <v>45496</v>
      </c>
      <c r="BH92" s="2"/>
      <c r="BI92" s="2"/>
      <c r="BJ92" s="2"/>
      <c r="BK92" s="2"/>
      <c r="BL92" s="1" t="s">
        <v>104</v>
      </c>
    </row>
    <row r="93" spans="1:64" x14ac:dyDescent="0.25">
      <c r="A93" s="56" t="s">
        <v>205</v>
      </c>
      <c r="B93" s="54" t="s">
        <v>684</v>
      </c>
      <c r="C93" s="56" t="s">
        <v>685</v>
      </c>
      <c r="D93" s="16">
        <v>40408</v>
      </c>
      <c r="E93" s="17"/>
      <c r="F93" s="2" t="s">
        <v>171</v>
      </c>
      <c r="G93" s="2" t="s">
        <v>172</v>
      </c>
      <c r="H93" s="10" t="s">
        <v>105</v>
      </c>
      <c r="I93" s="11" t="s">
        <v>53</v>
      </c>
      <c r="J93" s="11" t="s">
        <v>145</v>
      </c>
      <c r="K93" s="61"/>
      <c r="L93" s="11" t="s">
        <v>67</v>
      </c>
      <c r="M93" s="25"/>
      <c r="N93" s="54"/>
      <c r="O93" s="3" t="str">
        <f t="shared" si="27"/>
        <v>A</v>
      </c>
      <c r="P93" s="48">
        <v>152222</v>
      </c>
      <c r="Q93" s="48">
        <v>69499</v>
      </c>
      <c r="R93" s="32"/>
      <c r="S93" s="3" t="str">
        <f t="shared" si="28"/>
        <v>A</v>
      </c>
      <c r="T93" s="48">
        <v>138055</v>
      </c>
      <c r="U93" s="48">
        <v>66672</v>
      </c>
      <c r="V93" s="32"/>
      <c r="W93" s="3" t="str">
        <f t="shared" si="18"/>
        <v>A</v>
      </c>
      <c r="X93" s="48">
        <v>105629</v>
      </c>
      <c r="Y93" s="48">
        <v>54245</v>
      </c>
      <c r="Z93" s="32"/>
      <c r="AA93" s="3" t="str">
        <f t="shared" si="19"/>
        <v>A</v>
      </c>
      <c r="AB93" s="48">
        <v>108250</v>
      </c>
      <c r="AC93" s="48">
        <v>50340</v>
      </c>
      <c r="AD93" s="36"/>
      <c r="AE93" s="54"/>
      <c r="AF93" s="3" t="str">
        <f t="shared" si="20"/>
        <v>A</v>
      </c>
      <c r="AG93" s="48">
        <v>0</v>
      </c>
      <c r="AH93" s="48">
        <v>0</v>
      </c>
      <c r="AI93" s="39"/>
      <c r="AJ93" s="79" t="s">
        <v>1801</v>
      </c>
      <c r="AK93" s="39"/>
      <c r="AL93" s="4">
        <f t="shared" si="25"/>
        <v>504156</v>
      </c>
      <c r="AM93" s="4">
        <f t="shared" si="25"/>
        <v>240756</v>
      </c>
      <c r="AN93" s="4">
        <f t="shared" si="21"/>
        <v>744912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48">
        <v>504156</v>
      </c>
      <c r="AU93" s="48">
        <v>240756</v>
      </c>
      <c r="AV93" s="4">
        <f t="shared" si="23"/>
        <v>744912</v>
      </c>
      <c r="AW93" s="50" t="str">
        <f t="shared" si="24"/>
        <v/>
      </c>
      <c r="AX93" s="1" t="s">
        <v>1654</v>
      </c>
      <c r="AY93" s="2" t="s">
        <v>1655</v>
      </c>
      <c r="AZ93" s="2">
        <v>129317.84</v>
      </c>
      <c r="BA93" s="73">
        <v>113153.11</v>
      </c>
      <c r="BB93" s="73">
        <v>113153.11</v>
      </c>
      <c r="BC93" s="73">
        <v>129317.84</v>
      </c>
      <c r="BD93" s="73"/>
      <c r="BE93" s="66">
        <v>3.5000000000000003E-2</v>
      </c>
      <c r="BF93" s="66">
        <v>0.05</v>
      </c>
      <c r="BG93" s="63">
        <v>45496</v>
      </c>
      <c r="BH93" s="74">
        <v>43922</v>
      </c>
      <c r="BI93" s="74">
        <v>43934</v>
      </c>
      <c r="BJ93" s="2"/>
      <c r="BK93" s="2"/>
      <c r="BL93" s="1" t="s">
        <v>104</v>
      </c>
    </row>
    <row r="94" spans="1:64" x14ac:dyDescent="0.25">
      <c r="A94" s="56" t="s">
        <v>205</v>
      </c>
      <c r="B94" s="54" t="s">
        <v>909</v>
      </c>
      <c r="C94" s="56" t="s">
        <v>910</v>
      </c>
      <c r="D94" s="16">
        <v>0</v>
      </c>
      <c r="E94" s="17"/>
      <c r="F94" s="2" t="s">
        <v>171</v>
      </c>
      <c r="G94" s="2" t="s">
        <v>172</v>
      </c>
      <c r="H94" s="10" t="s">
        <v>105</v>
      </c>
      <c r="I94" s="11" t="s">
        <v>53</v>
      </c>
      <c r="J94" s="11" t="s">
        <v>145</v>
      </c>
      <c r="K94" s="61"/>
      <c r="L94" s="11" t="s">
        <v>67</v>
      </c>
      <c r="M94" s="25"/>
      <c r="N94" s="54"/>
      <c r="O94" s="3" t="str">
        <f t="shared" si="27"/>
        <v>A</v>
      </c>
      <c r="P94" s="48">
        <v>71674</v>
      </c>
      <c r="Q94" s="48">
        <v>35908</v>
      </c>
      <c r="R94" s="32"/>
      <c r="S94" s="3" t="str">
        <f t="shared" si="28"/>
        <v>A</v>
      </c>
      <c r="T94" s="48">
        <v>63911</v>
      </c>
      <c r="U94" s="48">
        <v>30892</v>
      </c>
      <c r="V94" s="32"/>
      <c r="W94" s="3" t="str">
        <f t="shared" si="18"/>
        <v>A</v>
      </c>
      <c r="X94" s="48">
        <v>54488</v>
      </c>
      <c r="Y94" s="48">
        <v>21715</v>
      </c>
      <c r="Z94" s="32"/>
      <c r="AA94" s="3" t="str">
        <f t="shared" si="19"/>
        <v>A</v>
      </c>
      <c r="AB94" s="48">
        <v>56184</v>
      </c>
      <c r="AC94" s="48">
        <v>28420</v>
      </c>
      <c r="AD94" s="36"/>
      <c r="AE94" s="54"/>
      <c r="AF94" s="3" t="str">
        <f t="shared" si="20"/>
        <v>A</v>
      </c>
      <c r="AG94" s="48">
        <v>0</v>
      </c>
      <c r="AH94" s="48">
        <v>0</v>
      </c>
      <c r="AI94" s="39"/>
      <c r="AJ94" s="79" t="s">
        <v>1801</v>
      </c>
      <c r="AK94" s="39"/>
      <c r="AL94" s="4">
        <f t="shared" si="25"/>
        <v>246257</v>
      </c>
      <c r="AM94" s="4">
        <f t="shared" si="25"/>
        <v>116935</v>
      </c>
      <c r="AN94" s="4">
        <f t="shared" si="21"/>
        <v>363192</v>
      </c>
      <c r="AO94" s="39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48">
        <v>246257</v>
      </c>
      <c r="AU94" s="48">
        <v>116935</v>
      </c>
      <c r="AV94" s="4">
        <f t="shared" si="23"/>
        <v>363192</v>
      </c>
      <c r="AW94" s="50" t="str">
        <f t="shared" si="24"/>
        <v/>
      </c>
      <c r="AX94" s="1" t="s">
        <v>1654</v>
      </c>
      <c r="AY94" s="2" t="s">
        <v>1655</v>
      </c>
      <c r="AZ94" s="2">
        <v>172508.48</v>
      </c>
      <c r="BA94" s="73">
        <v>150944.92000000001</v>
      </c>
      <c r="BB94" s="73">
        <v>150944.92000000001</v>
      </c>
      <c r="BC94" s="73">
        <v>172508.48</v>
      </c>
      <c r="BD94" s="73"/>
      <c r="BE94" s="66">
        <v>0</v>
      </c>
      <c r="BF94" s="66">
        <v>0.05</v>
      </c>
      <c r="BG94" s="63">
        <v>45496</v>
      </c>
      <c r="BH94" s="2"/>
      <c r="BI94" s="2"/>
      <c r="BJ94" s="2"/>
      <c r="BK94" s="2"/>
      <c r="BL94" s="1" t="s">
        <v>104</v>
      </c>
    </row>
    <row r="95" spans="1:64" x14ac:dyDescent="0.25">
      <c r="A95" s="56" t="s">
        <v>207</v>
      </c>
      <c r="B95" s="54" t="s">
        <v>207</v>
      </c>
      <c r="C95" s="56" t="s">
        <v>208</v>
      </c>
      <c r="D95" s="16">
        <v>29843</v>
      </c>
      <c r="E95" s="17"/>
      <c r="F95" s="2" t="s">
        <v>52</v>
      </c>
      <c r="G95" s="2" t="s">
        <v>55</v>
      </c>
      <c r="H95" s="10" t="s">
        <v>57</v>
      </c>
      <c r="I95" s="11" t="s">
        <v>54</v>
      </c>
      <c r="J95" s="11" t="s">
        <v>83</v>
      </c>
      <c r="K95" s="61" t="s">
        <v>84</v>
      </c>
      <c r="L95" s="11" t="s">
        <v>67</v>
      </c>
      <c r="M95" s="25"/>
      <c r="N95" s="54"/>
      <c r="O95" s="3" t="str">
        <f t="shared" si="27"/>
        <v>A</v>
      </c>
      <c r="P95" s="48">
        <v>84543.17</v>
      </c>
      <c r="Q95" s="48">
        <v>12376.29</v>
      </c>
      <c r="R95" s="32"/>
      <c r="S95" s="3" t="str">
        <f t="shared" si="28"/>
        <v>A</v>
      </c>
      <c r="T95" s="48">
        <v>68236.23</v>
      </c>
      <c r="U95" s="48">
        <v>9672.36</v>
      </c>
      <c r="V95" s="32"/>
      <c r="W95" s="3" t="str">
        <f t="shared" si="18"/>
        <v>A</v>
      </c>
      <c r="X95" s="48">
        <v>80394.05</v>
      </c>
      <c r="Y95" s="48">
        <v>12787</v>
      </c>
      <c r="Z95" s="32"/>
      <c r="AA95" s="3" t="str">
        <f t="shared" si="19"/>
        <v>A</v>
      </c>
      <c r="AB95" s="48">
        <v>116738.00000000001</v>
      </c>
      <c r="AC95" s="48">
        <v>16027</v>
      </c>
      <c r="AD95" s="36"/>
      <c r="AE95" s="54"/>
      <c r="AF95" s="3" t="str">
        <f t="shared" si="20"/>
        <v>A</v>
      </c>
      <c r="AG95" s="48">
        <v>0</v>
      </c>
      <c r="AH95" s="48">
        <v>0</v>
      </c>
      <c r="AI95" s="39"/>
      <c r="AJ95" s="79" t="s">
        <v>1801</v>
      </c>
      <c r="AK95" s="39"/>
      <c r="AL95" s="4">
        <f t="shared" si="25"/>
        <v>349911.45</v>
      </c>
      <c r="AM95" s="4">
        <f t="shared" si="25"/>
        <v>50862.65</v>
      </c>
      <c r="AN95" s="4">
        <f t="shared" si="21"/>
        <v>400774.10000000003</v>
      </c>
      <c r="AO95" s="39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48">
        <v>349911.45</v>
      </c>
      <c r="AU95" s="48">
        <v>50862.65</v>
      </c>
      <c r="AV95" s="4">
        <f t="shared" si="23"/>
        <v>400774.10000000003</v>
      </c>
      <c r="AW95" s="50" t="str">
        <f t="shared" si="24"/>
        <v/>
      </c>
      <c r="AX95" s="1" t="s">
        <v>1639</v>
      </c>
      <c r="AY95" s="2" t="s">
        <v>1640</v>
      </c>
      <c r="AZ95" s="2">
        <v>104281.92</v>
      </c>
      <c r="BA95" s="73">
        <v>91246.68</v>
      </c>
      <c r="BB95" s="73">
        <v>91246.68</v>
      </c>
      <c r="BC95" s="73">
        <v>104281.92</v>
      </c>
      <c r="BD95" s="73"/>
      <c r="BE95" s="66">
        <v>2.5000000000000001E-2</v>
      </c>
      <c r="BF95" s="66">
        <v>0.02</v>
      </c>
      <c r="BG95" s="63">
        <v>45657</v>
      </c>
      <c r="BH95" s="2"/>
      <c r="BI95" s="2"/>
      <c r="BJ95" s="2"/>
      <c r="BK95" s="2"/>
      <c r="BL95" s="1" t="s">
        <v>56</v>
      </c>
    </row>
    <row r="96" spans="1:64" x14ac:dyDescent="0.25">
      <c r="A96" s="56" t="s">
        <v>209</v>
      </c>
      <c r="B96" s="54" t="s">
        <v>209</v>
      </c>
      <c r="C96" s="56" t="s">
        <v>210</v>
      </c>
      <c r="D96" s="16">
        <v>36722</v>
      </c>
      <c r="E96" s="17"/>
      <c r="F96" s="2" t="s">
        <v>52</v>
      </c>
      <c r="G96" s="2" t="s">
        <v>55</v>
      </c>
      <c r="H96" s="10" t="s">
        <v>57</v>
      </c>
      <c r="I96" s="11" t="s">
        <v>54</v>
      </c>
      <c r="J96" s="11" t="s">
        <v>83</v>
      </c>
      <c r="K96" s="61" t="s">
        <v>84</v>
      </c>
      <c r="L96" s="11" t="s">
        <v>67</v>
      </c>
      <c r="M96" s="25"/>
      <c r="N96" s="54"/>
      <c r="O96" s="3" t="str">
        <f t="shared" si="27"/>
        <v>A</v>
      </c>
      <c r="P96" s="48">
        <v>104234</v>
      </c>
      <c r="Q96" s="48">
        <v>22295</v>
      </c>
      <c r="R96" s="32"/>
      <c r="S96" s="3" t="str">
        <f t="shared" si="28"/>
        <v>A</v>
      </c>
      <c r="T96" s="48">
        <v>89962.8</v>
      </c>
      <c r="U96" s="48">
        <v>19096</v>
      </c>
      <c r="V96" s="32"/>
      <c r="W96" s="3" t="str">
        <f t="shared" si="18"/>
        <v>A</v>
      </c>
      <c r="X96" s="48">
        <v>82962</v>
      </c>
      <c r="Y96" s="48">
        <v>18964</v>
      </c>
      <c r="Z96" s="32"/>
      <c r="AA96" s="3" t="str">
        <f t="shared" si="19"/>
        <v>A</v>
      </c>
      <c r="AB96" s="48">
        <v>97924.33</v>
      </c>
      <c r="AC96" s="48">
        <v>23035.57</v>
      </c>
      <c r="AD96" s="36"/>
      <c r="AE96" s="54"/>
      <c r="AF96" s="3" t="str">
        <f t="shared" si="20"/>
        <v>A</v>
      </c>
      <c r="AG96" s="48">
        <v>0</v>
      </c>
      <c r="AH96" s="48">
        <v>0</v>
      </c>
      <c r="AI96" s="39"/>
      <c r="AJ96" s="79" t="s">
        <v>1801</v>
      </c>
      <c r="AK96" s="39"/>
      <c r="AL96" s="4">
        <f t="shared" si="25"/>
        <v>375083.13</v>
      </c>
      <c r="AM96" s="4">
        <f t="shared" si="25"/>
        <v>83390.570000000007</v>
      </c>
      <c r="AN96" s="4">
        <f t="shared" si="21"/>
        <v>458473.7</v>
      </c>
      <c r="AO96" s="39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48">
        <v>375083.13</v>
      </c>
      <c r="AU96" s="48">
        <v>83390.570000000007</v>
      </c>
      <c r="AV96" s="4">
        <f t="shared" si="23"/>
        <v>458473.7</v>
      </c>
      <c r="AW96" s="50" t="str">
        <f t="shared" si="24"/>
        <v/>
      </c>
      <c r="AX96" s="1" t="s">
        <v>1639</v>
      </c>
      <c r="AY96" s="2" t="s">
        <v>1640</v>
      </c>
      <c r="AZ96" s="2">
        <v>166154</v>
      </c>
      <c r="BA96" s="73">
        <v>145384.75</v>
      </c>
      <c r="BB96" s="73">
        <v>145384.75</v>
      </c>
      <c r="BC96" s="73">
        <v>166154</v>
      </c>
      <c r="BD96" s="73"/>
      <c r="BE96" s="66">
        <v>2.5000000000000001E-2</v>
      </c>
      <c r="BF96" s="66">
        <v>0.02</v>
      </c>
      <c r="BG96" s="63">
        <v>44487</v>
      </c>
      <c r="BH96" s="74">
        <v>41364</v>
      </c>
      <c r="BI96" s="74">
        <v>41389</v>
      </c>
      <c r="BJ96" s="2"/>
      <c r="BK96" s="2"/>
      <c r="BL96" s="1" t="s">
        <v>56</v>
      </c>
    </row>
    <row r="97" spans="1:64" x14ac:dyDescent="0.25">
      <c r="A97" s="56" t="s">
        <v>211</v>
      </c>
      <c r="B97" s="54" t="s">
        <v>211</v>
      </c>
      <c r="C97" s="56" t="s">
        <v>212</v>
      </c>
      <c r="D97" s="16">
        <v>36721</v>
      </c>
      <c r="E97" s="17"/>
      <c r="F97" s="2" t="s">
        <v>76</v>
      </c>
      <c r="G97" s="2" t="s">
        <v>78</v>
      </c>
      <c r="H97" s="10" t="s">
        <v>57</v>
      </c>
      <c r="I97" s="11" t="s">
        <v>77</v>
      </c>
      <c r="J97" s="11" t="s">
        <v>79</v>
      </c>
      <c r="K97" s="61" t="s">
        <v>80</v>
      </c>
      <c r="L97" s="11" t="s">
        <v>67</v>
      </c>
      <c r="M97" s="25"/>
      <c r="N97" s="54"/>
      <c r="O97" s="3" t="str">
        <f t="shared" si="27"/>
        <v>A</v>
      </c>
      <c r="P97" s="48">
        <v>100705.60000000001</v>
      </c>
      <c r="Q97" s="48">
        <v>26037</v>
      </c>
      <c r="R97" s="32"/>
      <c r="S97" s="3" t="str">
        <f t="shared" si="28"/>
        <v>A</v>
      </c>
      <c r="T97" s="48">
        <v>95731</v>
      </c>
      <c r="U97" s="48">
        <v>20453</v>
      </c>
      <c r="V97" s="32"/>
      <c r="W97" s="3" t="str">
        <f t="shared" si="18"/>
        <v>A</v>
      </c>
      <c r="X97" s="48">
        <v>88429</v>
      </c>
      <c r="Y97" s="48">
        <v>21326</v>
      </c>
      <c r="Z97" s="32"/>
      <c r="AA97" s="3" t="str">
        <f t="shared" si="19"/>
        <v>A</v>
      </c>
      <c r="AB97" s="48">
        <v>99445</v>
      </c>
      <c r="AC97" s="48">
        <v>20515</v>
      </c>
      <c r="AD97" s="36"/>
      <c r="AE97" s="54"/>
      <c r="AF97" s="3" t="str">
        <f t="shared" si="20"/>
        <v>A</v>
      </c>
      <c r="AG97" s="48">
        <v>0</v>
      </c>
      <c r="AH97" s="48">
        <v>0</v>
      </c>
      <c r="AI97" s="39"/>
      <c r="AJ97" s="79" t="s">
        <v>1801</v>
      </c>
      <c r="AK97" s="39"/>
      <c r="AL97" s="4">
        <f t="shared" si="25"/>
        <v>384310.6</v>
      </c>
      <c r="AM97" s="4">
        <f t="shared" si="25"/>
        <v>88331</v>
      </c>
      <c r="AN97" s="4">
        <f t="shared" si="21"/>
        <v>472641.6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48">
        <v>384310.6</v>
      </c>
      <c r="AU97" s="48">
        <v>88331</v>
      </c>
      <c r="AV97" s="4">
        <f t="shared" si="23"/>
        <v>472641.6</v>
      </c>
      <c r="AW97" s="50" t="str">
        <f t="shared" si="24"/>
        <v/>
      </c>
      <c r="AX97" s="1" t="s">
        <v>1639</v>
      </c>
      <c r="AY97" s="2" t="s">
        <v>1640</v>
      </c>
      <c r="AZ97" s="2">
        <v>161615.28</v>
      </c>
      <c r="BA97" s="73">
        <v>141413.37</v>
      </c>
      <c r="BB97" s="73">
        <v>141413.37</v>
      </c>
      <c r="BC97" s="73">
        <v>161615.28</v>
      </c>
      <c r="BD97" s="73"/>
      <c r="BE97" s="66">
        <v>2.5000000000000001E-2</v>
      </c>
      <c r="BF97" s="66">
        <v>0.02</v>
      </c>
      <c r="BG97" s="63">
        <v>44026</v>
      </c>
      <c r="BH97" s="2"/>
      <c r="BI97" s="2"/>
      <c r="BJ97" s="2"/>
      <c r="BK97" s="2"/>
      <c r="BL97" s="1" t="s">
        <v>56</v>
      </c>
    </row>
    <row r="98" spans="1:64" x14ac:dyDescent="0.25">
      <c r="A98" s="56" t="s">
        <v>211</v>
      </c>
      <c r="B98" s="54" t="s">
        <v>999</v>
      </c>
      <c r="C98" s="56" t="s">
        <v>1000</v>
      </c>
      <c r="D98" s="16">
        <v>0</v>
      </c>
      <c r="E98" s="17"/>
      <c r="F98" s="2" t="s">
        <v>76</v>
      </c>
      <c r="G98" s="2" t="s">
        <v>78</v>
      </c>
      <c r="H98" s="10" t="s">
        <v>57</v>
      </c>
      <c r="I98" s="11" t="s">
        <v>77</v>
      </c>
      <c r="J98" s="11" t="s">
        <v>79</v>
      </c>
      <c r="K98" s="61" t="s">
        <v>80</v>
      </c>
      <c r="L98" s="11" t="s">
        <v>67</v>
      </c>
      <c r="M98" s="25"/>
      <c r="N98" s="54"/>
      <c r="O98" s="3" t="str">
        <f t="shared" si="27"/>
        <v>A</v>
      </c>
      <c r="P98" s="48">
        <v>31568</v>
      </c>
      <c r="Q98" s="48">
        <v>10011</v>
      </c>
      <c r="R98" s="32"/>
      <c r="S98" s="3" t="str">
        <f t="shared" si="28"/>
        <v>A</v>
      </c>
      <c r="T98" s="48">
        <v>30875</v>
      </c>
      <c r="U98" s="48">
        <v>12031</v>
      </c>
      <c r="V98" s="32"/>
      <c r="W98" s="3" t="str">
        <f t="shared" si="18"/>
        <v>A</v>
      </c>
      <c r="X98" s="48">
        <v>26525</v>
      </c>
      <c r="Y98" s="48">
        <v>8679</v>
      </c>
      <c r="Z98" s="32"/>
      <c r="AA98" s="3" t="str">
        <f t="shared" si="19"/>
        <v>A</v>
      </c>
      <c r="AB98" s="48">
        <v>30198</v>
      </c>
      <c r="AC98" s="48">
        <v>9881</v>
      </c>
      <c r="AD98" s="36"/>
      <c r="AE98" s="54"/>
      <c r="AF98" s="3" t="str">
        <f t="shared" si="20"/>
        <v>A</v>
      </c>
      <c r="AG98" s="48">
        <v>0</v>
      </c>
      <c r="AH98" s="48">
        <v>0</v>
      </c>
      <c r="AI98" s="39"/>
      <c r="AJ98" s="79" t="s">
        <v>1801</v>
      </c>
      <c r="AK98" s="39"/>
      <c r="AL98" s="4">
        <f t="shared" si="25"/>
        <v>119166</v>
      </c>
      <c r="AM98" s="4">
        <f t="shared" si="25"/>
        <v>40602</v>
      </c>
      <c r="AN98" s="4">
        <f t="shared" si="21"/>
        <v>159768</v>
      </c>
      <c r="AO98" s="39"/>
      <c r="AP98" s="8">
        <f t="shared" si="26"/>
        <v>0</v>
      </c>
      <c r="AQ98" s="8">
        <f t="shared" si="26"/>
        <v>0</v>
      </c>
      <c r="AR98" s="8">
        <f t="shared" si="22"/>
        <v>0</v>
      </c>
      <c r="AS98" s="42"/>
      <c r="AT98" s="48">
        <v>119166</v>
      </c>
      <c r="AU98" s="48">
        <v>40602</v>
      </c>
      <c r="AV98" s="4">
        <f t="shared" si="23"/>
        <v>159768</v>
      </c>
      <c r="AW98" s="50" t="str">
        <f t="shared" si="24"/>
        <v/>
      </c>
      <c r="AX98" s="1" t="s">
        <v>1639</v>
      </c>
      <c r="AY98" s="2" t="s">
        <v>1640</v>
      </c>
      <c r="AZ98" s="2">
        <v>54270.400000000001</v>
      </c>
      <c r="BA98" s="73">
        <v>47486.6</v>
      </c>
      <c r="BB98" s="73">
        <v>47486.6</v>
      </c>
      <c r="BC98" s="73">
        <v>54270.400000000001</v>
      </c>
      <c r="BD98" s="73"/>
      <c r="BE98" s="66">
        <v>0</v>
      </c>
      <c r="BF98" s="66">
        <v>0.02</v>
      </c>
      <c r="BG98" s="63">
        <v>44543</v>
      </c>
      <c r="BH98" s="2"/>
      <c r="BI98" s="2"/>
      <c r="BJ98" s="2">
        <v>202915.8</v>
      </c>
      <c r="BK98" s="2">
        <v>22546.2</v>
      </c>
      <c r="BL98" s="1" t="s">
        <v>56</v>
      </c>
    </row>
    <row r="99" spans="1:64" x14ac:dyDescent="0.25">
      <c r="A99" s="56" t="s">
        <v>213</v>
      </c>
      <c r="B99" s="54" t="s">
        <v>213</v>
      </c>
      <c r="C99" s="56" t="s">
        <v>214</v>
      </c>
      <c r="D99" s="16">
        <v>36695</v>
      </c>
      <c r="E99" s="17"/>
      <c r="F99" s="2" t="s">
        <v>201</v>
      </c>
      <c r="G99" s="2" t="s">
        <v>202</v>
      </c>
      <c r="H99" s="10" t="s">
        <v>57</v>
      </c>
      <c r="I99" s="11" t="s">
        <v>53</v>
      </c>
      <c r="J99" s="11" t="s">
        <v>156</v>
      </c>
      <c r="K99" s="61"/>
      <c r="L99" s="11" t="s">
        <v>67</v>
      </c>
      <c r="M99" s="25"/>
      <c r="N99" s="54"/>
      <c r="O99" s="3" t="str">
        <f t="shared" si="27"/>
        <v>A</v>
      </c>
      <c r="P99" s="48">
        <v>93123</v>
      </c>
      <c r="Q99" s="48">
        <v>25937</v>
      </c>
      <c r="R99" s="32"/>
      <c r="S99" s="3" t="str">
        <f t="shared" si="28"/>
        <v>E</v>
      </c>
      <c r="T99" s="48">
        <v>149599.24</v>
      </c>
      <c r="U99" s="48">
        <v>45860.92</v>
      </c>
      <c r="V99" s="32"/>
      <c r="W99" s="3" t="str">
        <f t="shared" si="18"/>
        <v>A</v>
      </c>
      <c r="X99" s="48">
        <v>98898</v>
      </c>
      <c r="Y99" s="48">
        <v>31845</v>
      </c>
      <c r="Z99" s="32"/>
      <c r="AA99" s="3" t="str">
        <f t="shared" si="19"/>
        <v>A</v>
      </c>
      <c r="AB99" s="48">
        <v>120125</v>
      </c>
      <c r="AC99" s="48">
        <v>34384</v>
      </c>
      <c r="AD99" s="36"/>
      <c r="AE99" s="54"/>
      <c r="AF99" s="3" t="str">
        <f t="shared" si="20"/>
        <v>A</v>
      </c>
      <c r="AG99" s="48">
        <v>0</v>
      </c>
      <c r="AH99" s="48">
        <v>0</v>
      </c>
      <c r="AI99" s="39"/>
      <c r="AJ99" s="79" t="s">
        <v>38</v>
      </c>
      <c r="AK99" s="39"/>
      <c r="AL99" s="4">
        <f t="shared" si="25"/>
        <v>312146</v>
      </c>
      <c r="AM99" s="4">
        <f t="shared" si="25"/>
        <v>92166</v>
      </c>
      <c r="AN99" s="4">
        <f t="shared" si="21"/>
        <v>404312</v>
      </c>
      <c r="AO99" s="39"/>
      <c r="AP99" s="8">
        <f t="shared" si="26"/>
        <v>149599.24</v>
      </c>
      <c r="AQ99" s="8">
        <f t="shared" si="26"/>
        <v>45860.92</v>
      </c>
      <c r="AR99" s="8">
        <f t="shared" si="22"/>
        <v>195460.15999999997</v>
      </c>
      <c r="AS99" s="42"/>
      <c r="AT99" s="48">
        <v>312146</v>
      </c>
      <c r="AU99" s="48">
        <v>92166</v>
      </c>
      <c r="AV99" s="4">
        <f t="shared" si="23"/>
        <v>404312</v>
      </c>
      <c r="AW99" s="50" t="str">
        <f t="shared" si="24"/>
        <v/>
      </c>
      <c r="AX99" s="1" t="s">
        <v>1656</v>
      </c>
      <c r="AY99" s="2" t="s">
        <v>1657</v>
      </c>
      <c r="AZ99" s="2">
        <v>170970.56</v>
      </c>
      <c r="BA99" s="73">
        <v>149599.24</v>
      </c>
      <c r="BB99" s="73">
        <v>149599.24</v>
      </c>
      <c r="BC99" s="73">
        <v>170970.56</v>
      </c>
      <c r="BD99" s="73"/>
      <c r="BE99" s="66">
        <v>3.5000000000000003E-2</v>
      </c>
      <c r="BF99" s="66">
        <v>0.05</v>
      </c>
      <c r="BG99" s="63">
        <v>45826</v>
      </c>
      <c r="BH99" s="2"/>
      <c r="BI99" s="2"/>
      <c r="BJ99" s="2"/>
      <c r="BK99" s="2"/>
      <c r="BL99" s="1" t="s">
        <v>56</v>
      </c>
    </row>
    <row r="100" spans="1:64" x14ac:dyDescent="0.25">
      <c r="A100" s="56" t="s">
        <v>215</v>
      </c>
      <c r="B100" s="54" t="s">
        <v>215</v>
      </c>
      <c r="C100" s="56" t="s">
        <v>216</v>
      </c>
      <c r="D100" s="16">
        <v>36714</v>
      </c>
      <c r="E100" s="17"/>
      <c r="F100" s="2" t="s">
        <v>217</v>
      </c>
      <c r="G100" s="2" t="s">
        <v>218</v>
      </c>
      <c r="H100" s="10" t="s">
        <v>105</v>
      </c>
      <c r="I100" s="11" t="s">
        <v>53</v>
      </c>
      <c r="J100" s="11" t="s">
        <v>106</v>
      </c>
      <c r="K100" s="61"/>
      <c r="L100" s="11" t="s">
        <v>67</v>
      </c>
      <c r="M100" s="25"/>
      <c r="N100" s="54"/>
      <c r="O100" s="3" t="str">
        <f t="shared" si="27"/>
        <v>A</v>
      </c>
      <c r="P100" s="48">
        <v>485702.95</v>
      </c>
      <c r="Q100" s="48">
        <v>51255</v>
      </c>
      <c r="R100" s="32"/>
      <c r="S100" s="3" t="str">
        <f t="shared" si="28"/>
        <v>A</v>
      </c>
      <c r="T100" s="48">
        <v>436560</v>
      </c>
      <c r="U100" s="48">
        <v>39934</v>
      </c>
      <c r="V100" s="32"/>
      <c r="W100" s="3" t="str">
        <f t="shared" si="18"/>
        <v>A</v>
      </c>
      <c r="X100" s="48">
        <v>381102</v>
      </c>
      <c r="Y100" s="48">
        <v>33505</v>
      </c>
      <c r="Z100" s="32"/>
      <c r="AA100" s="3" t="str">
        <f t="shared" si="19"/>
        <v>A</v>
      </c>
      <c r="AB100" s="48">
        <v>435842</v>
      </c>
      <c r="AC100" s="48">
        <v>41916</v>
      </c>
      <c r="AD100" s="36"/>
      <c r="AE100" s="54"/>
      <c r="AF100" s="3" t="str">
        <f t="shared" si="20"/>
        <v>A</v>
      </c>
      <c r="AG100" s="48">
        <v>0</v>
      </c>
      <c r="AH100" s="48">
        <v>0</v>
      </c>
      <c r="AI100" s="39"/>
      <c r="AJ100" s="79" t="s">
        <v>1801</v>
      </c>
      <c r="AK100" s="39"/>
      <c r="AL100" s="4">
        <f t="shared" si="25"/>
        <v>1739206.95</v>
      </c>
      <c r="AM100" s="4">
        <f t="shared" si="25"/>
        <v>166610</v>
      </c>
      <c r="AN100" s="4">
        <f t="shared" si="21"/>
        <v>1905816.95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48">
        <v>1739206.95</v>
      </c>
      <c r="AU100" s="48">
        <v>166610</v>
      </c>
      <c r="AV100" s="4">
        <f t="shared" si="23"/>
        <v>1905816.95</v>
      </c>
      <c r="AW100" s="50" t="str">
        <f t="shared" si="24"/>
        <v/>
      </c>
      <c r="AX100" s="1" t="s">
        <v>1658</v>
      </c>
      <c r="AY100" s="2" t="s">
        <v>1659</v>
      </c>
      <c r="AZ100" s="2">
        <v>251563.68</v>
      </c>
      <c r="BA100" s="73">
        <v>220118.22</v>
      </c>
      <c r="BB100" s="73">
        <v>220118.22</v>
      </c>
      <c r="BC100" s="73">
        <v>251563.68</v>
      </c>
      <c r="BD100" s="73"/>
      <c r="BE100" s="66">
        <v>3.5000000000000003E-2</v>
      </c>
      <c r="BF100" s="66">
        <v>0.05</v>
      </c>
      <c r="BG100" s="63">
        <v>44019</v>
      </c>
      <c r="BH100" s="2"/>
      <c r="BI100" s="2"/>
      <c r="BJ100" s="2"/>
      <c r="BK100" s="2"/>
      <c r="BL100" s="1" t="s">
        <v>219</v>
      </c>
    </row>
    <row r="101" spans="1:64" x14ac:dyDescent="0.25">
      <c r="A101" s="56" t="s">
        <v>215</v>
      </c>
      <c r="B101" s="54" t="s">
        <v>688</v>
      </c>
      <c r="C101" s="56" t="s">
        <v>689</v>
      </c>
      <c r="D101" s="16">
        <v>37930</v>
      </c>
      <c r="E101" s="17"/>
      <c r="F101" s="2" t="s">
        <v>217</v>
      </c>
      <c r="G101" s="2" t="s">
        <v>218</v>
      </c>
      <c r="H101" s="10" t="s">
        <v>105</v>
      </c>
      <c r="I101" s="11" t="s">
        <v>53</v>
      </c>
      <c r="J101" s="11" t="s">
        <v>106</v>
      </c>
      <c r="K101" s="61"/>
      <c r="L101" s="11" t="s">
        <v>67</v>
      </c>
      <c r="M101" s="25"/>
      <c r="N101" s="54"/>
      <c r="O101" s="3" t="str">
        <f t="shared" si="27"/>
        <v>A</v>
      </c>
      <c r="P101" s="48">
        <v>283810</v>
      </c>
      <c r="Q101" s="48">
        <v>35466</v>
      </c>
      <c r="R101" s="32"/>
      <c r="S101" s="3" t="str">
        <f t="shared" si="28"/>
        <v>A</v>
      </c>
      <c r="T101" s="48">
        <v>251138</v>
      </c>
      <c r="U101" s="48">
        <v>36576</v>
      </c>
      <c r="V101" s="32"/>
      <c r="W101" s="3" t="str">
        <f t="shared" si="18"/>
        <v>A</v>
      </c>
      <c r="X101" s="48">
        <v>228765</v>
      </c>
      <c r="Y101" s="48">
        <v>29249</v>
      </c>
      <c r="Z101" s="32"/>
      <c r="AA101" s="3" t="str">
        <f t="shared" si="19"/>
        <v>A</v>
      </c>
      <c r="AB101" s="48">
        <v>278468</v>
      </c>
      <c r="AC101" s="48">
        <v>29106</v>
      </c>
      <c r="AD101" s="36"/>
      <c r="AE101" s="54"/>
      <c r="AF101" s="3" t="str">
        <f t="shared" si="20"/>
        <v>A</v>
      </c>
      <c r="AG101" s="48">
        <v>0</v>
      </c>
      <c r="AH101" s="48">
        <v>0</v>
      </c>
      <c r="AI101" s="39"/>
      <c r="AJ101" s="79" t="s">
        <v>1801</v>
      </c>
      <c r="AK101" s="39"/>
      <c r="AL101" s="4">
        <f t="shared" si="25"/>
        <v>1042181</v>
      </c>
      <c r="AM101" s="4">
        <f t="shared" si="25"/>
        <v>130397</v>
      </c>
      <c r="AN101" s="4">
        <f t="shared" si="21"/>
        <v>1172578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48">
        <v>1042181</v>
      </c>
      <c r="AU101" s="48">
        <v>130397</v>
      </c>
      <c r="AV101" s="4">
        <f t="shared" si="23"/>
        <v>1172578</v>
      </c>
      <c r="AW101" s="50" t="str">
        <f t="shared" si="24"/>
        <v/>
      </c>
      <c r="AX101" s="1" t="s">
        <v>1658</v>
      </c>
      <c r="AY101" s="2" t="s">
        <v>1659</v>
      </c>
      <c r="AZ101" s="2">
        <v>109580.64</v>
      </c>
      <c r="BA101" s="73">
        <v>95883.06</v>
      </c>
      <c r="BB101" s="73">
        <v>95883.06</v>
      </c>
      <c r="BC101" s="73">
        <v>109580.64</v>
      </c>
      <c r="BD101" s="73"/>
      <c r="BE101" s="66">
        <v>3.5000000000000003E-2</v>
      </c>
      <c r="BF101" s="66">
        <v>0.05</v>
      </c>
      <c r="BG101" s="63">
        <v>44019</v>
      </c>
      <c r="BH101" s="2"/>
      <c r="BI101" s="2"/>
      <c r="BJ101" s="2"/>
      <c r="BK101" s="2"/>
      <c r="BL101" s="1" t="s">
        <v>219</v>
      </c>
    </row>
    <row r="102" spans="1:64" x14ac:dyDescent="0.25">
      <c r="A102" s="56" t="s">
        <v>215</v>
      </c>
      <c r="B102" s="54" t="s">
        <v>1592</v>
      </c>
      <c r="C102" s="56" t="s">
        <v>1593</v>
      </c>
      <c r="D102" s="16">
        <v>0</v>
      </c>
      <c r="E102" s="17"/>
      <c r="F102" s="2" t="s">
        <v>217</v>
      </c>
      <c r="G102" s="2" t="s">
        <v>218</v>
      </c>
      <c r="H102" s="10" t="s">
        <v>105</v>
      </c>
      <c r="I102" s="11" t="s">
        <v>53</v>
      </c>
      <c r="J102" s="11" t="s">
        <v>106</v>
      </c>
      <c r="K102" s="61"/>
      <c r="L102" s="11" t="s">
        <v>67</v>
      </c>
      <c r="M102" s="25"/>
      <c r="N102" s="54"/>
      <c r="O102" s="3" t="str">
        <f>IF($A102="","",IF(P102=AZ102,"E","A"))</f>
        <v>A</v>
      </c>
      <c r="P102" s="48">
        <v>130097</v>
      </c>
      <c r="Q102" s="48">
        <v>2199</v>
      </c>
      <c r="R102" s="32"/>
      <c r="S102" s="3" t="str">
        <f>IF($A102="","",IF(T102=BA102,"E","A"))</f>
        <v>A</v>
      </c>
      <c r="T102" s="48">
        <v>121083</v>
      </c>
      <c r="U102" s="48">
        <v>2016</v>
      </c>
      <c r="V102" s="32"/>
      <c r="W102" s="3" t="str">
        <f t="shared" si="18"/>
        <v>A</v>
      </c>
      <c r="X102" s="48">
        <v>116565</v>
      </c>
      <c r="Y102" s="48">
        <v>1968</v>
      </c>
      <c r="Z102" s="32"/>
      <c r="AA102" s="3" t="str">
        <f t="shared" si="19"/>
        <v>A</v>
      </c>
      <c r="AB102" s="48">
        <v>123182</v>
      </c>
      <c r="AC102" s="48">
        <v>1327</v>
      </c>
      <c r="AD102" s="36"/>
      <c r="AE102" s="54"/>
      <c r="AF102" s="3" t="str">
        <f t="shared" si="20"/>
        <v>A</v>
      </c>
      <c r="AG102" s="48">
        <v>0</v>
      </c>
      <c r="AH102" s="48">
        <v>0</v>
      </c>
      <c r="AI102" s="39"/>
      <c r="AJ102" s="79" t="s">
        <v>1801</v>
      </c>
      <c r="AK102" s="39"/>
      <c r="AL102" s="4">
        <f t="shared" si="25"/>
        <v>490927</v>
      </c>
      <c r="AM102" s="4">
        <f t="shared" si="25"/>
        <v>7510</v>
      </c>
      <c r="AN102" s="4">
        <f t="shared" si="21"/>
        <v>498437</v>
      </c>
      <c r="AO102" s="39"/>
      <c r="AP102" s="8">
        <f t="shared" si="26"/>
        <v>0</v>
      </c>
      <c r="AQ102" s="8">
        <f t="shared" si="26"/>
        <v>0</v>
      </c>
      <c r="AR102" s="8">
        <f t="shared" si="22"/>
        <v>0</v>
      </c>
      <c r="AS102" s="42"/>
      <c r="AT102" s="48">
        <v>490927</v>
      </c>
      <c r="AU102" s="48">
        <v>7510</v>
      </c>
      <c r="AV102" s="4">
        <f t="shared" si="23"/>
        <v>498437</v>
      </c>
      <c r="AW102" s="50" t="str">
        <f t="shared" si="24"/>
        <v/>
      </c>
      <c r="AX102" s="1" t="s">
        <v>1658</v>
      </c>
      <c r="AY102" s="2" t="s">
        <v>1659</v>
      </c>
      <c r="AZ102" s="2">
        <v>70961.36</v>
      </c>
      <c r="BA102" s="73">
        <v>62091.19</v>
      </c>
      <c r="BB102" s="73">
        <v>62091.19</v>
      </c>
      <c r="BC102" s="73">
        <v>70961.36</v>
      </c>
      <c r="BD102" s="73"/>
      <c r="BE102" s="66">
        <v>0</v>
      </c>
      <c r="BF102" s="66">
        <v>0.05</v>
      </c>
      <c r="BG102" s="63">
        <v>45767</v>
      </c>
      <c r="BH102" s="2"/>
      <c r="BI102" s="2"/>
      <c r="BJ102" s="2">
        <v>263199</v>
      </c>
      <c r="BK102" s="2"/>
      <c r="BL102" s="1" t="s">
        <v>219</v>
      </c>
    </row>
    <row r="103" spans="1:64" x14ac:dyDescent="0.25">
      <c r="A103" s="56" t="s">
        <v>220</v>
      </c>
      <c r="B103" s="54" t="s">
        <v>220</v>
      </c>
      <c r="C103" s="56" t="s">
        <v>221</v>
      </c>
      <c r="D103" s="16">
        <v>36735</v>
      </c>
      <c r="E103" s="17"/>
      <c r="F103" s="2" t="s">
        <v>222</v>
      </c>
      <c r="G103" s="2" t="s">
        <v>223</v>
      </c>
      <c r="H103" s="10" t="s">
        <v>98</v>
      </c>
      <c r="I103" s="11" t="s">
        <v>53</v>
      </c>
      <c r="J103" s="11" t="s">
        <v>224</v>
      </c>
      <c r="K103" s="61"/>
      <c r="L103" s="11" t="s">
        <v>67</v>
      </c>
      <c r="M103" s="25"/>
      <c r="N103" s="54"/>
      <c r="O103" s="3" t="str">
        <f>IF($A103="","",IF(P103=0,"A",IF(P103=AZ103,"E","A")))</f>
        <v>A</v>
      </c>
      <c r="P103" s="48">
        <v>254420</v>
      </c>
      <c r="Q103" s="48">
        <v>26053</v>
      </c>
      <c r="R103" s="32"/>
      <c r="S103" s="3" t="str">
        <f>IF($A103="","",IF(T103=0,"A",IF(T103=BA103,"E","A")))</f>
        <v>A</v>
      </c>
      <c r="T103" s="48">
        <v>230806</v>
      </c>
      <c r="U103" s="48">
        <v>22321</v>
      </c>
      <c r="V103" s="32"/>
      <c r="W103" s="3" t="str">
        <f t="shared" si="18"/>
        <v>A</v>
      </c>
      <c r="X103" s="48">
        <v>208635</v>
      </c>
      <c r="Y103" s="48">
        <v>19204</v>
      </c>
      <c r="Z103" s="32"/>
      <c r="AA103" s="3" t="str">
        <f t="shared" si="19"/>
        <v>A</v>
      </c>
      <c r="AB103" s="48">
        <v>234190</v>
      </c>
      <c r="AC103" s="48">
        <v>18006</v>
      </c>
      <c r="AD103" s="36"/>
      <c r="AE103" s="54"/>
      <c r="AF103" s="3" t="str">
        <f t="shared" si="20"/>
        <v>A</v>
      </c>
      <c r="AG103" s="48">
        <v>0</v>
      </c>
      <c r="AH103" s="48">
        <v>0</v>
      </c>
      <c r="AI103" s="39"/>
      <c r="AJ103" s="79" t="s">
        <v>1801</v>
      </c>
      <c r="AK103" s="39"/>
      <c r="AL103" s="4">
        <f t="shared" si="25"/>
        <v>928051</v>
      </c>
      <c r="AM103" s="4">
        <f t="shared" si="25"/>
        <v>85584</v>
      </c>
      <c r="AN103" s="4">
        <f t="shared" si="21"/>
        <v>1013635</v>
      </c>
      <c r="AO103" s="39"/>
      <c r="AP103" s="8">
        <f t="shared" si="26"/>
        <v>0</v>
      </c>
      <c r="AQ103" s="8">
        <f t="shared" si="26"/>
        <v>0</v>
      </c>
      <c r="AR103" s="8">
        <f t="shared" si="22"/>
        <v>0</v>
      </c>
      <c r="AS103" s="42"/>
      <c r="AT103" s="48">
        <v>928051</v>
      </c>
      <c r="AU103" s="48">
        <v>85584</v>
      </c>
      <c r="AV103" s="4">
        <f t="shared" si="23"/>
        <v>1013635</v>
      </c>
      <c r="AW103" s="50" t="str">
        <f t="shared" si="24"/>
        <v/>
      </c>
      <c r="AX103" s="1" t="s">
        <v>1660</v>
      </c>
      <c r="AY103" s="2" t="s">
        <v>1661</v>
      </c>
      <c r="AZ103" s="2">
        <v>291792.64000000001</v>
      </c>
      <c r="BA103" s="73">
        <v>255318.56</v>
      </c>
      <c r="BB103" s="73">
        <v>255318.56</v>
      </c>
      <c r="BC103" s="73">
        <v>291792.64000000001</v>
      </c>
      <c r="BD103" s="73"/>
      <c r="BE103" s="66">
        <v>3.5000000000000003E-2</v>
      </c>
      <c r="BF103" s="66">
        <v>0.05</v>
      </c>
      <c r="BG103" s="63">
        <v>44040</v>
      </c>
      <c r="BH103" s="2"/>
      <c r="BI103" s="2"/>
      <c r="BJ103" s="2"/>
      <c r="BK103" s="2"/>
      <c r="BL103" s="1" t="s">
        <v>97</v>
      </c>
    </row>
    <row r="104" spans="1:64" x14ac:dyDescent="0.25">
      <c r="A104" s="56" t="s">
        <v>220</v>
      </c>
      <c r="B104" s="54" t="s">
        <v>690</v>
      </c>
      <c r="C104" s="56" t="s">
        <v>691</v>
      </c>
      <c r="D104" s="16">
        <v>38227</v>
      </c>
      <c r="E104" s="17"/>
      <c r="F104" s="2" t="s">
        <v>222</v>
      </c>
      <c r="G104" s="2" t="s">
        <v>223</v>
      </c>
      <c r="H104" s="10" t="s">
        <v>98</v>
      </c>
      <c r="I104" s="11" t="s">
        <v>53</v>
      </c>
      <c r="J104" s="11" t="s">
        <v>224</v>
      </c>
      <c r="K104" s="61"/>
      <c r="L104" s="11" t="s">
        <v>67</v>
      </c>
      <c r="M104" s="25"/>
      <c r="N104" s="54"/>
      <c r="O104" s="3" t="str">
        <f>IF($A104="","",IF(P104=0,"A",IF(P104=AZ104,"E","A")))</f>
        <v>A</v>
      </c>
      <c r="P104" s="48">
        <v>127717</v>
      </c>
      <c r="Q104" s="48">
        <v>8773</v>
      </c>
      <c r="R104" s="32"/>
      <c r="S104" s="3" t="str">
        <f>IF($A104="","",IF(T104=0,"A",IF(T104=BA104,"E","A")))</f>
        <v>A</v>
      </c>
      <c r="T104" s="48">
        <v>108066</v>
      </c>
      <c r="U104" s="48">
        <v>6288</v>
      </c>
      <c r="V104" s="32"/>
      <c r="W104" s="3" t="str">
        <f t="shared" si="18"/>
        <v>A</v>
      </c>
      <c r="X104" s="48">
        <v>104438</v>
      </c>
      <c r="Y104" s="48">
        <v>5336</v>
      </c>
      <c r="Z104" s="32"/>
      <c r="AA104" s="3" t="str">
        <f t="shared" si="19"/>
        <v>A</v>
      </c>
      <c r="AB104" s="48">
        <v>127496</v>
      </c>
      <c r="AC104" s="48">
        <v>5622</v>
      </c>
      <c r="AD104" s="36"/>
      <c r="AE104" s="54"/>
      <c r="AF104" s="3" t="str">
        <f t="shared" si="20"/>
        <v>A</v>
      </c>
      <c r="AG104" s="48">
        <v>0</v>
      </c>
      <c r="AH104" s="48">
        <v>0</v>
      </c>
      <c r="AI104" s="39"/>
      <c r="AJ104" s="79" t="s">
        <v>1801</v>
      </c>
      <c r="AK104" s="39"/>
      <c r="AL104" s="4">
        <f t="shared" si="25"/>
        <v>467717</v>
      </c>
      <c r="AM104" s="4">
        <f t="shared" si="25"/>
        <v>26019</v>
      </c>
      <c r="AN104" s="4">
        <f t="shared" si="21"/>
        <v>493736</v>
      </c>
      <c r="AO104" s="39"/>
      <c r="AP104" s="8">
        <f t="shared" si="26"/>
        <v>0</v>
      </c>
      <c r="AQ104" s="8">
        <f t="shared" si="26"/>
        <v>0</v>
      </c>
      <c r="AR104" s="8">
        <f t="shared" si="22"/>
        <v>0</v>
      </c>
      <c r="AS104" s="42"/>
      <c r="AT104" s="48">
        <v>467717</v>
      </c>
      <c r="AU104" s="48">
        <v>26019</v>
      </c>
      <c r="AV104" s="4">
        <f t="shared" si="23"/>
        <v>493736</v>
      </c>
      <c r="AW104" s="50" t="str">
        <f t="shared" si="24"/>
        <v/>
      </c>
      <c r="AX104" s="1" t="s">
        <v>1660</v>
      </c>
      <c r="AY104" s="2" t="s">
        <v>1661</v>
      </c>
      <c r="AZ104" s="2">
        <v>107722</v>
      </c>
      <c r="BA104" s="73">
        <v>94256.75</v>
      </c>
      <c r="BB104" s="73">
        <v>94256.75</v>
      </c>
      <c r="BC104" s="73">
        <v>107722</v>
      </c>
      <c r="BD104" s="73"/>
      <c r="BE104" s="66">
        <v>3.5000000000000003E-2</v>
      </c>
      <c r="BF104" s="66">
        <v>0.05</v>
      </c>
      <c r="BG104" s="63">
        <v>44040</v>
      </c>
      <c r="BH104" s="74">
        <v>43915</v>
      </c>
      <c r="BI104" s="74">
        <v>43921</v>
      </c>
      <c r="BJ104" s="2"/>
      <c r="BK104" s="2"/>
      <c r="BL104" s="1" t="s">
        <v>97</v>
      </c>
    </row>
    <row r="105" spans="1:64" x14ac:dyDescent="0.25">
      <c r="A105" s="56" t="s">
        <v>225</v>
      </c>
      <c r="B105" s="54" t="s">
        <v>225</v>
      </c>
      <c r="C105" s="56" t="s">
        <v>226</v>
      </c>
      <c r="D105" s="16">
        <v>36763</v>
      </c>
      <c r="E105" s="17"/>
      <c r="F105" s="2" t="s">
        <v>52</v>
      </c>
      <c r="G105" s="2" t="s">
        <v>55</v>
      </c>
      <c r="H105" s="10" t="s">
        <v>57</v>
      </c>
      <c r="I105" s="11" t="s">
        <v>54</v>
      </c>
      <c r="J105" s="11" t="s">
        <v>131</v>
      </c>
      <c r="K105" s="61" t="s">
        <v>132</v>
      </c>
      <c r="L105" s="11" t="s">
        <v>67</v>
      </c>
      <c r="M105" s="25"/>
      <c r="N105" s="54"/>
      <c r="O105" s="3" t="str">
        <f>IF($A105="","",IF(P105=0,"A",IF(P105=AZ105,"E","A")))</f>
        <v>A</v>
      </c>
      <c r="P105" s="48">
        <v>63089.1</v>
      </c>
      <c r="Q105" s="48">
        <v>15580</v>
      </c>
      <c r="R105" s="32"/>
      <c r="S105" s="3" t="str">
        <f>IF($A105="","",IF(T105=0,"A",IF(T105=BA105,"E","A")))</f>
        <v>A</v>
      </c>
      <c r="T105" s="48">
        <v>51015</v>
      </c>
      <c r="U105" s="48">
        <v>14305</v>
      </c>
      <c r="V105" s="32"/>
      <c r="W105" s="3" t="str">
        <f t="shared" si="18"/>
        <v>A</v>
      </c>
      <c r="X105" s="48">
        <v>56175</v>
      </c>
      <c r="Y105" s="48">
        <v>13698</v>
      </c>
      <c r="Z105" s="32"/>
      <c r="AA105" s="3" t="str">
        <f t="shared" si="19"/>
        <v>A</v>
      </c>
      <c r="AB105" s="48">
        <v>58945</v>
      </c>
      <c r="AC105" s="48">
        <v>14502</v>
      </c>
      <c r="AD105" s="36"/>
      <c r="AE105" s="54"/>
      <c r="AF105" s="3" t="str">
        <f t="shared" si="20"/>
        <v>A</v>
      </c>
      <c r="AG105" s="48">
        <v>0</v>
      </c>
      <c r="AH105" s="48">
        <v>0</v>
      </c>
      <c r="AI105" s="39"/>
      <c r="AJ105" s="79" t="s">
        <v>1801</v>
      </c>
      <c r="AK105" s="39"/>
      <c r="AL105" s="4">
        <f t="shared" si="25"/>
        <v>229224.1</v>
      </c>
      <c r="AM105" s="4">
        <f t="shared" si="25"/>
        <v>58085</v>
      </c>
      <c r="AN105" s="4">
        <f t="shared" si="21"/>
        <v>287309.09999999998</v>
      </c>
      <c r="AO105" s="39"/>
      <c r="AP105" s="8">
        <f t="shared" si="26"/>
        <v>0</v>
      </c>
      <c r="AQ105" s="8">
        <f t="shared" si="26"/>
        <v>0</v>
      </c>
      <c r="AR105" s="8">
        <f t="shared" si="22"/>
        <v>0</v>
      </c>
      <c r="AS105" s="42"/>
      <c r="AT105" s="48">
        <v>229224.1</v>
      </c>
      <c r="AU105" s="48">
        <v>58085</v>
      </c>
      <c r="AV105" s="4">
        <f t="shared" si="23"/>
        <v>287309.09999999998</v>
      </c>
      <c r="AW105" s="50" t="str">
        <f t="shared" si="24"/>
        <v/>
      </c>
      <c r="AX105" s="1" t="s">
        <v>1639</v>
      </c>
      <c r="AY105" s="2" t="s">
        <v>1640</v>
      </c>
      <c r="AZ105" s="2">
        <v>102239.2</v>
      </c>
      <c r="BA105" s="73">
        <v>89459.3</v>
      </c>
      <c r="BB105" s="73">
        <v>89459.3</v>
      </c>
      <c r="BC105" s="73">
        <v>102239.2</v>
      </c>
      <c r="BD105" s="73"/>
      <c r="BE105" s="66">
        <v>2.5000000000000001E-2</v>
      </c>
      <c r="BF105" s="66">
        <v>0.02</v>
      </c>
      <c r="BG105" s="63">
        <v>44068</v>
      </c>
      <c r="BH105" s="2"/>
      <c r="BI105" s="2"/>
      <c r="BJ105" s="2"/>
      <c r="BK105" s="2"/>
      <c r="BL105" s="1" t="s">
        <v>56</v>
      </c>
    </row>
    <row r="106" spans="1:64" x14ac:dyDescent="0.25">
      <c r="A106" s="56" t="s">
        <v>227</v>
      </c>
      <c r="B106" s="54" t="s">
        <v>227</v>
      </c>
      <c r="C106" s="56" t="s">
        <v>228</v>
      </c>
      <c r="D106" s="16">
        <v>36782</v>
      </c>
      <c r="E106" s="17"/>
      <c r="F106" s="2" t="s">
        <v>109</v>
      </c>
      <c r="G106" s="2" t="s">
        <v>111</v>
      </c>
      <c r="H106" s="10" t="s">
        <v>105</v>
      </c>
      <c r="I106" s="11" t="s">
        <v>110</v>
      </c>
      <c r="J106" s="11" t="s">
        <v>229</v>
      </c>
      <c r="K106" s="61" t="s">
        <v>230</v>
      </c>
      <c r="L106" s="11" t="s">
        <v>67</v>
      </c>
      <c r="M106" s="25"/>
      <c r="N106" s="54"/>
      <c r="O106" s="3" t="str">
        <f>IF($A106="","",IF(P106=0,"A",IF(P106=AZ106,"E","A")))</f>
        <v>A</v>
      </c>
      <c r="P106" s="48">
        <v>111727</v>
      </c>
      <c r="Q106" s="48">
        <v>14838</v>
      </c>
      <c r="R106" s="32"/>
      <c r="S106" s="3" t="str">
        <f>IF($A106="","",IF(T106=0,"A",IF(T106=BA106,"E","A")))</f>
        <v>A</v>
      </c>
      <c r="T106" s="48">
        <v>86343</v>
      </c>
      <c r="U106" s="48">
        <v>13616</v>
      </c>
      <c r="V106" s="32"/>
      <c r="W106" s="3" t="str">
        <f t="shared" si="18"/>
        <v>A</v>
      </c>
      <c r="X106" s="48">
        <v>76589</v>
      </c>
      <c r="Y106" s="48">
        <v>7474</v>
      </c>
      <c r="Z106" s="32"/>
      <c r="AA106" s="3" t="str">
        <f t="shared" si="19"/>
        <v>A</v>
      </c>
      <c r="AB106" s="48">
        <v>80441</v>
      </c>
      <c r="AC106" s="48">
        <v>9525</v>
      </c>
      <c r="AD106" s="36"/>
      <c r="AE106" s="54"/>
      <c r="AF106" s="3" t="str">
        <f t="shared" si="20"/>
        <v>A</v>
      </c>
      <c r="AG106" s="48">
        <v>0</v>
      </c>
      <c r="AH106" s="48">
        <v>0</v>
      </c>
      <c r="AI106" s="39"/>
      <c r="AJ106" s="79" t="s">
        <v>1801</v>
      </c>
      <c r="AK106" s="39"/>
      <c r="AL106" s="4">
        <f t="shared" si="25"/>
        <v>355100</v>
      </c>
      <c r="AM106" s="4">
        <f t="shared" si="25"/>
        <v>45453</v>
      </c>
      <c r="AN106" s="4">
        <f t="shared" si="21"/>
        <v>400553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48">
        <v>355100</v>
      </c>
      <c r="AU106" s="48">
        <v>45453</v>
      </c>
      <c r="AV106" s="4">
        <f t="shared" si="23"/>
        <v>400553</v>
      </c>
      <c r="AW106" s="50" t="str">
        <f t="shared" si="24"/>
        <v/>
      </c>
      <c r="AX106" s="1" t="s">
        <v>1647</v>
      </c>
      <c r="AY106" s="2" t="s">
        <v>1640</v>
      </c>
      <c r="AZ106" s="2">
        <v>204032.72</v>
      </c>
      <c r="BA106" s="73">
        <v>178528.63</v>
      </c>
      <c r="BB106" s="73">
        <v>178528.63</v>
      </c>
      <c r="BC106" s="73">
        <v>204032.72</v>
      </c>
      <c r="BD106" s="73"/>
      <c r="BE106" s="66">
        <v>2.5000000000000001E-2</v>
      </c>
      <c r="BF106" s="66">
        <v>0.02</v>
      </c>
      <c r="BG106" s="63">
        <v>44183</v>
      </c>
      <c r="BH106" s="2"/>
      <c r="BI106" s="2"/>
      <c r="BJ106" s="2"/>
      <c r="BK106" s="2"/>
      <c r="BL106" s="1" t="s">
        <v>219</v>
      </c>
    </row>
    <row r="107" spans="1:64" x14ac:dyDescent="0.25">
      <c r="A107" s="56" t="s">
        <v>227</v>
      </c>
      <c r="B107" s="54" t="s">
        <v>1415</v>
      </c>
      <c r="C107" s="56" t="s">
        <v>1416</v>
      </c>
      <c r="D107" s="16">
        <v>0</v>
      </c>
      <c r="E107" s="17"/>
      <c r="F107" s="2" t="s">
        <v>109</v>
      </c>
      <c r="G107" s="2" t="s">
        <v>111</v>
      </c>
      <c r="H107" s="10" t="s">
        <v>105</v>
      </c>
      <c r="I107" s="11" t="s">
        <v>110</v>
      </c>
      <c r="J107" s="11" t="s">
        <v>229</v>
      </c>
      <c r="K107" s="61" t="s">
        <v>230</v>
      </c>
      <c r="L107" s="11" t="s">
        <v>67</v>
      </c>
      <c r="M107" s="25"/>
      <c r="N107" s="54"/>
      <c r="O107" s="3" t="str">
        <f>IF($A107="","",IF(P107=AZ107,"E","A"))</f>
        <v>A</v>
      </c>
      <c r="P107" s="48">
        <v>45898</v>
      </c>
      <c r="Q107" s="48">
        <v>1065</v>
      </c>
      <c r="R107" s="32"/>
      <c r="S107" s="3" t="str">
        <f>IF($A107="","",IF(T107=BA107,"E","A"))</f>
        <v>A</v>
      </c>
      <c r="T107" s="48">
        <v>35090</v>
      </c>
      <c r="U107" s="48">
        <v>290</v>
      </c>
      <c r="V107" s="32"/>
      <c r="W107" s="3" t="str">
        <f t="shared" si="18"/>
        <v>A</v>
      </c>
      <c r="X107" s="48">
        <v>28200</v>
      </c>
      <c r="Y107" s="48">
        <v>565</v>
      </c>
      <c r="Z107" s="32"/>
      <c r="AA107" s="3" t="str">
        <f t="shared" si="19"/>
        <v>A</v>
      </c>
      <c r="AB107" s="48">
        <v>30370</v>
      </c>
      <c r="AC107" s="48">
        <v>495</v>
      </c>
      <c r="AD107" s="36"/>
      <c r="AE107" s="54"/>
      <c r="AF107" s="3" t="str">
        <f t="shared" si="20"/>
        <v>A</v>
      </c>
      <c r="AG107" s="48">
        <v>0</v>
      </c>
      <c r="AH107" s="48">
        <v>0</v>
      </c>
      <c r="AI107" s="39"/>
      <c r="AJ107" s="79" t="s">
        <v>1801</v>
      </c>
      <c r="AK107" s="39"/>
      <c r="AL107" s="4">
        <f t="shared" si="25"/>
        <v>139558</v>
      </c>
      <c r="AM107" s="4">
        <f t="shared" si="25"/>
        <v>2415</v>
      </c>
      <c r="AN107" s="4">
        <f t="shared" si="21"/>
        <v>141973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48">
        <v>139558</v>
      </c>
      <c r="AU107" s="48">
        <v>2415</v>
      </c>
      <c r="AV107" s="4">
        <f t="shared" si="23"/>
        <v>141973</v>
      </c>
      <c r="AW107" s="50" t="str">
        <f t="shared" si="24"/>
        <v/>
      </c>
      <c r="AX107" s="1" t="s">
        <v>1647</v>
      </c>
      <c r="AY107" s="2" t="s">
        <v>1640</v>
      </c>
      <c r="AZ107" s="2">
        <v>41327.519999999997</v>
      </c>
      <c r="BA107" s="73">
        <v>36161.58</v>
      </c>
      <c r="BB107" s="73">
        <v>36161.58</v>
      </c>
      <c r="BC107" s="73">
        <v>41327.519999999997</v>
      </c>
      <c r="BD107" s="73"/>
      <c r="BE107" s="66">
        <v>0</v>
      </c>
      <c r="BF107" s="66">
        <v>0.02</v>
      </c>
      <c r="BG107" s="63">
        <v>45260</v>
      </c>
      <c r="BH107" s="2"/>
      <c r="BI107" s="2"/>
      <c r="BJ107" s="2">
        <v>154188</v>
      </c>
      <c r="BK107" s="2"/>
      <c r="BL107" s="1" t="s">
        <v>219</v>
      </c>
    </row>
    <row r="108" spans="1:64" x14ac:dyDescent="0.25">
      <c r="A108" s="56" t="s">
        <v>231</v>
      </c>
      <c r="B108" s="54" t="s">
        <v>231</v>
      </c>
      <c r="C108" s="56" t="s">
        <v>232</v>
      </c>
      <c r="D108" s="16">
        <v>36787</v>
      </c>
      <c r="E108" s="17"/>
      <c r="F108" s="2" t="s">
        <v>52</v>
      </c>
      <c r="G108" s="2" t="s">
        <v>55</v>
      </c>
      <c r="H108" s="10" t="s">
        <v>57</v>
      </c>
      <c r="I108" s="11" t="s">
        <v>54</v>
      </c>
      <c r="J108" s="11" t="s">
        <v>139</v>
      </c>
      <c r="K108" s="61" t="s">
        <v>140</v>
      </c>
      <c r="L108" s="11" t="s">
        <v>67</v>
      </c>
      <c r="M108" s="25"/>
      <c r="N108" s="54"/>
      <c r="O108" s="3" t="str">
        <f>IF($A108="","",IF(P108=0,"A",IF(P108=AZ108,"E","A")))</f>
        <v>A</v>
      </c>
      <c r="P108" s="48">
        <v>208086.75</v>
      </c>
      <c r="Q108" s="48">
        <v>31100</v>
      </c>
      <c r="R108" s="32"/>
      <c r="S108" s="3" t="str">
        <f t="shared" ref="S108:S124" si="29">IF($A108="","",IF(T108=0,"A",IF(T108=BA108,"E","A")))</f>
        <v>A</v>
      </c>
      <c r="T108" s="48">
        <v>175603.5</v>
      </c>
      <c r="U108" s="48">
        <v>27912.55</v>
      </c>
      <c r="V108" s="32"/>
      <c r="W108" s="3" t="str">
        <f t="shared" si="18"/>
        <v>A</v>
      </c>
      <c r="X108" s="48">
        <v>163831.4</v>
      </c>
      <c r="Y108" s="48">
        <v>20893</v>
      </c>
      <c r="Z108" s="32"/>
      <c r="AA108" s="3" t="str">
        <f t="shared" si="19"/>
        <v>A</v>
      </c>
      <c r="AB108" s="48">
        <v>185512.19999999998</v>
      </c>
      <c r="AC108" s="48">
        <v>28246</v>
      </c>
      <c r="AD108" s="36"/>
      <c r="AE108" s="54"/>
      <c r="AF108" s="3" t="str">
        <f t="shared" si="20"/>
        <v>A</v>
      </c>
      <c r="AG108" s="48">
        <v>0</v>
      </c>
      <c r="AH108" s="48">
        <v>0</v>
      </c>
      <c r="AI108" s="39"/>
      <c r="AJ108" s="79" t="s">
        <v>1801</v>
      </c>
      <c r="AK108" s="39"/>
      <c r="AL108" s="4">
        <f t="shared" si="25"/>
        <v>733033.85</v>
      </c>
      <c r="AM108" s="4">
        <f t="shared" si="25"/>
        <v>108151.55</v>
      </c>
      <c r="AN108" s="4">
        <f t="shared" si="21"/>
        <v>841185.4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48">
        <v>733033.84999999986</v>
      </c>
      <c r="AU108" s="48">
        <v>108151.55</v>
      </c>
      <c r="AV108" s="4">
        <f t="shared" si="23"/>
        <v>841185.39999999991</v>
      </c>
      <c r="AW108" s="50" t="str">
        <f t="shared" si="24"/>
        <v/>
      </c>
      <c r="AX108" s="1" t="s">
        <v>1639</v>
      </c>
      <c r="AY108" s="2" t="s">
        <v>1640</v>
      </c>
      <c r="AZ108" s="2">
        <v>190742.88</v>
      </c>
      <c r="BA108" s="73">
        <v>166900.01999999999</v>
      </c>
      <c r="BB108" s="73">
        <v>166900.01999999999</v>
      </c>
      <c r="BC108" s="73">
        <v>190742.88</v>
      </c>
      <c r="BD108" s="73"/>
      <c r="BE108" s="66">
        <v>2.5000000000000001E-2</v>
      </c>
      <c r="BF108" s="66">
        <v>0.02</v>
      </c>
      <c r="BG108" s="63">
        <v>45657</v>
      </c>
      <c r="BH108" s="2"/>
      <c r="BI108" s="2"/>
      <c r="BJ108" s="2"/>
      <c r="BK108" s="2"/>
      <c r="BL108" s="1" t="s">
        <v>56</v>
      </c>
    </row>
    <row r="109" spans="1:64" x14ac:dyDescent="0.25">
      <c r="A109" s="56" t="s">
        <v>231</v>
      </c>
      <c r="B109" s="54" t="s">
        <v>847</v>
      </c>
      <c r="C109" s="56" t="s">
        <v>848</v>
      </c>
      <c r="D109" s="16">
        <v>43722</v>
      </c>
      <c r="E109" s="17"/>
      <c r="F109" s="2" t="s">
        <v>52</v>
      </c>
      <c r="G109" s="2" t="s">
        <v>55</v>
      </c>
      <c r="H109" s="10" t="s">
        <v>57</v>
      </c>
      <c r="I109" s="11" t="s">
        <v>54</v>
      </c>
      <c r="J109" s="11" t="s">
        <v>139</v>
      </c>
      <c r="K109" s="61" t="s">
        <v>140</v>
      </c>
      <c r="L109" s="11" t="s">
        <v>67</v>
      </c>
      <c r="M109" s="25"/>
      <c r="N109" s="54"/>
      <c r="O109" s="3" t="str">
        <f>IF($A109="","",IF(P109=0,"A",IF(P109=AZ109,"E","A")))</f>
        <v>A</v>
      </c>
      <c r="P109" s="48">
        <v>50666</v>
      </c>
      <c r="Q109" s="48">
        <v>14525</v>
      </c>
      <c r="R109" s="32"/>
      <c r="S109" s="3" t="str">
        <f t="shared" si="29"/>
        <v>A</v>
      </c>
      <c r="T109" s="48">
        <v>43883</v>
      </c>
      <c r="U109" s="48">
        <v>10779</v>
      </c>
      <c r="V109" s="32"/>
      <c r="W109" s="3" t="str">
        <f t="shared" si="18"/>
        <v>A</v>
      </c>
      <c r="X109" s="48">
        <v>46373</v>
      </c>
      <c r="Y109" s="48">
        <v>12207</v>
      </c>
      <c r="Z109" s="32"/>
      <c r="AA109" s="3" t="str">
        <f t="shared" si="19"/>
        <v>A</v>
      </c>
      <c r="AB109" s="48">
        <v>54804.7</v>
      </c>
      <c r="AC109" s="48">
        <v>10166</v>
      </c>
      <c r="AD109" s="36"/>
      <c r="AE109" s="54"/>
      <c r="AF109" s="3" t="str">
        <f t="shared" si="20"/>
        <v>A</v>
      </c>
      <c r="AG109" s="48">
        <v>0</v>
      </c>
      <c r="AH109" s="48">
        <v>0</v>
      </c>
      <c r="AI109" s="39"/>
      <c r="AJ109" s="79" t="s">
        <v>1801</v>
      </c>
      <c r="AK109" s="39"/>
      <c r="AL109" s="4">
        <f t="shared" si="25"/>
        <v>195726.7</v>
      </c>
      <c r="AM109" s="4">
        <f t="shared" si="25"/>
        <v>47677</v>
      </c>
      <c r="AN109" s="4">
        <f t="shared" si="21"/>
        <v>243403.7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48">
        <v>195726.7</v>
      </c>
      <c r="AU109" s="48">
        <v>47677</v>
      </c>
      <c r="AV109" s="4">
        <f t="shared" si="23"/>
        <v>243403.7</v>
      </c>
      <c r="AW109" s="50" t="str">
        <f t="shared" si="24"/>
        <v/>
      </c>
      <c r="AX109" s="1" t="s">
        <v>1639</v>
      </c>
      <c r="AY109" s="2" t="s">
        <v>1640</v>
      </c>
      <c r="AZ109" s="2">
        <v>98411.92</v>
      </c>
      <c r="BA109" s="73">
        <v>86110.43</v>
      </c>
      <c r="BB109" s="73">
        <v>86110.43</v>
      </c>
      <c r="BC109" s="73">
        <v>98411.92</v>
      </c>
      <c r="BD109" s="73"/>
      <c r="BE109" s="66">
        <v>0</v>
      </c>
      <c r="BF109" s="66">
        <v>0.02</v>
      </c>
      <c r="BG109" s="63">
        <v>45657</v>
      </c>
      <c r="BH109" s="2"/>
      <c r="BI109" s="2"/>
      <c r="BJ109" s="2"/>
      <c r="BK109" s="2"/>
      <c r="BL109" s="1" t="s">
        <v>56</v>
      </c>
    </row>
    <row r="110" spans="1:64" x14ac:dyDescent="0.25">
      <c r="A110" s="56" t="s">
        <v>233</v>
      </c>
      <c r="B110" s="54" t="s">
        <v>233</v>
      </c>
      <c r="C110" s="56" t="s">
        <v>234</v>
      </c>
      <c r="D110" s="16">
        <v>37122</v>
      </c>
      <c r="E110" s="17"/>
      <c r="F110" s="2" t="s">
        <v>235</v>
      </c>
      <c r="G110" s="2" t="s">
        <v>236</v>
      </c>
      <c r="H110" s="10" t="s">
        <v>98</v>
      </c>
      <c r="I110" s="11" t="s">
        <v>53</v>
      </c>
      <c r="J110" s="11" t="s">
        <v>238</v>
      </c>
      <c r="K110" s="61"/>
      <c r="L110" s="11" t="s">
        <v>67</v>
      </c>
      <c r="M110" s="25"/>
      <c r="N110" s="54"/>
      <c r="O110" s="3" t="str">
        <f>IF($A110="","",IF(P110=0,"A",IF(P110=AZ110,"E","A")))</f>
        <v>A</v>
      </c>
      <c r="P110" s="48">
        <v>789262</v>
      </c>
      <c r="Q110" s="48">
        <v>42476</v>
      </c>
      <c r="R110" s="32"/>
      <c r="S110" s="3" t="str">
        <f t="shared" si="29"/>
        <v>A</v>
      </c>
      <c r="T110" s="48">
        <v>759869</v>
      </c>
      <c r="U110" s="48">
        <v>46438</v>
      </c>
      <c r="V110" s="32"/>
      <c r="W110" s="3" t="str">
        <f t="shared" si="18"/>
        <v>A</v>
      </c>
      <c r="X110" s="48">
        <v>593331.5</v>
      </c>
      <c r="Y110" s="48">
        <v>32819</v>
      </c>
      <c r="Z110" s="32"/>
      <c r="AA110" s="3" t="str">
        <f t="shared" si="19"/>
        <v>A</v>
      </c>
      <c r="AB110" s="48">
        <v>716700</v>
      </c>
      <c r="AC110" s="48">
        <v>36598</v>
      </c>
      <c r="AD110" s="36"/>
      <c r="AE110" s="54"/>
      <c r="AF110" s="3" t="str">
        <f t="shared" si="20"/>
        <v>A</v>
      </c>
      <c r="AG110" s="48">
        <v>0</v>
      </c>
      <c r="AH110" s="48">
        <v>0</v>
      </c>
      <c r="AI110" s="39"/>
      <c r="AJ110" s="79" t="s">
        <v>1801</v>
      </c>
      <c r="AK110" s="39"/>
      <c r="AL110" s="4">
        <f t="shared" si="25"/>
        <v>2859162.5</v>
      </c>
      <c r="AM110" s="4">
        <f t="shared" si="25"/>
        <v>158331</v>
      </c>
      <c r="AN110" s="4">
        <f t="shared" si="21"/>
        <v>3017493.5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48">
        <v>2859162.5</v>
      </c>
      <c r="AU110" s="48">
        <v>158331</v>
      </c>
      <c r="AV110" s="4">
        <f t="shared" si="23"/>
        <v>3017493.5</v>
      </c>
      <c r="AW110" s="50" t="str">
        <f t="shared" si="24"/>
        <v/>
      </c>
      <c r="AX110" s="1" t="s">
        <v>1662</v>
      </c>
      <c r="AY110" s="2" t="s">
        <v>1663</v>
      </c>
      <c r="AZ110" s="2">
        <v>465103.68</v>
      </c>
      <c r="BA110" s="73">
        <v>406965.72</v>
      </c>
      <c r="BB110" s="73">
        <v>406965.72</v>
      </c>
      <c r="BC110" s="73">
        <v>465103.68</v>
      </c>
      <c r="BD110" s="73"/>
      <c r="BE110" s="66">
        <v>3.5000000000000003E-2</v>
      </c>
      <c r="BF110" s="66">
        <v>0.05</v>
      </c>
      <c r="BG110" s="63">
        <v>44424</v>
      </c>
      <c r="BH110" s="74">
        <v>43906</v>
      </c>
      <c r="BI110" s="74">
        <v>43927</v>
      </c>
      <c r="BJ110" s="2"/>
      <c r="BK110" s="2"/>
      <c r="BL110" s="1" t="s">
        <v>237</v>
      </c>
    </row>
    <row r="111" spans="1:64" x14ac:dyDescent="0.25">
      <c r="A111" s="56" t="s">
        <v>239</v>
      </c>
      <c r="B111" s="54" t="s">
        <v>239</v>
      </c>
      <c r="C111" s="56" t="s">
        <v>240</v>
      </c>
      <c r="D111" s="16">
        <v>37194</v>
      </c>
      <c r="E111" s="17"/>
      <c r="F111" s="2" t="s">
        <v>52</v>
      </c>
      <c r="G111" s="2" t="s">
        <v>55</v>
      </c>
      <c r="H111" s="10" t="s">
        <v>57</v>
      </c>
      <c r="I111" s="11" t="s">
        <v>54</v>
      </c>
      <c r="J111" s="11" t="s">
        <v>131</v>
      </c>
      <c r="K111" s="61" t="s">
        <v>132</v>
      </c>
      <c r="L111" s="11" t="s">
        <v>67</v>
      </c>
      <c r="M111" s="25"/>
      <c r="N111" s="54"/>
      <c r="O111" s="3" t="str">
        <f>IF($A111="","",IF(P111=0,"A",IF(P111=AZ111,"E","A")))</f>
        <v>A</v>
      </c>
      <c r="P111" s="48">
        <v>94228.89</v>
      </c>
      <c r="Q111" s="48">
        <v>27401.260000000002</v>
      </c>
      <c r="R111" s="32"/>
      <c r="S111" s="3" t="str">
        <f t="shared" si="29"/>
        <v>A</v>
      </c>
      <c r="T111" s="48">
        <v>96010</v>
      </c>
      <c r="U111" s="48">
        <v>26284</v>
      </c>
      <c r="V111" s="32"/>
      <c r="W111" s="3" t="str">
        <f t="shared" si="18"/>
        <v>A</v>
      </c>
      <c r="X111" s="48">
        <v>95166</v>
      </c>
      <c r="Y111" s="48">
        <v>26962</v>
      </c>
      <c r="Z111" s="32"/>
      <c r="AA111" s="3" t="str">
        <f t="shared" si="19"/>
        <v>A</v>
      </c>
      <c r="AB111" s="48">
        <v>95373</v>
      </c>
      <c r="AC111" s="48">
        <v>26259</v>
      </c>
      <c r="AD111" s="36"/>
      <c r="AE111" s="54"/>
      <c r="AF111" s="3" t="str">
        <f t="shared" si="20"/>
        <v>A</v>
      </c>
      <c r="AG111" s="48">
        <v>0</v>
      </c>
      <c r="AH111" s="48">
        <v>0</v>
      </c>
      <c r="AI111" s="39"/>
      <c r="AJ111" s="79" t="s">
        <v>1801</v>
      </c>
      <c r="AK111" s="39"/>
      <c r="AL111" s="4">
        <f t="shared" si="25"/>
        <v>380777.89</v>
      </c>
      <c r="AM111" s="4">
        <f t="shared" si="25"/>
        <v>106906.26000000001</v>
      </c>
      <c r="AN111" s="4">
        <f t="shared" si="21"/>
        <v>487684.15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48">
        <v>380777.89</v>
      </c>
      <c r="AU111" s="48">
        <v>106906.26000000001</v>
      </c>
      <c r="AV111" s="4">
        <f t="shared" si="23"/>
        <v>487684.15</v>
      </c>
      <c r="AW111" s="50" t="str">
        <f t="shared" si="24"/>
        <v/>
      </c>
      <c r="AX111" s="1" t="s">
        <v>1639</v>
      </c>
      <c r="AY111" s="2" t="s">
        <v>1640</v>
      </c>
      <c r="AZ111" s="2">
        <v>110093.84</v>
      </c>
      <c r="BA111" s="73">
        <v>96332.11</v>
      </c>
      <c r="BB111" s="73">
        <v>96332.11</v>
      </c>
      <c r="BC111" s="73">
        <v>110093.84</v>
      </c>
      <c r="BD111" s="73"/>
      <c r="BE111" s="66">
        <v>2.5000000000000001E-2</v>
      </c>
      <c r="BF111" s="66">
        <v>0.02</v>
      </c>
      <c r="BG111" s="63">
        <v>44499</v>
      </c>
      <c r="BH111" s="74">
        <v>43939</v>
      </c>
      <c r="BI111" s="74">
        <v>43987</v>
      </c>
      <c r="BJ111" s="2"/>
      <c r="BK111" s="2"/>
      <c r="BL111" s="1" t="s">
        <v>56</v>
      </c>
    </row>
    <row r="112" spans="1:64" x14ac:dyDescent="0.25">
      <c r="A112" s="56" t="s">
        <v>241</v>
      </c>
      <c r="B112" s="54" t="s">
        <v>241</v>
      </c>
      <c r="C112" s="56" t="s">
        <v>242</v>
      </c>
      <c r="D112" s="16">
        <v>37274</v>
      </c>
      <c r="E112" s="17"/>
      <c r="F112" s="2" t="s">
        <v>243</v>
      </c>
      <c r="G112" s="2" t="s">
        <v>245</v>
      </c>
      <c r="H112" s="10" t="s">
        <v>98</v>
      </c>
      <c r="I112" s="11" t="s">
        <v>244</v>
      </c>
      <c r="J112" s="11" t="s">
        <v>246</v>
      </c>
      <c r="K112" s="61" t="s">
        <v>247</v>
      </c>
      <c r="L112" s="11" t="s">
        <v>67</v>
      </c>
      <c r="M112" s="25"/>
      <c r="N112" s="54"/>
      <c r="O112" s="3" t="str">
        <f>IF($A112="","",IF(P112=0,"A",IF(P112=AZ112,"E","A")))</f>
        <v>A</v>
      </c>
      <c r="P112" s="48">
        <v>226743.1</v>
      </c>
      <c r="Q112" s="48">
        <v>41589</v>
      </c>
      <c r="R112" s="32"/>
      <c r="S112" s="3" t="str">
        <f t="shared" si="29"/>
        <v>A</v>
      </c>
      <c r="T112" s="48">
        <v>210332</v>
      </c>
      <c r="U112" s="48">
        <v>38020</v>
      </c>
      <c r="V112" s="32"/>
      <c r="W112" s="3" t="str">
        <f t="shared" si="18"/>
        <v>A</v>
      </c>
      <c r="X112" s="48">
        <v>187266</v>
      </c>
      <c r="Y112" s="48">
        <v>23782</v>
      </c>
      <c r="Z112" s="32"/>
      <c r="AA112" s="3" t="str">
        <f t="shared" si="19"/>
        <v>A</v>
      </c>
      <c r="AB112" s="48">
        <v>217657</v>
      </c>
      <c r="AC112" s="48">
        <v>25190</v>
      </c>
      <c r="AD112" s="36"/>
      <c r="AE112" s="54"/>
      <c r="AF112" s="3" t="str">
        <f t="shared" si="20"/>
        <v>A</v>
      </c>
      <c r="AG112" s="48">
        <v>0</v>
      </c>
      <c r="AH112" s="48">
        <v>0</v>
      </c>
      <c r="AI112" s="39"/>
      <c r="AJ112" s="79" t="s">
        <v>1801</v>
      </c>
      <c r="AK112" s="39"/>
      <c r="AL112" s="4">
        <f t="shared" si="25"/>
        <v>841998.1</v>
      </c>
      <c r="AM112" s="4">
        <f t="shared" si="25"/>
        <v>128581</v>
      </c>
      <c r="AN112" s="4">
        <f t="shared" si="21"/>
        <v>970579.1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48">
        <v>841998.1</v>
      </c>
      <c r="AU112" s="48">
        <v>128581</v>
      </c>
      <c r="AV112" s="4">
        <f t="shared" si="23"/>
        <v>970579.1</v>
      </c>
      <c r="AW112" s="50" t="str">
        <f t="shared" si="24"/>
        <v/>
      </c>
      <c r="AX112" s="1" t="s">
        <v>1639</v>
      </c>
      <c r="AY112" s="2" t="s">
        <v>1640</v>
      </c>
      <c r="AZ112" s="2">
        <v>155039.51999999999</v>
      </c>
      <c r="BA112" s="73">
        <v>135659.57999999999</v>
      </c>
      <c r="BB112" s="73">
        <v>135659.57999999999</v>
      </c>
      <c r="BC112" s="73">
        <v>155039.51999999999</v>
      </c>
      <c r="BD112" s="73"/>
      <c r="BE112" s="66">
        <v>3.5000000000000003E-2</v>
      </c>
      <c r="BF112" s="66">
        <v>0.02</v>
      </c>
      <c r="BG112" s="63">
        <v>45136</v>
      </c>
      <c r="BH112" s="74">
        <v>43955</v>
      </c>
      <c r="BI112" s="74">
        <v>43956</v>
      </c>
      <c r="BJ112" s="2"/>
      <c r="BK112" s="2"/>
      <c r="BL112" s="1" t="s">
        <v>97</v>
      </c>
    </row>
    <row r="113" spans="1:64" x14ac:dyDescent="0.25">
      <c r="A113" s="56" t="s">
        <v>241</v>
      </c>
      <c r="B113" s="54" t="s">
        <v>1316</v>
      </c>
      <c r="C113" s="56" t="s">
        <v>1317</v>
      </c>
      <c r="D113" s="16">
        <v>0</v>
      </c>
      <c r="E113" s="17"/>
      <c r="F113" s="2" t="s">
        <v>243</v>
      </c>
      <c r="G113" s="2" t="s">
        <v>245</v>
      </c>
      <c r="H113" s="10" t="s">
        <v>98</v>
      </c>
      <c r="I113" s="11" t="s">
        <v>244</v>
      </c>
      <c r="J113" s="11" t="s">
        <v>246</v>
      </c>
      <c r="K113" s="61" t="s">
        <v>247</v>
      </c>
      <c r="L113" s="11" t="s">
        <v>67</v>
      </c>
      <c r="M113" s="25"/>
      <c r="N113" s="54"/>
      <c r="O113" s="3" t="str">
        <f>IF($A113="","",IF(P113=AZ113,"E","A"))</f>
        <v>A</v>
      </c>
      <c r="P113" s="48">
        <v>111821</v>
      </c>
      <c r="Q113" s="48">
        <v>4400</v>
      </c>
      <c r="R113" s="32"/>
      <c r="S113" s="3" t="str">
        <f t="shared" si="29"/>
        <v>A</v>
      </c>
      <c r="T113" s="48">
        <v>98052</v>
      </c>
      <c r="U113" s="48">
        <v>4660</v>
      </c>
      <c r="V113" s="32"/>
      <c r="W113" s="3" t="str">
        <f t="shared" si="18"/>
        <v>A</v>
      </c>
      <c r="X113" s="48">
        <v>91629</v>
      </c>
      <c r="Y113" s="48">
        <v>3185</v>
      </c>
      <c r="Z113" s="32"/>
      <c r="AA113" s="3" t="str">
        <f t="shared" si="19"/>
        <v>A</v>
      </c>
      <c r="AB113" s="48">
        <v>109137</v>
      </c>
      <c r="AC113" s="48">
        <v>3350</v>
      </c>
      <c r="AD113" s="36"/>
      <c r="AE113" s="54"/>
      <c r="AF113" s="3" t="str">
        <f t="shared" si="20"/>
        <v>A</v>
      </c>
      <c r="AG113" s="48">
        <v>0</v>
      </c>
      <c r="AH113" s="48">
        <v>0</v>
      </c>
      <c r="AI113" s="39"/>
      <c r="AJ113" s="79" t="s">
        <v>1801</v>
      </c>
      <c r="AK113" s="39"/>
      <c r="AL113" s="4">
        <f t="shared" si="25"/>
        <v>410639</v>
      </c>
      <c r="AM113" s="4">
        <f t="shared" si="25"/>
        <v>15595</v>
      </c>
      <c r="AN113" s="4">
        <f t="shared" si="21"/>
        <v>426234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48">
        <v>410639</v>
      </c>
      <c r="AU113" s="48">
        <v>15595</v>
      </c>
      <c r="AV113" s="4">
        <f t="shared" si="23"/>
        <v>426234</v>
      </c>
      <c r="AW113" s="50" t="str">
        <f t="shared" si="24"/>
        <v/>
      </c>
      <c r="AX113" s="1" t="s">
        <v>1639</v>
      </c>
      <c r="AY113" s="2" t="s">
        <v>1640</v>
      </c>
      <c r="AZ113" s="2">
        <v>74859.679999999993</v>
      </c>
      <c r="BA113" s="73">
        <v>65502.22</v>
      </c>
      <c r="BB113" s="73">
        <v>65502.22</v>
      </c>
      <c r="BC113" s="73">
        <v>74859.679999999993</v>
      </c>
      <c r="BD113" s="73"/>
      <c r="BE113" s="66">
        <v>0</v>
      </c>
      <c r="BF113" s="66">
        <v>0.02</v>
      </c>
      <c r="BG113" s="63">
        <v>45135</v>
      </c>
      <c r="BH113" s="2"/>
      <c r="BI113" s="2"/>
      <c r="BJ113" s="2">
        <v>270000</v>
      </c>
      <c r="BK113" s="2"/>
      <c r="BL113" s="1" t="s">
        <v>97</v>
      </c>
    </row>
    <row r="114" spans="1:64" x14ac:dyDescent="0.25">
      <c r="A114" s="56" t="s">
        <v>248</v>
      </c>
      <c r="B114" s="54" t="s">
        <v>248</v>
      </c>
      <c r="C114" s="56" t="s">
        <v>249</v>
      </c>
      <c r="D114" s="16">
        <v>37302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139</v>
      </c>
      <c r="K114" s="61" t="s">
        <v>140</v>
      </c>
      <c r="L114" s="11" t="s">
        <v>67</v>
      </c>
      <c r="M114" s="25"/>
      <c r="N114" s="54"/>
      <c r="O114" s="3" t="str">
        <f t="shared" ref="O114:O124" si="30">IF($A114="","",IF(P114=0,"A",IF(P114=AZ114,"E","A")))</f>
        <v>A</v>
      </c>
      <c r="P114" s="48">
        <v>277768.27</v>
      </c>
      <c r="Q114" s="48">
        <v>43416.33</v>
      </c>
      <c r="R114" s="32"/>
      <c r="S114" s="3" t="str">
        <f t="shared" si="29"/>
        <v>A</v>
      </c>
      <c r="T114" s="48">
        <v>236409.93</v>
      </c>
      <c r="U114" s="48">
        <v>42546.77</v>
      </c>
      <c r="V114" s="32"/>
      <c r="W114" s="3" t="str">
        <f t="shared" si="18"/>
        <v>A</v>
      </c>
      <c r="X114" s="48">
        <v>228710.35</v>
      </c>
      <c r="Y114" s="48">
        <v>35276</v>
      </c>
      <c r="Z114" s="32"/>
      <c r="AA114" s="3" t="str">
        <f t="shared" si="19"/>
        <v>A</v>
      </c>
      <c r="AB114" s="48">
        <v>249675.61000000002</v>
      </c>
      <c r="AC114" s="48">
        <v>39853.589999999997</v>
      </c>
      <c r="AD114" s="36"/>
      <c r="AE114" s="54"/>
      <c r="AF114" s="3" t="str">
        <f t="shared" si="20"/>
        <v>A</v>
      </c>
      <c r="AG114" s="48">
        <v>0</v>
      </c>
      <c r="AH114" s="48">
        <v>0</v>
      </c>
      <c r="AI114" s="39"/>
      <c r="AJ114" s="79" t="s">
        <v>1801</v>
      </c>
      <c r="AK114" s="39"/>
      <c r="AL114" s="4">
        <f t="shared" si="25"/>
        <v>992564.16</v>
      </c>
      <c r="AM114" s="4">
        <f t="shared" si="25"/>
        <v>161092.69</v>
      </c>
      <c r="AN114" s="4">
        <f t="shared" si="21"/>
        <v>1153656.8500000001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48">
        <v>992564.16</v>
      </c>
      <c r="AU114" s="48">
        <v>161092.69</v>
      </c>
      <c r="AV114" s="4">
        <f t="shared" si="23"/>
        <v>1153656.8500000001</v>
      </c>
      <c r="AW114" s="50" t="str">
        <f t="shared" si="24"/>
        <v/>
      </c>
      <c r="AX114" s="1" t="s">
        <v>1639</v>
      </c>
      <c r="AY114" s="2" t="s">
        <v>1640</v>
      </c>
      <c r="AZ114" s="2">
        <v>231149.12</v>
      </c>
      <c r="BA114" s="73">
        <v>202255.48</v>
      </c>
      <c r="BB114" s="73">
        <v>202255.48</v>
      </c>
      <c r="BC114" s="73">
        <v>231149.12</v>
      </c>
      <c r="BD114" s="73"/>
      <c r="BE114" s="66">
        <v>3.5000000000000003E-2</v>
      </c>
      <c r="BF114" s="66">
        <v>0.02</v>
      </c>
      <c r="BG114" s="63">
        <v>44607</v>
      </c>
      <c r="BH114" s="2"/>
      <c r="BI114" s="2"/>
      <c r="BJ114" s="2"/>
      <c r="BK114" s="2"/>
      <c r="BL114" s="1" t="s">
        <v>56</v>
      </c>
    </row>
    <row r="115" spans="1:64" x14ac:dyDescent="0.25">
      <c r="A115" s="56" t="s">
        <v>248</v>
      </c>
      <c r="B115" s="54" t="s">
        <v>692</v>
      </c>
      <c r="C115" s="56" t="s">
        <v>693</v>
      </c>
      <c r="D115" s="16">
        <v>42362</v>
      </c>
      <c r="E115" s="17"/>
      <c r="F115" s="2" t="s">
        <v>52</v>
      </c>
      <c r="G115" s="2" t="s">
        <v>55</v>
      </c>
      <c r="H115" s="10" t="s">
        <v>57</v>
      </c>
      <c r="I115" s="11" t="s">
        <v>54</v>
      </c>
      <c r="J115" s="11" t="s">
        <v>139</v>
      </c>
      <c r="K115" s="61" t="s">
        <v>140</v>
      </c>
      <c r="L115" s="11" t="s">
        <v>67</v>
      </c>
      <c r="M115" s="25"/>
      <c r="N115" s="54"/>
      <c r="O115" s="3" t="str">
        <f t="shared" si="30"/>
        <v>A</v>
      </c>
      <c r="P115" s="48">
        <v>37372</v>
      </c>
      <c r="Q115" s="48">
        <v>7249</v>
      </c>
      <c r="R115" s="32"/>
      <c r="S115" s="3" t="str">
        <f t="shared" si="29"/>
        <v>A</v>
      </c>
      <c r="T115" s="48">
        <v>35650</v>
      </c>
      <c r="U115" s="48">
        <v>8058</v>
      </c>
      <c r="V115" s="32"/>
      <c r="W115" s="3" t="str">
        <f t="shared" si="18"/>
        <v>A</v>
      </c>
      <c r="X115" s="48">
        <v>31200</v>
      </c>
      <c r="Y115" s="48">
        <v>6474</v>
      </c>
      <c r="Z115" s="32"/>
      <c r="AA115" s="3" t="str">
        <f t="shared" si="19"/>
        <v>A</v>
      </c>
      <c r="AB115" s="48">
        <v>35047</v>
      </c>
      <c r="AC115" s="48">
        <v>7203</v>
      </c>
      <c r="AD115" s="36"/>
      <c r="AE115" s="54"/>
      <c r="AF115" s="3" t="str">
        <f t="shared" si="20"/>
        <v>A</v>
      </c>
      <c r="AG115" s="48">
        <v>0</v>
      </c>
      <c r="AH115" s="48">
        <v>0</v>
      </c>
      <c r="AI115" s="39"/>
      <c r="AJ115" s="79" t="s">
        <v>1801</v>
      </c>
      <c r="AK115" s="39"/>
      <c r="AL115" s="4">
        <f t="shared" si="25"/>
        <v>139269</v>
      </c>
      <c r="AM115" s="4">
        <f t="shared" si="25"/>
        <v>28984</v>
      </c>
      <c r="AN115" s="4">
        <f t="shared" si="21"/>
        <v>168253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48">
        <v>139269</v>
      </c>
      <c r="AU115" s="48">
        <v>28984</v>
      </c>
      <c r="AV115" s="4">
        <f t="shared" si="23"/>
        <v>168253</v>
      </c>
      <c r="AW115" s="50" t="str">
        <f t="shared" si="24"/>
        <v/>
      </c>
      <c r="AX115" s="1" t="s">
        <v>1639</v>
      </c>
      <c r="AY115" s="2" t="s">
        <v>1640</v>
      </c>
      <c r="AZ115" s="2">
        <v>53158.400000000001</v>
      </c>
      <c r="BA115" s="73">
        <v>46513.599999999999</v>
      </c>
      <c r="BB115" s="73">
        <v>46513.599999999999</v>
      </c>
      <c r="BC115" s="73">
        <v>53158.400000000001</v>
      </c>
      <c r="BD115" s="73"/>
      <c r="BE115" s="66">
        <v>3.5000000000000003E-2</v>
      </c>
      <c r="BF115" s="66">
        <v>0.02</v>
      </c>
      <c r="BG115" s="63">
        <v>44607</v>
      </c>
      <c r="BH115" s="2"/>
      <c r="BI115" s="2"/>
      <c r="BJ115" s="2"/>
      <c r="BK115" s="2"/>
      <c r="BL115" s="1" t="s">
        <v>56</v>
      </c>
    </row>
    <row r="116" spans="1:64" x14ac:dyDescent="0.25">
      <c r="A116" s="56" t="s">
        <v>248</v>
      </c>
      <c r="B116" s="54" t="s">
        <v>694</v>
      </c>
      <c r="C116" s="56" t="s">
        <v>695</v>
      </c>
      <c r="D116" s="16">
        <v>40875</v>
      </c>
      <c r="E116" s="17"/>
      <c r="F116" s="2" t="s">
        <v>52</v>
      </c>
      <c r="G116" s="2" t="s">
        <v>55</v>
      </c>
      <c r="H116" s="10" t="s">
        <v>57</v>
      </c>
      <c r="I116" s="11" t="s">
        <v>54</v>
      </c>
      <c r="J116" s="11" t="s">
        <v>139</v>
      </c>
      <c r="K116" s="61" t="s">
        <v>140</v>
      </c>
      <c r="L116" s="11" t="s">
        <v>67</v>
      </c>
      <c r="M116" s="25"/>
      <c r="N116" s="54"/>
      <c r="O116" s="3" t="str">
        <f t="shared" si="30"/>
        <v>A</v>
      </c>
      <c r="P116" s="48">
        <v>18624</v>
      </c>
      <c r="Q116" s="48">
        <v>7072</v>
      </c>
      <c r="R116" s="32"/>
      <c r="S116" s="3" t="str">
        <f t="shared" si="29"/>
        <v>A</v>
      </c>
      <c r="T116" s="48">
        <v>17147</v>
      </c>
      <c r="U116" s="48">
        <v>6510</v>
      </c>
      <c r="V116" s="32"/>
      <c r="W116" s="3" t="str">
        <f t="shared" si="18"/>
        <v>A</v>
      </c>
      <c r="X116" s="48">
        <v>14815</v>
      </c>
      <c r="Y116" s="48">
        <v>6569</v>
      </c>
      <c r="Z116" s="32"/>
      <c r="AA116" s="3" t="str">
        <f t="shared" si="19"/>
        <v>A</v>
      </c>
      <c r="AB116" s="48">
        <v>19760</v>
      </c>
      <c r="AC116" s="48">
        <v>6098</v>
      </c>
      <c r="AD116" s="36"/>
      <c r="AE116" s="54"/>
      <c r="AF116" s="3" t="str">
        <f t="shared" si="20"/>
        <v>A</v>
      </c>
      <c r="AG116" s="48">
        <v>0</v>
      </c>
      <c r="AH116" s="48">
        <v>0</v>
      </c>
      <c r="AI116" s="39"/>
      <c r="AJ116" s="79" t="s">
        <v>1801</v>
      </c>
      <c r="AK116" s="39"/>
      <c r="AL116" s="4">
        <f t="shared" si="25"/>
        <v>70346</v>
      </c>
      <c r="AM116" s="4">
        <f t="shared" si="25"/>
        <v>26249</v>
      </c>
      <c r="AN116" s="4">
        <f t="shared" si="21"/>
        <v>96595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48">
        <v>70346</v>
      </c>
      <c r="AU116" s="48">
        <v>26249</v>
      </c>
      <c r="AV116" s="4">
        <f t="shared" si="23"/>
        <v>96595</v>
      </c>
      <c r="AW116" s="50" t="str">
        <f t="shared" si="24"/>
        <v/>
      </c>
      <c r="AX116" s="1" t="s">
        <v>1639</v>
      </c>
      <c r="AY116" s="2" t="s">
        <v>1640</v>
      </c>
      <c r="AZ116" s="2">
        <v>25703.68</v>
      </c>
      <c r="BA116" s="73">
        <v>22490.720000000001</v>
      </c>
      <c r="BB116" s="73">
        <v>22490.720000000001</v>
      </c>
      <c r="BC116" s="73">
        <v>25703.68</v>
      </c>
      <c r="BD116" s="73"/>
      <c r="BE116" s="66">
        <v>3.5000000000000003E-2</v>
      </c>
      <c r="BF116" s="66">
        <v>0.02</v>
      </c>
      <c r="BG116" s="63">
        <v>44607</v>
      </c>
      <c r="BH116" s="2"/>
      <c r="BI116" s="2"/>
      <c r="BJ116" s="2"/>
      <c r="BK116" s="2"/>
      <c r="BL116" s="1" t="s">
        <v>56</v>
      </c>
    </row>
    <row r="117" spans="1:64" x14ac:dyDescent="0.25">
      <c r="A117" s="56" t="s">
        <v>248</v>
      </c>
      <c r="B117" s="54" t="s">
        <v>1104</v>
      </c>
      <c r="C117" s="56" t="s">
        <v>1105</v>
      </c>
      <c r="D117" s="16">
        <v>44824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139</v>
      </c>
      <c r="K117" s="61" t="s">
        <v>140</v>
      </c>
      <c r="L117" s="11" t="s">
        <v>67</v>
      </c>
      <c r="M117" s="25"/>
      <c r="N117" s="54"/>
      <c r="O117" s="3" t="str">
        <f t="shared" si="30"/>
        <v>A</v>
      </c>
      <c r="P117" s="48">
        <v>39407</v>
      </c>
      <c r="Q117" s="48">
        <v>8048</v>
      </c>
      <c r="R117" s="32"/>
      <c r="S117" s="3" t="str">
        <f t="shared" si="29"/>
        <v>A</v>
      </c>
      <c r="T117" s="48">
        <v>33188</v>
      </c>
      <c r="U117" s="48">
        <v>5720</v>
      </c>
      <c r="V117" s="32"/>
      <c r="W117" s="3" t="str">
        <f t="shared" si="18"/>
        <v>A</v>
      </c>
      <c r="X117" s="48">
        <v>33877</v>
      </c>
      <c r="Y117" s="48">
        <v>6707</v>
      </c>
      <c r="Z117" s="32"/>
      <c r="AA117" s="3" t="str">
        <f t="shared" si="19"/>
        <v>A</v>
      </c>
      <c r="AB117" s="48">
        <v>36779</v>
      </c>
      <c r="AC117" s="48">
        <v>5476</v>
      </c>
      <c r="AD117" s="36"/>
      <c r="AE117" s="54"/>
      <c r="AF117" s="3" t="str">
        <f t="shared" si="20"/>
        <v>A</v>
      </c>
      <c r="AG117" s="48">
        <v>0</v>
      </c>
      <c r="AH117" s="48">
        <v>0</v>
      </c>
      <c r="AI117" s="39"/>
      <c r="AJ117" s="79" t="s">
        <v>1801</v>
      </c>
      <c r="AK117" s="39"/>
      <c r="AL117" s="4">
        <f t="shared" si="25"/>
        <v>143251</v>
      </c>
      <c r="AM117" s="4">
        <f t="shared" si="25"/>
        <v>25951</v>
      </c>
      <c r="AN117" s="4">
        <f t="shared" si="21"/>
        <v>169202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48">
        <v>143251</v>
      </c>
      <c r="AU117" s="48">
        <v>25951</v>
      </c>
      <c r="AV117" s="4">
        <f t="shared" si="23"/>
        <v>169202</v>
      </c>
      <c r="AW117" s="50" t="str">
        <f t="shared" si="24"/>
        <v/>
      </c>
      <c r="AX117" s="1" t="s">
        <v>1639</v>
      </c>
      <c r="AY117" s="2" t="s">
        <v>1640</v>
      </c>
      <c r="AZ117" s="2">
        <v>64614.400000000001</v>
      </c>
      <c r="BA117" s="73">
        <v>56537.599999999999</v>
      </c>
      <c r="BB117" s="73">
        <v>56537.599999999999</v>
      </c>
      <c r="BC117" s="73">
        <v>64614.400000000001</v>
      </c>
      <c r="BD117" s="73"/>
      <c r="BE117" s="66">
        <v>0</v>
      </c>
      <c r="BF117" s="66">
        <v>0.02</v>
      </c>
      <c r="BG117" s="63">
        <v>44824</v>
      </c>
      <c r="BH117" s="2"/>
      <c r="BI117" s="2"/>
      <c r="BJ117" s="2">
        <v>232310.96</v>
      </c>
      <c r="BK117" s="2">
        <v>25812.33</v>
      </c>
      <c r="BL117" s="1" t="s">
        <v>56</v>
      </c>
    </row>
    <row r="118" spans="1:64" x14ac:dyDescent="0.25">
      <c r="A118" s="56" t="s">
        <v>250</v>
      </c>
      <c r="B118" s="54" t="s">
        <v>250</v>
      </c>
      <c r="C118" s="56" t="s">
        <v>251</v>
      </c>
      <c r="D118" s="16">
        <v>37310</v>
      </c>
      <c r="E118" s="17"/>
      <c r="F118" s="2" t="s">
        <v>252</v>
      </c>
      <c r="G118" s="2" t="s">
        <v>253</v>
      </c>
      <c r="H118" s="10" t="s">
        <v>98</v>
      </c>
      <c r="I118" s="11" t="s">
        <v>53</v>
      </c>
      <c r="J118" s="11" t="s">
        <v>118</v>
      </c>
      <c r="K118" s="61"/>
      <c r="L118" s="11" t="s">
        <v>67</v>
      </c>
      <c r="M118" s="25"/>
      <c r="N118" s="54"/>
      <c r="O118" s="3" t="str">
        <f t="shared" si="30"/>
        <v>A</v>
      </c>
      <c r="P118" s="48">
        <v>125193</v>
      </c>
      <c r="Q118" s="48">
        <v>15668</v>
      </c>
      <c r="R118" s="32"/>
      <c r="S118" s="3" t="str">
        <f t="shared" si="29"/>
        <v>A</v>
      </c>
      <c r="T118" s="48">
        <v>117988</v>
      </c>
      <c r="U118" s="48">
        <v>16093</v>
      </c>
      <c r="V118" s="32"/>
      <c r="W118" s="3" t="str">
        <f t="shared" si="18"/>
        <v>A</v>
      </c>
      <c r="X118" s="48">
        <v>116639</v>
      </c>
      <c r="Y118" s="48">
        <v>15471</v>
      </c>
      <c r="Z118" s="32"/>
      <c r="AA118" s="3" t="str">
        <f t="shared" si="19"/>
        <v>A</v>
      </c>
      <c r="AB118" s="48">
        <v>131826</v>
      </c>
      <c r="AC118" s="48">
        <v>15996</v>
      </c>
      <c r="AD118" s="36"/>
      <c r="AE118" s="54"/>
      <c r="AF118" s="3" t="str">
        <f t="shared" si="20"/>
        <v>A</v>
      </c>
      <c r="AG118" s="48">
        <v>0</v>
      </c>
      <c r="AH118" s="48">
        <v>0</v>
      </c>
      <c r="AI118" s="39"/>
      <c r="AJ118" s="79" t="s">
        <v>1801</v>
      </c>
      <c r="AK118" s="39"/>
      <c r="AL118" s="4">
        <f t="shared" si="25"/>
        <v>491646</v>
      </c>
      <c r="AM118" s="4">
        <f t="shared" si="25"/>
        <v>63228</v>
      </c>
      <c r="AN118" s="4">
        <f t="shared" si="21"/>
        <v>554874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48">
        <v>491646</v>
      </c>
      <c r="AU118" s="48">
        <v>63228</v>
      </c>
      <c r="AV118" s="4">
        <f t="shared" si="23"/>
        <v>554874</v>
      </c>
      <c r="AW118" s="50" t="str">
        <f t="shared" si="24"/>
        <v/>
      </c>
      <c r="AX118" s="1" t="s">
        <v>1664</v>
      </c>
      <c r="AY118" s="2" t="s">
        <v>1665</v>
      </c>
      <c r="AZ118" s="2">
        <v>142308.4</v>
      </c>
      <c r="BA118" s="73">
        <v>124519.85</v>
      </c>
      <c r="BB118" s="73">
        <v>124519.85</v>
      </c>
      <c r="BC118" s="73">
        <v>142308.4</v>
      </c>
      <c r="BD118" s="73"/>
      <c r="BE118" s="66">
        <v>0.04</v>
      </c>
      <c r="BF118" s="66">
        <v>0.05</v>
      </c>
      <c r="BG118" s="63">
        <v>44615</v>
      </c>
      <c r="BH118" s="74">
        <v>44280</v>
      </c>
      <c r="BI118" s="74">
        <v>44282</v>
      </c>
      <c r="BJ118" s="2"/>
      <c r="BK118" s="2"/>
      <c r="BL118" s="1" t="s">
        <v>97</v>
      </c>
    </row>
    <row r="119" spans="1:64" x14ac:dyDescent="0.25">
      <c r="A119" s="56" t="s">
        <v>250</v>
      </c>
      <c r="B119" s="54" t="s">
        <v>696</v>
      </c>
      <c r="C119" s="56" t="s">
        <v>697</v>
      </c>
      <c r="D119" s="16">
        <v>40374</v>
      </c>
      <c r="E119" s="17"/>
      <c r="F119" s="2" t="s">
        <v>252</v>
      </c>
      <c r="G119" s="2" t="s">
        <v>253</v>
      </c>
      <c r="H119" s="10" t="s">
        <v>98</v>
      </c>
      <c r="I119" s="11" t="s">
        <v>53</v>
      </c>
      <c r="J119" s="11" t="s">
        <v>118</v>
      </c>
      <c r="K119" s="61"/>
      <c r="L119" s="11" t="s">
        <v>67</v>
      </c>
      <c r="M119" s="25"/>
      <c r="N119" s="54"/>
      <c r="O119" s="3" t="str">
        <f t="shared" si="30"/>
        <v>A</v>
      </c>
      <c r="P119" s="48">
        <v>104988</v>
      </c>
      <c r="Q119" s="48">
        <v>21779</v>
      </c>
      <c r="R119" s="32"/>
      <c r="S119" s="3" t="str">
        <f t="shared" si="29"/>
        <v>A</v>
      </c>
      <c r="T119" s="48">
        <v>117764</v>
      </c>
      <c r="U119" s="48">
        <v>25647</v>
      </c>
      <c r="V119" s="32"/>
      <c r="W119" s="3" t="str">
        <f t="shared" si="18"/>
        <v>A</v>
      </c>
      <c r="X119" s="48">
        <v>105740</v>
      </c>
      <c r="Y119" s="48">
        <v>20256</v>
      </c>
      <c r="Z119" s="32"/>
      <c r="AA119" s="3" t="str">
        <f t="shared" si="19"/>
        <v>A</v>
      </c>
      <c r="AB119" s="48">
        <v>113539</v>
      </c>
      <c r="AC119" s="48">
        <v>22749</v>
      </c>
      <c r="AD119" s="36"/>
      <c r="AE119" s="54"/>
      <c r="AF119" s="3" t="str">
        <f t="shared" si="20"/>
        <v>A</v>
      </c>
      <c r="AG119" s="48">
        <v>0</v>
      </c>
      <c r="AH119" s="48">
        <v>0</v>
      </c>
      <c r="AI119" s="39"/>
      <c r="AJ119" s="79" t="s">
        <v>1801</v>
      </c>
      <c r="AK119" s="39"/>
      <c r="AL119" s="4">
        <f t="shared" si="25"/>
        <v>442031</v>
      </c>
      <c r="AM119" s="4">
        <f t="shared" si="25"/>
        <v>90431</v>
      </c>
      <c r="AN119" s="4">
        <f t="shared" si="21"/>
        <v>532462</v>
      </c>
      <c r="AO119" s="39"/>
      <c r="AP119" s="8">
        <f t="shared" si="26"/>
        <v>0</v>
      </c>
      <c r="AQ119" s="8">
        <f t="shared" si="26"/>
        <v>0</v>
      </c>
      <c r="AR119" s="8">
        <f t="shared" si="22"/>
        <v>0</v>
      </c>
      <c r="AS119" s="42"/>
      <c r="AT119" s="48">
        <v>442031</v>
      </c>
      <c r="AU119" s="48">
        <v>90431</v>
      </c>
      <c r="AV119" s="4">
        <f t="shared" si="23"/>
        <v>532462</v>
      </c>
      <c r="AW119" s="50" t="str">
        <f t="shared" si="24"/>
        <v/>
      </c>
      <c r="AX119" s="1" t="s">
        <v>1664</v>
      </c>
      <c r="AY119" s="2" t="s">
        <v>1665</v>
      </c>
      <c r="AZ119" s="2">
        <v>110192.24</v>
      </c>
      <c r="BA119" s="73">
        <v>96418.21</v>
      </c>
      <c r="BB119" s="73">
        <v>96418.21</v>
      </c>
      <c r="BC119" s="73">
        <v>110192.24</v>
      </c>
      <c r="BD119" s="73"/>
      <c r="BE119" s="66">
        <v>0.04</v>
      </c>
      <c r="BF119" s="66">
        <v>0.05</v>
      </c>
      <c r="BG119" s="63">
        <v>44615</v>
      </c>
      <c r="BH119" s="74">
        <v>43912</v>
      </c>
      <c r="BI119" s="74">
        <v>43936</v>
      </c>
      <c r="BJ119" s="2"/>
      <c r="BK119" s="2"/>
      <c r="BL119" s="1" t="s">
        <v>97</v>
      </c>
    </row>
    <row r="120" spans="1:64" x14ac:dyDescent="0.25">
      <c r="A120" s="56" t="s">
        <v>254</v>
      </c>
      <c r="B120" s="54" t="s">
        <v>254</v>
      </c>
      <c r="C120" s="56" t="s">
        <v>255</v>
      </c>
      <c r="D120" s="16">
        <v>37325</v>
      </c>
      <c r="E120" s="17"/>
      <c r="F120" s="2" t="s">
        <v>256</v>
      </c>
      <c r="G120" s="2" t="s">
        <v>257</v>
      </c>
      <c r="H120" s="10" t="s">
        <v>105</v>
      </c>
      <c r="I120" s="11" t="s">
        <v>53</v>
      </c>
      <c r="J120" s="11" t="s">
        <v>258</v>
      </c>
      <c r="K120" s="61"/>
      <c r="L120" s="11" t="s">
        <v>67</v>
      </c>
      <c r="M120" s="25"/>
      <c r="N120" s="54"/>
      <c r="O120" s="3" t="str">
        <f t="shared" si="30"/>
        <v>E</v>
      </c>
      <c r="P120" s="48">
        <v>84285.6</v>
      </c>
      <c r="Q120" s="48">
        <v>30964.880000000001</v>
      </c>
      <c r="R120" s="32"/>
      <c r="S120" s="3" t="str">
        <f t="shared" si="29"/>
        <v>E</v>
      </c>
      <c r="T120" s="48">
        <v>73749.899999999994</v>
      </c>
      <c r="U120" s="48">
        <v>27094.27</v>
      </c>
      <c r="V120" s="32"/>
      <c r="W120" s="3" t="str">
        <f t="shared" si="18"/>
        <v>E</v>
      </c>
      <c r="X120" s="48">
        <v>73749.899999999994</v>
      </c>
      <c r="Y120" s="48">
        <v>27094.27</v>
      </c>
      <c r="Z120" s="32"/>
      <c r="AA120" s="3" t="str">
        <f t="shared" si="19"/>
        <v>E</v>
      </c>
      <c r="AB120" s="48">
        <v>84285.6</v>
      </c>
      <c r="AC120" s="48">
        <v>30964.880000000001</v>
      </c>
      <c r="AD120" s="36"/>
      <c r="AE120" s="54"/>
      <c r="AF120" s="3" t="str">
        <f t="shared" si="20"/>
        <v>A</v>
      </c>
      <c r="AG120" s="48"/>
      <c r="AH120" s="48"/>
      <c r="AI120" s="39"/>
      <c r="AJ120" s="79" t="s">
        <v>38</v>
      </c>
      <c r="AK120" s="39"/>
      <c r="AL120" s="4">
        <f t="shared" si="25"/>
        <v>0</v>
      </c>
      <c r="AM120" s="4">
        <f t="shared" si="25"/>
        <v>0</v>
      </c>
      <c r="AN120" s="4">
        <f t="shared" si="21"/>
        <v>0</v>
      </c>
      <c r="AO120" s="39"/>
      <c r="AP120" s="8">
        <f t="shared" si="26"/>
        <v>316071</v>
      </c>
      <c r="AQ120" s="8">
        <f t="shared" si="26"/>
        <v>116118.3</v>
      </c>
      <c r="AR120" s="8">
        <f t="shared" si="22"/>
        <v>432189.3</v>
      </c>
      <c r="AS120" s="42"/>
      <c r="AT120" s="48"/>
      <c r="AU120" s="48"/>
      <c r="AV120" s="4">
        <f t="shared" si="23"/>
        <v>0</v>
      </c>
      <c r="AW120" s="50" t="str">
        <f t="shared" si="24"/>
        <v/>
      </c>
      <c r="AX120" s="1" t="s">
        <v>1666</v>
      </c>
      <c r="AY120" s="2" t="s">
        <v>1667</v>
      </c>
      <c r="AZ120" s="2">
        <v>84285.6</v>
      </c>
      <c r="BA120" s="73">
        <v>73749.899999999994</v>
      </c>
      <c r="BB120" s="73">
        <v>73749.899999999994</v>
      </c>
      <c r="BC120" s="73">
        <v>84285.6</v>
      </c>
      <c r="BD120" s="73"/>
      <c r="BE120" s="66">
        <v>0.04</v>
      </c>
      <c r="BF120" s="66">
        <v>0.05</v>
      </c>
      <c r="BG120" s="63">
        <v>44630</v>
      </c>
      <c r="BH120" s="74">
        <v>41820</v>
      </c>
      <c r="BI120" s="74">
        <v>41898</v>
      </c>
      <c r="BJ120" s="2"/>
      <c r="BK120" s="2"/>
      <c r="BL120" s="1" t="s">
        <v>104</v>
      </c>
    </row>
    <row r="121" spans="1:64" x14ac:dyDescent="0.25">
      <c r="A121" s="56" t="s">
        <v>254</v>
      </c>
      <c r="B121" s="54" t="s">
        <v>875</v>
      </c>
      <c r="C121" s="56" t="s">
        <v>876</v>
      </c>
      <c r="D121" s="16">
        <v>43777</v>
      </c>
      <c r="E121" s="17"/>
      <c r="F121" s="2" t="s">
        <v>256</v>
      </c>
      <c r="G121" s="2" t="s">
        <v>257</v>
      </c>
      <c r="H121" s="10" t="s">
        <v>105</v>
      </c>
      <c r="I121" s="11" t="s">
        <v>53</v>
      </c>
      <c r="J121" s="11" t="s">
        <v>258</v>
      </c>
      <c r="K121" s="61"/>
      <c r="L121" s="11" t="s">
        <v>67</v>
      </c>
      <c r="M121" s="25"/>
      <c r="N121" s="54"/>
      <c r="O121" s="3" t="str">
        <f t="shared" si="30"/>
        <v>E</v>
      </c>
      <c r="P121" s="48">
        <v>28989.439999999999</v>
      </c>
      <c r="Q121" s="48">
        <v>6702.32</v>
      </c>
      <c r="R121" s="32"/>
      <c r="S121" s="3" t="str">
        <f t="shared" si="29"/>
        <v>E</v>
      </c>
      <c r="T121" s="48">
        <v>25365.759999999998</v>
      </c>
      <c r="U121" s="48">
        <v>5864.53</v>
      </c>
      <c r="V121" s="32"/>
      <c r="W121" s="3" t="str">
        <f t="shared" si="18"/>
        <v>E</v>
      </c>
      <c r="X121" s="48">
        <v>25365.759999999998</v>
      </c>
      <c r="Y121" s="48">
        <v>5864.53</v>
      </c>
      <c r="Z121" s="32"/>
      <c r="AA121" s="3" t="str">
        <f t="shared" si="19"/>
        <v>E</v>
      </c>
      <c r="AB121" s="48">
        <v>28989.439999999999</v>
      </c>
      <c r="AC121" s="48">
        <v>6702.32</v>
      </c>
      <c r="AD121" s="36"/>
      <c r="AE121" s="54"/>
      <c r="AF121" s="3" t="str">
        <f t="shared" si="20"/>
        <v>A</v>
      </c>
      <c r="AG121" s="48"/>
      <c r="AH121" s="48"/>
      <c r="AI121" s="39"/>
      <c r="AJ121" s="79" t="s">
        <v>38</v>
      </c>
      <c r="AK121" s="39"/>
      <c r="AL121" s="4">
        <f t="shared" si="25"/>
        <v>0</v>
      </c>
      <c r="AM121" s="4">
        <f t="shared" si="25"/>
        <v>0</v>
      </c>
      <c r="AN121" s="4">
        <f t="shared" si="21"/>
        <v>0</v>
      </c>
      <c r="AO121" s="39"/>
      <c r="AP121" s="8">
        <f t="shared" si="26"/>
        <v>108710.39999999999</v>
      </c>
      <c r="AQ121" s="8">
        <f t="shared" si="26"/>
        <v>25133.699999999997</v>
      </c>
      <c r="AR121" s="8">
        <f t="shared" si="22"/>
        <v>133844.09999999998</v>
      </c>
      <c r="AS121" s="42"/>
      <c r="AT121" s="48"/>
      <c r="AU121" s="48"/>
      <c r="AV121" s="4">
        <f t="shared" si="23"/>
        <v>0</v>
      </c>
      <c r="AW121" s="50" t="str">
        <f t="shared" si="24"/>
        <v/>
      </c>
      <c r="AX121" s="1" t="s">
        <v>1666</v>
      </c>
      <c r="AY121" s="2" t="s">
        <v>1667</v>
      </c>
      <c r="AZ121" s="2">
        <v>28989.439999999999</v>
      </c>
      <c r="BA121" s="73">
        <v>25365.759999999998</v>
      </c>
      <c r="BB121" s="73">
        <v>25365.759999999998</v>
      </c>
      <c r="BC121" s="73">
        <v>28989.439999999999</v>
      </c>
      <c r="BD121" s="73"/>
      <c r="BE121" s="66">
        <v>0</v>
      </c>
      <c r="BF121" s="66">
        <v>0.05</v>
      </c>
      <c r="BG121" s="63">
        <v>44630</v>
      </c>
      <c r="BH121" s="2"/>
      <c r="BI121" s="2"/>
      <c r="BJ121" s="2"/>
      <c r="BK121" s="2"/>
      <c r="BL121" s="1" t="s">
        <v>104</v>
      </c>
    </row>
    <row r="122" spans="1:64" x14ac:dyDescent="0.25">
      <c r="A122" s="56" t="s">
        <v>259</v>
      </c>
      <c r="B122" s="54" t="s">
        <v>259</v>
      </c>
      <c r="C122" s="56" t="s">
        <v>260</v>
      </c>
      <c r="D122" s="16">
        <v>37356</v>
      </c>
      <c r="E122" s="17"/>
      <c r="F122" s="2" t="s">
        <v>52</v>
      </c>
      <c r="G122" s="2" t="s">
        <v>55</v>
      </c>
      <c r="H122" s="10" t="s">
        <v>57</v>
      </c>
      <c r="I122" s="11" t="s">
        <v>54</v>
      </c>
      <c r="J122" s="11" t="s">
        <v>131</v>
      </c>
      <c r="K122" s="61" t="s">
        <v>132</v>
      </c>
      <c r="L122" s="11" t="s">
        <v>67</v>
      </c>
      <c r="M122" s="25"/>
      <c r="N122" s="54"/>
      <c r="O122" s="3" t="str">
        <f t="shared" si="30"/>
        <v>A</v>
      </c>
      <c r="P122" s="48">
        <v>78258.600000000006</v>
      </c>
      <c r="Q122" s="48">
        <v>12884</v>
      </c>
      <c r="R122" s="32"/>
      <c r="S122" s="3" t="str">
        <f t="shared" si="29"/>
        <v>A</v>
      </c>
      <c r="T122" s="48">
        <v>71033.899999999994</v>
      </c>
      <c r="U122" s="48">
        <v>7429</v>
      </c>
      <c r="V122" s="32"/>
      <c r="W122" s="3" t="str">
        <f t="shared" si="18"/>
        <v>A</v>
      </c>
      <c r="X122" s="48">
        <v>69690.25</v>
      </c>
      <c r="Y122" s="48">
        <v>9315</v>
      </c>
      <c r="Z122" s="32"/>
      <c r="AA122" s="3" t="str">
        <f t="shared" si="19"/>
        <v>A</v>
      </c>
      <c r="AB122" s="48">
        <v>77860.150000000009</v>
      </c>
      <c r="AC122" s="48">
        <v>10242</v>
      </c>
      <c r="AD122" s="36"/>
      <c r="AE122" s="54"/>
      <c r="AF122" s="3" t="str">
        <f t="shared" si="20"/>
        <v>A</v>
      </c>
      <c r="AG122" s="48">
        <v>0</v>
      </c>
      <c r="AH122" s="48">
        <v>0</v>
      </c>
      <c r="AI122" s="39"/>
      <c r="AJ122" s="79" t="s">
        <v>1801</v>
      </c>
      <c r="AK122" s="39"/>
      <c r="AL122" s="4">
        <f t="shared" si="25"/>
        <v>296842.90000000002</v>
      </c>
      <c r="AM122" s="4">
        <f t="shared" si="25"/>
        <v>39870</v>
      </c>
      <c r="AN122" s="4">
        <f t="shared" si="21"/>
        <v>336712.9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48">
        <v>296842.89999999997</v>
      </c>
      <c r="AU122" s="48">
        <v>39870</v>
      </c>
      <c r="AV122" s="4">
        <f t="shared" si="23"/>
        <v>336712.89999999997</v>
      </c>
      <c r="AW122" s="50" t="str">
        <f t="shared" si="24"/>
        <v/>
      </c>
      <c r="AX122" s="1" t="s">
        <v>1639</v>
      </c>
      <c r="AY122" s="2" t="s">
        <v>1640</v>
      </c>
      <c r="AZ122" s="2">
        <v>137956.16</v>
      </c>
      <c r="BA122" s="73">
        <v>120711.64</v>
      </c>
      <c r="BB122" s="73">
        <v>120711.64</v>
      </c>
      <c r="BC122" s="73">
        <v>137956.16</v>
      </c>
      <c r="BD122" s="73"/>
      <c r="BE122" s="66">
        <v>3.5000000000000003E-2</v>
      </c>
      <c r="BF122" s="66">
        <v>0.02</v>
      </c>
      <c r="BG122" s="63">
        <v>44661</v>
      </c>
      <c r="BH122" s="2"/>
      <c r="BI122" s="2"/>
      <c r="BJ122" s="2"/>
      <c r="BK122" s="2"/>
      <c r="BL122" s="1" t="s">
        <v>56</v>
      </c>
    </row>
    <row r="123" spans="1:64" x14ac:dyDescent="0.25">
      <c r="A123" s="56" t="s">
        <v>261</v>
      </c>
      <c r="B123" s="54" t="s">
        <v>261</v>
      </c>
      <c r="C123" s="56" t="s">
        <v>262</v>
      </c>
      <c r="D123" s="16">
        <v>37374</v>
      </c>
      <c r="E123" s="17"/>
      <c r="F123" s="2" t="s">
        <v>263</v>
      </c>
      <c r="G123" s="2" t="s">
        <v>264</v>
      </c>
      <c r="H123" s="10" t="s">
        <v>98</v>
      </c>
      <c r="I123" s="11" t="s">
        <v>53</v>
      </c>
      <c r="J123" s="11" t="s">
        <v>265</v>
      </c>
      <c r="K123" s="61"/>
      <c r="L123" s="11" t="s">
        <v>67</v>
      </c>
      <c r="M123" s="25"/>
      <c r="N123" s="54"/>
      <c r="O123" s="3" t="str">
        <f t="shared" si="30"/>
        <v>E</v>
      </c>
      <c r="P123" s="48">
        <v>125975.6</v>
      </c>
      <c r="Q123" s="48">
        <v>9060.32</v>
      </c>
      <c r="R123" s="32"/>
      <c r="S123" s="3" t="str">
        <f t="shared" si="29"/>
        <v>E</v>
      </c>
      <c r="T123" s="48">
        <v>110228.65</v>
      </c>
      <c r="U123" s="48">
        <v>7927.78</v>
      </c>
      <c r="V123" s="32"/>
      <c r="W123" s="3" t="str">
        <f t="shared" si="18"/>
        <v>E</v>
      </c>
      <c r="X123" s="48">
        <v>110228.65</v>
      </c>
      <c r="Y123" s="48">
        <v>7927.78</v>
      </c>
      <c r="Z123" s="32"/>
      <c r="AA123" s="3" t="str">
        <f t="shared" si="19"/>
        <v>E</v>
      </c>
      <c r="AB123" s="48">
        <v>125975.6</v>
      </c>
      <c r="AC123" s="48">
        <v>9060.32</v>
      </c>
      <c r="AD123" s="36"/>
      <c r="AE123" s="54"/>
      <c r="AF123" s="3" t="str">
        <f t="shared" si="20"/>
        <v>A</v>
      </c>
      <c r="AG123" s="48"/>
      <c r="AH123" s="48"/>
      <c r="AI123" s="39"/>
      <c r="AJ123" s="79" t="s">
        <v>38</v>
      </c>
      <c r="AK123" s="39"/>
      <c r="AL123" s="4">
        <f t="shared" si="25"/>
        <v>0</v>
      </c>
      <c r="AM123" s="4">
        <f t="shared" si="25"/>
        <v>0</v>
      </c>
      <c r="AN123" s="4">
        <f t="shared" si="21"/>
        <v>0</v>
      </c>
      <c r="AO123" s="39"/>
      <c r="AP123" s="8">
        <f t="shared" si="26"/>
        <v>472408.5</v>
      </c>
      <c r="AQ123" s="8">
        <f t="shared" si="26"/>
        <v>33976.199999999997</v>
      </c>
      <c r="AR123" s="8">
        <f t="shared" si="22"/>
        <v>506384.7</v>
      </c>
      <c r="AS123" s="42"/>
      <c r="AT123" s="48"/>
      <c r="AU123" s="48"/>
      <c r="AV123" s="4">
        <f t="shared" si="23"/>
        <v>0</v>
      </c>
      <c r="AW123" s="50" t="str">
        <f t="shared" si="24"/>
        <v/>
      </c>
      <c r="AX123" s="1" t="s">
        <v>1668</v>
      </c>
      <c r="AY123" s="2" t="s">
        <v>1669</v>
      </c>
      <c r="AZ123" s="2">
        <v>125975.6</v>
      </c>
      <c r="BA123" s="73">
        <v>110228.65</v>
      </c>
      <c r="BB123" s="73">
        <v>110228.65</v>
      </c>
      <c r="BC123" s="73">
        <v>125975.6</v>
      </c>
      <c r="BD123" s="73"/>
      <c r="BE123" s="66">
        <v>0.04</v>
      </c>
      <c r="BF123" s="66">
        <v>0.05</v>
      </c>
      <c r="BG123" s="63">
        <v>44679</v>
      </c>
      <c r="BH123" s="74">
        <v>43906</v>
      </c>
      <c r="BI123" s="74">
        <v>43969</v>
      </c>
      <c r="BJ123" s="2"/>
      <c r="BK123" s="2"/>
      <c r="BL123" s="1" t="s">
        <v>97</v>
      </c>
    </row>
    <row r="124" spans="1:64" x14ac:dyDescent="0.25">
      <c r="A124" s="56" t="s">
        <v>261</v>
      </c>
      <c r="B124" s="54" t="s">
        <v>1203</v>
      </c>
      <c r="C124" s="56" t="s">
        <v>1204</v>
      </c>
      <c r="D124" s="16">
        <v>45012</v>
      </c>
      <c r="E124" s="17"/>
      <c r="F124" s="2" t="s">
        <v>263</v>
      </c>
      <c r="G124" s="2" t="s">
        <v>264</v>
      </c>
      <c r="H124" s="10" t="s">
        <v>98</v>
      </c>
      <c r="I124" s="11" t="s">
        <v>53</v>
      </c>
      <c r="J124" s="11" t="s">
        <v>265</v>
      </c>
      <c r="K124" s="61"/>
      <c r="L124" s="11" t="s">
        <v>67</v>
      </c>
      <c r="M124" s="25"/>
      <c r="N124" s="54"/>
      <c r="O124" s="3" t="str">
        <f t="shared" si="30"/>
        <v>E</v>
      </c>
      <c r="P124" s="48">
        <v>83495.600000000006</v>
      </c>
      <c r="Q124" s="48">
        <v>1923.92</v>
      </c>
      <c r="R124" s="32"/>
      <c r="S124" s="3" t="str">
        <f t="shared" si="29"/>
        <v>E</v>
      </c>
      <c r="T124" s="48">
        <v>73058.649999999994</v>
      </c>
      <c r="U124" s="48">
        <v>1683.43</v>
      </c>
      <c r="V124" s="32"/>
      <c r="W124" s="3" t="str">
        <f t="shared" si="18"/>
        <v>E</v>
      </c>
      <c r="X124" s="48">
        <v>73058.649999999994</v>
      </c>
      <c r="Y124" s="48">
        <v>1683.43</v>
      </c>
      <c r="Z124" s="32"/>
      <c r="AA124" s="3" t="str">
        <f t="shared" si="19"/>
        <v>E</v>
      </c>
      <c r="AB124" s="48">
        <v>83495.600000000006</v>
      </c>
      <c r="AC124" s="48">
        <v>1923.92</v>
      </c>
      <c r="AD124" s="36"/>
      <c r="AE124" s="54"/>
      <c r="AF124" s="3" t="str">
        <f t="shared" si="20"/>
        <v>A</v>
      </c>
      <c r="AG124" s="48"/>
      <c r="AH124" s="48"/>
      <c r="AI124" s="39"/>
      <c r="AJ124" s="79" t="s">
        <v>38</v>
      </c>
      <c r="AK124" s="39"/>
      <c r="AL124" s="4">
        <f t="shared" si="25"/>
        <v>0</v>
      </c>
      <c r="AM124" s="4">
        <f t="shared" si="25"/>
        <v>0</v>
      </c>
      <c r="AN124" s="4">
        <f t="shared" si="21"/>
        <v>0</v>
      </c>
      <c r="AO124" s="39"/>
      <c r="AP124" s="8">
        <f t="shared" si="26"/>
        <v>313108.5</v>
      </c>
      <c r="AQ124" s="8">
        <f t="shared" si="26"/>
        <v>7214.7000000000007</v>
      </c>
      <c r="AR124" s="8">
        <f t="shared" si="22"/>
        <v>320323.20000000001</v>
      </c>
      <c r="AS124" s="42"/>
      <c r="AT124" s="48"/>
      <c r="AU124" s="48"/>
      <c r="AV124" s="4">
        <f t="shared" si="23"/>
        <v>0</v>
      </c>
      <c r="AW124" s="50" t="str">
        <f t="shared" si="24"/>
        <v/>
      </c>
      <c r="AX124" s="1" t="s">
        <v>1668</v>
      </c>
      <c r="AY124" s="2" t="s">
        <v>1669</v>
      </c>
      <c r="AZ124" s="2">
        <v>83495.600000000006</v>
      </c>
      <c r="BA124" s="73">
        <v>73058.649999999994</v>
      </c>
      <c r="BB124" s="73">
        <v>73058.649999999994</v>
      </c>
      <c r="BC124" s="73">
        <v>83495.600000000006</v>
      </c>
      <c r="BD124" s="73"/>
      <c r="BE124" s="66">
        <v>0</v>
      </c>
      <c r="BF124" s="66">
        <v>0.05</v>
      </c>
      <c r="BG124" s="63">
        <v>45011</v>
      </c>
      <c r="BH124" s="2"/>
      <c r="BI124" s="2"/>
      <c r="BJ124" s="2">
        <v>297000</v>
      </c>
      <c r="BK124" s="2">
        <v>5940</v>
      </c>
      <c r="BL124" s="1" t="s">
        <v>97</v>
      </c>
    </row>
    <row r="125" spans="1:64" x14ac:dyDescent="0.25">
      <c r="A125" s="56" t="s">
        <v>261</v>
      </c>
      <c r="B125" s="54" t="s">
        <v>1495</v>
      </c>
      <c r="C125" s="56" t="s">
        <v>1496</v>
      </c>
      <c r="D125" s="16">
        <v>45503</v>
      </c>
      <c r="E125" s="17"/>
      <c r="F125" s="2" t="s">
        <v>263</v>
      </c>
      <c r="G125" s="2" t="s">
        <v>264</v>
      </c>
      <c r="H125" s="10" t="s">
        <v>98</v>
      </c>
      <c r="I125" s="11" t="s">
        <v>53</v>
      </c>
      <c r="J125" s="11" t="s">
        <v>265</v>
      </c>
      <c r="K125" s="61"/>
      <c r="L125" s="11" t="s">
        <v>67</v>
      </c>
      <c r="M125" s="25"/>
      <c r="N125" s="54"/>
      <c r="O125" s="3" t="str">
        <f>IF($A125="","",IF(P125=AZ125,"E","A"))</f>
        <v>E</v>
      </c>
      <c r="P125" s="48">
        <v>96976.08</v>
      </c>
      <c r="Q125" s="48">
        <v>5079.28</v>
      </c>
      <c r="R125" s="32"/>
      <c r="S125" s="3" t="str">
        <f>IF($A125="","",IF(T125=BA125,"E","A"))</f>
        <v>E</v>
      </c>
      <c r="T125" s="48">
        <v>84854.07</v>
      </c>
      <c r="U125" s="48">
        <v>4444.37</v>
      </c>
      <c r="V125" s="32"/>
      <c r="W125" s="3" t="str">
        <f t="shared" si="18"/>
        <v>E</v>
      </c>
      <c r="X125" s="48">
        <v>84854.07</v>
      </c>
      <c r="Y125" s="48">
        <v>4444.37</v>
      </c>
      <c r="Z125" s="32"/>
      <c r="AA125" s="3" t="str">
        <f t="shared" si="19"/>
        <v>E</v>
      </c>
      <c r="AB125" s="48">
        <v>96976.08</v>
      </c>
      <c r="AC125" s="48">
        <v>5079.28</v>
      </c>
      <c r="AD125" s="36"/>
      <c r="AE125" s="54"/>
      <c r="AF125" s="3" t="str">
        <f t="shared" si="20"/>
        <v>A</v>
      </c>
      <c r="AG125" s="48"/>
      <c r="AH125" s="48"/>
      <c r="AI125" s="39"/>
      <c r="AJ125" s="79" t="s">
        <v>38</v>
      </c>
      <c r="AK125" s="39"/>
      <c r="AL125" s="4">
        <f t="shared" si="25"/>
        <v>0</v>
      </c>
      <c r="AM125" s="4">
        <f t="shared" si="25"/>
        <v>0</v>
      </c>
      <c r="AN125" s="4">
        <f t="shared" si="21"/>
        <v>0</v>
      </c>
      <c r="AO125" s="39"/>
      <c r="AP125" s="8">
        <f t="shared" si="26"/>
        <v>363660.30000000005</v>
      </c>
      <c r="AQ125" s="8">
        <f t="shared" si="26"/>
        <v>19047.3</v>
      </c>
      <c r="AR125" s="8">
        <f t="shared" si="22"/>
        <v>382707.60000000003</v>
      </c>
      <c r="AS125" s="42"/>
      <c r="AT125" s="48"/>
      <c r="AU125" s="48"/>
      <c r="AV125" s="4">
        <f t="shared" si="23"/>
        <v>0</v>
      </c>
      <c r="AW125" s="50" t="str">
        <f t="shared" si="24"/>
        <v/>
      </c>
      <c r="AX125" s="1" t="s">
        <v>1668</v>
      </c>
      <c r="AY125" s="2" t="s">
        <v>1669</v>
      </c>
      <c r="AZ125" s="2">
        <v>96976.08</v>
      </c>
      <c r="BA125" s="73">
        <v>84854.07</v>
      </c>
      <c r="BB125" s="73">
        <v>84854.07</v>
      </c>
      <c r="BC125" s="73">
        <v>96976.08</v>
      </c>
      <c r="BD125" s="73"/>
      <c r="BE125" s="66">
        <v>0</v>
      </c>
      <c r="BF125" s="66">
        <v>0.05</v>
      </c>
      <c r="BG125" s="63">
        <v>45503</v>
      </c>
      <c r="BH125" s="2"/>
      <c r="BI125" s="2"/>
      <c r="BJ125" s="2">
        <v>352800</v>
      </c>
      <c r="BK125" s="2">
        <v>18522</v>
      </c>
      <c r="BL125" s="1" t="s">
        <v>97</v>
      </c>
    </row>
    <row r="126" spans="1:64" x14ac:dyDescent="0.25">
      <c r="A126" s="56" t="s">
        <v>266</v>
      </c>
      <c r="B126" s="54" t="s">
        <v>266</v>
      </c>
      <c r="C126" s="56" t="s">
        <v>267</v>
      </c>
      <c r="D126" s="16">
        <v>37400</v>
      </c>
      <c r="E126" s="17"/>
      <c r="F126" s="2" t="s">
        <v>268</v>
      </c>
      <c r="G126" s="2" t="s">
        <v>269</v>
      </c>
      <c r="H126" s="10" t="s">
        <v>98</v>
      </c>
      <c r="I126" s="11" t="s">
        <v>53</v>
      </c>
      <c r="J126" s="11" t="s">
        <v>224</v>
      </c>
      <c r="K126" s="61"/>
      <c r="L126" s="11" t="s">
        <v>67</v>
      </c>
      <c r="M126" s="25"/>
      <c r="N126" s="54"/>
      <c r="O126" s="3" t="str">
        <f t="shared" ref="O126:O150" si="31">IF($A126="","",IF(P126=0,"A",IF(P126=AZ126,"E","A")))</f>
        <v>A</v>
      </c>
      <c r="P126" s="48">
        <v>109255</v>
      </c>
      <c r="Q126" s="48">
        <v>13033</v>
      </c>
      <c r="R126" s="32"/>
      <c r="S126" s="3" t="str">
        <f t="shared" ref="S126:S167" si="32">IF($A126="","",IF(T126=0,"A",IF(T126=BA126,"E","A")))</f>
        <v>A</v>
      </c>
      <c r="T126" s="48">
        <v>103776</v>
      </c>
      <c r="U126" s="48">
        <v>14258</v>
      </c>
      <c r="V126" s="32"/>
      <c r="W126" s="3" t="str">
        <f t="shared" si="18"/>
        <v>A</v>
      </c>
      <c r="X126" s="48">
        <v>83446</v>
      </c>
      <c r="Y126" s="48">
        <v>9477</v>
      </c>
      <c r="Z126" s="32"/>
      <c r="AA126" s="3" t="str">
        <f t="shared" si="19"/>
        <v>A</v>
      </c>
      <c r="AB126" s="48">
        <v>99152</v>
      </c>
      <c r="AC126" s="48">
        <v>8670</v>
      </c>
      <c r="AD126" s="36"/>
      <c r="AE126" s="54"/>
      <c r="AF126" s="3" t="str">
        <f t="shared" si="20"/>
        <v>A</v>
      </c>
      <c r="AG126" s="48">
        <v>0</v>
      </c>
      <c r="AH126" s="48">
        <v>0</v>
      </c>
      <c r="AI126" s="39"/>
      <c r="AJ126" s="79" t="s">
        <v>1801</v>
      </c>
      <c r="AK126" s="39"/>
      <c r="AL126" s="4">
        <f t="shared" si="25"/>
        <v>395629</v>
      </c>
      <c r="AM126" s="4">
        <f t="shared" si="25"/>
        <v>45438</v>
      </c>
      <c r="AN126" s="4">
        <f t="shared" si="21"/>
        <v>441067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48">
        <v>395629</v>
      </c>
      <c r="AU126" s="48">
        <v>45438</v>
      </c>
      <c r="AV126" s="4">
        <f t="shared" si="23"/>
        <v>441067</v>
      </c>
      <c r="AW126" s="50" t="str">
        <f t="shared" si="24"/>
        <v/>
      </c>
      <c r="AX126" s="1" t="s">
        <v>1670</v>
      </c>
      <c r="AY126" s="2" t="s">
        <v>1671</v>
      </c>
      <c r="AZ126" s="2">
        <v>116107.36</v>
      </c>
      <c r="BA126" s="73">
        <v>101593.94</v>
      </c>
      <c r="BB126" s="73">
        <v>101593.94</v>
      </c>
      <c r="BC126" s="73">
        <v>116107.36</v>
      </c>
      <c r="BD126" s="73"/>
      <c r="BE126" s="66">
        <v>0.04</v>
      </c>
      <c r="BF126" s="66">
        <v>0.05</v>
      </c>
      <c r="BG126" s="63">
        <v>44705</v>
      </c>
      <c r="BH126" s="74">
        <v>43964</v>
      </c>
      <c r="BI126" s="74">
        <v>43967</v>
      </c>
      <c r="BJ126" s="2"/>
      <c r="BK126" s="2"/>
      <c r="BL126" s="1" t="s">
        <v>97</v>
      </c>
    </row>
    <row r="127" spans="1:64" x14ac:dyDescent="0.25">
      <c r="A127" s="56" t="s">
        <v>270</v>
      </c>
      <c r="B127" s="54" t="s">
        <v>270</v>
      </c>
      <c r="C127" s="56" t="s">
        <v>271</v>
      </c>
      <c r="D127" s="16">
        <v>37420</v>
      </c>
      <c r="E127" s="17"/>
      <c r="F127" s="2" t="s">
        <v>272</v>
      </c>
      <c r="G127" s="2" t="s">
        <v>273</v>
      </c>
      <c r="H127" s="10" t="s">
        <v>98</v>
      </c>
      <c r="I127" s="11" t="s">
        <v>53</v>
      </c>
      <c r="J127" s="11" t="s">
        <v>99</v>
      </c>
      <c r="K127" s="61"/>
      <c r="L127" s="11" t="s">
        <v>67</v>
      </c>
      <c r="M127" s="25"/>
      <c r="N127" s="54"/>
      <c r="O127" s="3" t="str">
        <f t="shared" si="31"/>
        <v>A</v>
      </c>
      <c r="P127" s="48">
        <v>115106</v>
      </c>
      <c r="Q127" s="48">
        <v>8248</v>
      </c>
      <c r="R127" s="32"/>
      <c r="S127" s="3" t="str">
        <f t="shared" si="32"/>
        <v>A</v>
      </c>
      <c r="T127" s="48">
        <v>109697</v>
      </c>
      <c r="U127" s="48">
        <v>10188</v>
      </c>
      <c r="V127" s="32"/>
      <c r="W127" s="3" t="str">
        <f t="shared" si="18"/>
        <v>A</v>
      </c>
      <c r="X127" s="48">
        <v>107194</v>
      </c>
      <c r="Y127" s="48">
        <v>7066</v>
      </c>
      <c r="Z127" s="32"/>
      <c r="AA127" s="3" t="str">
        <f t="shared" si="19"/>
        <v>A</v>
      </c>
      <c r="AB127" s="48">
        <v>120806</v>
      </c>
      <c r="AC127" s="48">
        <v>8584</v>
      </c>
      <c r="AD127" s="36"/>
      <c r="AE127" s="54"/>
      <c r="AF127" s="3" t="str">
        <f t="shared" si="20"/>
        <v>A</v>
      </c>
      <c r="AG127" s="48">
        <v>0</v>
      </c>
      <c r="AH127" s="48">
        <v>0</v>
      </c>
      <c r="AI127" s="39"/>
      <c r="AJ127" s="79" t="s">
        <v>1801</v>
      </c>
      <c r="AK127" s="39"/>
      <c r="AL127" s="4">
        <f t="shared" si="25"/>
        <v>452803</v>
      </c>
      <c r="AM127" s="4">
        <f t="shared" si="25"/>
        <v>34086</v>
      </c>
      <c r="AN127" s="4">
        <f t="shared" si="21"/>
        <v>486889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48">
        <v>452803</v>
      </c>
      <c r="AU127" s="48">
        <v>34086</v>
      </c>
      <c r="AV127" s="4">
        <f t="shared" si="23"/>
        <v>486889</v>
      </c>
      <c r="AW127" s="50" t="str">
        <f t="shared" si="24"/>
        <v/>
      </c>
      <c r="AX127" s="1" t="s">
        <v>1672</v>
      </c>
      <c r="AY127" s="2" t="s">
        <v>1673</v>
      </c>
      <c r="AZ127" s="2">
        <v>89551.44</v>
      </c>
      <c r="BA127" s="73">
        <v>78357.509999999995</v>
      </c>
      <c r="BB127" s="73">
        <v>78357.509999999995</v>
      </c>
      <c r="BC127" s="73">
        <v>89551.44</v>
      </c>
      <c r="BD127" s="73"/>
      <c r="BE127" s="66">
        <v>0.04</v>
      </c>
      <c r="BF127" s="66">
        <v>0.05</v>
      </c>
      <c r="BG127" s="63">
        <v>44725</v>
      </c>
      <c r="BH127" s="74">
        <v>43926</v>
      </c>
      <c r="BI127" s="74">
        <v>43948</v>
      </c>
      <c r="BJ127" s="2"/>
      <c r="BK127" s="2"/>
      <c r="BL127" s="1" t="s">
        <v>237</v>
      </c>
    </row>
    <row r="128" spans="1:64" x14ac:dyDescent="0.25">
      <c r="A128" s="56" t="s">
        <v>270</v>
      </c>
      <c r="B128" s="54" t="s">
        <v>1177</v>
      </c>
      <c r="C128" s="56" t="s">
        <v>1178</v>
      </c>
      <c r="D128" s="16">
        <v>0</v>
      </c>
      <c r="E128" s="17"/>
      <c r="F128" s="2" t="s">
        <v>272</v>
      </c>
      <c r="G128" s="2" t="s">
        <v>273</v>
      </c>
      <c r="H128" s="10" t="s">
        <v>98</v>
      </c>
      <c r="I128" s="11" t="s">
        <v>53</v>
      </c>
      <c r="J128" s="11" t="s">
        <v>99</v>
      </c>
      <c r="K128" s="61"/>
      <c r="L128" s="11" t="s">
        <v>67</v>
      </c>
      <c r="M128" s="25"/>
      <c r="N128" s="54"/>
      <c r="O128" s="3" t="str">
        <f t="shared" si="31"/>
        <v>A</v>
      </c>
      <c r="P128" s="48">
        <v>61428</v>
      </c>
      <c r="Q128" s="48">
        <v>800</v>
      </c>
      <c r="R128" s="32"/>
      <c r="S128" s="3" t="str">
        <f t="shared" si="32"/>
        <v>A</v>
      </c>
      <c r="T128" s="48">
        <v>57001</v>
      </c>
      <c r="U128" s="48">
        <v>400</v>
      </c>
      <c r="V128" s="32"/>
      <c r="W128" s="3" t="str">
        <f t="shared" si="18"/>
        <v>A</v>
      </c>
      <c r="X128" s="48">
        <v>58680</v>
      </c>
      <c r="Y128" s="48">
        <v>560</v>
      </c>
      <c r="Z128" s="32"/>
      <c r="AA128" s="3" t="str">
        <f t="shared" si="19"/>
        <v>A</v>
      </c>
      <c r="AB128" s="48">
        <v>65934</v>
      </c>
      <c r="AC128" s="48">
        <v>400</v>
      </c>
      <c r="AD128" s="36"/>
      <c r="AE128" s="54"/>
      <c r="AF128" s="3" t="str">
        <f t="shared" si="20"/>
        <v>A</v>
      </c>
      <c r="AG128" s="48">
        <v>0</v>
      </c>
      <c r="AH128" s="48">
        <v>0</v>
      </c>
      <c r="AI128" s="39"/>
      <c r="AJ128" s="79" t="s">
        <v>1801</v>
      </c>
      <c r="AK128" s="39"/>
      <c r="AL128" s="4">
        <f t="shared" si="25"/>
        <v>243043</v>
      </c>
      <c r="AM128" s="4">
        <f t="shared" si="25"/>
        <v>2160</v>
      </c>
      <c r="AN128" s="4">
        <f t="shared" si="21"/>
        <v>245203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48">
        <v>243043</v>
      </c>
      <c r="AU128" s="48">
        <v>2160</v>
      </c>
      <c r="AV128" s="4">
        <f t="shared" si="23"/>
        <v>245203</v>
      </c>
      <c r="AW128" s="50" t="str">
        <f t="shared" si="24"/>
        <v/>
      </c>
      <c r="AX128" s="1" t="s">
        <v>1672</v>
      </c>
      <c r="AY128" s="2" t="s">
        <v>1673</v>
      </c>
      <c r="AZ128" s="2">
        <v>35565.440000000002</v>
      </c>
      <c r="BA128" s="73">
        <v>31119.759999999998</v>
      </c>
      <c r="BB128" s="73">
        <v>31119.759999999998</v>
      </c>
      <c r="BC128" s="73">
        <v>35565.440000000002</v>
      </c>
      <c r="BD128" s="73"/>
      <c r="BE128" s="66">
        <v>0</v>
      </c>
      <c r="BF128" s="66">
        <v>0.05</v>
      </c>
      <c r="BG128" s="63">
        <v>44866</v>
      </c>
      <c r="BH128" s="2"/>
      <c r="BI128" s="2"/>
      <c r="BJ128" s="2">
        <v>132000</v>
      </c>
      <c r="BK128" s="2">
        <v>16500</v>
      </c>
      <c r="BL128" s="1" t="s">
        <v>237</v>
      </c>
    </row>
    <row r="129" spans="1:64" x14ac:dyDescent="0.25">
      <c r="A129" s="56" t="s">
        <v>274</v>
      </c>
      <c r="B129" s="54" t="s">
        <v>274</v>
      </c>
      <c r="C129" s="56" t="s">
        <v>275</v>
      </c>
      <c r="D129" s="16">
        <v>37436</v>
      </c>
      <c r="E129" s="17"/>
      <c r="F129" s="2" t="s">
        <v>235</v>
      </c>
      <c r="G129" s="2" t="s">
        <v>236</v>
      </c>
      <c r="H129" s="10" t="s">
        <v>98</v>
      </c>
      <c r="I129" s="11" t="s">
        <v>53</v>
      </c>
      <c r="J129" s="11" t="s">
        <v>238</v>
      </c>
      <c r="K129" s="61"/>
      <c r="L129" s="11" t="s">
        <v>67</v>
      </c>
      <c r="M129" s="25"/>
      <c r="N129" s="54"/>
      <c r="O129" s="3" t="str">
        <f t="shared" si="31"/>
        <v>A</v>
      </c>
      <c r="P129" s="48">
        <v>485368</v>
      </c>
      <c r="Q129" s="48">
        <v>55483</v>
      </c>
      <c r="R129" s="32"/>
      <c r="S129" s="3" t="str">
        <f t="shared" si="32"/>
        <v>A</v>
      </c>
      <c r="T129" s="48">
        <v>439527</v>
      </c>
      <c r="U129" s="48">
        <v>56355</v>
      </c>
      <c r="V129" s="32"/>
      <c r="W129" s="3" t="str">
        <f t="shared" si="18"/>
        <v>A</v>
      </c>
      <c r="X129" s="48">
        <v>412710</v>
      </c>
      <c r="Y129" s="48">
        <v>47876</v>
      </c>
      <c r="Z129" s="32"/>
      <c r="AA129" s="3" t="str">
        <f t="shared" si="19"/>
        <v>A</v>
      </c>
      <c r="AB129" s="48">
        <v>449759</v>
      </c>
      <c r="AC129" s="48">
        <v>47579</v>
      </c>
      <c r="AD129" s="36"/>
      <c r="AE129" s="54"/>
      <c r="AF129" s="3" t="str">
        <f t="shared" si="20"/>
        <v>A</v>
      </c>
      <c r="AG129" s="48">
        <v>0</v>
      </c>
      <c r="AH129" s="48">
        <v>0</v>
      </c>
      <c r="AI129" s="39"/>
      <c r="AJ129" s="79" t="s">
        <v>1801</v>
      </c>
      <c r="AK129" s="39"/>
      <c r="AL129" s="4">
        <f t="shared" si="25"/>
        <v>1787364</v>
      </c>
      <c r="AM129" s="4">
        <f t="shared" si="25"/>
        <v>207293</v>
      </c>
      <c r="AN129" s="4">
        <f t="shared" si="21"/>
        <v>1994657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48">
        <v>1787364</v>
      </c>
      <c r="AU129" s="48">
        <v>207293</v>
      </c>
      <c r="AV129" s="4">
        <f t="shared" si="23"/>
        <v>1994657</v>
      </c>
      <c r="AW129" s="50" t="str">
        <f t="shared" si="24"/>
        <v/>
      </c>
      <c r="AX129" s="1" t="s">
        <v>1662</v>
      </c>
      <c r="AY129" s="2" t="s">
        <v>1663</v>
      </c>
      <c r="AZ129" s="2">
        <v>335889.52</v>
      </c>
      <c r="BA129" s="73">
        <v>293903.33</v>
      </c>
      <c r="BB129" s="73">
        <v>293903.33</v>
      </c>
      <c r="BC129" s="73">
        <v>335889.52</v>
      </c>
      <c r="BD129" s="73"/>
      <c r="BE129" s="66">
        <v>3.5000000000000003E-2</v>
      </c>
      <c r="BF129" s="66">
        <v>0.05</v>
      </c>
      <c r="BG129" s="63">
        <v>44741</v>
      </c>
      <c r="BH129" s="74">
        <v>43919</v>
      </c>
      <c r="BI129" s="74">
        <v>43920</v>
      </c>
      <c r="BJ129" s="2"/>
      <c r="BK129" s="2"/>
      <c r="BL129" s="1" t="s">
        <v>237</v>
      </c>
    </row>
    <row r="130" spans="1:64" x14ac:dyDescent="0.25">
      <c r="A130" s="56" t="s">
        <v>274</v>
      </c>
      <c r="B130" s="54" t="s">
        <v>707</v>
      </c>
      <c r="C130" s="56" t="s">
        <v>708</v>
      </c>
      <c r="D130" s="16">
        <v>38793</v>
      </c>
      <c r="E130" s="17"/>
      <c r="F130" s="2" t="s">
        <v>235</v>
      </c>
      <c r="G130" s="2" t="s">
        <v>236</v>
      </c>
      <c r="H130" s="10" t="s">
        <v>98</v>
      </c>
      <c r="I130" s="11" t="s">
        <v>53</v>
      </c>
      <c r="J130" s="11" t="s">
        <v>238</v>
      </c>
      <c r="K130" s="61"/>
      <c r="L130" s="11" t="s">
        <v>67</v>
      </c>
      <c r="M130" s="25"/>
      <c r="N130" s="54"/>
      <c r="O130" s="3" t="str">
        <f t="shared" si="31"/>
        <v>A</v>
      </c>
      <c r="P130" s="48">
        <v>424767</v>
      </c>
      <c r="Q130" s="48">
        <v>40976</v>
      </c>
      <c r="R130" s="32"/>
      <c r="S130" s="3" t="str">
        <f t="shared" si="32"/>
        <v>A</v>
      </c>
      <c r="T130" s="48">
        <v>390118</v>
      </c>
      <c r="U130" s="48">
        <v>41166</v>
      </c>
      <c r="V130" s="32"/>
      <c r="W130" s="3" t="str">
        <f t="shared" si="18"/>
        <v>A</v>
      </c>
      <c r="X130" s="48">
        <v>365270</v>
      </c>
      <c r="Y130" s="48">
        <v>35573</v>
      </c>
      <c r="Z130" s="32"/>
      <c r="AA130" s="3" t="str">
        <f t="shared" si="19"/>
        <v>A</v>
      </c>
      <c r="AB130" s="48">
        <v>417385</v>
      </c>
      <c r="AC130" s="48">
        <v>39672</v>
      </c>
      <c r="AD130" s="36"/>
      <c r="AE130" s="54"/>
      <c r="AF130" s="3" t="str">
        <f t="shared" si="20"/>
        <v>A</v>
      </c>
      <c r="AG130" s="48">
        <v>0</v>
      </c>
      <c r="AH130" s="48">
        <v>0</v>
      </c>
      <c r="AI130" s="39"/>
      <c r="AJ130" s="79" t="s">
        <v>1801</v>
      </c>
      <c r="AK130" s="39"/>
      <c r="AL130" s="4">
        <f t="shared" si="25"/>
        <v>1597540</v>
      </c>
      <c r="AM130" s="4">
        <f t="shared" si="25"/>
        <v>157387</v>
      </c>
      <c r="AN130" s="4">
        <f t="shared" si="21"/>
        <v>1754927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48">
        <v>1597540</v>
      </c>
      <c r="AU130" s="48">
        <v>157387</v>
      </c>
      <c r="AV130" s="4">
        <f t="shared" si="23"/>
        <v>1754927</v>
      </c>
      <c r="AW130" s="50" t="str">
        <f t="shared" si="24"/>
        <v/>
      </c>
      <c r="AX130" s="1" t="s">
        <v>1662</v>
      </c>
      <c r="AY130" s="2" t="s">
        <v>1663</v>
      </c>
      <c r="AZ130" s="2">
        <v>246774.64</v>
      </c>
      <c r="BA130" s="73">
        <v>215927.81</v>
      </c>
      <c r="BB130" s="73">
        <v>215927.81</v>
      </c>
      <c r="BC130" s="73">
        <v>246774.64</v>
      </c>
      <c r="BD130" s="73"/>
      <c r="BE130" s="66">
        <v>3.5000000000000003E-2</v>
      </c>
      <c r="BF130" s="66">
        <v>0.05</v>
      </c>
      <c r="BG130" s="63">
        <v>44741</v>
      </c>
      <c r="BH130" s="74">
        <v>43919</v>
      </c>
      <c r="BI130" s="74">
        <v>43920</v>
      </c>
      <c r="BJ130" s="2"/>
      <c r="BK130" s="2"/>
      <c r="BL130" s="1" t="s">
        <v>237</v>
      </c>
    </row>
    <row r="131" spans="1:64" x14ac:dyDescent="0.25">
      <c r="A131" s="56" t="s">
        <v>276</v>
      </c>
      <c r="B131" s="54" t="s">
        <v>276</v>
      </c>
      <c r="C131" s="56" t="s">
        <v>277</v>
      </c>
      <c r="D131" s="16">
        <v>37436</v>
      </c>
      <c r="E131" s="17"/>
      <c r="F131" s="2" t="s">
        <v>243</v>
      </c>
      <c r="G131" s="2" t="s">
        <v>245</v>
      </c>
      <c r="H131" s="10" t="s">
        <v>98</v>
      </c>
      <c r="I131" s="11" t="s">
        <v>244</v>
      </c>
      <c r="J131" s="11" t="s">
        <v>278</v>
      </c>
      <c r="K131" s="61" t="s">
        <v>279</v>
      </c>
      <c r="L131" s="11" t="s">
        <v>67</v>
      </c>
      <c r="M131" s="25"/>
      <c r="N131" s="54"/>
      <c r="O131" s="3" t="str">
        <f t="shared" si="31"/>
        <v>A</v>
      </c>
      <c r="P131" s="48">
        <v>214258.88</v>
      </c>
      <c r="Q131" s="48">
        <v>14194</v>
      </c>
      <c r="R131" s="32"/>
      <c r="S131" s="3" t="str">
        <f t="shared" si="32"/>
        <v>A</v>
      </c>
      <c r="T131" s="48">
        <v>203869.61</v>
      </c>
      <c r="U131" s="48">
        <v>12728</v>
      </c>
      <c r="V131" s="32"/>
      <c r="W131" s="3" t="str">
        <f t="shared" si="18"/>
        <v>A</v>
      </c>
      <c r="X131" s="48">
        <v>198360.71000000002</v>
      </c>
      <c r="Y131" s="48">
        <v>13906</v>
      </c>
      <c r="Z131" s="32"/>
      <c r="AA131" s="3" t="str">
        <f t="shared" si="19"/>
        <v>A</v>
      </c>
      <c r="AB131" s="48">
        <v>224073.09</v>
      </c>
      <c r="AC131" s="48">
        <v>15699</v>
      </c>
      <c r="AD131" s="36"/>
      <c r="AE131" s="54"/>
      <c r="AF131" s="3" t="str">
        <f t="shared" si="20"/>
        <v>A</v>
      </c>
      <c r="AG131" s="48">
        <v>0</v>
      </c>
      <c r="AH131" s="48">
        <v>0</v>
      </c>
      <c r="AI131" s="39"/>
      <c r="AJ131" s="79" t="s">
        <v>1801</v>
      </c>
      <c r="AK131" s="39"/>
      <c r="AL131" s="4">
        <f t="shared" si="25"/>
        <v>840562.28999999992</v>
      </c>
      <c r="AM131" s="4">
        <f t="shared" si="25"/>
        <v>56527</v>
      </c>
      <c r="AN131" s="4">
        <f t="shared" si="21"/>
        <v>897089.28999999992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48">
        <v>840562.29</v>
      </c>
      <c r="AU131" s="48">
        <v>56527</v>
      </c>
      <c r="AV131" s="4">
        <f t="shared" si="23"/>
        <v>897089.29</v>
      </c>
      <c r="AW131" s="50" t="str">
        <f t="shared" si="24"/>
        <v/>
      </c>
      <c r="AX131" s="1" t="s">
        <v>1639</v>
      </c>
      <c r="AY131" s="2" t="s">
        <v>1640</v>
      </c>
      <c r="AZ131" s="2">
        <v>163631.76</v>
      </c>
      <c r="BA131" s="73">
        <v>143177.79</v>
      </c>
      <c r="BB131" s="73">
        <v>143177.79</v>
      </c>
      <c r="BC131" s="73">
        <v>163631.76</v>
      </c>
      <c r="BD131" s="73"/>
      <c r="BE131" s="66">
        <v>3.5000000000000003E-2</v>
      </c>
      <c r="BF131" s="66">
        <v>0.02</v>
      </c>
      <c r="BG131" s="63">
        <v>44741</v>
      </c>
      <c r="BH131" s="74">
        <v>43909</v>
      </c>
      <c r="BI131" s="74">
        <v>43922</v>
      </c>
      <c r="BJ131" s="2"/>
      <c r="BK131" s="2"/>
      <c r="BL131" s="1" t="s">
        <v>97</v>
      </c>
    </row>
    <row r="132" spans="1:64" x14ac:dyDescent="0.25">
      <c r="A132" s="56" t="s">
        <v>276</v>
      </c>
      <c r="B132" s="54" t="s">
        <v>984</v>
      </c>
      <c r="C132" s="56" t="s">
        <v>985</v>
      </c>
      <c r="D132" s="16">
        <v>0</v>
      </c>
      <c r="E132" s="17"/>
      <c r="F132" s="2" t="s">
        <v>243</v>
      </c>
      <c r="G132" s="2" t="s">
        <v>245</v>
      </c>
      <c r="H132" s="10" t="s">
        <v>98</v>
      </c>
      <c r="I132" s="11" t="s">
        <v>244</v>
      </c>
      <c r="J132" s="11" t="s">
        <v>278</v>
      </c>
      <c r="K132" s="61" t="s">
        <v>279</v>
      </c>
      <c r="L132" s="11" t="s">
        <v>67</v>
      </c>
      <c r="M132" s="25"/>
      <c r="N132" s="54"/>
      <c r="O132" s="3" t="str">
        <f t="shared" si="31"/>
        <v>A</v>
      </c>
      <c r="P132" s="48">
        <v>104861</v>
      </c>
      <c r="Q132" s="48">
        <v>9040</v>
      </c>
      <c r="R132" s="32"/>
      <c r="S132" s="3" t="str">
        <f t="shared" si="32"/>
        <v>A</v>
      </c>
      <c r="T132" s="48">
        <v>93305</v>
      </c>
      <c r="U132" s="48">
        <v>8930</v>
      </c>
      <c r="V132" s="32"/>
      <c r="W132" s="3" t="str">
        <f t="shared" si="18"/>
        <v>A</v>
      </c>
      <c r="X132" s="48">
        <v>92355</v>
      </c>
      <c r="Y132" s="48">
        <v>7900</v>
      </c>
      <c r="Z132" s="32"/>
      <c r="AA132" s="3" t="str">
        <f t="shared" si="19"/>
        <v>A</v>
      </c>
      <c r="AB132" s="48">
        <v>108321</v>
      </c>
      <c r="AC132" s="48">
        <v>9380</v>
      </c>
      <c r="AD132" s="36"/>
      <c r="AE132" s="54"/>
      <c r="AF132" s="3" t="str">
        <f t="shared" si="20"/>
        <v>A</v>
      </c>
      <c r="AG132" s="48">
        <v>0</v>
      </c>
      <c r="AH132" s="48">
        <v>0</v>
      </c>
      <c r="AI132" s="39"/>
      <c r="AJ132" s="79" t="s">
        <v>1801</v>
      </c>
      <c r="AK132" s="39"/>
      <c r="AL132" s="4">
        <f t="shared" si="25"/>
        <v>398842</v>
      </c>
      <c r="AM132" s="4">
        <f t="shared" si="25"/>
        <v>35250</v>
      </c>
      <c r="AN132" s="4">
        <f t="shared" si="21"/>
        <v>434092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48">
        <v>398842</v>
      </c>
      <c r="AU132" s="48">
        <v>35250</v>
      </c>
      <c r="AV132" s="4">
        <f t="shared" si="23"/>
        <v>434092</v>
      </c>
      <c r="AW132" s="50" t="str">
        <f t="shared" si="24"/>
        <v/>
      </c>
      <c r="AX132" s="1" t="s">
        <v>1639</v>
      </c>
      <c r="AY132" s="2" t="s">
        <v>1640</v>
      </c>
      <c r="AZ132" s="2">
        <v>42429.120000000003</v>
      </c>
      <c r="BA132" s="73">
        <v>37125.480000000003</v>
      </c>
      <c r="BB132" s="73">
        <v>37125.480000000003</v>
      </c>
      <c r="BC132" s="73">
        <v>42429.120000000003</v>
      </c>
      <c r="BD132" s="73"/>
      <c r="BE132" s="66">
        <v>0</v>
      </c>
      <c r="BF132" s="66">
        <v>0.02</v>
      </c>
      <c r="BG132" s="63">
        <v>44741</v>
      </c>
      <c r="BH132" s="2"/>
      <c r="BI132" s="2"/>
      <c r="BJ132" s="2">
        <v>153000</v>
      </c>
      <c r="BK132" s="2"/>
      <c r="BL132" s="1" t="s">
        <v>97</v>
      </c>
    </row>
    <row r="133" spans="1:64" x14ac:dyDescent="0.25">
      <c r="A133" s="56" t="s">
        <v>276</v>
      </c>
      <c r="B133" s="54" t="s">
        <v>986</v>
      </c>
      <c r="C133" s="56" t="s">
        <v>987</v>
      </c>
      <c r="D133" s="16">
        <v>0</v>
      </c>
      <c r="E133" s="17"/>
      <c r="F133" s="2" t="s">
        <v>243</v>
      </c>
      <c r="G133" s="2" t="s">
        <v>245</v>
      </c>
      <c r="H133" s="10" t="s">
        <v>98</v>
      </c>
      <c r="I133" s="11" t="s">
        <v>244</v>
      </c>
      <c r="J133" s="11" t="s">
        <v>278</v>
      </c>
      <c r="K133" s="61" t="s">
        <v>279</v>
      </c>
      <c r="L133" s="11" t="s">
        <v>67</v>
      </c>
      <c r="M133" s="25"/>
      <c r="N133" s="54"/>
      <c r="O133" s="3" t="str">
        <f t="shared" si="31"/>
        <v>A</v>
      </c>
      <c r="P133" s="48">
        <v>114580</v>
      </c>
      <c r="Q133" s="48">
        <v>6045</v>
      </c>
      <c r="R133" s="32"/>
      <c r="S133" s="3" t="str">
        <f t="shared" si="32"/>
        <v>A</v>
      </c>
      <c r="T133" s="48">
        <v>100743</v>
      </c>
      <c r="U133" s="48">
        <v>3690</v>
      </c>
      <c r="V133" s="32"/>
      <c r="W133" s="3" t="str">
        <f t="shared" si="18"/>
        <v>A</v>
      </c>
      <c r="X133" s="48">
        <v>97330</v>
      </c>
      <c r="Y133" s="48">
        <v>5345</v>
      </c>
      <c r="Z133" s="32"/>
      <c r="AA133" s="3" t="str">
        <f t="shared" si="19"/>
        <v>A</v>
      </c>
      <c r="AB133" s="48">
        <v>110018</v>
      </c>
      <c r="AC133" s="48">
        <v>5370</v>
      </c>
      <c r="AD133" s="36"/>
      <c r="AE133" s="54"/>
      <c r="AF133" s="3" t="str">
        <f t="shared" si="20"/>
        <v>A</v>
      </c>
      <c r="AG133" s="48">
        <v>0</v>
      </c>
      <c r="AH133" s="48">
        <v>0</v>
      </c>
      <c r="AI133" s="39"/>
      <c r="AJ133" s="79" t="s">
        <v>1801</v>
      </c>
      <c r="AK133" s="39"/>
      <c r="AL133" s="4">
        <f t="shared" si="25"/>
        <v>422671</v>
      </c>
      <c r="AM133" s="4">
        <f t="shared" si="25"/>
        <v>20450</v>
      </c>
      <c r="AN133" s="4">
        <f t="shared" si="21"/>
        <v>443121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48">
        <v>422671</v>
      </c>
      <c r="AU133" s="48">
        <v>20450</v>
      </c>
      <c r="AV133" s="4">
        <f t="shared" si="23"/>
        <v>443121</v>
      </c>
      <c r="AW133" s="50" t="str">
        <f t="shared" si="24"/>
        <v/>
      </c>
      <c r="AX133" s="1" t="s">
        <v>1639</v>
      </c>
      <c r="AY133" s="2" t="s">
        <v>1640</v>
      </c>
      <c r="AZ133" s="2">
        <v>44177.52</v>
      </c>
      <c r="BA133" s="73">
        <v>38655.33</v>
      </c>
      <c r="BB133" s="73">
        <v>38655.33</v>
      </c>
      <c r="BC133" s="73">
        <v>44177.52</v>
      </c>
      <c r="BD133" s="73"/>
      <c r="BE133" s="66">
        <v>0</v>
      </c>
      <c r="BF133" s="66">
        <v>0.02</v>
      </c>
      <c r="BG133" s="63">
        <v>44741</v>
      </c>
      <c r="BH133" s="2"/>
      <c r="BI133" s="2"/>
      <c r="BJ133" s="2">
        <v>162000</v>
      </c>
      <c r="BK133" s="2"/>
      <c r="BL133" s="1" t="s">
        <v>97</v>
      </c>
    </row>
    <row r="134" spans="1:64" x14ac:dyDescent="0.25">
      <c r="A134" s="56" t="s">
        <v>276</v>
      </c>
      <c r="B134" s="54" t="s">
        <v>1216</v>
      </c>
      <c r="C134" s="56" t="s">
        <v>1217</v>
      </c>
      <c r="D134" s="16">
        <v>0</v>
      </c>
      <c r="E134" s="17"/>
      <c r="F134" s="2" t="s">
        <v>243</v>
      </c>
      <c r="G134" s="2" t="s">
        <v>245</v>
      </c>
      <c r="H134" s="10" t="s">
        <v>98</v>
      </c>
      <c r="I134" s="11" t="s">
        <v>244</v>
      </c>
      <c r="J134" s="11" t="s">
        <v>278</v>
      </c>
      <c r="K134" s="61" t="s">
        <v>279</v>
      </c>
      <c r="L134" s="11" t="s">
        <v>67</v>
      </c>
      <c r="M134" s="25"/>
      <c r="N134" s="54"/>
      <c r="O134" s="3" t="str">
        <f t="shared" si="31"/>
        <v>A</v>
      </c>
      <c r="P134" s="48">
        <v>80586.5</v>
      </c>
      <c r="Q134" s="48">
        <v>3225</v>
      </c>
      <c r="R134" s="32"/>
      <c r="S134" s="3" t="str">
        <f t="shared" si="32"/>
        <v>A</v>
      </c>
      <c r="T134" s="48">
        <v>67407</v>
      </c>
      <c r="U134" s="48">
        <v>3150</v>
      </c>
      <c r="V134" s="32"/>
      <c r="W134" s="3" t="str">
        <f t="shared" si="18"/>
        <v>A</v>
      </c>
      <c r="X134" s="48">
        <v>61535</v>
      </c>
      <c r="Y134" s="48">
        <v>2370</v>
      </c>
      <c r="Z134" s="32"/>
      <c r="AA134" s="3" t="str">
        <f t="shared" si="19"/>
        <v>A</v>
      </c>
      <c r="AB134" s="48">
        <v>78636</v>
      </c>
      <c r="AC134" s="48">
        <v>2985</v>
      </c>
      <c r="AD134" s="36"/>
      <c r="AE134" s="54"/>
      <c r="AF134" s="3" t="str">
        <f t="shared" si="20"/>
        <v>A</v>
      </c>
      <c r="AG134" s="48">
        <v>0</v>
      </c>
      <c r="AH134" s="48">
        <v>0</v>
      </c>
      <c r="AI134" s="39"/>
      <c r="AJ134" s="79" t="s">
        <v>1801</v>
      </c>
      <c r="AK134" s="39"/>
      <c r="AL134" s="4">
        <f t="shared" si="25"/>
        <v>288164.5</v>
      </c>
      <c r="AM134" s="4">
        <f t="shared" si="25"/>
        <v>11730</v>
      </c>
      <c r="AN134" s="4">
        <f t="shared" si="21"/>
        <v>299894.5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48">
        <v>288164.5</v>
      </c>
      <c r="AU134" s="48">
        <v>11730</v>
      </c>
      <c r="AV134" s="4">
        <f t="shared" si="23"/>
        <v>299894.5</v>
      </c>
      <c r="AW134" s="50" t="str">
        <f t="shared" si="24"/>
        <v/>
      </c>
      <c r="AX134" s="1" t="s">
        <v>1639</v>
      </c>
      <c r="AY134" s="2" t="s">
        <v>1640</v>
      </c>
      <c r="AZ134" s="2">
        <v>66470.960000000006</v>
      </c>
      <c r="BA134" s="73">
        <v>58162.09</v>
      </c>
      <c r="BB134" s="73">
        <v>58162.09</v>
      </c>
      <c r="BC134" s="73">
        <v>66470.960000000006</v>
      </c>
      <c r="BD134" s="73"/>
      <c r="BE134" s="66">
        <v>0</v>
      </c>
      <c r="BF134" s="66">
        <v>0.02</v>
      </c>
      <c r="BG134" s="63">
        <v>45041</v>
      </c>
      <c r="BH134" s="2"/>
      <c r="BI134" s="2"/>
      <c r="BJ134" s="2">
        <v>240000</v>
      </c>
      <c r="BK134" s="2"/>
      <c r="BL134" s="1" t="s">
        <v>97</v>
      </c>
    </row>
    <row r="135" spans="1:64" x14ac:dyDescent="0.25">
      <c r="A135" s="56" t="s">
        <v>280</v>
      </c>
      <c r="B135" s="54" t="s">
        <v>280</v>
      </c>
      <c r="C135" s="56" t="s">
        <v>281</v>
      </c>
      <c r="D135" s="16">
        <v>37450</v>
      </c>
      <c r="E135" s="17"/>
      <c r="F135" s="2" t="s">
        <v>52</v>
      </c>
      <c r="G135" s="2" t="s">
        <v>55</v>
      </c>
      <c r="H135" s="10" t="s">
        <v>57</v>
      </c>
      <c r="I135" s="11" t="s">
        <v>54</v>
      </c>
      <c r="J135" s="11" t="s">
        <v>139</v>
      </c>
      <c r="K135" s="61" t="s">
        <v>140</v>
      </c>
      <c r="L135" s="11" t="s">
        <v>67</v>
      </c>
      <c r="M135" s="25"/>
      <c r="N135" s="54"/>
      <c r="O135" s="3" t="str">
        <f t="shared" si="31"/>
        <v>A</v>
      </c>
      <c r="P135" s="48">
        <v>266475.83999999997</v>
      </c>
      <c r="Q135" s="48">
        <v>46955.62999999999</v>
      </c>
      <c r="R135" s="32"/>
      <c r="S135" s="3" t="str">
        <f t="shared" si="32"/>
        <v>A</v>
      </c>
      <c r="T135" s="48">
        <v>237190.06999999998</v>
      </c>
      <c r="U135" s="48">
        <v>42822.430000000008</v>
      </c>
      <c r="V135" s="32"/>
      <c r="W135" s="3" t="str">
        <f t="shared" si="18"/>
        <v>A</v>
      </c>
      <c r="X135" s="48">
        <v>241571.59</v>
      </c>
      <c r="Y135" s="48">
        <v>45874.11</v>
      </c>
      <c r="Z135" s="32"/>
      <c r="AA135" s="3" t="str">
        <f t="shared" si="19"/>
        <v>A</v>
      </c>
      <c r="AB135" s="48">
        <v>283841.20999999996</v>
      </c>
      <c r="AC135" s="48">
        <v>44204.31</v>
      </c>
      <c r="AD135" s="36"/>
      <c r="AE135" s="54"/>
      <c r="AF135" s="3" t="str">
        <f t="shared" si="20"/>
        <v>A</v>
      </c>
      <c r="AG135" s="48">
        <v>0</v>
      </c>
      <c r="AH135" s="48">
        <v>0</v>
      </c>
      <c r="AI135" s="39"/>
      <c r="AJ135" s="79" t="s">
        <v>1801</v>
      </c>
      <c r="AK135" s="39"/>
      <c r="AL135" s="4">
        <f t="shared" si="25"/>
        <v>1029078.7099999998</v>
      </c>
      <c r="AM135" s="4">
        <f t="shared" si="25"/>
        <v>179856.47999999998</v>
      </c>
      <c r="AN135" s="4">
        <f t="shared" si="21"/>
        <v>1208935.19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48">
        <v>1029078.7100000001</v>
      </c>
      <c r="AU135" s="48">
        <v>179856.47999999998</v>
      </c>
      <c r="AV135" s="4">
        <f t="shared" si="23"/>
        <v>1208935.19</v>
      </c>
      <c r="AW135" s="50" t="str">
        <f t="shared" si="24"/>
        <v/>
      </c>
      <c r="AX135" s="1" t="s">
        <v>1639</v>
      </c>
      <c r="AY135" s="2" t="s">
        <v>1640</v>
      </c>
      <c r="AZ135" s="2">
        <v>208582.24</v>
      </c>
      <c r="BA135" s="73">
        <v>182509.46</v>
      </c>
      <c r="BB135" s="73">
        <v>182509.46</v>
      </c>
      <c r="BC135" s="73">
        <v>208582.24</v>
      </c>
      <c r="BD135" s="73"/>
      <c r="BE135" s="66">
        <v>3.5000000000000003E-2</v>
      </c>
      <c r="BF135" s="66">
        <v>0.02</v>
      </c>
      <c r="BG135" s="63">
        <v>44755</v>
      </c>
      <c r="BH135" s="2"/>
      <c r="BI135" s="2"/>
      <c r="BJ135" s="2"/>
      <c r="BK135" s="2"/>
      <c r="BL135" s="1" t="s">
        <v>56</v>
      </c>
    </row>
    <row r="136" spans="1:64" x14ac:dyDescent="0.25">
      <c r="A136" s="56" t="s">
        <v>282</v>
      </c>
      <c r="B136" s="54" t="s">
        <v>282</v>
      </c>
      <c r="C136" s="56" t="s">
        <v>283</v>
      </c>
      <c r="D136" s="16">
        <v>37580</v>
      </c>
      <c r="E136" s="17"/>
      <c r="F136" s="2" t="s">
        <v>52</v>
      </c>
      <c r="G136" s="2" t="s">
        <v>55</v>
      </c>
      <c r="H136" s="10" t="s">
        <v>57</v>
      </c>
      <c r="I136" s="11" t="s">
        <v>54</v>
      </c>
      <c r="J136" s="11" t="s">
        <v>83</v>
      </c>
      <c r="K136" s="61" t="s">
        <v>84</v>
      </c>
      <c r="L136" s="11" t="s">
        <v>67</v>
      </c>
      <c r="M136" s="25"/>
      <c r="N136" s="54"/>
      <c r="O136" s="3" t="str">
        <f t="shared" si="31"/>
        <v>A</v>
      </c>
      <c r="P136" s="48">
        <v>213327.15</v>
      </c>
      <c r="Q136" s="48">
        <v>29752</v>
      </c>
      <c r="R136" s="32"/>
      <c r="S136" s="3" t="str">
        <f t="shared" si="32"/>
        <v>A</v>
      </c>
      <c r="T136" s="48">
        <v>188096.80000000002</v>
      </c>
      <c r="U136" s="48">
        <v>26390</v>
      </c>
      <c r="V136" s="32"/>
      <c r="W136" s="3" t="str">
        <f t="shared" ref="W136:W199" si="33">IF($A136="","",IF(X136=0,"A",IF(X136=BB136,"E","A")))</f>
        <v>A</v>
      </c>
      <c r="X136" s="48">
        <v>195672.84999999998</v>
      </c>
      <c r="Y136" s="48">
        <v>30638</v>
      </c>
      <c r="Z136" s="32"/>
      <c r="AA136" s="3" t="str">
        <f t="shared" ref="AA136:AA199" si="34">IF($A136="","",IF(AB136=0,"A",IF(AB136=BC136,"E","A")))</f>
        <v>A</v>
      </c>
      <c r="AB136" s="48">
        <v>207540.85</v>
      </c>
      <c r="AC136" s="48">
        <v>32163</v>
      </c>
      <c r="AD136" s="36"/>
      <c r="AE136" s="54"/>
      <c r="AF136" s="3" t="str">
        <f t="shared" ref="AF136:AF199" si="35">IF($A136="","",IF(AG136=0,"A",IF(AG136=BD136,"E","A")))</f>
        <v>A</v>
      </c>
      <c r="AG136" s="48">
        <v>0</v>
      </c>
      <c r="AH136" s="48">
        <v>0</v>
      </c>
      <c r="AI136" s="39"/>
      <c r="AJ136" s="79" t="s">
        <v>1801</v>
      </c>
      <c r="AK136" s="39"/>
      <c r="AL136" s="4">
        <f t="shared" si="25"/>
        <v>804637.65</v>
      </c>
      <c r="AM136" s="4">
        <f t="shared" si="25"/>
        <v>118943</v>
      </c>
      <c r="AN136" s="4">
        <f t="shared" ref="AN136:AN199" si="36">SUM(AL136:AM136)</f>
        <v>923580.65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48">
        <v>804637.64999999991</v>
      </c>
      <c r="AU136" s="48">
        <v>118943</v>
      </c>
      <c r="AV136" s="4">
        <f t="shared" ref="AV136:AV199" si="38">SUM(AT136:AU136)</f>
        <v>923580.64999999991</v>
      </c>
      <c r="AW136" s="50" t="str">
        <f t="shared" ref="AW136:AW199" si="39">IF(AV136=0,"",IF(AN136=AV136,"","W"))</f>
        <v/>
      </c>
      <c r="AX136" s="1" t="s">
        <v>1639</v>
      </c>
      <c r="AY136" s="2" t="s">
        <v>1640</v>
      </c>
      <c r="AZ136" s="2">
        <v>327255.2</v>
      </c>
      <c r="BA136" s="73">
        <v>286348.3</v>
      </c>
      <c r="BB136" s="73">
        <v>286348.3</v>
      </c>
      <c r="BC136" s="73">
        <v>327255.2</v>
      </c>
      <c r="BD136" s="73"/>
      <c r="BE136" s="66">
        <v>3.5000000000000003E-2</v>
      </c>
      <c r="BF136" s="66">
        <v>0.02</v>
      </c>
      <c r="BG136" s="63">
        <v>44885</v>
      </c>
      <c r="BH136" s="74">
        <v>42965</v>
      </c>
      <c r="BI136" s="74">
        <v>43014</v>
      </c>
      <c r="BJ136" s="2"/>
      <c r="BK136" s="2"/>
      <c r="BL136" s="1" t="s">
        <v>56</v>
      </c>
    </row>
    <row r="137" spans="1:64" x14ac:dyDescent="0.25">
      <c r="A137" s="56" t="s">
        <v>284</v>
      </c>
      <c r="B137" s="54" t="s">
        <v>284</v>
      </c>
      <c r="C137" s="56" t="s">
        <v>285</v>
      </c>
      <c r="D137" s="16">
        <v>41590</v>
      </c>
      <c r="E137" s="17">
        <v>45713</v>
      </c>
      <c r="F137" s="2" t="s">
        <v>109</v>
      </c>
      <c r="G137" s="2" t="s">
        <v>111</v>
      </c>
      <c r="H137" s="10" t="s">
        <v>98</v>
      </c>
      <c r="I137" s="11" t="s">
        <v>110</v>
      </c>
      <c r="J137" s="11" t="s">
        <v>286</v>
      </c>
      <c r="K137" s="61" t="s">
        <v>287</v>
      </c>
      <c r="L137" s="11" t="s">
        <v>67</v>
      </c>
      <c r="M137" s="25"/>
      <c r="N137" s="54"/>
      <c r="O137" s="3" t="str">
        <f t="shared" si="31"/>
        <v>A</v>
      </c>
      <c r="P137" s="48"/>
      <c r="Q137" s="48"/>
      <c r="R137" s="32"/>
      <c r="S137" s="3" t="str">
        <f t="shared" si="32"/>
        <v>A</v>
      </c>
      <c r="T137" s="48"/>
      <c r="U137" s="48"/>
      <c r="V137" s="32"/>
      <c r="W137" s="3" t="str">
        <f t="shared" si="33"/>
        <v>A</v>
      </c>
      <c r="X137" s="48"/>
      <c r="Y137" s="48"/>
      <c r="Z137" s="32"/>
      <c r="AA137" s="3" t="str">
        <f t="shared" si="34"/>
        <v>A</v>
      </c>
      <c r="AB137" s="48"/>
      <c r="AC137" s="48"/>
      <c r="AD137" s="36"/>
      <c r="AE137" s="54"/>
      <c r="AF137" s="3" t="str">
        <f t="shared" si="35"/>
        <v>A</v>
      </c>
      <c r="AG137" s="48"/>
      <c r="AH137" s="48"/>
      <c r="AI137" s="39"/>
      <c r="AJ137" s="79" t="s">
        <v>1801</v>
      </c>
      <c r="AK137" s="39"/>
      <c r="AL137" s="4">
        <f t="shared" si="25"/>
        <v>0</v>
      </c>
      <c r="AM137" s="4">
        <f t="shared" si="25"/>
        <v>0</v>
      </c>
      <c r="AN137" s="4">
        <f t="shared" si="36"/>
        <v>0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48"/>
      <c r="AU137" s="48"/>
      <c r="AV137" s="4">
        <f t="shared" si="38"/>
        <v>0</v>
      </c>
      <c r="AW137" s="50" t="str">
        <f t="shared" si="39"/>
        <v/>
      </c>
      <c r="AX137" s="1" t="s">
        <v>1647</v>
      </c>
      <c r="AY137" s="2" t="s">
        <v>1640</v>
      </c>
      <c r="AZ137" s="2"/>
      <c r="BA137" s="73"/>
      <c r="BB137" s="73"/>
      <c r="BC137" s="73"/>
      <c r="BD137" s="73"/>
      <c r="BE137" s="66">
        <v>3.5000000000000003E-2</v>
      </c>
      <c r="BF137" s="66">
        <v>0.02</v>
      </c>
      <c r="BG137" s="63">
        <v>45242</v>
      </c>
      <c r="BH137" s="74">
        <v>45713</v>
      </c>
      <c r="BI137" s="74">
        <v>41590</v>
      </c>
      <c r="BJ137" s="2"/>
      <c r="BK137" s="2"/>
      <c r="BL137" s="1" t="s">
        <v>237</v>
      </c>
    </row>
    <row r="138" spans="1:64" x14ac:dyDescent="0.25">
      <c r="A138" s="56" t="s">
        <v>288</v>
      </c>
      <c r="B138" s="54" t="s">
        <v>288</v>
      </c>
      <c r="C138" s="56" t="s">
        <v>289</v>
      </c>
      <c r="D138" s="16">
        <v>41183</v>
      </c>
      <c r="E138" s="17"/>
      <c r="F138" s="2" t="s">
        <v>243</v>
      </c>
      <c r="G138" s="2" t="s">
        <v>245</v>
      </c>
      <c r="H138" s="10" t="s">
        <v>98</v>
      </c>
      <c r="I138" s="11" t="s">
        <v>244</v>
      </c>
      <c r="J138" s="11" t="s">
        <v>278</v>
      </c>
      <c r="K138" s="61" t="s">
        <v>279</v>
      </c>
      <c r="L138" s="11" t="s">
        <v>67</v>
      </c>
      <c r="M138" s="25"/>
      <c r="N138" s="54"/>
      <c r="O138" s="3" t="str">
        <f t="shared" si="31"/>
        <v>A</v>
      </c>
      <c r="P138" s="48">
        <v>165286.85</v>
      </c>
      <c r="Q138" s="48">
        <v>7930</v>
      </c>
      <c r="R138" s="32"/>
      <c r="S138" s="3" t="str">
        <f t="shared" si="32"/>
        <v>A</v>
      </c>
      <c r="T138" s="48">
        <v>161835.6</v>
      </c>
      <c r="U138" s="48">
        <v>6731</v>
      </c>
      <c r="V138" s="32"/>
      <c r="W138" s="3" t="str">
        <f t="shared" si="33"/>
        <v>A</v>
      </c>
      <c r="X138" s="48">
        <v>140800.6</v>
      </c>
      <c r="Y138" s="48">
        <v>6429</v>
      </c>
      <c r="Z138" s="32"/>
      <c r="AA138" s="3" t="str">
        <f t="shared" si="34"/>
        <v>A</v>
      </c>
      <c r="AB138" s="48">
        <v>182203</v>
      </c>
      <c r="AC138" s="48">
        <v>6992</v>
      </c>
      <c r="AD138" s="36"/>
      <c r="AE138" s="54"/>
      <c r="AF138" s="3" t="str">
        <f t="shared" si="35"/>
        <v>A</v>
      </c>
      <c r="AG138" s="48">
        <v>0</v>
      </c>
      <c r="AH138" s="48">
        <v>0</v>
      </c>
      <c r="AI138" s="39"/>
      <c r="AJ138" s="79" t="s">
        <v>1801</v>
      </c>
      <c r="AK138" s="39"/>
      <c r="AL138" s="4">
        <f t="shared" si="25"/>
        <v>650126.05000000005</v>
      </c>
      <c r="AM138" s="4">
        <f t="shared" si="25"/>
        <v>28082</v>
      </c>
      <c r="AN138" s="4">
        <f t="shared" si="36"/>
        <v>678208.05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48">
        <v>650126.05000000005</v>
      </c>
      <c r="AU138" s="48">
        <v>28082</v>
      </c>
      <c r="AV138" s="4">
        <f t="shared" si="38"/>
        <v>678208.05</v>
      </c>
      <c r="AW138" s="50" t="str">
        <f t="shared" si="39"/>
        <v/>
      </c>
      <c r="AX138" s="1" t="s">
        <v>1639</v>
      </c>
      <c r="AY138" s="2" t="s">
        <v>1640</v>
      </c>
      <c r="AZ138" s="2">
        <v>95625.36</v>
      </c>
      <c r="BA138" s="73">
        <v>83672.19</v>
      </c>
      <c r="BB138" s="73">
        <v>83672.19</v>
      </c>
      <c r="BC138" s="73">
        <v>95625.36</v>
      </c>
      <c r="BD138" s="73"/>
      <c r="BE138" s="66">
        <v>3.5000000000000003E-2</v>
      </c>
      <c r="BF138" s="66">
        <v>0.02</v>
      </c>
      <c r="BG138" s="63">
        <v>44835</v>
      </c>
      <c r="BH138" s="2"/>
      <c r="BI138" s="2"/>
      <c r="BJ138" s="2"/>
      <c r="BK138" s="2"/>
      <c r="BL138" s="1" t="s">
        <v>97</v>
      </c>
    </row>
    <row r="139" spans="1:64" x14ac:dyDescent="0.25">
      <c r="A139" s="56" t="s">
        <v>288</v>
      </c>
      <c r="B139" s="54" t="s">
        <v>711</v>
      </c>
      <c r="C139" s="56" t="s">
        <v>289</v>
      </c>
      <c r="D139" s="16">
        <v>41244</v>
      </c>
      <c r="E139" s="17"/>
      <c r="F139" s="2" t="s">
        <v>243</v>
      </c>
      <c r="G139" s="2" t="s">
        <v>245</v>
      </c>
      <c r="H139" s="10" t="s">
        <v>98</v>
      </c>
      <c r="I139" s="11" t="s">
        <v>244</v>
      </c>
      <c r="J139" s="11" t="s">
        <v>278</v>
      </c>
      <c r="K139" s="61" t="s">
        <v>279</v>
      </c>
      <c r="L139" s="11" t="s">
        <v>67</v>
      </c>
      <c r="M139" s="25"/>
      <c r="N139" s="54"/>
      <c r="O139" s="3" t="str">
        <f t="shared" si="31"/>
        <v>A</v>
      </c>
      <c r="P139" s="48">
        <v>9622</v>
      </c>
      <c r="Q139" s="48">
        <v>5128</v>
      </c>
      <c r="R139" s="32"/>
      <c r="S139" s="3" t="str">
        <f t="shared" si="32"/>
        <v>A</v>
      </c>
      <c r="T139" s="48">
        <v>10299</v>
      </c>
      <c r="U139" s="48">
        <v>4619</v>
      </c>
      <c r="V139" s="32"/>
      <c r="W139" s="3" t="str">
        <f t="shared" si="33"/>
        <v>A</v>
      </c>
      <c r="X139" s="48">
        <v>12471</v>
      </c>
      <c r="Y139" s="48">
        <v>8665</v>
      </c>
      <c r="Z139" s="32"/>
      <c r="AA139" s="3" t="str">
        <f t="shared" si="34"/>
        <v>A</v>
      </c>
      <c r="AB139" s="48">
        <v>13454</v>
      </c>
      <c r="AC139" s="48">
        <v>5792</v>
      </c>
      <c r="AD139" s="36"/>
      <c r="AE139" s="54"/>
      <c r="AF139" s="3" t="str">
        <f t="shared" si="35"/>
        <v>A</v>
      </c>
      <c r="AG139" s="48">
        <v>0</v>
      </c>
      <c r="AH139" s="48">
        <v>0</v>
      </c>
      <c r="AI139" s="39"/>
      <c r="AJ139" s="79" t="s">
        <v>1801</v>
      </c>
      <c r="AK139" s="39"/>
      <c r="AL139" s="4">
        <f t="shared" si="25"/>
        <v>45846</v>
      </c>
      <c r="AM139" s="4">
        <f t="shared" si="25"/>
        <v>24204</v>
      </c>
      <c r="AN139" s="4">
        <f t="shared" si="36"/>
        <v>70050</v>
      </c>
      <c r="AO139" s="39"/>
      <c r="AP139" s="8">
        <f t="shared" si="26"/>
        <v>0</v>
      </c>
      <c r="AQ139" s="8">
        <f t="shared" si="26"/>
        <v>0</v>
      </c>
      <c r="AR139" s="8">
        <f t="shared" si="37"/>
        <v>0</v>
      </c>
      <c r="AS139" s="42"/>
      <c r="AT139" s="48">
        <v>45846</v>
      </c>
      <c r="AU139" s="48">
        <v>24204</v>
      </c>
      <c r="AV139" s="4">
        <f t="shared" si="38"/>
        <v>70050</v>
      </c>
      <c r="AW139" s="50" t="str">
        <f t="shared" si="39"/>
        <v/>
      </c>
      <c r="AX139" s="1" t="s">
        <v>1639</v>
      </c>
      <c r="AY139" s="2" t="s">
        <v>1640</v>
      </c>
      <c r="AZ139" s="2">
        <v>7718.08</v>
      </c>
      <c r="BA139" s="73">
        <v>6753.32</v>
      </c>
      <c r="BB139" s="73">
        <v>6753.32</v>
      </c>
      <c r="BC139" s="73">
        <v>7718.08</v>
      </c>
      <c r="BD139" s="73"/>
      <c r="BE139" s="66">
        <v>3.5000000000000003E-2</v>
      </c>
      <c r="BF139" s="66">
        <v>0.02</v>
      </c>
      <c r="BG139" s="63">
        <v>44835</v>
      </c>
      <c r="BH139" s="74">
        <v>43910</v>
      </c>
      <c r="BI139" s="74">
        <v>43978</v>
      </c>
      <c r="BJ139" s="2"/>
      <c r="BK139" s="2"/>
      <c r="BL139" s="1" t="s">
        <v>97</v>
      </c>
    </row>
    <row r="140" spans="1:64" x14ac:dyDescent="0.25">
      <c r="A140" s="56" t="s">
        <v>288</v>
      </c>
      <c r="B140" s="54" t="s">
        <v>1023</v>
      </c>
      <c r="C140" s="56" t="s">
        <v>1024</v>
      </c>
      <c r="D140" s="16">
        <v>0</v>
      </c>
      <c r="E140" s="17"/>
      <c r="F140" s="2" t="s">
        <v>243</v>
      </c>
      <c r="G140" s="2" t="s">
        <v>245</v>
      </c>
      <c r="H140" s="10" t="s">
        <v>98</v>
      </c>
      <c r="I140" s="11" t="s">
        <v>244</v>
      </c>
      <c r="J140" s="11" t="s">
        <v>278</v>
      </c>
      <c r="K140" s="61" t="s">
        <v>279</v>
      </c>
      <c r="L140" s="11" t="s">
        <v>67</v>
      </c>
      <c r="M140" s="25"/>
      <c r="N140" s="54"/>
      <c r="O140" s="3" t="str">
        <f t="shared" si="31"/>
        <v>A</v>
      </c>
      <c r="P140" s="48">
        <v>70093</v>
      </c>
      <c r="Q140" s="48">
        <v>3890</v>
      </c>
      <c r="R140" s="32"/>
      <c r="S140" s="3" t="str">
        <f t="shared" si="32"/>
        <v>A</v>
      </c>
      <c r="T140" s="48">
        <v>71486</v>
      </c>
      <c r="U140" s="48">
        <v>3280</v>
      </c>
      <c r="V140" s="32"/>
      <c r="W140" s="3" t="str">
        <f t="shared" si="33"/>
        <v>A</v>
      </c>
      <c r="X140" s="48">
        <v>58011</v>
      </c>
      <c r="Y140" s="48">
        <v>2830</v>
      </c>
      <c r="Z140" s="32"/>
      <c r="AA140" s="3" t="str">
        <f t="shared" si="34"/>
        <v>A</v>
      </c>
      <c r="AB140" s="48">
        <v>83294</v>
      </c>
      <c r="AC140" s="48">
        <v>3570</v>
      </c>
      <c r="AD140" s="36"/>
      <c r="AE140" s="54"/>
      <c r="AF140" s="3" t="str">
        <f t="shared" si="35"/>
        <v>A</v>
      </c>
      <c r="AG140" s="48">
        <v>0</v>
      </c>
      <c r="AH140" s="48">
        <v>0</v>
      </c>
      <c r="AI140" s="39"/>
      <c r="AJ140" s="79" t="s">
        <v>1801</v>
      </c>
      <c r="AK140" s="39"/>
      <c r="AL140" s="4">
        <f t="shared" si="25"/>
        <v>282884</v>
      </c>
      <c r="AM140" s="4">
        <f t="shared" si="25"/>
        <v>13570</v>
      </c>
      <c r="AN140" s="4">
        <f t="shared" si="36"/>
        <v>296454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48">
        <v>282884</v>
      </c>
      <c r="AU140" s="48">
        <v>13570</v>
      </c>
      <c r="AV140" s="4">
        <f t="shared" si="38"/>
        <v>296454</v>
      </c>
      <c r="AW140" s="50" t="str">
        <f t="shared" si="39"/>
        <v/>
      </c>
      <c r="AX140" s="1" t="s">
        <v>1639</v>
      </c>
      <c r="AY140" s="2" t="s">
        <v>1640</v>
      </c>
      <c r="AZ140" s="2">
        <v>18729.28</v>
      </c>
      <c r="BA140" s="73">
        <v>16388.12</v>
      </c>
      <c r="BB140" s="73">
        <v>16388.12</v>
      </c>
      <c r="BC140" s="73">
        <v>18729.28</v>
      </c>
      <c r="BD140" s="73"/>
      <c r="BE140" s="66">
        <v>0</v>
      </c>
      <c r="BF140" s="66">
        <v>0.02</v>
      </c>
      <c r="BG140" s="63">
        <v>44835</v>
      </c>
      <c r="BH140" s="2"/>
      <c r="BI140" s="2"/>
      <c r="BJ140" s="2">
        <v>70027.61</v>
      </c>
      <c r="BK140" s="2"/>
      <c r="BL140" s="1" t="s">
        <v>97</v>
      </c>
    </row>
    <row r="141" spans="1:64" x14ac:dyDescent="0.25">
      <c r="A141" s="56" t="s">
        <v>288</v>
      </c>
      <c r="B141" s="54" t="s">
        <v>1025</v>
      </c>
      <c r="C141" s="56" t="s">
        <v>1026</v>
      </c>
      <c r="D141" s="16">
        <v>0</v>
      </c>
      <c r="E141" s="17"/>
      <c r="F141" s="2" t="s">
        <v>243</v>
      </c>
      <c r="G141" s="2" t="s">
        <v>245</v>
      </c>
      <c r="H141" s="10" t="s">
        <v>98</v>
      </c>
      <c r="I141" s="11" t="s">
        <v>244</v>
      </c>
      <c r="J141" s="11" t="s">
        <v>278</v>
      </c>
      <c r="K141" s="61" t="s">
        <v>279</v>
      </c>
      <c r="L141" s="11" t="s">
        <v>67</v>
      </c>
      <c r="M141" s="25"/>
      <c r="N141" s="54"/>
      <c r="O141" s="3" t="str">
        <f t="shared" si="31"/>
        <v>A</v>
      </c>
      <c r="P141" s="48">
        <v>110205</v>
      </c>
      <c r="Q141" s="48">
        <v>4080</v>
      </c>
      <c r="R141" s="32"/>
      <c r="S141" s="3" t="str">
        <f t="shared" si="32"/>
        <v>A</v>
      </c>
      <c r="T141" s="48">
        <v>98090</v>
      </c>
      <c r="U141" s="48">
        <v>2930</v>
      </c>
      <c r="V141" s="32"/>
      <c r="W141" s="3" t="str">
        <f t="shared" si="33"/>
        <v>A</v>
      </c>
      <c r="X141" s="48">
        <v>92081</v>
      </c>
      <c r="Y141" s="48">
        <v>3480</v>
      </c>
      <c r="Z141" s="32"/>
      <c r="AA141" s="3" t="str">
        <f t="shared" si="34"/>
        <v>A</v>
      </c>
      <c r="AB141" s="48">
        <v>107649</v>
      </c>
      <c r="AC141" s="48">
        <v>5820</v>
      </c>
      <c r="AD141" s="36"/>
      <c r="AE141" s="54"/>
      <c r="AF141" s="3" t="str">
        <f t="shared" si="35"/>
        <v>A</v>
      </c>
      <c r="AG141" s="48">
        <v>0</v>
      </c>
      <c r="AH141" s="48">
        <v>0</v>
      </c>
      <c r="AI141" s="39"/>
      <c r="AJ141" s="79" t="s">
        <v>1801</v>
      </c>
      <c r="AK141" s="39"/>
      <c r="AL141" s="4">
        <f t="shared" si="25"/>
        <v>408025</v>
      </c>
      <c r="AM141" s="4">
        <f t="shared" si="25"/>
        <v>16310</v>
      </c>
      <c r="AN141" s="4">
        <f t="shared" si="36"/>
        <v>424335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48">
        <v>408025</v>
      </c>
      <c r="AU141" s="48">
        <v>16310</v>
      </c>
      <c r="AV141" s="4">
        <f t="shared" si="38"/>
        <v>424335</v>
      </c>
      <c r="AW141" s="50" t="str">
        <f t="shared" si="39"/>
        <v/>
      </c>
      <c r="AX141" s="1" t="s">
        <v>1639</v>
      </c>
      <c r="AY141" s="2" t="s">
        <v>1640</v>
      </c>
      <c r="AZ141" s="2">
        <v>33699.519999999997</v>
      </c>
      <c r="BA141" s="73">
        <v>29487.08</v>
      </c>
      <c r="BB141" s="73">
        <v>29487.08</v>
      </c>
      <c r="BC141" s="73">
        <v>33699.519999999997</v>
      </c>
      <c r="BD141" s="73"/>
      <c r="BE141" s="66">
        <v>0</v>
      </c>
      <c r="BF141" s="66">
        <v>0.02</v>
      </c>
      <c r="BG141" s="63">
        <v>44835</v>
      </c>
      <c r="BH141" s="2"/>
      <c r="BI141" s="2"/>
      <c r="BJ141" s="2">
        <v>126000</v>
      </c>
      <c r="BK141" s="2"/>
      <c r="BL141" s="1" t="s">
        <v>97</v>
      </c>
    </row>
    <row r="142" spans="1:64" x14ac:dyDescent="0.25">
      <c r="A142" s="56" t="s">
        <v>288</v>
      </c>
      <c r="B142" s="54" t="s">
        <v>1033</v>
      </c>
      <c r="C142" s="56" t="s">
        <v>1034</v>
      </c>
      <c r="D142" s="16">
        <v>0</v>
      </c>
      <c r="E142" s="17"/>
      <c r="F142" s="2" t="s">
        <v>243</v>
      </c>
      <c r="G142" s="2" t="s">
        <v>245</v>
      </c>
      <c r="H142" s="10" t="s">
        <v>98</v>
      </c>
      <c r="I142" s="11" t="s">
        <v>244</v>
      </c>
      <c r="J142" s="11" t="s">
        <v>278</v>
      </c>
      <c r="K142" s="61" t="s">
        <v>279</v>
      </c>
      <c r="L142" s="11" t="s">
        <v>67</v>
      </c>
      <c r="M142" s="25"/>
      <c r="N142" s="54"/>
      <c r="O142" s="3" t="str">
        <f t="shared" si="31"/>
        <v>A</v>
      </c>
      <c r="P142" s="48">
        <v>34576</v>
      </c>
      <c r="Q142" s="48">
        <v>2298</v>
      </c>
      <c r="R142" s="32"/>
      <c r="S142" s="3" t="str">
        <f t="shared" si="32"/>
        <v>A</v>
      </c>
      <c r="T142" s="48">
        <v>35058</v>
      </c>
      <c r="U142" s="48">
        <v>2085</v>
      </c>
      <c r="V142" s="32"/>
      <c r="W142" s="3" t="str">
        <f t="shared" si="33"/>
        <v>A</v>
      </c>
      <c r="X142" s="48">
        <v>28241</v>
      </c>
      <c r="Y142" s="48">
        <v>1075</v>
      </c>
      <c r="Z142" s="32"/>
      <c r="AA142" s="3" t="str">
        <f t="shared" si="34"/>
        <v>A</v>
      </c>
      <c r="AB142" s="48">
        <v>37542</v>
      </c>
      <c r="AC142" s="48">
        <v>2171</v>
      </c>
      <c r="AD142" s="36"/>
      <c r="AE142" s="54"/>
      <c r="AF142" s="3" t="str">
        <f t="shared" si="35"/>
        <v>A</v>
      </c>
      <c r="AG142" s="48">
        <v>0</v>
      </c>
      <c r="AH142" s="48">
        <v>0</v>
      </c>
      <c r="AI142" s="39"/>
      <c r="AJ142" s="79" t="s">
        <v>1801</v>
      </c>
      <c r="AK142" s="39"/>
      <c r="AL142" s="4">
        <f t="shared" si="25"/>
        <v>135417</v>
      </c>
      <c r="AM142" s="4">
        <f t="shared" si="25"/>
        <v>7629</v>
      </c>
      <c r="AN142" s="4">
        <f t="shared" si="36"/>
        <v>143046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48">
        <v>135417</v>
      </c>
      <c r="AU142" s="48">
        <v>7629</v>
      </c>
      <c r="AV142" s="4">
        <f t="shared" si="38"/>
        <v>143046</v>
      </c>
      <c r="AW142" s="50" t="str">
        <f t="shared" si="39"/>
        <v/>
      </c>
      <c r="AX142" s="1" t="s">
        <v>1639</v>
      </c>
      <c r="AY142" s="2" t="s">
        <v>1640</v>
      </c>
      <c r="AZ142" s="2">
        <v>94089.04</v>
      </c>
      <c r="BA142" s="73">
        <v>82327.91</v>
      </c>
      <c r="BB142" s="73">
        <v>82327.91</v>
      </c>
      <c r="BC142" s="73">
        <v>94089.04</v>
      </c>
      <c r="BD142" s="73"/>
      <c r="BE142" s="66">
        <v>0</v>
      </c>
      <c r="BF142" s="66">
        <v>0.02</v>
      </c>
      <c r="BG142" s="63">
        <v>44835</v>
      </c>
      <c r="BH142" s="2"/>
      <c r="BI142" s="2"/>
      <c r="BJ142" s="2">
        <v>334152</v>
      </c>
      <c r="BK142" s="2">
        <v>41769</v>
      </c>
      <c r="BL142" s="1" t="s">
        <v>97</v>
      </c>
    </row>
    <row r="143" spans="1:64" x14ac:dyDescent="0.25">
      <c r="A143" s="56" t="s">
        <v>290</v>
      </c>
      <c r="B143" s="54" t="s">
        <v>290</v>
      </c>
      <c r="C143" s="56" t="s">
        <v>291</v>
      </c>
      <c r="D143" s="16">
        <v>39295</v>
      </c>
      <c r="E143" s="17"/>
      <c r="F143" s="2" t="s">
        <v>76</v>
      </c>
      <c r="G143" s="2" t="s">
        <v>78</v>
      </c>
      <c r="H143" s="10" t="s">
        <v>57</v>
      </c>
      <c r="I143" s="11" t="s">
        <v>77</v>
      </c>
      <c r="J143" s="11" t="s">
        <v>87</v>
      </c>
      <c r="K143" s="61" t="s">
        <v>88</v>
      </c>
      <c r="L143" s="11" t="s">
        <v>67</v>
      </c>
      <c r="M143" s="25"/>
      <c r="N143" s="54"/>
      <c r="O143" s="3" t="str">
        <f t="shared" si="31"/>
        <v>A</v>
      </c>
      <c r="P143" s="48">
        <v>208853.8</v>
      </c>
      <c r="Q143" s="48">
        <v>57469</v>
      </c>
      <c r="R143" s="32"/>
      <c r="S143" s="3" t="str">
        <f t="shared" si="32"/>
        <v>A</v>
      </c>
      <c r="T143" s="48">
        <v>211272.6</v>
      </c>
      <c r="U143" s="48">
        <v>56603</v>
      </c>
      <c r="V143" s="32"/>
      <c r="W143" s="3" t="str">
        <f t="shared" si="33"/>
        <v>A</v>
      </c>
      <c r="X143" s="48">
        <v>228350.4</v>
      </c>
      <c r="Y143" s="48">
        <v>53396</v>
      </c>
      <c r="Z143" s="32"/>
      <c r="AA143" s="3" t="str">
        <f t="shared" si="34"/>
        <v>A</v>
      </c>
      <c r="AB143" s="48">
        <v>209361.6</v>
      </c>
      <c r="AC143" s="48">
        <v>55700</v>
      </c>
      <c r="AD143" s="36"/>
      <c r="AE143" s="54"/>
      <c r="AF143" s="3" t="str">
        <f t="shared" si="35"/>
        <v>A</v>
      </c>
      <c r="AG143" s="48">
        <v>0</v>
      </c>
      <c r="AH143" s="48">
        <v>0</v>
      </c>
      <c r="AI143" s="39"/>
      <c r="AJ143" s="79" t="s">
        <v>1801</v>
      </c>
      <c r="AK143" s="39"/>
      <c r="AL143" s="4">
        <f t="shared" si="25"/>
        <v>857838.4</v>
      </c>
      <c r="AM143" s="4">
        <f t="shared" si="25"/>
        <v>223168</v>
      </c>
      <c r="AN143" s="4">
        <f t="shared" si="36"/>
        <v>1081006.3999999999</v>
      </c>
      <c r="AO143" s="39"/>
      <c r="AP143" s="8">
        <f t="shared" si="26"/>
        <v>0</v>
      </c>
      <c r="AQ143" s="8">
        <f t="shared" si="26"/>
        <v>0</v>
      </c>
      <c r="AR143" s="8">
        <f t="shared" si="37"/>
        <v>0</v>
      </c>
      <c r="AS143" s="42"/>
      <c r="AT143" s="48">
        <v>857838.4</v>
      </c>
      <c r="AU143" s="48">
        <v>223168</v>
      </c>
      <c r="AV143" s="4">
        <f t="shared" si="38"/>
        <v>1081006.3999999999</v>
      </c>
      <c r="AW143" s="50" t="str">
        <f t="shared" si="39"/>
        <v/>
      </c>
      <c r="AX143" s="1" t="s">
        <v>1639</v>
      </c>
      <c r="AY143" s="2" t="s">
        <v>1640</v>
      </c>
      <c r="AZ143" s="2">
        <v>146352.07999999999</v>
      </c>
      <c r="BA143" s="73">
        <v>128058.07</v>
      </c>
      <c r="BB143" s="73">
        <v>128058.07</v>
      </c>
      <c r="BC143" s="73">
        <v>146352.07999999999</v>
      </c>
      <c r="BD143" s="73"/>
      <c r="BE143" s="66">
        <v>3.5000000000000003E-2</v>
      </c>
      <c r="BF143" s="66">
        <v>0.02</v>
      </c>
      <c r="BG143" s="63">
        <v>44774</v>
      </c>
      <c r="BH143" s="74">
        <v>42156</v>
      </c>
      <c r="BI143" s="74">
        <v>42252</v>
      </c>
      <c r="BJ143" s="2"/>
      <c r="BK143" s="2"/>
      <c r="BL143" s="1" t="s">
        <v>56</v>
      </c>
    </row>
    <row r="144" spans="1:64" x14ac:dyDescent="0.25">
      <c r="A144" s="56" t="s">
        <v>290</v>
      </c>
      <c r="B144" s="54" t="s">
        <v>925</v>
      </c>
      <c r="C144" s="56" t="s">
        <v>926</v>
      </c>
      <c r="D144" s="16">
        <v>0</v>
      </c>
      <c r="E144" s="17"/>
      <c r="F144" s="2" t="s">
        <v>76</v>
      </c>
      <c r="G144" s="2" t="s">
        <v>78</v>
      </c>
      <c r="H144" s="10" t="s">
        <v>57</v>
      </c>
      <c r="I144" s="11" t="s">
        <v>77</v>
      </c>
      <c r="J144" s="11" t="s">
        <v>87</v>
      </c>
      <c r="K144" s="61" t="s">
        <v>88</v>
      </c>
      <c r="L144" s="11" t="s">
        <v>67</v>
      </c>
      <c r="M144" s="25"/>
      <c r="N144" s="54"/>
      <c r="O144" s="3" t="str">
        <f t="shared" si="31"/>
        <v>A</v>
      </c>
      <c r="P144" s="48">
        <v>29403.200000000001</v>
      </c>
      <c r="Q144" s="48">
        <v>5981</v>
      </c>
      <c r="R144" s="32"/>
      <c r="S144" s="3" t="str">
        <f t="shared" si="32"/>
        <v>A</v>
      </c>
      <c r="T144" s="48">
        <v>59495.8</v>
      </c>
      <c r="U144" s="48">
        <v>5376</v>
      </c>
      <c r="V144" s="32"/>
      <c r="W144" s="3" t="str">
        <f t="shared" si="33"/>
        <v>A</v>
      </c>
      <c r="X144" s="48">
        <v>74591.399999999994</v>
      </c>
      <c r="Y144" s="48">
        <v>4221</v>
      </c>
      <c r="Z144" s="32"/>
      <c r="AA144" s="3" t="str">
        <f t="shared" si="34"/>
        <v>A</v>
      </c>
      <c r="AB144" s="48">
        <v>57416.800000000003</v>
      </c>
      <c r="AC144" s="48">
        <v>5194</v>
      </c>
      <c r="AD144" s="36"/>
      <c r="AE144" s="54"/>
      <c r="AF144" s="3" t="str">
        <f t="shared" si="35"/>
        <v>A</v>
      </c>
      <c r="AG144" s="48">
        <v>0</v>
      </c>
      <c r="AH144" s="48">
        <v>0</v>
      </c>
      <c r="AI144" s="39"/>
      <c r="AJ144" s="79" t="s">
        <v>1801</v>
      </c>
      <c r="AK144" s="39"/>
      <c r="AL144" s="4">
        <f t="shared" si="25"/>
        <v>220907.2</v>
      </c>
      <c r="AM144" s="4">
        <f t="shared" si="25"/>
        <v>20772</v>
      </c>
      <c r="AN144" s="4">
        <f t="shared" si="36"/>
        <v>241679.2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48">
        <v>220907.2</v>
      </c>
      <c r="AU144" s="48">
        <v>20772</v>
      </c>
      <c r="AV144" s="4">
        <f t="shared" si="38"/>
        <v>241679.2</v>
      </c>
      <c r="AW144" s="50" t="str">
        <f t="shared" si="39"/>
        <v/>
      </c>
      <c r="AX144" s="1" t="s">
        <v>1639</v>
      </c>
      <c r="AY144" s="2" t="s">
        <v>1640</v>
      </c>
      <c r="AZ144" s="2">
        <v>32235.040000000001</v>
      </c>
      <c r="BA144" s="73">
        <v>28205.66</v>
      </c>
      <c r="BB144" s="73">
        <v>28205.66</v>
      </c>
      <c r="BC144" s="73">
        <v>32235.040000000001</v>
      </c>
      <c r="BD144" s="73"/>
      <c r="BE144" s="66">
        <v>0</v>
      </c>
      <c r="BF144" s="66">
        <v>0.02</v>
      </c>
      <c r="BG144" s="63">
        <v>44774</v>
      </c>
      <c r="BH144" s="2"/>
      <c r="BI144" s="2"/>
      <c r="BJ144" s="2">
        <v>218756.57</v>
      </c>
      <c r="BK144" s="2">
        <v>24306.29</v>
      </c>
      <c r="BL144" s="1" t="s">
        <v>56</v>
      </c>
    </row>
    <row r="145" spans="1:64" x14ac:dyDescent="0.25">
      <c r="A145" s="56" t="s">
        <v>292</v>
      </c>
      <c r="B145" s="54" t="s">
        <v>292</v>
      </c>
      <c r="C145" s="56" t="s">
        <v>293</v>
      </c>
      <c r="D145" s="16">
        <v>37904</v>
      </c>
      <c r="E145" s="17"/>
      <c r="F145" s="2" t="s">
        <v>294</v>
      </c>
      <c r="G145" s="2" t="s">
        <v>295</v>
      </c>
      <c r="H145" s="10" t="s">
        <v>98</v>
      </c>
      <c r="I145" s="11" t="s">
        <v>53</v>
      </c>
      <c r="J145" s="11" t="s">
        <v>296</v>
      </c>
      <c r="K145" s="61"/>
      <c r="L145" s="11" t="s">
        <v>67</v>
      </c>
      <c r="M145" s="25"/>
      <c r="N145" s="54"/>
      <c r="O145" s="3" t="str">
        <f t="shared" si="31"/>
        <v>A</v>
      </c>
      <c r="P145" s="48">
        <v>164955</v>
      </c>
      <c r="Q145" s="48">
        <v>9308</v>
      </c>
      <c r="R145" s="32"/>
      <c r="S145" s="3" t="str">
        <f t="shared" si="32"/>
        <v>A</v>
      </c>
      <c r="T145" s="48">
        <v>167284</v>
      </c>
      <c r="U145" s="48">
        <v>8115</v>
      </c>
      <c r="V145" s="32"/>
      <c r="W145" s="3" t="str">
        <f t="shared" si="33"/>
        <v>A</v>
      </c>
      <c r="X145" s="48">
        <v>161353</v>
      </c>
      <c r="Y145" s="48">
        <v>7668</v>
      </c>
      <c r="Z145" s="32"/>
      <c r="AA145" s="3" t="str">
        <f t="shared" si="34"/>
        <v>A</v>
      </c>
      <c r="AB145" s="48">
        <v>192559</v>
      </c>
      <c r="AC145" s="48">
        <v>10014</v>
      </c>
      <c r="AD145" s="36"/>
      <c r="AE145" s="54"/>
      <c r="AF145" s="3" t="str">
        <f t="shared" si="35"/>
        <v>A</v>
      </c>
      <c r="AG145" s="48">
        <v>0</v>
      </c>
      <c r="AH145" s="48">
        <v>0</v>
      </c>
      <c r="AI145" s="39"/>
      <c r="AJ145" s="79" t="s">
        <v>1801</v>
      </c>
      <c r="AK145" s="39"/>
      <c r="AL145" s="4">
        <f t="shared" si="25"/>
        <v>686151</v>
      </c>
      <c r="AM145" s="4">
        <f t="shared" si="25"/>
        <v>35105</v>
      </c>
      <c r="AN145" s="4">
        <f t="shared" si="36"/>
        <v>721256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48">
        <v>686151</v>
      </c>
      <c r="AU145" s="48">
        <v>35105</v>
      </c>
      <c r="AV145" s="4">
        <f t="shared" si="38"/>
        <v>721256</v>
      </c>
      <c r="AW145" s="50" t="str">
        <f t="shared" si="39"/>
        <v/>
      </c>
      <c r="AX145" s="1" t="s">
        <v>1674</v>
      </c>
      <c r="AY145" s="2" t="s">
        <v>1675</v>
      </c>
      <c r="AZ145" s="2">
        <v>169688.24</v>
      </c>
      <c r="BA145" s="73">
        <v>148477.21</v>
      </c>
      <c r="BB145" s="73">
        <v>148477.21</v>
      </c>
      <c r="BC145" s="73">
        <v>169688.24</v>
      </c>
      <c r="BD145" s="73"/>
      <c r="BE145" s="66">
        <v>4.4999999999999998E-2</v>
      </c>
      <c r="BF145" s="66">
        <v>0.05</v>
      </c>
      <c r="BG145" s="63">
        <v>45209</v>
      </c>
      <c r="BH145" s="74">
        <v>43913</v>
      </c>
      <c r="BI145" s="74">
        <v>43942</v>
      </c>
      <c r="BJ145" s="2"/>
      <c r="BK145" s="2"/>
      <c r="BL145" s="1" t="s">
        <v>97</v>
      </c>
    </row>
    <row r="146" spans="1:64" x14ac:dyDescent="0.25">
      <c r="A146" s="56" t="s">
        <v>292</v>
      </c>
      <c r="B146" s="54" t="s">
        <v>712</v>
      </c>
      <c r="C146" s="56" t="s">
        <v>713</v>
      </c>
      <c r="D146" s="16">
        <v>39024</v>
      </c>
      <c r="E146" s="17"/>
      <c r="F146" s="2" t="s">
        <v>294</v>
      </c>
      <c r="G146" s="2" t="s">
        <v>295</v>
      </c>
      <c r="H146" s="10" t="s">
        <v>98</v>
      </c>
      <c r="I146" s="11" t="s">
        <v>53</v>
      </c>
      <c r="J146" s="11" t="s">
        <v>296</v>
      </c>
      <c r="K146" s="61"/>
      <c r="L146" s="11" t="s">
        <v>67</v>
      </c>
      <c r="M146" s="25"/>
      <c r="N146" s="54"/>
      <c r="O146" s="3" t="str">
        <f t="shared" si="31"/>
        <v>A</v>
      </c>
      <c r="P146" s="48">
        <v>50171</v>
      </c>
      <c r="Q146" s="48">
        <v>7524</v>
      </c>
      <c r="R146" s="32"/>
      <c r="S146" s="3" t="str">
        <f t="shared" si="32"/>
        <v>A</v>
      </c>
      <c r="T146" s="48">
        <v>51835</v>
      </c>
      <c r="U146" s="48">
        <v>6016</v>
      </c>
      <c r="V146" s="32"/>
      <c r="W146" s="3" t="str">
        <f t="shared" si="33"/>
        <v>A</v>
      </c>
      <c r="X146" s="48">
        <v>46106</v>
      </c>
      <c r="Y146" s="48">
        <v>4774</v>
      </c>
      <c r="Z146" s="32"/>
      <c r="AA146" s="3" t="str">
        <f t="shared" si="34"/>
        <v>A</v>
      </c>
      <c r="AB146" s="48">
        <v>57889</v>
      </c>
      <c r="AC146" s="48">
        <v>5123</v>
      </c>
      <c r="AD146" s="36"/>
      <c r="AE146" s="54"/>
      <c r="AF146" s="3" t="str">
        <f t="shared" si="35"/>
        <v>A</v>
      </c>
      <c r="AG146" s="48">
        <v>0</v>
      </c>
      <c r="AH146" s="48">
        <v>0</v>
      </c>
      <c r="AI146" s="39"/>
      <c r="AJ146" s="79" t="s">
        <v>1801</v>
      </c>
      <c r="AK146" s="39"/>
      <c r="AL146" s="4">
        <f t="shared" si="25"/>
        <v>206001</v>
      </c>
      <c r="AM146" s="4">
        <f t="shared" si="25"/>
        <v>23437</v>
      </c>
      <c r="AN146" s="4">
        <f t="shared" si="36"/>
        <v>229438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48">
        <v>206001</v>
      </c>
      <c r="AU146" s="48">
        <v>23437</v>
      </c>
      <c r="AV146" s="4">
        <f t="shared" si="38"/>
        <v>229438</v>
      </c>
      <c r="AW146" s="50" t="str">
        <f t="shared" si="39"/>
        <v/>
      </c>
      <c r="AX146" s="1" t="s">
        <v>1674</v>
      </c>
      <c r="AY146" s="2" t="s">
        <v>1675</v>
      </c>
      <c r="AZ146" s="2">
        <v>45124</v>
      </c>
      <c r="BA146" s="73">
        <v>39483.5</v>
      </c>
      <c r="BB146" s="73">
        <v>39483.5</v>
      </c>
      <c r="BC146" s="73">
        <v>45124</v>
      </c>
      <c r="BD146" s="73"/>
      <c r="BE146" s="66">
        <v>4.4999999999999998E-2</v>
      </c>
      <c r="BF146" s="66">
        <v>0.05</v>
      </c>
      <c r="BG146" s="63">
        <v>45209</v>
      </c>
      <c r="BH146" s="74">
        <v>45687</v>
      </c>
      <c r="BI146" s="74">
        <v>45693</v>
      </c>
      <c r="BJ146" s="2"/>
      <c r="BK146" s="2"/>
      <c r="BL146" s="1" t="s">
        <v>97</v>
      </c>
    </row>
    <row r="147" spans="1:64" x14ac:dyDescent="0.25">
      <c r="A147" s="56" t="s">
        <v>292</v>
      </c>
      <c r="B147" s="54" t="s">
        <v>1009</v>
      </c>
      <c r="C147" s="56" t="s">
        <v>1010</v>
      </c>
      <c r="D147" s="16">
        <v>34919</v>
      </c>
      <c r="E147" s="17"/>
      <c r="F147" s="2" t="s">
        <v>294</v>
      </c>
      <c r="G147" s="2" t="s">
        <v>295</v>
      </c>
      <c r="H147" s="10" t="s">
        <v>98</v>
      </c>
      <c r="I147" s="11" t="s">
        <v>53</v>
      </c>
      <c r="J147" s="11" t="s">
        <v>296</v>
      </c>
      <c r="K147" s="61"/>
      <c r="L147" s="11" t="s">
        <v>67</v>
      </c>
      <c r="M147" s="25"/>
      <c r="N147" s="54"/>
      <c r="O147" s="3" t="str">
        <f t="shared" si="31"/>
        <v>A</v>
      </c>
      <c r="P147" s="48">
        <v>37189</v>
      </c>
      <c r="Q147" s="48">
        <v>0</v>
      </c>
      <c r="R147" s="32"/>
      <c r="S147" s="3" t="str">
        <f t="shared" si="32"/>
        <v>A</v>
      </c>
      <c r="T147" s="48">
        <v>38634</v>
      </c>
      <c r="U147" s="48"/>
      <c r="V147" s="32"/>
      <c r="W147" s="3" t="str">
        <f t="shared" si="33"/>
        <v>A</v>
      </c>
      <c r="X147" s="48">
        <v>35725</v>
      </c>
      <c r="Y147" s="48"/>
      <c r="Z147" s="32"/>
      <c r="AA147" s="3" t="str">
        <f t="shared" si="34"/>
        <v>A</v>
      </c>
      <c r="AB147" s="48">
        <v>42379</v>
      </c>
      <c r="AC147" s="48"/>
      <c r="AD147" s="36"/>
      <c r="AE147" s="54"/>
      <c r="AF147" s="3" t="str">
        <f t="shared" si="35"/>
        <v>A</v>
      </c>
      <c r="AG147" s="48">
        <v>0</v>
      </c>
      <c r="AH147" s="48">
        <v>0</v>
      </c>
      <c r="AI147" s="39"/>
      <c r="AJ147" s="79" t="s">
        <v>1801</v>
      </c>
      <c r="AK147" s="39"/>
      <c r="AL147" s="4">
        <f t="shared" si="25"/>
        <v>153927</v>
      </c>
      <c r="AM147" s="4">
        <f t="shared" si="25"/>
        <v>0</v>
      </c>
      <c r="AN147" s="4">
        <f t="shared" si="36"/>
        <v>153927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48">
        <v>153927</v>
      </c>
      <c r="AU147" s="48"/>
      <c r="AV147" s="4">
        <f t="shared" si="38"/>
        <v>153927</v>
      </c>
      <c r="AW147" s="50" t="str">
        <f t="shared" si="39"/>
        <v/>
      </c>
      <c r="AX147" s="1" t="s">
        <v>1674</v>
      </c>
      <c r="AY147" s="2" t="s">
        <v>1675</v>
      </c>
      <c r="AZ147" s="2">
        <v>58903.44</v>
      </c>
      <c r="BA147" s="73">
        <v>51540.51</v>
      </c>
      <c r="BB147" s="73">
        <v>51540.51</v>
      </c>
      <c r="BC147" s="73">
        <v>58903.44</v>
      </c>
      <c r="BD147" s="73"/>
      <c r="BE147" s="66">
        <v>3.5000000000000003E-2</v>
      </c>
      <c r="BF147" s="66">
        <v>0.05</v>
      </c>
      <c r="BG147" s="63">
        <v>45209</v>
      </c>
      <c r="BH147" s="2"/>
      <c r="BI147" s="2"/>
      <c r="BJ147" s="2">
        <v>216000</v>
      </c>
      <c r="BK147" s="2"/>
      <c r="BL147" s="1" t="s">
        <v>97</v>
      </c>
    </row>
    <row r="148" spans="1:64" x14ac:dyDescent="0.25">
      <c r="A148" s="56" t="s">
        <v>292</v>
      </c>
      <c r="B148" s="54" t="s">
        <v>1011</v>
      </c>
      <c r="C148" s="56" t="s">
        <v>1012</v>
      </c>
      <c r="D148" s="16">
        <v>42600</v>
      </c>
      <c r="E148" s="17"/>
      <c r="F148" s="2" t="s">
        <v>294</v>
      </c>
      <c r="G148" s="2" t="s">
        <v>295</v>
      </c>
      <c r="H148" s="10" t="s">
        <v>98</v>
      </c>
      <c r="I148" s="11" t="s">
        <v>53</v>
      </c>
      <c r="J148" s="11" t="s">
        <v>296</v>
      </c>
      <c r="K148" s="61"/>
      <c r="L148" s="11" t="s">
        <v>67</v>
      </c>
      <c r="M148" s="25"/>
      <c r="N148" s="54"/>
      <c r="O148" s="3" t="str">
        <f t="shared" si="31"/>
        <v>A</v>
      </c>
      <c r="P148" s="48">
        <v>149867</v>
      </c>
      <c r="Q148" s="48">
        <v>0</v>
      </c>
      <c r="R148" s="32"/>
      <c r="S148" s="3" t="str">
        <f t="shared" si="32"/>
        <v>A</v>
      </c>
      <c r="T148" s="48">
        <v>157612</v>
      </c>
      <c r="U148" s="48"/>
      <c r="V148" s="32"/>
      <c r="W148" s="3" t="str">
        <f t="shared" si="33"/>
        <v>A</v>
      </c>
      <c r="X148" s="48">
        <v>150334</v>
      </c>
      <c r="Y148" s="48"/>
      <c r="Z148" s="32"/>
      <c r="AA148" s="3" t="str">
        <f t="shared" si="34"/>
        <v>A</v>
      </c>
      <c r="AB148" s="48">
        <v>175736</v>
      </c>
      <c r="AC148" s="48"/>
      <c r="AD148" s="36"/>
      <c r="AE148" s="54"/>
      <c r="AF148" s="3" t="str">
        <f t="shared" si="35"/>
        <v>A</v>
      </c>
      <c r="AG148" s="48">
        <v>0</v>
      </c>
      <c r="AH148" s="48">
        <v>0</v>
      </c>
      <c r="AI148" s="39"/>
      <c r="AJ148" s="79" t="s">
        <v>1801</v>
      </c>
      <c r="AK148" s="39"/>
      <c r="AL148" s="4">
        <f t="shared" si="25"/>
        <v>633549</v>
      </c>
      <c r="AM148" s="4">
        <f t="shared" si="25"/>
        <v>0</v>
      </c>
      <c r="AN148" s="4">
        <f t="shared" si="36"/>
        <v>633549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48">
        <v>633549</v>
      </c>
      <c r="AU148" s="48"/>
      <c r="AV148" s="4">
        <f t="shared" si="38"/>
        <v>633549</v>
      </c>
      <c r="AW148" s="50" t="str">
        <f t="shared" si="39"/>
        <v/>
      </c>
      <c r="AX148" s="1" t="s">
        <v>1674</v>
      </c>
      <c r="AY148" s="2" t="s">
        <v>1675</v>
      </c>
      <c r="AZ148" s="2">
        <v>33699.519999999997</v>
      </c>
      <c r="BA148" s="73">
        <v>29487.08</v>
      </c>
      <c r="BB148" s="73">
        <v>29487.08</v>
      </c>
      <c r="BC148" s="73">
        <v>33699.519999999997</v>
      </c>
      <c r="BD148" s="73"/>
      <c r="BE148" s="66">
        <v>4.4999999999999998E-2</v>
      </c>
      <c r="BF148" s="66">
        <v>0.05</v>
      </c>
      <c r="BG148" s="63">
        <v>45209</v>
      </c>
      <c r="BH148" s="2"/>
      <c r="BI148" s="2"/>
      <c r="BJ148" s="2">
        <v>126000</v>
      </c>
      <c r="BK148" s="2"/>
      <c r="BL148" s="1" t="s">
        <v>97</v>
      </c>
    </row>
    <row r="149" spans="1:64" x14ac:dyDescent="0.25">
      <c r="A149" s="56" t="s">
        <v>292</v>
      </c>
      <c r="B149" s="54" t="s">
        <v>1191</v>
      </c>
      <c r="C149" s="56" t="s">
        <v>1192</v>
      </c>
      <c r="D149" s="16">
        <v>37416</v>
      </c>
      <c r="E149" s="17">
        <v>45635</v>
      </c>
      <c r="F149" s="2" t="s">
        <v>294</v>
      </c>
      <c r="G149" s="2" t="s">
        <v>295</v>
      </c>
      <c r="H149" s="10" t="s">
        <v>98</v>
      </c>
      <c r="I149" s="11" t="s">
        <v>53</v>
      </c>
      <c r="J149" s="11" t="s">
        <v>296</v>
      </c>
      <c r="K149" s="61"/>
      <c r="L149" s="11" t="s">
        <v>67</v>
      </c>
      <c r="M149" s="25"/>
      <c r="N149" s="54"/>
      <c r="O149" s="3" t="str">
        <f t="shared" si="31"/>
        <v>A</v>
      </c>
      <c r="P149" s="48"/>
      <c r="Q149" s="48"/>
      <c r="R149" s="32"/>
      <c r="S149" s="3" t="str">
        <f t="shared" si="32"/>
        <v>A</v>
      </c>
      <c r="T149" s="48"/>
      <c r="U149" s="48"/>
      <c r="V149" s="32"/>
      <c r="W149" s="3" t="str">
        <f t="shared" si="33"/>
        <v>A</v>
      </c>
      <c r="X149" s="48"/>
      <c r="Y149" s="48"/>
      <c r="Z149" s="32"/>
      <c r="AA149" s="3" t="str">
        <f t="shared" si="34"/>
        <v>A</v>
      </c>
      <c r="AB149" s="48"/>
      <c r="AC149" s="48"/>
      <c r="AD149" s="36"/>
      <c r="AE149" s="54"/>
      <c r="AF149" s="3" t="str">
        <f t="shared" si="35"/>
        <v>A</v>
      </c>
      <c r="AG149" s="48"/>
      <c r="AH149" s="48"/>
      <c r="AI149" s="39"/>
      <c r="AJ149" s="79" t="s">
        <v>1801</v>
      </c>
      <c r="AK149" s="39"/>
      <c r="AL149" s="4">
        <f t="shared" si="25"/>
        <v>0</v>
      </c>
      <c r="AM149" s="4">
        <f t="shared" si="25"/>
        <v>0</v>
      </c>
      <c r="AN149" s="4">
        <f t="shared" si="36"/>
        <v>0</v>
      </c>
      <c r="AO149" s="39"/>
      <c r="AP149" s="8">
        <f t="shared" si="26"/>
        <v>0</v>
      </c>
      <c r="AQ149" s="8">
        <f t="shared" si="26"/>
        <v>0</v>
      </c>
      <c r="AR149" s="8">
        <f t="shared" si="37"/>
        <v>0</v>
      </c>
      <c r="AS149" s="42"/>
      <c r="AT149" s="48"/>
      <c r="AU149" s="48"/>
      <c r="AV149" s="4">
        <f t="shared" si="38"/>
        <v>0</v>
      </c>
      <c r="AW149" s="50" t="str">
        <f t="shared" si="39"/>
        <v/>
      </c>
      <c r="AX149" s="1" t="s">
        <v>1674</v>
      </c>
      <c r="AY149" s="2" t="s">
        <v>1675</v>
      </c>
      <c r="AZ149" s="2"/>
      <c r="BA149" s="73"/>
      <c r="BB149" s="73"/>
      <c r="BC149" s="73"/>
      <c r="BD149" s="73"/>
      <c r="BE149" s="66">
        <v>4.4999999999999998E-2</v>
      </c>
      <c r="BF149" s="66">
        <v>0.05</v>
      </c>
      <c r="BG149" s="63">
        <v>45209</v>
      </c>
      <c r="BH149" s="74">
        <v>45635</v>
      </c>
      <c r="BI149" s="2"/>
      <c r="BJ149" s="2">
        <v>146145</v>
      </c>
      <c r="BK149" s="2">
        <v>2922.9</v>
      </c>
      <c r="BL149" s="1" t="s">
        <v>97</v>
      </c>
    </row>
    <row r="150" spans="1:64" x14ac:dyDescent="0.25">
      <c r="A150" s="56" t="s">
        <v>292</v>
      </c>
      <c r="B150" s="54" t="s">
        <v>1276</v>
      </c>
      <c r="C150" s="56" t="s">
        <v>1277</v>
      </c>
      <c r="D150" s="16">
        <v>0</v>
      </c>
      <c r="E150" s="17"/>
      <c r="F150" s="2" t="s">
        <v>294</v>
      </c>
      <c r="G150" s="2" t="s">
        <v>295</v>
      </c>
      <c r="H150" s="10" t="s">
        <v>98</v>
      </c>
      <c r="I150" s="11" t="s">
        <v>53</v>
      </c>
      <c r="J150" s="11" t="s">
        <v>296</v>
      </c>
      <c r="K150" s="61"/>
      <c r="L150" s="11" t="s">
        <v>67</v>
      </c>
      <c r="M150" s="25"/>
      <c r="N150" s="54"/>
      <c r="O150" s="3" t="str">
        <f t="shared" si="31"/>
        <v>A</v>
      </c>
      <c r="P150" s="48">
        <v>43643</v>
      </c>
      <c r="Q150" s="48">
        <v>0</v>
      </c>
      <c r="R150" s="32"/>
      <c r="S150" s="3" t="str">
        <f t="shared" si="32"/>
        <v>A</v>
      </c>
      <c r="T150" s="48">
        <v>50860</v>
      </c>
      <c r="U150" s="48"/>
      <c r="V150" s="32"/>
      <c r="W150" s="3" t="str">
        <f t="shared" si="33"/>
        <v>A</v>
      </c>
      <c r="X150" s="48">
        <v>54091</v>
      </c>
      <c r="Y150" s="48"/>
      <c r="Z150" s="32"/>
      <c r="AA150" s="3" t="str">
        <f t="shared" si="34"/>
        <v>A</v>
      </c>
      <c r="AB150" s="48">
        <v>59540</v>
      </c>
      <c r="AC150" s="48"/>
      <c r="AD150" s="36"/>
      <c r="AE150" s="54"/>
      <c r="AF150" s="3" t="str">
        <f t="shared" si="35"/>
        <v>A</v>
      </c>
      <c r="AG150" s="48">
        <v>0</v>
      </c>
      <c r="AH150" s="48">
        <v>0</v>
      </c>
      <c r="AI150" s="39"/>
      <c r="AJ150" s="79" t="s">
        <v>1801</v>
      </c>
      <c r="AK150" s="39"/>
      <c r="AL150" s="4">
        <f t="shared" si="25"/>
        <v>208134</v>
      </c>
      <c r="AM150" s="4">
        <f t="shared" si="25"/>
        <v>0</v>
      </c>
      <c r="AN150" s="4">
        <f t="shared" si="36"/>
        <v>208134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48">
        <v>208134</v>
      </c>
      <c r="AU150" s="48"/>
      <c r="AV150" s="4">
        <f t="shared" si="38"/>
        <v>208134</v>
      </c>
      <c r="AW150" s="50" t="str">
        <f t="shared" si="39"/>
        <v/>
      </c>
      <c r="AX150" s="1" t="s">
        <v>1674</v>
      </c>
      <c r="AY150" s="2" t="s">
        <v>1675</v>
      </c>
      <c r="AZ150" s="2">
        <v>67301.919999999998</v>
      </c>
      <c r="BA150" s="73">
        <v>58889.18</v>
      </c>
      <c r="BB150" s="73">
        <v>58889.18</v>
      </c>
      <c r="BC150" s="73">
        <v>67301.919999999998</v>
      </c>
      <c r="BD150" s="73"/>
      <c r="BE150" s="66">
        <v>0</v>
      </c>
      <c r="BF150" s="66">
        <v>0.05</v>
      </c>
      <c r="BG150" s="63">
        <v>45209</v>
      </c>
      <c r="BH150" s="2"/>
      <c r="BI150" s="2"/>
      <c r="BJ150" s="2">
        <v>243000</v>
      </c>
      <c r="BK150" s="2"/>
      <c r="BL150" s="1" t="s">
        <v>97</v>
      </c>
    </row>
    <row r="151" spans="1:64" x14ac:dyDescent="0.25">
      <c r="A151" s="56" t="s">
        <v>292</v>
      </c>
      <c r="B151" s="54" t="s">
        <v>1344</v>
      </c>
      <c r="C151" s="56" t="s">
        <v>1345</v>
      </c>
      <c r="D151" s="16">
        <v>0</v>
      </c>
      <c r="E151" s="17"/>
      <c r="F151" s="2" t="s">
        <v>294</v>
      </c>
      <c r="G151" s="2" t="s">
        <v>295</v>
      </c>
      <c r="H151" s="10" t="s">
        <v>98</v>
      </c>
      <c r="I151" s="11" t="s">
        <v>53</v>
      </c>
      <c r="J151" s="11" t="s">
        <v>296</v>
      </c>
      <c r="K151" s="61"/>
      <c r="L151" s="11" t="s">
        <v>67</v>
      </c>
      <c r="M151" s="25"/>
      <c r="N151" s="54"/>
      <c r="O151" s="3" t="str">
        <f>IF($A151="","",IF(P151=AZ151,"E","A"))</f>
        <v>A</v>
      </c>
      <c r="P151" s="48">
        <v>69382</v>
      </c>
      <c r="Q151" s="48">
        <v>0</v>
      </c>
      <c r="R151" s="32"/>
      <c r="S151" s="3" t="str">
        <f t="shared" si="32"/>
        <v>A</v>
      </c>
      <c r="T151" s="48">
        <v>73919</v>
      </c>
      <c r="U151" s="48"/>
      <c r="V151" s="32"/>
      <c r="W151" s="3" t="str">
        <f t="shared" si="33"/>
        <v>A</v>
      </c>
      <c r="X151" s="48">
        <v>71194</v>
      </c>
      <c r="Y151" s="48"/>
      <c r="Z151" s="32"/>
      <c r="AA151" s="3" t="str">
        <f t="shared" si="34"/>
        <v>A</v>
      </c>
      <c r="AB151" s="48">
        <v>82676</v>
      </c>
      <c r="AC151" s="48"/>
      <c r="AD151" s="36"/>
      <c r="AE151" s="54"/>
      <c r="AF151" s="3" t="str">
        <f t="shared" si="35"/>
        <v>A</v>
      </c>
      <c r="AG151" s="48">
        <v>0</v>
      </c>
      <c r="AH151" s="48">
        <v>0</v>
      </c>
      <c r="AI151" s="39"/>
      <c r="AJ151" s="79" t="s">
        <v>1801</v>
      </c>
      <c r="AK151" s="39"/>
      <c r="AL151" s="4">
        <f t="shared" si="25"/>
        <v>297171</v>
      </c>
      <c r="AM151" s="4">
        <f t="shared" si="25"/>
        <v>0</v>
      </c>
      <c r="AN151" s="4">
        <f t="shared" si="36"/>
        <v>297171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48">
        <v>297171</v>
      </c>
      <c r="AU151" s="48"/>
      <c r="AV151" s="4">
        <f t="shared" si="38"/>
        <v>297171</v>
      </c>
      <c r="AW151" s="50" t="str">
        <f t="shared" si="39"/>
        <v/>
      </c>
      <c r="AX151" s="1" t="s">
        <v>1674</v>
      </c>
      <c r="AY151" s="2" t="s">
        <v>1675</v>
      </c>
      <c r="AZ151" s="2">
        <v>89831.679999999993</v>
      </c>
      <c r="BA151" s="73">
        <v>78602.720000000001</v>
      </c>
      <c r="BB151" s="73">
        <v>78602.720000000001</v>
      </c>
      <c r="BC151" s="73">
        <v>89831.679999999993</v>
      </c>
      <c r="BD151" s="73"/>
      <c r="BE151" s="66">
        <v>0</v>
      </c>
      <c r="BF151" s="66">
        <v>0.05</v>
      </c>
      <c r="BG151" s="63">
        <v>45132</v>
      </c>
      <c r="BH151" s="2"/>
      <c r="BI151" s="2"/>
      <c r="BJ151" s="2">
        <v>324000</v>
      </c>
      <c r="BK151" s="2"/>
      <c r="BL151" s="1" t="s">
        <v>97</v>
      </c>
    </row>
    <row r="152" spans="1:64" x14ac:dyDescent="0.25">
      <c r="A152" s="56" t="s">
        <v>297</v>
      </c>
      <c r="B152" s="54" t="s">
        <v>297</v>
      </c>
      <c r="C152" s="56" t="s">
        <v>298</v>
      </c>
      <c r="D152" s="16">
        <v>38035</v>
      </c>
      <c r="E152" s="17"/>
      <c r="F152" s="2" t="s">
        <v>235</v>
      </c>
      <c r="G152" s="2" t="s">
        <v>236</v>
      </c>
      <c r="H152" s="10" t="s">
        <v>98</v>
      </c>
      <c r="I152" s="11" t="s">
        <v>53</v>
      </c>
      <c r="J152" s="11" t="s">
        <v>238</v>
      </c>
      <c r="K152" s="61"/>
      <c r="L152" s="11" t="s">
        <v>67</v>
      </c>
      <c r="M152" s="25"/>
      <c r="N152" s="54"/>
      <c r="O152" s="3" t="str">
        <f t="shared" ref="O152:O167" si="40">IF($A152="","",IF(P152=0,"A",IF(P152=AZ152,"E","A")))</f>
        <v>A</v>
      </c>
      <c r="P152" s="48">
        <v>702081</v>
      </c>
      <c r="Q152" s="48">
        <v>36118</v>
      </c>
      <c r="R152" s="32"/>
      <c r="S152" s="3" t="str">
        <f t="shared" si="32"/>
        <v>A</v>
      </c>
      <c r="T152" s="48">
        <v>635639</v>
      </c>
      <c r="U152" s="48">
        <v>37018</v>
      </c>
      <c r="V152" s="32"/>
      <c r="W152" s="3" t="str">
        <f t="shared" si="33"/>
        <v>A</v>
      </c>
      <c r="X152" s="48">
        <v>554447</v>
      </c>
      <c r="Y152" s="48">
        <v>32250</v>
      </c>
      <c r="Z152" s="32"/>
      <c r="AA152" s="3" t="str">
        <f t="shared" si="34"/>
        <v>A</v>
      </c>
      <c r="AB152" s="48">
        <v>617984</v>
      </c>
      <c r="AC152" s="48">
        <v>34005</v>
      </c>
      <c r="AD152" s="36"/>
      <c r="AE152" s="54"/>
      <c r="AF152" s="3" t="str">
        <f t="shared" si="35"/>
        <v>A</v>
      </c>
      <c r="AG152" s="48">
        <v>0</v>
      </c>
      <c r="AH152" s="48">
        <v>0</v>
      </c>
      <c r="AI152" s="39"/>
      <c r="AJ152" s="79" t="s">
        <v>1801</v>
      </c>
      <c r="AK152" s="39"/>
      <c r="AL152" s="4">
        <f t="shared" ref="AL152:AM215" si="41">IF($O152="A",P152,0)+IF($S152="A",T152,0)+IF($W152="A",X152,0)+IF($AA152="A",AB152,0)+IF($AF152="A",AG152,0)</f>
        <v>2510151</v>
      </c>
      <c r="AM152" s="4">
        <f t="shared" si="41"/>
        <v>139391</v>
      </c>
      <c r="AN152" s="4">
        <f t="shared" si="36"/>
        <v>2649542</v>
      </c>
      <c r="AO152" s="39"/>
      <c r="AP152" s="8">
        <f t="shared" ref="AP152:AQ215" si="42">IF($O152="E",P152,0)+IF($S152="E",T152,0)+IF($W152="E",X152,0)+IF($AA152="E",AB152,0)+IF($AF152="E",AG152,0)</f>
        <v>0</v>
      </c>
      <c r="AQ152" s="8">
        <f t="shared" si="42"/>
        <v>0</v>
      </c>
      <c r="AR152" s="8">
        <f t="shared" si="37"/>
        <v>0</v>
      </c>
      <c r="AS152" s="42"/>
      <c r="AT152" s="48">
        <v>2510151</v>
      </c>
      <c r="AU152" s="48">
        <v>139391</v>
      </c>
      <c r="AV152" s="4">
        <f t="shared" si="38"/>
        <v>2649542</v>
      </c>
      <c r="AW152" s="50" t="str">
        <f t="shared" si="39"/>
        <v/>
      </c>
      <c r="AX152" s="1" t="s">
        <v>1662</v>
      </c>
      <c r="AY152" s="2" t="s">
        <v>1663</v>
      </c>
      <c r="AZ152" s="2">
        <v>355976</v>
      </c>
      <c r="BA152" s="73">
        <v>311479</v>
      </c>
      <c r="BB152" s="73">
        <v>311479</v>
      </c>
      <c r="BC152" s="73">
        <v>355976</v>
      </c>
      <c r="BD152" s="73"/>
      <c r="BE152" s="66">
        <v>3.5000000000000003E-2</v>
      </c>
      <c r="BF152" s="66">
        <v>0.05</v>
      </c>
      <c r="BG152" s="63">
        <v>45337</v>
      </c>
      <c r="BH152" s="74">
        <v>43919</v>
      </c>
      <c r="BI152" s="74">
        <v>43920</v>
      </c>
      <c r="BJ152" s="2"/>
      <c r="BK152" s="2"/>
      <c r="BL152" s="1" t="s">
        <v>237</v>
      </c>
    </row>
    <row r="153" spans="1:64" x14ac:dyDescent="0.25">
      <c r="A153" s="56" t="s">
        <v>297</v>
      </c>
      <c r="B153" s="54" t="s">
        <v>714</v>
      </c>
      <c r="C153" s="56" t="s">
        <v>715</v>
      </c>
      <c r="D153" s="16">
        <v>40664</v>
      </c>
      <c r="E153" s="17"/>
      <c r="F153" s="2" t="s">
        <v>235</v>
      </c>
      <c r="G153" s="2" t="s">
        <v>236</v>
      </c>
      <c r="H153" s="10" t="s">
        <v>98</v>
      </c>
      <c r="I153" s="11" t="s">
        <v>53</v>
      </c>
      <c r="J153" s="11" t="s">
        <v>238</v>
      </c>
      <c r="K153" s="61"/>
      <c r="L153" s="11" t="s">
        <v>67</v>
      </c>
      <c r="M153" s="25"/>
      <c r="N153" s="54"/>
      <c r="O153" s="3" t="str">
        <f t="shared" si="40"/>
        <v>A</v>
      </c>
      <c r="P153" s="48">
        <v>77404.7</v>
      </c>
      <c r="Q153" s="48">
        <v>9785</v>
      </c>
      <c r="R153" s="32"/>
      <c r="S153" s="3" t="str">
        <f t="shared" si="32"/>
        <v>A</v>
      </c>
      <c r="T153" s="48">
        <v>87749</v>
      </c>
      <c r="U153" s="48">
        <v>13606</v>
      </c>
      <c r="V153" s="32"/>
      <c r="W153" s="3" t="str">
        <f t="shared" si="33"/>
        <v>A</v>
      </c>
      <c r="X153" s="48">
        <v>85120</v>
      </c>
      <c r="Y153" s="48">
        <v>10913</v>
      </c>
      <c r="Z153" s="32"/>
      <c r="AA153" s="3" t="str">
        <f t="shared" si="34"/>
        <v>A</v>
      </c>
      <c r="AB153" s="48">
        <v>96960.4</v>
      </c>
      <c r="AC153" s="48">
        <v>10711</v>
      </c>
      <c r="AD153" s="36"/>
      <c r="AE153" s="54"/>
      <c r="AF153" s="3" t="str">
        <f t="shared" si="35"/>
        <v>A</v>
      </c>
      <c r="AG153" s="48">
        <v>0</v>
      </c>
      <c r="AH153" s="48">
        <v>0</v>
      </c>
      <c r="AI153" s="39"/>
      <c r="AJ153" s="79" t="s">
        <v>1801</v>
      </c>
      <c r="AK153" s="39"/>
      <c r="AL153" s="4">
        <f t="shared" si="41"/>
        <v>347234.1</v>
      </c>
      <c r="AM153" s="4">
        <f t="shared" si="41"/>
        <v>45015</v>
      </c>
      <c r="AN153" s="4">
        <f t="shared" si="36"/>
        <v>392249.1</v>
      </c>
      <c r="AO153" s="39"/>
      <c r="AP153" s="8">
        <f t="shared" si="42"/>
        <v>0</v>
      </c>
      <c r="AQ153" s="8">
        <f t="shared" si="42"/>
        <v>0</v>
      </c>
      <c r="AR153" s="8">
        <f t="shared" si="37"/>
        <v>0</v>
      </c>
      <c r="AS153" s="42"/>
      <c r="AT153" s="48">
        <v>347234.1</v>
      </c>
      <c r="AU153" s="48">
        <v>45015</v>
      </c>
      <c r="AV153" s="4">
        <f t="shared" si="38"/>
        <v>392249.1</v>
      </c>
      <c r="AW153" s="50" t="str">
        <f t="shared" si="39"/>
        <v/>
      </c>
      <c r="AX153" s="1" t="s">
        <v>1662</v>
      </c>
      <c r="AY153" s="2" t="s">
        <v>1663</v>
      </c>
      <c r="AZ153" s="2">
        <v>46658.8</v>
      </c>
      <c r="BA153" s="73">
        <v>40826.449999999997</v>
      </c>
      <c r="BB153" s="73">
        <v>40826.449999999997</v>
      </c>
      <c r="BC153" s="73">
        <v>46658.8</v>
      </c>
      <c r="BD153" s="73"/>
      <c r="BE153" s="66">
        <v>3.5000000000000003E-2</v>
      </c>
      <c r="BF153" s="66">
        <v>0.05</v>
      </c>
      <c r="BG153" s="63">
        <v>45337</v>
      </c>
      <c r="BH153" s="74">
        <v>43906</v>
      </c>
      <c r="BI153" s="74">
        <v>43927</v>
      </c>
      <c r="BJ153" s="2"/>
      <c r="BK153" s="2"/>
      <c r="BL153" s="1" t="s">
        <v>237</v>
      </c>
    </row>
    <row r="154" spans="1:64" x14ac:dyDescent="0.25">
      <c r="A154" s="56" t="s">
        <v>299</v>
      </c>
      <c r="B154" s="54" t="s">
        <v>299</v>
      </c>
      <c r="C154" s="56" t="s">
        <v>300</v>
      </c>
      <c r="D154" s="16">
        <v>38135</v>
      </c>
      <c r="E154" s="17"/>
      <c r="F154" s="2" t="s">
        <v>52</v>
      </c>
      <c r="G154" s="2" t="s">
        <v>55</v>
      </c>
      <c r="H154" s="10" t="s">
        <v>57</v>
      </c>
      <c r="I154" s="11" t="s">
        <v>54</v>
      </c>
      <c r="J154" s="11" t="s">
        <v>139</v>
      </c>
      <c r="K154" s="61" t="s">
        <v>140</v>
      </c>
      <c r="L154" s="11" t="s">
        <v>67</v>
      </c>
      <c r="M154" s="25"/>
      <c r="N154" s="54"/>
      <c r="O154" s="3" t="str">
        <f t="shared" si="40"/>
        <v>A</v>
      </c>
      <c r="P154" s="48">
        <v>167811.58</v>
      </c>
      <c r="Q154" s="48">
        <v>48341.71</v>
      </c>
      <c r="R154" s="32"/>
      <c r="S154" s="3" t="str">
        <f t="shared" si="32"/>
        <v>A</v>
      </c>
      <c r="T154" s="48">
        <v>152873.65</v>
      </c>
      <c r="U154" s="48">
        <v>39111</v>
      </c>
      <c r="V154" s="32"/>
      <c r="W154" s="3" t="str">
        <f t="shared" si="33"/>
        <v>A</v>
      </c>
      <c r="X154" s="48">
        <v>138134.6</v>
      </c>
      <c r="Y154" s="48">
        <v>39482.550000000003</v>
      </c>
      <c r="Z154" s="32"/>
      <c r="AA154" s="3" t="str">
        <f t="shared" si="34"/>
        <v>A</v>
      </c>
      <c r="AB154" s="48">
        <v>160108.20000000001</v>
      </c>
      <c r="AC154" s="48">
        <v>37917</v>
      </c>
      <c r="AD154" s="36"/>
      <c r="AE154" s="54"/>
      <c r="AF154" s="3" t="str">
        <f t="shared" si="35"/>
        <v>A</v>
      </c>
      <c r="AG154" s="48">
        <v>0</v>
      </c>
      <c r="AH154" s="48">
        <v>0</v>
      </c>
      <c r="AI154" s="39"/>
      <c r="AJ154" s="79" t="s">
        <v>1801</v>
      </c>
      <c r="AK154" s="39"/>
      <c r="AL154" s="4">
        <f t="shared" si="41"/>
        <v>618928.03</v>
      </c>
      <c r="AM154" s="4">
        <f t="shared" si="41"/>
        <v>164852.26</v>
      </c>
      <c r="AN154" s="4">
        <f t="shared" si="36"/>
        <v>783780.29</v>
      </c>
      <c r="AO154" s="39"/>
      <c r="AP154" s="8">
        <f t="shared" si="42"/>
        <v>0</v>
      </c>
      <c r="AQ154" s="8">
        <f t="shared" si="42"/>
        <v>0</v>
      </c>
      <c r="AR154" s="8">
        <f t="shared" si="37"/>
        <v>0</v>
      </c>
      <c r="AS154" s="42"/>
      <c r="AT154" s="48">
        <v>618928.02999999991</v>
      </c>
      <c r="AU154" s="48">
        <v>164852.26</v>
      </c>
      <c r="AV154" s="4">
        <f t="shared" si="38"/>
        <v>783780.28999999992</v>
      </c>
      <c r="AW154" s="50" t="str">
        <f t="shared" si="39"/>
        <v/>
      </c>
      <c r="AX154" s="1" t="s">
        <v>1639</v>
      </c>
      <c r="AY154" s="2" t="s">
        <v>1640</v>
      </c>
      <c r="AZ154" s="2">
        <v>157860.24</v>
      </c>
      <c r="BA154" s="73">
        <v>138127.71</v>
      </c>
      <c r="BB154" s="73">
        <v>138127.71</v>
      </c>
      <c r="BC154" s="73">
        <v>157860.24</v>
      </c>
      <c r="BD154" s="73"/>
      <c r="BE154" s="66">
        <v>2.5000000000000001E-2</v>
      </c>
      <c r="BF154" s="66">
        <v>0.02</v>
      </c>
      <c r="BG154" s="63">
        <v>45440</v>
      </c>
      <c r="BH154" s="2"/>
      <c r="BI154" s="2"/>
      <c r="BJ154" s="2"/>
      <c r="BK154" s="2"/>
      <c r="BL154" s="1" t="s">
        <v>56</v>
      </c>
    </row>
    <row r="155" spans="1:64" x14ac:dyDescent="0.25">
      <c r="A155" s="56" t="s">
        <v>299</v>
      </c>
      <c r="B155" s="54" t="s">
        <v>716</v>
      </c>
      <c r="C155" s="56" t="s">
        <v>717</v>
      </c>
      <c r="D155" s="16">
        <v>0</v>
      </c>
      <c r="E155" s="17"/>
      <c r="F155" s="2" t="s">
        <v>52</v>
      </c>
      <c r="G155" s="2" t="s">
        <v>55</v>
      </c>
      <c r="H155" s="10" t="s">
        <v>57</v>
      </c>
      <c r="I155" s="11" t="s">
        <v>54</v>
      </c>
      <c r="J155" s="11" t="s">
        <v>139</v>
      </c>
      <c r="K155" s="61" t="s">
        <v>140</v>
      </c>
      <c r="L155" s="11" t="s">
        <v>67</v>
      </c>
      <c r="M155" s="25"/>
      <c r="N155" s="54"/>
      <c r="O155" s="3" t="str">
        <f t="shared" si="40"/>
        <v>A</v>
      </c>
      <c r="P155" s="48">
        <v>42139</v>
      </c>
      <c r="Q155" s="48">
        <v>14426</v>
      </c>
      <c r="R155" s="32"/>
      <c r="S155" s="3" t="str">
        <f t="shared" si="32"/>
        <v>A</v>
      </c>
      <c r="T155" s="48">
        <v>34208</v>
      </c>
      <c r="U155" s="48">
        <v>12202</v>
      </c>
      <c r="V155" s="32"/>
      <c r="W155" s="3" t="str">
        <f t="shared" si="33"/>
        <v>A</v>
      </c>
      <c r="X155" s="48">
        <v>27448</v>
      </c>
      <c r="Y155" s="48">
        <v>9764</v>
      </c>
      <c r="Z155" s="32"/>
      <c r="AA155" s="3" t="str">
        <f t="shared" si="34"/>
        <v>A</v>
      </c>
      <c r="AB155" s="48">
        <v>30174</v>
      </c>
      <c r="AC155" s="48">
        <v>10725</v>
      </c>
      <c r="AD155" s="36"/>
      <c r="AE155" s="54"/>
      <c r="AF155" s="3" t="str">
        <f t="shared" si="35"/>
        <v>A</v>
      </c>
      <c r="AG155" s="48">
        <v>0</v>
      </c>
      <c r="AH155" s="48">
        <v>0</v>
      </c>
      <c r="AI155" s="39"/>
      <c r="AJ155" s="79" t="s">
        <v>1801</v>
      </c>
      <c r="AK155" s="39"/>
      <c r="AL155" s="4">
        <f t="shared" si="41"/>
        <v>133969</v>
      </c>
      <c r="AM155" s="4">
        <f t="shared" si="41"/>
        <v>47117</v>
      </c>
      <c r="AN155" s="4">
        <f t="shared" si="36"/>
        <v>181086</v>
      </c>
      <c r="AO155" s="39"/>
      <c r="AP155" s="8">
        <f t="shared" si="42"/>
        <v>0</v>
      </c>
      <c r="AQ155" s="8">
        <f t="shared" si="42"/>
        <v>0</v>
      </c>
      <c r="AR155" s="8">
        <f t="shared" si="37"/>
        <v>0</v>
      </c>
      <c r="AS155" s="42"/>
      <c r="AT155" s="48">
        <v>133969</v>
      </c>
      <c r="AU155" s="48">
        <v>47117</v>
      </c>
      <c r="AV155" s="4">
        <f t="shared" si="38"/>
        <v>181086</v>
      </c>
      <c r="AW155" s="50" t="str">
        <f t="shared" si="39"/>
        <v/>
      </c>
      <c r="AX155" s="1" t="s">
        <v>1639</v>
      </c>
      <c r="AY155" s="2" t="s">
        <v>1640</v>
      </c>
      <c r="AZ155" s="2">
        <v>15109.04</v>
      </c>
      <c r="BA155" s="73">
        <v>13220.41</v>
      </c>
      <c r="BB155" s="73">
        <v>13220.41</v>
      </c>
      <c r="BC155" s="73">
        <v>15109.04</v>
      </c>
      <c r="BD155" s="73"/>
      <c r="BE155" s="66">
        <v>0</v>
      </c>
      <c r="BF155" s="66">
        <v>0.02</v>
      </c>
      <c r="BG155" s="63">
        <v>45440</v>
      </c>
      <c r="BH155" s="2"/>
      <c r="BI155" s="2"/>
      <c r="BJ155" s="2"/>
      <c r="BK155" s="2"/>
      <c r="BL155" s="1" t="s">
        <v>56</v>
      </c>
    </row>
    <row r="156" spans="1:64" x14ac:dyDescent="0.25">
      <c r="A156" s="56" t="s">
        <v>301</v>
      </c>
      <c r="B156" s="54" t="s">
        <v>301</v>
      </c>
      <c r="C156" s="56" t="s">
        <v>302</v>
      </c>
      <c r="D156" s="16">
        <v>38250</v>
      </c>
      <c r="E156" s="17"/>
      <c r="F156" s="2" t="s">
        <v>294</v>
      </c>
      <c r="G156" s="2" t="s">
        <v>295</v>
      </c>
      <c r="H156" s="10" t="s">
        <v>98</v>
      </c>
      <c r="I156" s="11" t="s">
        <v>53</v>
      </c>
      <c r="J156" s="11" t="s">
        <v>296</v>
      </c>
      <c r="K156" s="61"/>
      <c r="L156" s="11" t="s">
        <v>67</v>
      </c>
      <c r="M156" s="25"/>
      <c r="N156" s="54"/>
      <c r="O156" s="3" t="str">
        <f t="shared" si="40"/>
        <v>A</v>
      </c>
      <c r="P156" s="48">
        <v>162468</v>
      </c>
      <c r="Q156" s="48">
        <v>13856</v>
      </c>
      <c r="R156" s="32"/>
      <c r="S156" s="3" t="str">
        <f t="shared" si="32"/>
        <v>A</v>
      </c>
      <c r="T156" s="48">
        <v>149153</v>
      </c>
      <c r="U156" s="48">
        <v>12900</v>
      </c>
      <c r="V156" s="32"/>
      <c r="W156" s="3" t="str">
        <f t="shared" si="33"/>
        <v>A</v>
      </c>
      <c r="X156" s="48">
        <v>142467</v>
      </c>
      <c r="Y156" s="48">
        <v>11801</v>
      </c>
      <c r="Z156" s="32"/>
      <c r="AA156" s="3" t="str">
        <f t="shared" si="34"/>
        <v>A</v>
      </c>
      <c r="AB156" s="48">
        <v>172744</v>
      </c>
      <c r="AC156" s="48">
        <v>10609</v>
      </c>
      <c r="AD156" s="36"/>
      <c r="AE156" s="54"/>
      <c r="AF156" s="3" t="str">
        <f t="shared" si="35"/>
        <v>A</v>
      </c>
      <c r="AG156" s="48">
        <v>0</v>
      </c>
      <c r="AH156" s="48">
        <v>0</v>
      </c>
      <c r="AI156" s="39"/>
      <c r="AJ156" s="79" t="s">
        <v>1801</v>
      </c>
      <c r="AK156" s="39"/>
      <c r="AL156" s="4">
        <f t="shared" si="41"/>
        <v>626832</v>
      </c>
      <c r="AM156" s="4">
        <f t="shared" si="41"/>
        <v>49166</v>
      </c>
      <c r="AN156" s="4">
        <f t="shared" si="36"/>
        <v>675998</v>
      </c>
      <c r="AO156" s="39"/>
      <c r="AP156" s="8">
        <f t="shared" si="42"/>
        <v>0</v>
      </c>
      <c r="AQ156" s="8">
        <f t="shared" si="42"/>
        <v>0</v>
      </c>
      <c r="AR156" s="8">
        <f t="shared" si="37"/>
        <v>0</v>
      </c>
      <c r="AS156" s="42"/>
      <c r="AT156" s="48">
        <v>626832</v>
      </c>
      <c r="AU156" s="48">
        <v>49166</v>
      </c>
      <c r="AV156" s="4">
        <f t="shared" si="38"/>
        <v>675998</v>
      </c>
      <c r="AW156" s="50" t="str">
        <f t="shared" si="39"/>
        <v/>
      </c>
      <c r="AX156" s="1" t="s">
        <v>1674</v>
      </c>
      <c r="AY156" s="2" t="s">
        <v>1675</v>
      </c>
      <c r="AZ156" s="2">
        <v>173182.07999999999</v>
      </c>
      <c r="BA156" s="73">
        <v>151534.32</v>
      </c>
      <c r="BB156" s="73">
        <v>151534.32</v>
      </c>
      <c r="BC156" s="73">
        <v>173182.07999999999</v>
      </c>
      <c r="BD156" s="73"/>
      <c r="BE156" s="66">
        <v>3.5000000000000003E-2</v>
      </c>
      <c r="BF156" s="66">
        <v>0.05</v>
      </c>
      <c r="BG156" s="63">
        <v>45555</v>
      </c>
      <c r="BH156" s="74">
        <v>43910</v>
      </c>
      <c r="BI156" s="74">
        <v>43965</v>
      </c>
      <c r="BJ156" s="2"/>
      <c r="BK156" s="2"/>
      <c r="BL156" s="1" t="s">
        <v>97</v>
      </c>
    </row>
    <row r="157" spans="1:64" x14ac:dyDescent="0.25">
      <c r="A157" s="56" t="s">
        <v>303</v>
      </c>
      <c r="B157" s="54" t="s">
        <v>303</v>
      </c>
      <c r="C157" s="56" t="s">
        <v>304</v>
      </c>
      <c r="D157" s="16">
        <v>38366</v>
      </c>
      <c r="E157" s="17"/>
      <c r="F157" s="2" t="s">
        <v>305</v>
      </c>
      <c r="G157" s="2" t="s">
        <v>306</v>
      </c>
      <c r="H157" s="10" t="s">
        <v>98</v>
      </c>
      <c r="I157" s="11" t="s">
        <v>53</v>
      </c>
      <c r="J157" s="11" t="s">
        <v>296</v>
      </c>
      <c r="K157" s="61"/>
      <c r="L157" s="11" t="s">
        <v>67</v>
      </c>
      <c r="M157" s="25"/>
      <c r="N157" s="54"/>
      <c r="O157" s="3" t="str">
        <f t="shared" si="40"/>
        <v>A</v>
      </c>
      <c r="P157" s="48">
        <v>383903</v>
      </c>
      <c r="Q157" s="48">
        <v>18423</v>
      </c>
      <c r="R157" s="32"/>
      <c r="S157" s="3" t="str">
        <f t="shared" si="32"/>
        <v>E</v>
      </c>
      <c r="T157" s="48">
        <v>190791.3</v>
      </c>
      <c r="U157" s="48">
        <v>10845.66</v>
      </c>
      <c r="V157" s="32"/>
      <c r="W157" s="3" t="str">
        <f t="shared" si="33"/>
        <v>A</v>
      </c>
      <c r="X157" s="48">
        <v>347741</v>
      </c>
      <c r="Y157" s="48">
        <v>17528</v>
      </c>
      <c r="Z157" s="32"/>
      <c r="AA157" s="3" t="str">
        <f t="shared" si="34"/>
        <v>A</v>
      </c>
      <c r="AB157" s="48">
        <v>410661</v>
      </c>
      <c r="AC157" s="48">
        <v>17552</v>
      </c>
      <c r="AD157" s="36"/>
      <c r="AE157" s="54"/>
      <c r="AF157" s="3" t="str">
        <f t="shared" si="35"/>
        <v>A</v>
      </c>
      <c r="AG157" s="48">
        <v>0</v>
      </c>
      <c r="AH157" s="48">
        <v>0</v>
      </c>
      <c r="AI157" s="39"/>
      <c r="AJ157" s="79" t="s">
        <v>38</v>
      </c>
      <c r="AK157" s="39"/>
      <c r="AL157" s="4">
        <f t="shared" si="41"/>
        <v>1142305</v>
      </c>
      <c r="AM157" s="4">
        <f t="shared" si="41"/>
        <v>53503</v>
      </c>
      <c r="AN157" s="4">
        <f t="shared" si="36"/>
        <v>1195808</v>
      </c>
      <c r="AO157" s="39"/>
      <c r="AP157" s="8">
        <f t="shared" si="42"/>
        <v>190791.3</v>
      </c>
      <c r="AQ157" s="8">
        <f t="shared" si="42"/>
        <v>10845.66</v>
      </c>
      <c r="AR157" s="8">
        <f t="shared" si="37"/>
        <v>201636.96</v>
      </c>
      <c r="AS157" s="42"/>
      <c r="AT157" s="48">
        <v>1142305</v>
      </c>
      <c r="AU157" s="48">
        <v>53503</v>
      </c>
      <c r="AV157" s="4">
        <f t="shared" si="38"/>
        <v>1195808</v>
      </c>
      <c r="AW157" s="50" t="str">
        <f t="shared" si="39"/>
        <v/>
      </c>
      <c r="AX157" s="1" t="s">
        <v>1676</v>
      </c>
      <c r="AY157" s="2" t="s">
        <v>1677</v>
      </c>
      <c r="AZ157" s="2">
        <v>218047.2</v>
      </c>
      <c r="BA157" s="73">
        <v>190791.3</v>
      </c>
      <c r="BB157" s="73">
        <v>190791.3</v>
      </c>
      <c r="BC157" s="73">
        <v>218047.2</v>
      </c>
      <c r="BD157" s="73"/>
      <c r="BE157" s="66">
        <v>3.5000000000000003E-2</v>
      </c>
      <c r="BF157" s="66">
        <v>0.05</v>
      </c>
      <c r="BG157" s="63">
        <v>45664</v>
      </c>
      <c r="BH157" s="2"/>
      <c r="BI157" s="2"/>
      <c r="BJ157" s="2"/>
      <c r="BK157" s="2"/>
      <c r="BL157" s="1" t="s">
        <v>237</v>
      </c>
    </row>
    <row r="158" spans="1:64" x14ac:dyDescent="0.25">
      <c r="A158" s="56" t="s">
        <v>303</v>
      </c>
      <c r="B158" s="54" t="s">
        <v>718</v>
      </c>
      <c r="C158" s="56" t="s">
        <v>719</v>
      </c>
      <c r="D158" s="16">
        <v>40482</v>
      </c>
      <c r="E158" s="17"/>
      <c r="F158" s="2" t="s">
        <v>305</v>
      </c>
      <c r="G158" s="2" t="s">
        <v>306</v>
      </c>
      <c r="H158" s="10" t="s">
        <v>98</v>
      </c>
      <c r="I158" s="11" t="s">
        <v>53</v>
      </c>
      <c r="J158" s="11" t="s">
        <v>296</v>
      </c>
      <c r="K158" s="61"/>
      <c r="L158" s="11" t="s">
        <v>67</v>
      </c>
      <c r="M158" s="25"/>
      <c r="N158" s="54"/>
      <c r="O158" s="3" t="str">
        <f t="shared" si="40"/>
        <v>A</v>
      </c>
      <c r="P158" s="48">
        <v>110260</v>
      </c>
      <c r="Q158" s="48">
        <v>5885</v>
      </c>
      <c r="R158" s="32"/>
      <c r="S158" s="3" t="str">
        <f t="shared" si="32"/>
        <v>E</v>
      </c>
      <c r="T158" s="48">
        <v>102717.58</v>
      </c>
      <c r="U158" s="48">
        <v>5731.11</v>
      </c>
      <c r="V158" s="32"/>
      <c r="W158" s="3" t="str">
        <f t="shared" si="33"/>
        <v>A</v>
      </c>
      <c r="X158" s="48">
        <v>88715</v>
      </c>
      <c r="Y158" s="48">
        <v>5113</v>
      </c>
      <c r="Z158" s="32"/>
      <c r="AA158" s="3" t="str">
        <f t="shared" si="34"/>
        <v>A</v>
      </c>
      <c r="AB158" s="48">
        <v>112302</v>
      </c>
      <c r="AC158" s="48">
        <v>5078</v>
      </c>
      <c r="AD158" s="36"/>
      <c r="AE158" s="54"/>
      <c r="AF158" s="3" t="str">
        <f t="shared" si="35"/>
        <v>A</v>
      </c>
      <c r="AG158" s="48">
        <v>0</v>
      </c>
      <c r="AH158" s="48">
        <v>0</v>
      </c>
      <c r="AI158" s="39"/>
      <c r="AJ158" s="79" t="s">
        <v>38</v>
      </c>
      <c r="AK158" s="39"/>
      <c r="AL158" s="4">
        <f t="shared" si="41"/>
        <v>311277</v>
      </c>
      <c r="AM158" s="4">
        <f t="shared" si="41"/>
        <v>16076</v>
      </c>
      <c r="AN158" s="4">
        <f t="shared" si="36"/>
        <v>327353</v>
      </c>
      <c r="AO158" s="39"/>
      <c r="AP158" s="8">
        <f t="shared" si="42"/>
        <v>102717.58</v>
      </c>
      <c r="AQ158" s="8">
        <f t="shared" si="42"/>
        <v>5731.11</v>
      </c>
      <c r="AR158" s="8">
        <f t="shared" si="37"/>
        <v>108448.69</v>
      </c>
      <c r="AS158" s="42"/>
      <c r="AT158" s="48">
        <v>311277</v>
      </c>
      <c r="AU158" s="48">
        <v>16076</v>
      </c>
      <c r="AV158" s="4">
        <f t="shared" si="38"/>
        <v>327353</v>
      </c>
      <c r="AW158" s="50" t="str">
        <f t="shared" si="39"/>
        <v/>
      </c>
      <c r="AX158" s="1" t="s">
        <v>1676</v>
      </c>
      <c r="AY158" s="2" t="s">
        <v>1677</v>
      </c>
      <c r="AZ158" s="2">
        <v>117391.52</v>
      </c>
      <c r="BA158" s="73">
        <v>102717.58</v>
      </c>
      <c r="BB158" s="73">
        <v>102717.58</v>
      </c>
      <c r="BC158" s="73">
        <v>117391.52</v>
      </c>
      <c r="BD158" s="73"/>
      <c r="BE158" s="66">
        <v>3.5000000000000003E-2</v>
      </c>
      <c r="BF158" s="66">
        <v>0.05</v>
      </c>
      <c r="BG158" s="63">
        <v>45664</v>
      </c>
      <c r="BH158" s="74">
        <v>44805</v>
      </c>
      <c r="BI158" s="74">
        <v>44870</v>
      </c>
      <c r="BJ158" s="2"/>
      <c r="BK158" s="2"/>
      <c r="BL158" s="1" t="s">
        <v>237</v>
      </c>
    </row>
    <row r="159" spans="1:64" x14ac:dyDescent="0.25">
      <c r="A159" s="56" t="s">
        <v>303</v>
      </c>
      <c r="B159" s="54" t="s">
        <v>720</v>
      </c>
      <c r="C159" s="56" t="s">
        <v>721</v>
      </c>
      <c r="D159" s="16">
        <v>40340</v>
      </c>
      <c r="E159" s="17"/>
      <c r="F159" s="2" t="s">
        <v>305</v>
      </c>
      <c r="G159" s="2" t="s">
        <v>306</v>
      </c>
      <c r="H159" s="10" t="s">
        <v>98</v>
      </c>
      <c r="I159" s="11" t="s">
        <v>53</v>
      </c>
      <c r="J159" s="11" t="s">
        <v>296</v>
      </c>
      <c r="K159" s="61"/>
      <c r="L159" s="11" t="s">
        <v>67</v>
      </c>
      <c r="M159" s="25"/>
      <c r="N159" s="54"/>
      <c r="O159" s="3" t="str">
        <f t="shared" si="40"/>
        <v>A</v>
      </c>
      <c r="P159" s="48">
        <v>138673</v>
      </c>
      <c r="Q159" s="48">
        <v>5225</v>
      </c>
      <c r="R159" s="32"/>
      <c r="S159" s="3" t="str">
        <f t="shared" si="32"/>
        <v>E</v>
      </c>
      <c r="T159" s="48">
        <v>72295.86</v>
      </c>
      <c r="U159" s="48">
        <v>6162.03</v>
      </c>
      <c r="V159" s="32"/>
      <c r="W159" s="3" t="str">
        <f t="shared" si="33"/>
        <v>A</v>
      </c>
      <c r="X159" s="48">
        <v>131242</v>
      </c>
      <c r="Y159" s="48">
        <v>8080</v>
      </c>
      <c r="Z159" s="32"/>
      <c r="AA159" s="3" t="str">
        <f t="shared" si="34"/>
        <v>A</v>
      </c>
      <c r="AB159" s="48">
        <v>151285</v>
      </c>
      <c r="AC159" s="48">
        <v>5125</v>
      </c>
      <c r="AD159" s="36"/>
      <c r="AE159" s="54"/>
      <c r="AF159" s="3" t="str">
        <f t="shared" si="35"/>
        <v>A</v>
      </c>
      <c r="AG159" s="48">
        <v>0</v>
      </c>
      <c r="AH159" s="48">
        <v>0</v>
      </c>
      <c r="AI159" s="39"/>
      <c r="AJ159" s="79" t="s">
        <v>38</v>
      </c>
      <c r="AK159" s="39"/>
      <c r="AL159" s="4">
        <f t="shared" si="41"/>
        <v>421200</v>
      </c>
      <c r="AM159" s="4">
        <f t="shared" si="41"/>
        <v>18430</v>
      </c>
      <c r="AN159" s="4">
        <f t="shared" si="36"/>
        <v>439630</v>
      </c>
      <c r="AO159" s="39"/>
      <c r="AP159" s="8">
        <f t="shared" si="42"/>
        <v>72295.86</v>
      </c>
      <c r="AQ159" s="8">
        <f t="shared" si="42"/>
        <v>6162.03</v>
      </c>
      <c r="AR159" s="8">
        <f t="shared" si="37"/>
        <v>78457.89</v>
      </c>
      <c r="AS159" s="42"/>
      <c r="AT159" s="48">
        <v>421200</v>
      </c>
      <c r="AU159" s="48">
        <v>18430</v>
      </c>
      <c r="AV159" s="4">
        <f t="shared" si="38"/>
        <v>439630</v>
      </c>
      <c r="AW159" s="50" t="str">
        <f t="shared" si="39"/>
        <v/>
      </c>
      <c r="AX159" s="1" t="s">
        <v>1676</v>
      </c>
      <c r="AY159" s="2" t="s">
        <v>1677</v>
      </c>
      <c r="AZ159" s="2">
        <v>82623.839999999997</v>
      </c>
      <c r="BA159" s="73">
        <v>72295.86</v>
      </c>
      <c r="BB159" s="73">
        <v>72295.86</v>
      </c>
      <c r="BC159" s="73">
        <v>82623.839999999997</v>
      </c>
      <c r="BD159" s="73"/>
      <c r="BE159" s="66">
        <v>3.5000000000000003E-2</v>
      </c>
      <c r="BF159" s="66">
        <v>0.05</v>
      </c>
      <c r="BG159" s="63">
        <v>45664</v>
      </c>
      <c r="BH159" s="74">
        <v>44325</v>
      </c>
      <c r="BI159" s="74">
        <v>44336</v>
      </c>
      <c r="BJ159" s="2"/>
      <c r="BK159" s="2"/>
      <c r="BL159" s="1" t="s">
        <v>237</v>
      </c>
    </row>
    <row r="160" spans="1:64" x14ac:dyDescent="0.25">
      <c r="A160" s="56" t="s">
        <v>307</v>
      </c>
      <c r="B160" s="54" t="s">
        <v>307</v>
      </c>
      <c r="C160" s="56" t="s">
        <v>308</v>
      </c>
      <c r="D160" s="16">
        <v>38523</v>
      </c>
      <c r="E160" s="17"/>
      <c r="F160" s="2" t="s">
        <v>309</v>
      </c>
      <c r="G160" s="2" t="s">
        <v>310</v>
      </c>
      <c r="H160" s="10" t="s">
        <v>105</v>
      </c>
      <c r="I160" s="11" t="s">
        <v>53</v>
      </c>
      <c r="J160" s="11" t="s">
        <v>312</v>
      </c>
      <c r="K160" s="61"/>
      <c r="L160" s="11" t="s">
        <v>67</v>
      </c>
      <c r="M160" s="25"/>
      <c r="N160" s="54"/>
      <c r="O160" s="3" t="str">
        <f t="shared" si="40"/>
        <v>A</v>
      </c>
      <c r="P160" s="48">
        <v>142224</v>
      </c>
      <c r="Q160" s="48">
        <v>15435</v>
      </c>
      <c r="R160" s="32"/>
      <c r="S160" s="3" t="str">
        <f t="shared" si="32"/>
        <v>A</v>
      </c>
      <c r="T160" s="48">
        <v>126669</v>
      </c>
      <c r="U160" s="48">
        <v>12675</v>
      </c>
      <c r="V160" s="32"/>
      <c r="W160" s="3" t="str">
        <f t="shared" si="33"/>
        <v>A</v>
      </c>
      <c r="X160" s="48">
        <v>119094</v>
      </c>
      <c r="Y160" s="48">
        <v>9665</v>
      </c>
      <c r="Z160" s="32"/>
      <c r="AA160" s="3" t="str">
        <f t="shared" si="34"/>
        <v>A</v>
      </c>
      <c r="AB160" s="48">
        <v>135026</v>
      </c>
      <c r="AC160" s="48">
        <v>10615</v>
      </c>
      <c r="AD160" s="36"/>
      <c r="AE160" s="54"/>
      <c r="AF160" s="3" t="str">
        <f t="shared" si="35"/>
        <v>A</v>
      </c>
      <c r="AG160" s="48">
        <v>0</v>
      </c>
      <c r="AH160" s="48">
        <v>0</v>
      </c>
      <c r="AI160" s="39"/>
      <c r="AJ160" s="79" t="s">
        <v>1801</v>
      </c>
      <c r="AK160" s="39"/>
      <c r="AL160" s="4">
        <f t="shared" si="41"/>
        <v>523013</v>
      </c>
      <c r="AM160" s="4">
        <f t="shared" si="41"/>
        <v>48390</v>
      </c>
      <c r="AN160" s="4">
        <f t="shared" si="36"/>
        <v>571403</v>
      </c>
      <c r="AO160" s="39"/>
      <c r="AP160" s="8">
        <f t="shared" si="42"/>
        <v>0</v>
      </c>
      <c r="AQ160" s="8">
        <f t="shared" si="42"/>
        <v>0</v>
      </c>
      <c r="AR160" s="8">
        <f t="shared" si="37"/>
        <v>0</v>
      </c>
      <c r="AS160" s="42"/>
      <c r="AT160" s="48">
        <v>523013</v>
      </c>
      <c r="AU160" s="48">
        <v>48390</v>
      </c>
      <c r="AV160" s="4">
        <f t="shared" si="38"/>
        <v>571403</v>
      </c>
      <c r="AW160" s="50" t="str">
        <f t="shared" si="39"/>
        <v/>
      </c>
      <c r="AX160" s="1" t="s">
        <v>1678</v>
      </c>
      <c r="AY160" s="2" t="s">
        <v>1679</v>
      </c>
      <c r="AZ160" s="2">
        <v>122630</v>
      </c>
      <c r="BA160" s="73">
        <v>107301.25</v>
      </c>
      <c r="BB160" s="73">
        <v>107301.25</v>
      </c>
      <c r="BC160" s="73">
        <v>122630</v>
      </c>
      <c r="BD160" s="73"/>
      <c r="BE160" s="66">
        <v>3.5000000000000003E-2</v>
      </c>
      <c r="BF160" s="66">
        <v>0.05</v>
      </c>
      <c r="BG160" s="63">
        <v>45826</v>
      </c>
      <c r="BH160" s="2"/>
      <c r="BI160" s="2"/>
      <c r="BJ160" s="2"/>
      <c r="BK160" s="2"/>
      <c r="BL160" s="1" t="s">
        <v>311</v>
      </c>
    </row>
    <row r="161" spans="1:64" x14ac:dyDescent="0.25">
      <c r="A161" s="56" t="s">
        <v>313</v>
      </c>
      <c r="B161" s="54" t="s">
        <v>313</v>
      </c>
      <c r="C161" s="56" t="s">
        <v>314</v>
      </c>
      <c r="D161" s="16">
        <v>38583</v>
      </c>
      <c r="E161" s="17"/>
      <c r="F161" s="2" t="s">
        <v>154</v>
      </c>
      <c r="G161" s="2" t="s">
        <v>155</v>
      </c>
      <c r="H161" s="10" t="s">
        <v>57</v>
      </c>
      <c r="I161" s="11" t="s">
        <v>53</v>
      </c>
      <c r="J161" s="11" t="s">
        <v>156</v>
      </c>
      <c r="K161" s="61"/>
      <c r="L161" s="11" t="s">
        <v>67</v>
      </c>
      <c r="M161" s="25"/>
      <c r="N161" s="54"/>
      <c r="O161" s="3" t="str">
        <f t="shared" si="40"/>
        <v>A</v>
      </c>
      <c r="P161" s="48">
        <v>368113</v>
      </c>
      <c r="Q161" s="48">
        <v>41648</v>
      </c>
      <c r="R161" s="32"/>
      <c r="S161" s="3" t="str">
        <f t="shared" si="32"/>
        <v>A</v>
      </c>
      <c r="T161" s="48">
        <v>314426</v>
      </c>
      <c r="U161" s="48">
        <v>30628</v>
      </c>
      <c r="V161" s="32"/>
      <c r="W161" s="3" t="str">
        <f t="shared" si="33"/>
        <v>A</v>
      </c>
      <c r="X161" s="48">
        <v>293605</v>
      </c>
      <c r="Y161" s="48">
        <v>25912</v>
      </c>
      <c r="Z161" s="32"/>
      <c r="AA161" s="3" t="str">
        <f t="shared" si="34"/>
        <v>A</v>
      </c>
      <c r="AB161" s="48">
        <v>331721</v>
      </c>
      <c r="AC161" s="48">
        <v>36517</v>
      </c>
      <c r="AD161" s="36"/>
      <c r="AE161" s="54"/>
      <c r="AF161" s="3" t="str">
        <f t="shared" si="35"/>
        <v>A</v>
      </c>
      <c r="AG161" s="48">
        <v>0</v>
      </c>
      <c r="AH161" s="48">
        <v>0</v>
      </c>
      <c r="AI161" s="39"/>
      <c r="AJ161" s="79" t="s">
        <v>1801</v>
      </c>
      <c r="AK161" s="39"/>
      <c r="AL161" s="4">
        <f t="shared" si="41"/>
        <v>1307865</v>
      </c>
      <c r="AM161" s="4">
        <f t="shared" si="41"/>
        <v>134705</v>
      </c>
      <c r="AN161" s="4">
        <f t="shared" si="36"/>
        <v>1442570</v>
      </c>
      <c r="AO161" s="39"/>
      <c r="AP161" s="8">
        <f t="shared" si="42"/>
        <v>0</v>
      </c>
      <c r="AQ161" s="8">
        <f t="shared" si="42"/>
        <v>0</v>
      </c>
      <c r="AR161" s="8">
        <f t="shared" si="37"/>
        <v>0</v>
      </c>
      <c r="AS161" s="42"/>
      <c r="AT161" s="48">
        <v>1307865</v>
      </c>
      <c r="AU161" s="48">
        <v>134705</v>
      </c>
      <c r="AV161" s="4">
        <f t="shared" si="38"/>
        <v>1442570</v>
      </c>
      <c r="AW161" s="50" t="str">
        <f t="shared" si="39"/>
        <v/>
      </c>
      <c r="AX161" s="1" t="s">
        <v>1652</v>
      </c>
      <c r="AY161" s="2" t="s">
        <v>1653</v>
      </c>
      <c r="AZ161" s="2">
        <v>300327.44</v>
      </c>
      <c r="BA161" s="73">
        <v>262786.51</v>
      </c>
      <c r="BB161" s="73">
        <v>262786.51</v>
      </c>
      <c r="BC161" s="73">
        <v>300327.44</v>
      </c>
      <c r="BD161" s="73"/>
      <c r="BE161" s="66">
        <v>3.5000000000000003E-2</v>
      </c>
      <c r="BF161" s="66">
        <v>0.05</v>
      </c>
      <c r="BG161" s="63">
        <v>44062</v>
      </c>
      <c r="BH161" s="74">
        <v>43919</v>
      </c>
      <c r="BI161" s="74">
        <v>43934</v>
      </c>
      <c r="BJ161" s="2"/>
      <c r="BK161" s="2"/>
      <c r="BL161" s="1" t="s">
        <v>56</v>
      </c>
    </row>
    <row r="162" spans="1:64" x14ac:dyDescent="0.25">
      <c r="A162" s="56" t="s">
        <v>315</v>
      </c>
      <c r="B162" s="54" t="s">
        <v>315</v>
      </c>
      <c r="C162" s="56" t="s">
        <v>316</v>
      </c>
      <c r="D162" s="16">
        <v>39295</v>
      </c>
      <c r="E162" s="17">
        <v>45821</v>
      </c>
      <c r="F162" s="2" t="s">
        <v>317</v>
      </c>
      <c r="G162" s="2" t="s">
        <v>318</v>
      </c>
      <c r="H162" s="10" t="s">
        <v>57</v>
      </c>
      <c r="I162" s="11" t="s">
        <v>53</v>
      </c>
      <c r="J162" s="11" t="s">
        <v>319</v>
      </c>
      <c r="K162" s="61"/>
      <c r="L162" s="11" t="s">
        <v>67</v>
      </c>
      <c r="M162" s="25"/>
      <c r="N162" s="54"/>
      <c r="O162" s="3" t="str">
        <f t="shared" si="40"/>
        <v>A</v>
      </c>
      <c r="P162" s="48">
        <v>56218</v>
      </c>
      <c r="Q162" s="48">
        <v>4862</v>
      </c>
      <c r="R162" s="32"/>
      <c r="S162" s="3" t="str">
        <f t="shared" si="32"/>
        <v>A</v>
      </c>
      <c r="T162" s="48">
        <v>34105</v>
      </c>
      <c r="U162" s="48">
        <v>3005</v>
      </c>
      <c r="V162" s="32"/>
      <c r="W162" s="3" t="str">
        <f t="shared" si="33"/>
        <v>A</v>
      </c>
      <c r="X162" s="48">
        <v>0</v>
      </c>
      <c r="Y162" s="48">
        <v>0</v>
      </c>
      <c r="Z162" s="32"/>
      <c r="AA162" s="3" t="str">
        <f t="shared" si="34"/>
        <v>A</v>
      </c>
      <c r="AB162" s="48">
        <v>0</v>
      </c>
      <c r="AC162" s="48">
        <v>0</v>
      </c>
      <c r="AD162" s="36"/>
      <c r="AE162" s="54"/>
      <c r="AF162" s="3" t="str">
        <f t="shared" si="35"/>
        <v>A</v>
      </c>
      <c r="AG162" s="48">
        <v>0</v>
      </c>
      <c r="AH162" s="48">
        <v>0</v>
      </c>
      <c r="AI162" s="39"/>
      <c r="AJ162" s="79" t="s">
        <v>1801</v>
      </c>
      <c r="AK162" s="39"/>
      <c r="AL162" s="4">
        <f t="shared" si="41"/>
        <v>90323</v>
      </c>
      <c r="AM162" s="4">
        <f t="shared" si="41"/>
        <v>7867</v>
      </c>
      <c r="AN162" s="4">
        <f t="shared" si="36"/>
        <v>98190</v>
      </c>
      <c r="AO162" s="39"/>
      <c r="AP162" s="8">
        <f t="shared" si="42"/>
        <v>0</v>
      </c>
      <c r="AQ162" s="8">
        <f t="shared" si="42"/>
        <v>0</v>
      </c>
      <c r="AR162" s="8">
        <f t="shared" si="37"/>
        <v>0</v>
      </c>
      <c r="AS162" s="42"/>
      <c r="AT162" s="48">
        <v>90323</v>
      </c>
      <c r="AU162" s="48">
        <v>7867</v>
      </c>
      <c r="AV162" s="4">
        <f t="shared" si="38"/>
        <v>98190</v>
      </c>
      <c r="AW162" s="50" t="str">
        <f t="shared" si="39"/>
        <v/>
      </c>
      <c r="AX162" s="1" t="s">
        <v>1680</v>
      </c>
      <c r="AY162" s="2" t="s">
        <v>1681</v>
      </c>
      <c r="AZ162" s="2">
        <v>205243.04</v>
      </c>
      <c r="BA162" s="73">
        <v>179587.66</v>
      </c>
      <c r="BB162" s="73"/>
      <c r="BC162" s="73"/>
      <c r="BD162" s="73"/>
      <c r="BE162" s="66">
        <v>3.5000000000000003E-2</v>
      </c>
      <c r="BF162" s="66">
        <v>0.05</v>
      </c>
      <c r="BG162" s="63">
        <v>44774</v>
      </c>
      <c r="BH162" s="2"/>
      <c r="BI162" s="2"/>
      <c r="BJ162" s="2"/>
      <c r="BK162" s="2"/>
      <c r="BL162" s="1" t="s">
        <v>56</v>
      </c>
    </row>
    <row r="163" spans="1:64" x14ac:dyDescent="0.25">
      <c r="A163" s="56" t="s">
        <v>315</v>
      </c>
      <c r="B163" s="54" t="s">
        <v>727</v>
      </c>
      <c r="C163" s="56" t="s">
        <v>728</v>
      </c>
      <c r="D163" s="16">
        <v>43146</v>
      </c>
      <c r="E163" s="17">
        <v>45821</v>
      </c>
      <c r="F163" s="2" t="s">
        <v>317</v>
      </c>
      <c r="G163" s="2" t="s">
        <v>318</v>
      </c>
      <c r="H163" s="10" t="s">
        <v>57</v>
      </c>
      <c r="I163" s="11" t="s">
        <v>53</v>
      </c>
      <c r="J163" s="11" t="s">
        <v>319</v>
      </c>
      <c r="K163" s="61"/>
      <c r="L163" s="11" t="s">
        <v>67</v>
      </c>
      <c r="M163" s="25"/>
      <c r="N163" s="54"/>
      <c r="O163" s="3" t="str">
        <f t="shared" si="40"/>
        <v>A</v>
      </c>
      <c r="P163" s="48"/>
      <c r="Q163" s="48"/>
      <c r="R163" s="32"/>
      <c r="S163" s="3" t="str">
        <f t="shared" si="32"/>
        <v>A</v>
      </c>
      <c r="T163" s="48"/>
      <c r="U163" s="48"/>
      <c r="V163" s="32"/>
      <c r="W163" s="3" t="str">
        <f t="shared" si="33"/>
        <v>A</v>
      </c>
      <c r="X163" s="48"/>
      <c r="Y163" s="48"/>
      <c r="Z163" s="32"/>
      <c r="AA163" s="3" t="str">
        <f t="shared" si="34"/>
        <v>A</v>
      </c>
      <c r="AB163" s="48"/>
      <c r="AC163" s="48"/>
      <c r="AD163" s="36"/>
      <c r="AE163" s="54"/>
      <c r="AF163" s="3" t="str">
        <f t="shared" si="35"/>
        <v>A</v>
      </c>
      <c r="AG163" s="48"/>
      <c r="AH163" s="48"/>
      <c r="AI163" s="39"/>
      <c r="AJ163" s="79" t="s">
        <v>1801</v>
      </c>
      <c r="AK163" s="39"/>
      <c r="AL163" s="4">
        <f t="shared" si="41"/>
        <v>0</v>
      </c>
      <c r="AM163" s="4">
        <f t="shared" si="41"/>
        <v>0</v>
      </c>
      <c r="AN163" s="4">
        <f t="shared" si="36"/>
        <v>0</v>
      </c>
      <c r="AO163" s="39"/>
      <c r="AP163" s="8">
        <f t="shared" si="42"/>
        <v>0</v>
      </c>
      <c r="AQ163" s="8">
        <f t="shared" si="42"/>
        <v>0</v>
      </c>
      <c r="AR163" s="8">
        <f t="shared" si="37"/>
        <v>0</v>
      </c>
      <c r="AS163" s="42"/>
      <c r="AT163" s="48"/>
      <c r="AU163" s="48"/>
      <c r="AV163" s="4">
        <f t="shared" si="38"/>
        <v>0</v>
      </c>
      <c r="AW163" s="50" t="str">
        <f t="shared" si="39"/>
        <v/>
      </c>
      <c r="AX163" s="1" t="s">
        <v>1680</v>
      </c>
      <c r="AY163" s="2" t="s">
        <v>1681</v>
      </c>
      <c r="AZ163" s="2"/>
      <c r="BA163" s="73"/>
      <c r="BB163" s="73"/>
      <c r="BC163" s="73"/>
      <c r="BD163" s="73"/>
      <c r="BE163" s="66">
        <v>0.04</v>
      </c>
      <c r="BF163" s="66">
        <v>0.05</v>
      </c>
      <c r="BG163" s="63">
        <v>44774</v>
      </c>
      <c r="BH163" s="74">
        <v>45658</v>
      </c>
      <c r="BI163" s="2"/>
      <c r="BJ163" s="2"/>
      <c r="BK163" s="2"/>
      <c r="BL163" s="1" t="s">
        <v>56</v>
      </c>
    </row>
    <row r="164" spans="1:64" x14ac:dyDescent="0.25">
      <c r="A164" s="56" t="s">
        <v>315</v>
      </c>
      <c r="B164" s="54" t="s">
        <v>729</v>
      </c>
      <c r="C164" s="56" t="s">
        <v>730</v>
      </c>
      <c r="D164" s="16">
        <v>41902</v>
      </c>
      <c r="E164" s="17">
        <v>45821</v>
      </c>
      <c r="F164" s="2" t="s">
        <v>317</v>
      </c>
      <c r="G164" s="2" t="s">
        <v>318</v>
      </c>
      <c r="H164" s="10" t="s">
        <v>57</v>
      </c>
      <c r="I164" s="11" t="s">
        <v>53</v>
      </c>
      <c r="J164" s="11" t="s">
        <v>319</v>
      </c>
      <c r="K164" s="61"/>
      <c r="L164" s="11" t="s">
        <v>67</v>
      </c>
      <c r="M164" s="25"/>
      <c r="N164" s="54"/>
      <c r="O164" s="3" t="str">
        <f t="shared" si="40"/>
        <v>A</v>
      </c>
      <c r="P164" s="48">
        <v>21433</v>
      </c>
      <c r="Q164" s="48">
        <v>2974</v>
      </c>
      <c r="R164" s="32"/>
      <c r="S164" s="3" t="str">
        <f t="shared" si="32"/>
        <v>A</v>
      </c>
      <c r="T164" s="48">
        <v>13289</v>
      </c>
      <c r="U164" s="48">
        <v>1813</v>
      </c>
      <c r="V164" s="32"/>
      <c r="W164" s="3" t="str">
        <f t="shared" si="33"/>
        <v>A</v>
      </c>
      <c r="X164" s="48">
        <v>0</v>
      </c>
      <c r="Y164" s="48">
        <v>0</v>
      </c>
      <c r="Z164" s="32"/>
      <c r="AA164" s="3" t="str">
        <f t="shared" si="34"/>
        <v>A</v>
      </c>
      <c r="AB164" s="48">
        <v>0</v>
      </c>
      <c r="AC164" s="48">
        <v>0</v>
      </c>
      <c r="AD164" s="36"/>
      <c r="AE164" s="54"/>
      <c r="AF164" s="3" t="str">
        <f t="shared" si="35"/>
        <v>A</v>
      </c>
      <c r="AG164" s="48">
        <v>0</v>
      </c>
      <c r="AH164" s="48">
        <v>0</v>
      </c>
      <c r="AI164" s="39"/>
      <c r="AJ164" s="79" t="s">
        <v>1801</v>
      </c>
      <c r="AK164" s="39"/>
      <c r="AL164" s="4">
        <f t="shared" si="41"/>
        <v>34722</v>
      </c>
      <c r="AM164" s="4">
        <f t="shared" si="41"/>
        <v>4787</v>
      </c>
      <c r="AN164" s="4">
        <f t="shared" si="36"/>
        <v>39509</v>
      </c>
      <c r="AO164" s="39"/>
      <c r="AP164" s="8">
        <f t="shared" si="42"/>
        <v>0</v>
      </c>
      <c r="AQ164" s="8">
        <f t="shared" si="42"/>
        <v>0</v>
      </c>
      <c r="AR164" s="8">
        <f t="shared" si="37"/>
        <v>0</v>
      </c>
      <c r="AS164" s="42"/>
      <c r="AT164" s="48">
        <v>34722</v>
      </c>
      <c r="AU164" s="48">
        <v>4787</v>
      </c>
      <c r="AV164" s="4">
        <f t="shared" si="38"/>
        <v>39509</v>
      </c>
      <c r="AW164" s="50" t="str">
        <f t="shared" si="39"/>
        <v/>
      </c>
      <c r="AX164" s="1" t="s">
        <v>1680</v>
      </c>
      <c r="AY164" s="2" t="s">
        <v>1681</v>
      </c>
      <c r="AZ164" s="2">
        <v>54254.879999999997</v>
      </c>
      <c r="BA164" s="73">
        <v>47473.02</v>
      </c>
      <c r="BB164" s="73"/>
      <c r="BC164" s="73"/>
      <c r="BD164" s="73"/>
      <c r="BE164" s="66">
        <v>3.5000000000000003E-2</v>
      </c>
      <c r="BF164" s="66">
        <v>0.05</v>
      </c>
      <c r="BG164" s="63">
        <v>44774</v>
      </c>
      <c r="BH164" s="2"/>
      <c r="BI164" s="2"/>
      <c r="BJ164" s="2"/>
      <c r="BK164" s="2"/>
      <c r="BL164" s="1" t="s">
        <v>56</v>
      </c>
    </row>
    <row r="165" spans="1:64" x14ac:dyDescent="0.25">
      <c r="A165" s="56" t="s">
        <v>320</v>
      </c>
      <c r="B165" s="54" t="s">
        <v>320</v>
      </c>
      <c r="C165" s="56" t="s">
        <v>321</v>
      </c>
      <c r="D165" s="16">
        <v>38620</v>
      </c>
      <c r="E165" s="17"/>
      <c r="F165" s="2" t="s">
        <v>52</v>
      </c>
      <c r="G165" s="2" t="s">
        <v>55</v>
      </c>
      <c r="H165" s="10" t="s">
        <v>57</v>
      </c>
      <c r="I165" s="11" t="s">
        <v>54</v>
      </c>
      <c r="J165" s="11" t="s">
        <v>131</v>
      </c>
      <c r="K165" s="61" t="s">
        <v>132</v>
      </c>
      <c r="L165" s="11" t="s">
        <v>67</v>
      </c>
      <c r="M165" s="25"/>
      <c r="N165" s="54"/>
      <c r="O165" s="3" t="str">
        <f t="shared" si="40"/>
        <v>A</v>
      </c>
      <c r="P165" s="48">
        <v>86188.9</v>
      </c>
      <c r="Q165" s="48">
        <v>15257</v>
      </c>
      <c r="R165" s="32"/>
      <c r="S165" s="3" t="str">
        <f t="shared" si="32"/>
        <v>A</v>
      </c>
      <c r="T165" s="48">
        <v>78384.3</v>
      </c>
      <c r="U165" s="48">
        <v>14813</v>
      </c>
      <c r="V165" s="32"/>
      <c r="W165" s="3" t="str">
        <f t="shared" si="33"/>
        <v>A</v>
      </c>
      <c r="X165" s="48">
        <v>76389.55</v>
      </c>
      <c r="Y165" s="48">
        <v>13881</v>
      </c>
      <c r="Z165" s="32"/>
      <c r="AA165" s="3" t="str">
        <f t="shared" si="34"/>
        <v>A</v>
      </c>
      <c r="AB165" s="48">
        <v>94161.7</v>
      </c>
      <c r="AC165" s="48">
        <v>13422</v>
      </c>
      <c r="AD165" s="36"/>
      <c r="AE165" s="54"/>
      <c r="AF165" s="3" t="str">
        <f t="shared" si="35"/>
        <v>A</v>
      </c>
      <c r="AG165" s="48">
        <v>0</v>
      </c>
      <c r="AH165" s="48">
        <v>0</v>
      </c>
      <c r="AI165" s="39"/>
      <c r="AJ165" s="79" t="s">
        <v>1801</v>
      </c>
      <c r="AK165" s="39"/>
      <c r="AL165" s="4">
        <f t="shared" si="41"/>
        <v>335124.45</v>
      </c>
      <c r="AM165" s="4">
        <f t="shared" si="41"/>
        <v>57373</v>
      </c>
      <c r="AN165" s="4">
        <f t="shared" si="36"/>
        <v>392497.45</v>
      </c>
      <c r="AO165" s="39"/>
      <c r="AP165" s="8">
        <f t="shared" si="42"/>
        <v>0</v>
      </c>
      <c r="AQ165" s="8">
        <f t="shared" si="42"/>
        <v>0</v>
      </c>
      <c r="AR165" s="8">
        <f t="shared" si="37"/>
        <v>0</v>
      </c>
      <c r="AS165" s="42"/>
      <c r="AT165" s="48">
        <v>335124.45</v>
      </c>
      <c r="AU165" s="48">
        <v>57373</v>
      </c>
      <c r="AV165" s="4">
        <f t="shared" si="38"/>
        <v>392497.45</v>
      </c>
      <c r="AW165" s="50" t="str">
        <f t="shared" si="39"/>
        <v/>
      </c>
      <c r="AX165" s="1" t="s">
        <v>1639</v>
      </c>
      <c r="AY165" s="2" t="s">
        <v>1640</v>
      </c>
      <c r="AZ165" s="2">
        <v>143841.60000000001</v>
      </c>
      <c r="BA165" s="73">
        <v>125861.4</v>
      </c>
      <c r="BB165" s="73">
        <v>125861.4</v>
      </c>
      <c r="BC165" s="73">
        <v>143841.60000000001</v>
      </c>
      <c r="BD165" s="73"/>
      <c r="BE165" s="66">
        <v>2.5000000000000001E-2</v>
      </c>
      <c r="BF165" s="66">
        <v>0.02</v>
      </c>
      <c r="BG165" s="63">
        <v>44092</v>
      </c>
      <c r="BH165" s="2"/>
      <c r="BI165" s="2"/>
      <c r="BJ165" s="2"/>
      <c r="BK165" s="2"/>
      <c r="BL165" s="1" t="s">
        <v>56</v>
      </c>
    </row>
    <row r="166" spans="1:64" x14ac:dyDescent="0.25">
      <c r="A166" s="56" t="s">
        <v>322</v>
      </c>
      <c r="B166" s="54" t="s">
        <v>322</v>
      </c>
      <c r="C166" s="56" t="s">
        <v>323</v>
      </c>
      <c r="D166" s="16">
        <v>39721</v>
      </c>
      <c r="E166" s="17"/>
      <c r="F166" s="2" t="s">
        <v>324</v>
      </c>
      <c r="G166" s="2" t="s">
        <v>325</v>
      </c>
      <c r="H166" s="10" t="s">
        <v>98</v>
      </c>
      <c r="I166" s="11" t="s">
        <v>53</v>
      </c>
      <c r="J166" s="11" t="s">
        <v>265</v>
      </c>
      <c r="K166" s="61"/>
      <c r="L166" s="11" t="s">
        <v>67</v>
      </c>
      <c r="M166" s="25"/>
      <c r="N166" s="54"/>
      <c r="O166" s="3" t="str">
        <f t="shared" si="40"/>
        <v>A</v>
      </c>
      <c r="P166" s="48">
        <v>221122</v>
      </c>
      <c r="Q166" s="48">
        <v>13270</v>
      </c>
      <c r="R166" s="32"/>
      <c r="S166" s="3" t="str">
        <f t="shared" si="32"/>
        <v>A</v>
      </c>
      <c r="T166" s="48">
        <v>176559</v>
      </c>
      <c r="U166" s="48">
        <v>13177</v>
      </c>
      <c r="V166" s="32"/>
      <c r="W166" s="3" t="str">
        <f t="shared" si="33"/>
        <v>A</v>
      </c>
      <c r="X166" s="48">
        <v>170976</v>
      </c>
      <c r="Y166" s="48">
        <v>14141</v>
      </c>
      <c r="Z166" s="32"/>
      <c r="AA166" s="3" t="str">
        <f t="shared" si="34"/>
        <v>A</v>
      </c>
      <c r="AB166" s="48">
        <v>211556</v>
      </c>
      <c r="AC166" s="48">
        <v>15440</v>
      </c>
      <c r="AD166" s="36"/>
      <c r="AE166" s="54"/>
      <c r="AF166" s="3" t="str">
        <f t="shared" si="35"/>
        <v>A</v>
      </c>
      <c r="AG166" s="48">
        <v>0</v>
      </c>
      <c r="AH166" s="48">
        <v>0</v>
      </c>
      <c r="AI166" s="39"/>
      <c r="AJ166" s="79" t="s">
        <v>1801</v>
      </c>
      <c r="AK166" s="39"/>
      <c r="AL166" s="4">
        <f t="shared" si="41"/>
        <v>780213</v>
      </c>
      <c r="AM166" s="4">
        <f t="shared" si="41"/>
        <v>56028</v>
      </c>
      <c r="AN166" s="4">
        <f t="shared" si="36"/>
        <v>836241</v>
      </c>
      <c r="AO166" s="39"/>
      <c r="AP166" s="8">
        <f t="shared" si="42"/>
        <v>0</v>
      </c>
      <c r="AQ166" s="8">
        <f t="shared" si="42"/>
        <v>0</v>
      </c>
      <c r="AR166" s="8">
        <f t="shared" si="37"/>
        <v>0</v>
      </c>
      <c r="AS166" s="42"/>
      <c r="AT166" s="48">
        <v>780213</v>
      </c>
      <c r="AU166" s="48">
        <v>56028</v>
      </c>
      <c r="AV166" s="4">
        <f t="shared" si="38"/>
        <v>836241</v>
      </c>
      <c r="AW166" s="50" t="str">
        <f t="shared" si="39"/>
        <v/>
      </c>
      <c r="AX166" s="1" t="s">
        <v>1682</v>
      </c>
      <c r="AY166" s="2" t="s">
        <v>1683</v>
      </c>
      <c r="AZ166" s="2">
        <v>162177.76</v>
      </c>
      <c r="BA166" s="73">
        <v>141905.54</v>
      </c>
      <c r="BB166" s="73">
        <v>141905.54</v>
      </c>
      <c r="BC166" s="73">
        <v>162177.76</v>
      </c>
      <c r="BD166" s="73"/>
      <c r="BE166" s="66">
        <v>4.4999999999999998E-2</v>
      </c>
      <c r="BF166" s="66">
        <v>0.05</v>
      </c>
      <c r="BG166" s="63">
        <v>45199</v>
      </c>
      <c r="BH166" s="74">
        <v>43906</v>
      </c>
      <c r="BI166" s="74">
        <v>43967</v>
      </c>
      <c r="BJ166" s="2"/>
      <c r="BK166" s="2"/>
      <c r="BL166" s="1" t="s">
        <v>97</v>
      </c>
    </row>
    <row r="167" spans="1:64" x14ac:dyDescent="0.25">
      <c r="A167" s="56" t="s">
        <v>326</v>
      </c>
      <c r="B167" s="54" t="s">
        <v>326</v>
      </c>
      <c r="C167" s="56" t="s">
        <v>327</v>
      </c>
      <c r="D167" s="16">
        <v>38705</v>
      </c>
      <c r="E167" s="17"/>
      <c r="F167" s="2" t="s">
        <v>328</v>
      </c>
      <c r="G167" s="2" t="s">
        <v>329</v>
      </c>
      <c r="H167" s="10" t="s">
        <v>105</v>
      </c>
      <c r="I167" s="11" t="s">
        <v>53</v>
      </c>
      <c r="J167" s="11" t="s">
        <v>145</v>
      </c>
      <c r="K167" s="61"/>
      <c r="L167" s="11" t="s">
        <v>67</v>
      </c>
      <c r="M167" s="25"/>
      <c r="N167" s="54"/>
      <c r="O167" s="3" t="str">
        <f t="shared" si="40"/>
        <v>E</v>
      </c>
      <c r="P167" s="48">
        <v>149453.51999999999</v>
      </c>
      <c r="Q167" s="48">
        <v>26237.759999999998</v>
      </c>
      <c r="R167" s="32"/>
      <c r="S167" s="3" t="str">
        <f t="shared" si="32"/>
        <v>E</v>
      </c>
      <c r="T167" s="48">
        <v>130771.83</v>
      </c>
      <c r="U167" s="48">
        <v>22958.04</v>
      </c>
      <c r="V167" s="32"/>
      <c r="W167" s="3" t="str">
        <f t="shared" si="33"/>
        <v>E</v>
      </c>
      <c r="X167" s="48">
        <v>130771.83</v>
      </c>
      <c r="Y167" s="48">
        <v>22958.04</v>
      </c>
      <c r="Z167" s="32"/>
      <c r="AA167" s="3" t="str">
        <f t="shared" si="34"/>
        <v>E</v>
      </c>
      <c r="AB167" s="48">
        <v>149453.51999999999</v>
      </c>
      <c r="AC167" s="48">
        <v>26237.759999999998</v>
      </c>
      <c r="AD167" s="36"/>
      <c r="AE167" s="54"/>
      <c r="AF167" s="3" t="str">
        <f t="shared" si="35"/>
        <v>A</v>
      </c>
      <c r="AG167" s="48"/>
      <c r="AH167" s="48"/>
      <c r="AI167" s="39"/>
      <c r="AJ167" s="79" t="s">
        <v>38</v>
      </c>
      <c r="AK167" s="39"/>
      <c r="AL167" s="4">
        <f t="shared" si="41"/>
        <v>0</v>
      </c>
      <c r="AM167" s="4">
        <f t="shared" si="41"/>
        <v>0</v>
      </c>
      <c r="AN167" s="4">
        <f t="shared" si="36"/>
        <v>0</v>
      </c>
      <c r="AO167" s="39"/>
      <c r="AP167" s="8">
        <f t="shared" si="42"/>
        <v>560450.69999999995</v>
      </c>
      <c r="AQ167" s="8">
        <f t="shared" si="42"/>
        <v>98391.599999999991</v>
      </c>
      <c r="AR167" s="8">
        <f t="shared" si="37"/>
        <v>658842.29999999993</v>
      </c>
      <c r="AS167" s="42"/>
      <c r="AT167" s="48"/>
      <c r="AU167" s="48"/>
      <c r="AV167" s="4">
        <f t="shared" si="38"/>
        <v>0</v>
      </c>
      <c r="AW167" s="50" t="str">
        <f t="shared" si="39"/>
        <v/>
      </c>
      <c r="AX167" s="1" t="s">
        <v>1684</v>
      </c>
      <c r="AY167" s="2" t="s">
        <v>1685</v>
      </c>
      <c r="AZ167" s="2">
        <v>149453.51999999999</v>
      </c>
      <c r="BA167" s="73">
        <v>130771.83</v>
      </c>
      <c r="BB167" s="73">
        <v>130771.83</v>
      </c>
      <c r="BC167" s="73">
        <v>149453.51999999999</v>
      </c>
      <c r="BD167" s="73"/>
      <c r="BE167" s="66">
        <v>3.5000000000000003E-2</v>
      </c>
      <c r="BF167" s="66">
        <v>0.05</v>
      </c>
      <c r="BG167" s="63">
        <v>44183</v>
      </c>
      <c r="BH167" s="2"/>
      <c r="BI167" s="2"/>
      <c r="BJ167" s="2"/>
      <c r="BK167" s="2"/>
      <c r="BL167" s="1" t="s">
        <v>311</v>
      </c>
    </row>
    <row r="168" spans="1:64" x14ac:dyDescent="0.25">
      <c r="A168" s="56" t="s">
        <v>326</v>
      </c>
      <c r="B168" s="54" t="s">
        <v>1452</v>
      </c>
      <c r="C168" s="56" t="s">
        <v>1453</v>
      </c>
      <c r="D168" s="16">
        <v>45331</v>
      </c>
      <c r="E168" s="17"/>
      <c r="F168" s="2" t="s">
        <v>328</v>
      </c>
      <c r="G168" s="2" t="s">
        <v>329</v>
      </c>
      <c r="H168" s="10" t="s">
        <v>105</v>
      </c>
      <c r="I168" s="11" t="s">
        <v>53</v>
      </c>
      <c r="J168" s="11" t="s">
        <v>145</v>
      </c>
      <c r="K168" s="61"/>
      <c r="L168" s="11" t="s">
        <v>67</v>
      </c>
      <c r="M168" s="25"/>
      <c r="N168" s="54"/>
      <c r="O168" s="3" t="str">
        <f>IF($A168="","",IF(P168=AZ168,"E","A"))</f>
        <v>E</v>
      </c>
      <c r="P168" s="48">
        <v>47639.28</v>
      </c>
      <c r="Q168" s="48">
        <v>3013.92</v>
      </c>
      <c r="R168" s="32"/>
      <c r="S168" s="3" t="str">
        <f>IF($A168="","",IF(T168=BA168,"E","A"))</f>
        <v>E</v>
      </c>
      <c r="T168" s="48">
        <v>41684.370000000003</v>
      </c>
      <c r="U168" s="48">
        <v>2637.18</v>
      </c>
      <c r="V168" s="32"/>
      <c r="W168" s="3" t="str">
        <f t="shared" si="33"/>
        <v>E</v>
      </c>
      <c r="X168" s="48">
        <v>41684.370000000003</v>
      </c>
      <c r="Y168" s="48">
        <v>2637.18</v>
      </c>
      <c r="Z168" s="32"/>
      <c r="AA168" s="3" t="str">
        <f t="shared" si="34"/>
        <v>E</v>
      </c>
      <c r="AB168" s="48">
        <v>47639.28</v>
      </c>
      <c r="AC168" s="48">
        <v>3013.92</v>
      </c>
      <c r="AD168" s="36"/>
      <c r="AE168" s="54"/>
      <c r="AF168" s="3" t="str">
        <f t="shared" si="35"/>
        <v>A</v>
      </c>
      <c r="AG168" s="48"/>
      <c r="AH168" s="48"/>
      <c r="AI168" s="39"/>
      <c r="AJ168" s="79" t="s">
        <v>38</v>
      </c>
      <c r="AK168" s="39"/>
      <c r="AL168" s="4">
        <f t="shared" si="41"/>
        <v>0</v>
      </c>
      <c r="AM168" s="4">
        <f t="shared" si="41"/>
        <v>0</v>
      </c>
      <c r="AN168" s="4">
        <f t="shared" si="36"/>
        <v>0</v>
      </c>
      <c r="AO168" s="39"/>
      <c r="AP168" s="8">
        <f t="shared" si="42"/>
        <v>178647.3</v>
      </c>
      <c r="AQ168" s="8">
        <f t="shared" si="42"/>
        <v>11302.2</v>
      </c>
      <c r="AR168" s="8">
        <f t="shared" si="37"/>
        <v>189949.5</v>
      </c>
      <c r="AS168" s="42"/>
      <c r="AT168" s="48"/>
      <c r="AU168" s="48"/>
      <c r="AV168" s="4">
        <f t="shared" si="38"/>
        <v>0</v>
      </c>
      <c r="AW168" s="50" t="str">
        <f t="shared" si="39"/>
        <v/>
      </c>
      <c r="AX168" s="1" t="s">
        <v>1684</v>
      </c>
      <c r="AY168" s="2" t="s">
        <v>1685</v>
      </c>
      <c r="AZ168" s="2">
        <v>47639.28</v>
      </c>
      <c r="BA168" s="73">
        <v>41684.370000000003</v>
      </c>
      <c r="BB168" s="73">
        <v>41684.370000000003</v>
      </c>
      <c r="BC168" s="73">
        <v>47639.28</v>
      </c>
      <c r="BD168" s="73"/>
      <c r="BE168" s="66">
        <v>0</v>
      </c>
      <c r="BF168" s="66">
        <v>0.05</v>
      </c>
      <c r="BG168" s="63">
        <v>45329</v>
      </c>
      <c r="BH168" s="2"/>
      <c r="BI168" s="2"/>
      <c r="BJ168" s="2">
        <v>172134</v>
      </c>
      <c r="BK168" s="2">
        <v>9037.0400000000009</v>
      </c>
      <c r="BL168" s="1" t="s">
        <v>104</v>
      </c>
    </row>
    <row r="169" spans="1:64" x14ac:dyDescent="0.25">
      <c r="A169" s="56" t="s">
        <v>330</v>
      </c>
      <c r="B169" s="54" t="s">
        <v>330</v>
      </c>
      <c r="C169" s="56" t="s">
        <v>331</v>
      </c>
      <c r="D169" s="16">
        <v>38794</v>
      </c>
      <c r="E169" s="17"/>
      <c r="F169" s="2" t="s">
        <v>52</v>
      </c>
      <c r="G169" s="2" t="s">
        <v>55</v>
      </c>
      <c r="H169" s="10" t="s">
        <v>57</v>
      </c>
      <c r="I169" s="11" t="s">
        <v>54</v>
      </c>
      <c r="J169" s="11" t="s">
        <v>139</v>
      </c>
      <c r="K169" s="61" t="s">
        <v>140</v>
      </c>
      <c r="L169" s="11" t="s">
        <v>67</v>
      </c>
      <c r="M169" s="25"/>
      <c r="N169" s="54"/>
      <c r="O169" s="3" t="str">
        <f>IF($A169="","",IF(P169=0,"A",IF(P169=AZ169,"E","A")))</f>
        <v>A</v>
      </c>
      <c r="P169" s="48">
        <v>103022.39999999999</v>
      </c>
      <c r="Q169" s="48">
        <v>11695.8</v>
      </c>
      <c r="R169" s="32"/>
      <c r="S169" s="3" t="str">
        <f>IF($A169="","",IF(T169=0,"A",IF(T169=BA169,"E","A")))</f>
        <v>A</v>
      </c>
      <c r="T169" s="48">
        <v>96627.15</v>
      </c>
      <c r="U169" s="48">
        <v>14234</v>
      </c>
      <c r="V169" s="32"/>
      <c r="W169" s="3" t="str">
        <f t="shared" si="33"/>
        <v>A</v>
      </c>
      <c r="X169" s="48">
        <v>88842.95</v>
      </c>
      <c r="Y169" s="48">
        <v>10843</v>
      </c>
      <c r="Z169" s="32"/>
      <c r="AA169" s="3" t="str">
        <f t="shared" si="34"/>
        <v>A</v>
      </c>
      <c r="AB169" s="48">
        <v>102697.8</v>
      </c>
      <c r="AC169" s="48">
        <v>13284.25</v>
      </c>
      <c r="AD169" s="36"/>
      <c r="AE169" s="54"/>
      <c r="AF169" s="3" t="str">
        <f t="shared" si="35"/>
        <v>A</v>
      </c>
      <c r="AG169" s="48">
        <v>0</v>
      </c>
      <c r="AH169" s="48">
        <v>0</v>
      </c>
      <c r="AI169" s="39"/>
      <c r="AJ169" s="79" t="s">
        <v>1801</v>
      </c>
      <c r="AK169" s="39"/>
      <c r="AL169" s="4">
        <f t="shared" si="41"/>
        <v>391190.3</v>
      </c>
      <c r="AM169" s="4">
        <f t="shared" si="41"/>
        <v>50057.05</v>
      </c>
      <c r="AN169" s="4">
        <f t="shared" si="36"/>
        <v>441247.35</v>
      </c>
      <c r="AO169" s="39"/>
      <c r="AP169" s="8">
        <f t="shared" si="42"/>
        <v>0</v>
      </c>
      <c r="AQ169" s="8">
        <f t="shared" si="42"/>
        <v>0</v>
      </c>
      <c r="AR169" s="8">
        <f t="shared" si="37"/>
        <v>0</v>
      </c>
      <c r="AS169" s="42"/>
      <c r="AT169" s="48">
        <v>391190.3</v>
      </c>
      <c r="AU169" s="48">
        <v>50057.05</v>
      </c>
      <c r="AV169" s="4">
        <f t="shared" si="38"/>
        <v>441247.35</v>
      </c>
      <c r="AW169" s="50" t="str">
        <f t="shared" si="39"/>
        <v/>
      </c>
      <c r="AX169" s="1" t="s">
        <v>1639</v>
      </c>
      <c r="AY169" s="2" t="s">
        <v>1640</v>
      </c>
      <c r="AZ169" s="2">
        <v>124074.16</v>
      </c>
      <c r="BA169" s="73">
        <v>108564.89</v>
      </c>
      <c r="BB169" s="73">
        <v>108564.89</v>
      </c>
      <c r="BC169" s="73">
        <v>124074.16</v>
      </c>
      <c r="BD169" s="73"/>
      <c r="BE169" s="66">
        <v>2.5000000000000001E-2</v>
      </c>
      <c r="BF169" s="66">
        <v>0.02</v>
      </c>
      <c r="BG169" s="63">
        <v>44272</v>
      </c>
      <c r="BH169" s="2"/>
      <c r="BI169" s="2"/>
      <c r="BJ169" s="2"/>
      <c r="BK169" s="2"/>
      <c r="BL169" s="1" t="s">
        <v>56</v>
      </c>
    </row>
    <row r="170" spans="1:64" x14ac:dyDescent="0.25">
      <c r="A170" s="56" t="s">
        <v>330</v>
      </c>
      <c r="B170" s="54" t="s">
        <v>731</v>
      </c>
      <c r="C170" s="56" t="s">
        <v>732</v>
      </c>
      <c r="D170" s="16">
        <v>43218</v>
      </c>
      <c r="E170" s="17"/>
      <c r="F170" s="2" t="s">
        <v>52</v>
      </c>
      <c r="G170" s="2" t="s">
        <v>55</v>
      </c>
      <c r="H170" s="10" t="s">
        <v>57</v>
      </c>
      <c r="I170" s="11" t="s">
        <v>54</v>
      </c>
      <c r="J170" s="11" t="s">
        <v>139</v>
      </c>
      <c r="K170" s="61" t="s">
        <v>140</v>
      </c>
      <c r="L170" s="11" t="s">
        <v>67</v>
      </c>
      <c r="M170" s="25"/>
      <c r="N170" s="54"/>
      <c r="O170" s="3" t="str">
        <f>IF($A170="","",IF(P170=0,"A",IF(P170=AZ170,"E","A")))</f>
        <v>A</v>
      </c>
      <c r="P170" s="48">
        <v>37091</v>
      </c>
      <c r="Q170" s="48">
        <v>9583</v>
      </c>
      <c r="R170" s="32"/>
      <c r="S170" s="3" t="str">
        <f>IF($A170="","",IF(T170=0,"A",IF(T170=BA170,"E","A")))</f>
        <v>A</v>
      </c>
      <c r="T170" s="48">
        <v>32809</v>
      </c>
      <c r="U170" s="48">
        <v>6642</v>
      </c>
      <c r="V170" s="32"/>
      <c r="W170" s="3" t="str">
        <f t="shared" si="33"/>
        <v>A</v>
      </c>
      <c r="X170" s="48">
        <v>29513</v>
      </c>
      <c r="Y170" s="48">
        <v>6971</v>
      </c>
      <c r="Z170" s="32"/>
      <c r="AA170" s="3" t="str">
        <f t="shared" si="34"/>
        <v>A</v>
      </c>
      <c r="AB170" s="48">
        <v>33476</v>
      </c>
      <c r="AC170" s="48">
        <v>7012</v>
      </c>
      <c r="AD170" s="36"/>
      <c r="AE170" s="54"/>
      <c r="AF170" s="3" t="str">
        <f t="shared" si="35"/>
        <v>A</v>
      </c>
      <c r="AG170" s="48">
        <v>0</v>
      </c>
      <c r="AH170" s="48">
        <v>0</v>
      </c>
      <c r="AI170" s="39"/>
      <c r="AJ170" s="79" t="s">
        <v>1801</v>
      </c>
      <c r="AK170" s="39"/>
      <c r="AL170" s="4">
        <f t="shared" si="41"/>
        <v>132889</v>
      </c>
      <c r="AM170" s="4">
        <f t="shared" si="41"/>
        <v>30208</v>
      </c>
      <c r="AN170" s="4">
        <f t="shared" si="36"/>
        <v>163097</v>
      </c>
      <c r="AO170" s="39"/>
      <c r="AP170" s="8">
        <f t="shared" si="42"/>
        <v>0</v>
      </c>
      <c r="AQ170" s="8">
        <f t="shared" si="42"/>
        <v>0</v>
      </c>
      <c r="AR170" s="8">
        <f t="shared" si="37"/>
        <v>0</v>
      </c>
      <c r="AS170" s="42"/>
      <c r="AT170" s="48">
        <v>132889</v>
      </c>
      <c r="AU170" s="48">
        <v>30208</v>
      </c>
      <c r="AV170" s="4">
        <f t="shared" si="38"/>
        <v>163097</v>
      </c>
      <c r="AW170" s="50" t="str">
        <f t="shared" si="39"/>
        <v/>
      </c>
      <c r="AX170" s="1" t="s">
        <v>1639</v>
      </c>
      <c r="AY170" s="2" t="s">
        <v>1640</v>
      </c>
      <c r="AZ170" s="2">
        <v>41241.279999999999</v>
      </c>
      <c r="BA170" s="73">
        <v>36086.120000000003</v>
      </c>
      <c r="BB170" s="73">
        <v>36086.120000000003</v>
      </c>
      <c r="BC170" s="73">
        <v>41241.279999999999</v>
      </c>
      <c r="BD170" s="73"/>
      <c r="BE170" s="66">
        <v>0</v>
      </c>
      <c r="BF170" s="66">
        <v>0.02</v>
      </c>
      <c r="BG170" s="63">
        <v>44272</v>
      </c>
      <c r="BH170" s="2"/>
      <c r="BI170" s="2"/>
      <c r="BJ170" s="2"/>
      <c r="BK170" s="2"/>
      <c r="BL170" s="1" t="s">
        <v>56</v>
      </c>
    </row>
    <row r="171" spans="1:64" x14ac:dyDescent="0.25">
      <c r="A171" s="56" t="s">
        <v>330</v>
      </c>
      <c r="B171" s="54" t="s">
        <v>1322</v>
      </c>
      <c r="C171" s="56" t="s">
        <v>1323</v>
      </c>
      <c r="D171" s="16">
        <v>45238</v>
      </c>
      <c r="E171" s="17"/>
      <c r="F171" s="2" t="s">
        <v>52</v>
      </c>
      <c r="G171" s="2" t="s">
        <v>55</v>
      </c>
      <c r="H171" s="10" t="s">
        <v>57</v>
      </c>
      <c r="I171" s="11" t="s">
        <v>54</v>
      </c>
      <c r="J171" s="11" t="s">
        <v>139</v>
      </c>
      <c r="K171" s="61" t="s">
        <v>140</v>
      </c>
      <c r="L171" s="11" t="s">
        <v>67</v>
      </c>
      <c r="M171" s="25"/>
      <c r="N171" s="54"/>
      <c r="O171" s="3" t="str">
        <f>IF($A171="","",IF(P171=AZ171,"E","A"))</f>
        <v>A</v>
      </c>
      <c r="P171" s="48">
        <v>15057</v>
      </c>
      <c r="Q171" s="48">
        <v>3329</v>
      </c>
      <c r="R171" s="32"/>
      <c r="S171" s="3" t="str">
        <f>IF($A171="","",IF(T171=0,"A",IF(T171=BA171,"E","A")))</f>
        <v>E</v>
      </c>
      <c r="T171" s="48">
        <v>90502.720000000001</v>
      </c>
      <c r="U171" s="48">
        <v>4487.28</v>
      </c>
      <c r="V171" s="32"/>
      <c r="W171" s="3" t="str">
        <f t="shared" si="33"/>
        <v>E</v>
      </c>
      <c r="X171" s="48">
        <v>90502.720000000001</v>
      </c>
      <c r="Y171" s="48">
        <v>4487.28</v>
      </c>
      <c r="Z171" s="32"/>
      <c r="AA171" s="3" t="str">
        <f t="shared" si="34"/>
        <v>E</v>
      </c>
      <c r="AB171" s="48">
        <v>103431.67999999999</v>
      </c>
      <c r="AC171" s="48">
        <v>5128.32</v>
      </c>
      <c r="AD171" s="36"/>
      <c r="AE171" s="54"/>
      <c r="AF171" s="3" t="str">
        <f t="shared" si="35"/>
        <v>A</v>
      </c>
      <c r="AG171" s="48">
        <v>0</v>
      </c>
      <c r="AH171" s="48">
        <v>0</v>
      </c>
      <c r="AI171" s="39"/>
      <c r="AJ171" s="79" t="s">
        <v>38</v>
      </c>
      <c r="AK171" s="39"/>
      <c r="AL171" s="4">
        <f t="shared" si="41"/>
        <v>15057</v>
      </c>
      <c r="AM171" s="4">
        <f t="shared" si="41"/>
        <v>3329</v>
      </c>
      <c r="AN171" s="4">
        <f t="shared" si="36"/>
        <v>18386</v>
      </c>
      <c r="AO171" s="39"/>
      <c r="AP171" s="8">
        <f t="shared" si="42"/>
        <v>284437.12</v>
      </c>
      <c r="AQ171" s="8">
        <f t="shared" si="42"/>
        <v>14102.88</v>
      </c>
      <c r="AR171" s="8">
        <f t="shared" si="37"/>
        <v>298540</v>
      </c>
      <c r="AS171" s="42"/>
      <c r="AT171" s="48">
        <v>15057</v>
      </c>
      <c r="AU171" s="48">
        <v>3329</v>
      </c>
      <c r="AV171" s="4">
        <f t="shared" si="38"/>
        <v>18386</v>
      </c>
      <c r="AW171" s="50" t="str">
        <f t="shared" si="39"/>
        <v/>
      </c>
      <c r="AX171" s="1" t="s">
        <v>1639</v>
      </c>
      <c r="AY171" s="2" t="s">
        <v>1640</v>
      </c>
      <c r="AZ171" s="2">
        <v>103431.67999999999</v>
      </c>
      <c r="BA171" s="73">
        <v>90502.720000000001</v>
      </c>
      <c r="BB171" s="73">
        <v>90502.720000000001</v>
      </c>
      <c r="BC171" s="73">
        <v>103431.67999999999</v>
      </c>
      <c r="BD171" s="73"/>
      <c r="BE171" s="66">
        <v>0</v>
      </c>
      <c r="BF171" s="66">
        <v>0.02</v>
      </c>
      <c r="BG171" s="63">
        <v>45227</v>
      </c>
      <c r="BH171" s="2"/>
      <c r="BI171" s="2"/>
      <c r="BJ171" s="2">
        <v>379470</v>
      </c>
      <c r="BK171" s="2">
        <v>19922.18</v>
      </c>
      <c r="BL171" s="1" t="s">
        <v>56</v>
      </c>
    </row>
    <row r="172" spans="1:64" x14ac:dyDescent="0.25">
      <c r="A172" s="56" t="s">
        <v>332</v>
      </c>
      <c r="B172" s="54" t="s">
        <v>332</v>
      </c>
      <c r="C172" s="56" t="s">
        <v>333</v>
      </c>
      <c r="D172" s="16">
        <v>41832</v>
      </c>
      <c r="E172" s="17"/>
      <c r="F172" s="2" t="s">
        <v>243</v>
      </c>
      <c r="G172" s="2" t="s">
        <v>245</v>
      </c>
      <c r="H172" s="10" t="s">
        <v>105</v>
      </c>
      <c r="I172" s="11" t="s">
        <v>244</v>
      </c>
      <c r="J172" s="11" t="s">
        <v>334</v>
      </c>
      <c r="K172" s="61" t="s">
        <v>335</v>
      </c>
      <c r="L172" s="11" t="s">
        <v>67</v>
      </c>
      <c r="M172" s="25"/>
      <c r="N172" s="54"/>
      <c r="O172" s="3" t="str">
        <f>IF($A172="","",IF(P172=0,"A",IF(P172=AZ172,"E","A")))</f>
        <v>A</v>
      </c>
      <c r="P172" s="48">
        <v>151745.1</v>
      </c>
      <c r="Q172" s="48">
        <v>13626</v>
      </c>
      <c r="R172" s="32"/>
      <c r="S172" s="3" t="str">
        <f>IF($A172="","",IF(T172=0,"A",IF(T172=BA172,"E","A")))</f>
        <v>A</v>
      </c>
      <c r="T172" s="48">
        <v>117904.97</v>
      </c>
      <c r="U172" s="48">
        <v>9241</v>
      </c>
      <c r="V172" s="32"/>
      <c r="W172" s="3" t="str">
        <f t="shared" si="33"/>
        <v>A</v>
      </c>
      <c r="X172" s="48">
        <v>122184</v>
      </c>
      <c r="Y172" s="48">
        <v>9828</v>
      </c>
      <c r="Z172" s="32"/>
      <c r="AA172" s="3" t="str">
        <f t="shared" si="34"/>
        <v>A</v>
      </c>
      <c r="AB172" s="48">
        <v>136297.29999999999</v>
      </c>
      <c r="AC172" s="48">
        <v>11050</v>
      </c>
      <c r="AD172" s="36"/>
      <c r="AE172" s="54"/>
      <c r="AF172" s="3" t="str">
        <f t="shared" si="35"/>
        <v>A</v>
      </c>
      <c r="AG172" s="48">
        <v>0</v>
      </c>
      <c r="AH172" s="48">
        <v>0</v>
      </c>
      <c r="AI172" s="39"/>
      <c r="AJ172" s="79" t="s">
        <v>1801</v>
      </c>
      <c r="AK172" s="39"/>
      <c r="AL172" s="4">
        <f t="shared" si="41"/>
        <v>528131.37</v>
      </c>
      <c r="AM172" s="4">
        <f t="shared" si="41"/>
        <v>43745</v>
      </c>
      <c r="AN172" s="4">
        <f t="shared" si="36"/>
        <v>571876.37</v>
      </c>
      <c r="AO172" s="39"/>
      <c r="AP172" s="8">
        <f t="shared" si="42"/>
        <v>0</v>
      </c>
      <c r="AQ172" s="8">
        <f t="shared" si="42"/>
        <v>0</v>
      </c>
      <c r="AR172" s="8">
        <f t="shared" si="37"/>
        <v>0</v>
      </c>
      <c r="AS172" s="42"/>
      <c r="AT172" s="48">
        <v>528131.37</v>
      </c>
      <c r="AU172" s="48">
        <v>43745</v>
      </c>
      <c r="AV172" s="4">
        <f t="shared" si="38"/>
        <v>571876.37</v>
      </c>
      <c r="AW172" s="50" t="str">
        <f t="shared" si="39"/>
        <v/>
      </c>
      <c r="AX172" s="1" t="s">
        <v>1639</v>
      </c>
      <c r="AY172" s="2" t="s">
        <v>1640</v>
      </c>
      <c r="AZ172" s="2">
        <v>77381.52</v>
      </c>
      <c r="BA172" s="73">
        <v>67708.83</v>
      </c>
      <c r="BB172" s="73">
        <v>67708.83</v>
      </c>
      <c r="BC172" s="73">
        <v>77381.52</v>
      </c>
      <c r="BD172" s="73"/>
      <c r="BE172" s="66">
        <v>3.5000000000000003E-2</v>
      </c>
      <c r="BF172" s="66">
        <v>0.02</v>
      </c>
      <c r="BG172" s="63">
        <v>45315</v>
      </c>
      <c r="BH172" s="74">
        <v>44854</v>
      </c>
      <c r="BI172" s="74">
        <v>44877</v>
      </c>
      <c r="BJ172" s="2"/>
      <c r="BK172" s="2"/>
      <c r="BL172" s="1" t="s">
        <v>219</v>
      </c>
    </row>
    <row r="173" spans="1:64" x14ac:dyDescent="0.25">
      <c r="A173" s="56" t="s">
        <v>332</v>
      </c>
      <c r="B173" s="54" t="s">
        <v>733</v>
      </c>
      <c r="C173" s="56" t="s">
        <v>734</v>
      </c>
      <c r="D173" s="16">
        <v>43124</v>
      </c>
      <c r="E173" s="17"/>
      <c r="F173" s="2" t="s">
        <v>243</v>
      </c>
      <c r="G173" s="2" t="s">
        <v>245</v>
      </c>
      <c r="H173" s="10" t="s">
        <v>105</v>
      </c>
      <c r="I173" s="11" t="s">
        <v>244</v>
      </c>
      <c r="J173" s="11" t="s">
        <v>334</v>
      </c>
      <c r="K173" s="61" t="s">
        <v>335</v>
      </c>
      <c r="L173" s="11" t="s">
        <v>67</v>
      </c>
      <c r="M173" s="25"/>
      <c r="N173" s="54"/>
      <c r="O173" s="3" t="str">
        <f>IF($A173="","",IF(P173=0,"A",IF(P173=AZ173,"E","A")))</f>
        <v>A</v>
      </c>
      <c r="P173" s="48">
        <v>79692.5</v>
      </c>
      <c r="Q173" s="48">
        <v>14523</v>
      </c>
      <c r="R173" s="32"/>
      <c r="S173" s="3" t="str">
        <f>IF($A173="","",IF(T173=0,"A",IF(T173=BA173,"E","A")))</f>
        <v>A</v>
      </c>
      <c r="T173" s="48">
        <v>71679.5</v>
      </c>
      <c r="U173" s="48">
        <v>12179</v>
      </c>
      <c r="V173" s="32"/>
      <c r="W173" s="3" t="str">
        <f t="shared" si="33"/>
        <v>A</v>
      </c>
      <c r="X173" s="48">
        <v>79292.25</v>
      </c>
      <c r="Y173" s="48">
        <v>10220</v>
      </c>
      <c r="Z173" s="32"/>
      <c r="AA173" s="3" t="str">
        <f t="shared" si="34"/>
        <v>A</v>
      </c>
      <c r="AB173" s="48">
        <v>82952.350000000006</v>
      </c>
      <c r="AC173" s="48">
        <v>13151</v>
      </c>
      <c r="AD173" s="36"/>
      <c r="AE173" s="54"/>
      <c r="AF173" s="3" t="str">
        <f t="shared" si="35"/>
        <v>A</v>
      </c>
      <c r="AG173" s="48">
        <v>0</v>
      </c>
      <c r="AH173" s="48">
        <v>0</v>
      </c>
      <c r="AI173" s="39"/>
      <c r="AJ173" s="79" t="s">
        <v>1801</v>
      </c>
      <c r="AK173" s="39"/>
      <c r="AL173" s="4">
        <f t="shared" si="41"/>
        <v>313616.59999999998</v>
      </c>
      <c r="AM173" s="4">
        <f t="shared" si="41"/>
        <v>50073</v>
      </c>
      <c r="AN173" s="4">
        <f t="shared" si="36"/>
        <v>363689.6</v>
      </c>
      <c r="AO173" s="39"/>
      <c r="AP173" s="8">
        <f t="shared" si="42"/>
        <v>0</v>
      </c>
      <c r="AQ173" s="8">
        <f t="shared" si="42"/>
        <v>0</v>
      </c>
      <c r="AR173" s="8">
        <f t="shared" si="37"/>
        <v>0</v>
      </c>
      <c r="AS173" s="42"/>
      <c r="AT173" s="48">
        <v>313616.59999999998</v>
      </c>
      <c r="AU173" s="48">
        <v>50073</v>
      </c>
      <c r="AV173" s="4">
        <f t="shared" si="38"/>
        <v>363689.6</v>
      </c>
      <c r="AW173" s="50" t="str">
        <f t="shared" si="39"/>
        <v/>
      </c>
      <c r="AX173" s="1" t="s">
        <v>1639</v>
      </c>
      <c r="AY173" s="2" t="s">
        <v>1640</v>
      </c>
      <c r="AZ173" s="2">
        <v>38436.720000000001</v>
      </c>
      <c r="BA173" s="73">
        <v>33632.129999999997</v>
      </c>
      <c r="BB173" s="73">
        <v>33632.129999999997</v>
      </c>
      <c r="BC173" s="73">
        <v>38436.720000000001</v>
      </c>
      <c r="BD173" s="73"/>
      <c r="BE173" s="66">
        <v>0.04</v>
      </c>
      <c r="BF173" s="66">
        <v>0.02</v>
      </c>
      <c r="BG173" s="63">
        <v>45315</v>
      </c>
      <c r="BH173" s="2"/>
      <c r="BI173" s="2"/>
      <c r="BJ173" s="2"/>
      <c r="BK173" s="2"/>
      <c r="BL173" s="1" t="s">
        <v>219</v>
      </c>
    </row>
    <row r="174" spans="1:64" x14ac:dyDescent="0.25">
      <c r="A174" s="56" t="s">
        <v>332</v>
      </c>
      <c r="B174" s="54" t="s">
        <v>1594</v>
      </c>
      <c r="C174" s="56" t="s">
        <v>1595</v>
      </c>
      <c r="D174" s="16">
        <v>45818</v>
      </c>
      <c r="E174" s="17"/>
      <c r="F174" s="2" t="s">
        <v>904</v>
      </c>
      <c r="G174" s="2" t="s">
        <v>906</v>
      </c>
      <c r="H174" s="10" t="s">
        <v>105</v>
      </c>
      <c r="I174" s="11" t="s">
        <v>905</v>
      </c>
      <c r="J174" s="11" t="s">
        <v>1202</v>
      </c>
      <c r="K174" s="61" t="s">
        <v>335</v>
      </c>
      <c r="L174" s="11" t="s">
        <v>67</v>
      </c>
      <c r="M174" s="25"/>
      <c r="N174" s="54"/>
      <c r="O174" s="3" t="str">
        <f>IF($A174="","",IF(P174=AZ174,"E","A"))</f>
        <v>A</v>
      </c>
      <c r="P174" s="48">
        <v>26360</v>
      </c>
      <c r="Q174" s="48">
        <v>860</v>
      </c>
      <c r="R174" s="32"/>
      <c r="S174" s="3" t="str">
        <f>IF($A174="","",IF(T174=BA174,"E","A"))</f>
        <v>A</v>
      </c>
      <c r="T174" s="48">
        <v>46340</v>
      </c>
      <c r="U174" s="48">
        <v>1505</v>
      </c>
      <c r="V174" s="32"/>
      <c r="W174" s="3" t="str">
        <f t="shared" si="33"/>
        <v>A</v>
      </c>
      <c r="X174" s="48">
        <v>31152</v>
      </c>
      <c r="Y174" s="48">
        <v>770</v>
      </c>
      <c r="Z174" s="32"/>
      <c r="AA174" s="3" t="str">
        <f t="shared" si="34"/>
        <v>A</v>
      </c>
      <c r="AB174" s="48">
        <v>31026</v>
      </c>
      <c r="AC174" s="48">
        <v>1020</v>
      </c>
      <c r="AD174" s="36"/>
      <c r="AE174" s="54"/>
      <c r="AF174" s="3" t="str">
        <f t="shared" si="35"/>
        <v>A</v>
      </c>
      <c r="AG174" s="48">
        <v>0</v>
      </c>
      <c r="AH174" s="48">
        <v>0</v>
      </c>
      <c r="AI174" s="39"/>
      <c r="AJ174" s="79" t="s">
        <v>1801</v>
      </c>
      <c r="AK174" s="39"/>
      <c r="AL174" s="4">
        <f t="shared" si="41"/>
        <v>134878</v>
      </c>
      <c r="AM174" s="4">
        <f t="shared" si="41"/>
        <v>4155</v>
      </c>
      <c r="AN174" s="4">
        <f t="shared" si="36"/>
        <v>139033</v>
      </c>
      <c r="AO174" s="39"/>
      <c r="AP174" s="8">
        <f t="shared" si="42"/>
        <v>0</v>
      </c>
      <c r="AQ174" s="8">
        <f t="shared" si="42"/>
        <v>0</v>
      </c>
      <c r="AR174" s="8">
        <f t="shared" si="37"/>
        <v>0</v>
      </c>
      <c r="AS174" s="42"/>
      <c r="AT174" s="48">
        <v>134878</v>
      </c>
      <c r="AU174" s="48">
        <v>4155</v>
      </c>
      <c r="AV174" s="4">
        <f t="shared" si="38"/>
        <v>139033</v>
      </c>
      <c r="AW174" s="50" t="str">
        <f t="shared" si="39"/>
        <v/>
      </c>
      <c r="AX174" s="1" t="s">
        <v>1740</v>
      </c>
      <c r="AY174" s="2" t="s">
        <v>1741</v>
      </c>
      <c r="AZ174" s="2"/>
      <c r="BA174" s="73">
        <v>46212.04</v>
      </c>
      <c r="BB174" s="73">
        <v>46212.04</v>
      </c>
      <c r="BC174" s="73">
        <v>52813.760000000002</v>
      </c>
      <c r="BD174" s="73"/>
      <c r="BE174" s="66">
        <v>0</v>
      </c>
      <c r="BF174" s="66">
        <v>0</v>
      </c>
      <c r="BG174" s="63">
        <v>45811</v>
      </c>
      <c r="BH174" s="2"/>
      <c r="BI174" s="2"/>
      <c r="BJ174" s="2">
        <v>204000</v>
      </c>
      <c r="BK174" s="2"/>
      <c r="BL174" s="1" t="s">
        <v>219</v>
      </c>
    </row>
    <row r="175" spans="1:64" x14ac:dyDescent="0.25">
      <c r="A175" s="56" t="s">
        <v>336</v>
      </c>
      <c r="B175" s="54" t="s">
        <v>336</v>
      </c>
      <c r="C175" s="56" t="s">
        <v>337</v>
      </c>
      <c r="D175" s="16">
        <v>38940</v>
      </c>
      <c r="E175" s="17"/>
      <c r="F175" s="2" t="s">
        <v>187</v>
      </c>
      <c r="G175" s="2" t="s">
        <v>189</v>
      </c>
      <c r="H175" s="10" t="s">
        <v>57</v>
      </c>
      <c r="I175" s="11" t="s">
        <v>188</v>
      </c>
      <c r="J175" s="11" t="s">
        <v>338</v>
      </c>
      <c r="K175" s="61" t="s">
        <v>339</v>
      </c>
      <c r="L175" s="11" t="s">
        <v>67</v>
      </c>
      <c r="M175" s="25"/>
      <c r="N175" s="54"/>
      <c r="O175" s="3" t="str">
        <f>IF($A175="","",IF(P175=0,"A",IF(P175=AZ175,"E","A")))</f>
        <v>A</v>
      </c>
      <c r="P175" s="48">
        <v>105856.6</v>
      </c>
      <c r="Q175" s="48">
        <v>24343</v>
      </c>
      <c r="R175" s="32"/>
      <c r="S175" s="3" t="str">
        <f t="shared" ref="S175:S182" si="43">IF($A175="","",IF(T175=0,"A",IF(T175=BA175,"E","A")))</f>
        <v>A</v>
      </c>
      <c r="T175" s="48">
        <v>89571</v>
      </c>
      <c r="U175" s="48">
        <v>23023.5</v>
      </c>
      <c r="V175" s="32"/>
      <c r="W175" s="3" t="str">
        <f t="shared" si="33"/>
        <v>A</v>
      </c>
      <c r="X175" s="48">
        <v>74538</v>
      </c>
      <c r="Y175" s="48">
        <v>16906</v>
      </c>
      <c r="Z175" s="32"/>
      <c r="AA175" s="3" t="str">
        <f t="shared" si="34"/>
        <v>A</v>
      </c>
      <c r="AB175" s="48">
        <v>83846.5</v>
      </c>
      <c r="AC175" s="48">
        <v>18356</v>
      </c>
      <c r="AD175" s="36"/>
      <c r="AE175" s="54"/>
      <c r="AF175" s="3" t="str">
        <f t="shared" si="35"/>
        <v>A</v>
      </c>
      <c r="AG175" s="48">
        <v>0</v>
      </c>
      <c r="AH175" s="48">
        <v>0</v>
      </c>
      <c r="AI175" s="39"/>
      <c r="AJ175" s="79" t="s">
        <v>1801</v>
      </c>
      <c r="AK175" s="39"/>
      <c r="AL175" s="4">
        <f t="shared" si="41"/>
        <v>353812.1</v>
      </c>
      <c r="AM175" s="4">
        <f t="shared" si="41"/>
        <v>82628.5</v>
      </c>
      <c r="AN175" s="4">
        <f t="shared" si="36"/>
        <v>436440.6</v>
      </c>
      <c r="AO175" s="39"/>
      <c r="AP175" s="8">
        <f t="shared" si="42"/>
        <v>0</v>
      </c>
      <c r="AQ175" s="8">
        <f t="shared" si="42"/>
        <v>0</v>
      </c>
      <c r="AR175" s="8">
        <f t="shared" si="37"/>
        <v>0</v>
      </c>
      <c r="AS175" s="42"/>
      <c r="AT175" s="48">
        <v>353812.1</v>
      </c>
      <c r="AU175" s="48">
        <v>82628.5</v>
      </c>
      <c r="AV175" s="4">
        <f t="shared" si="38"/>
        <v>436440.6</v>
      </c>
      <c r="AW175" s="50" t="str">
        <f t="shared" si="39"/>
        <v/>
      </c>
      <c r="AX175" s="1" t="s">
        <v>1639</v>
      </c>
      <c r="AY175" s="2" t="s">
        <v>1640</v>
      </c>
      <c r="AZ175" s="2">
        <v>77255.759999999995</v>
      </c>
      <c r="BA175" s="73">
        <v>67598.789999999994</v>
      </c>
      <c r="BB175" s="73">
        <v>67598.789999999994</v>
      </c>
      <c r="BC175" s="73">
        <v>77255.759999999995</v>
      </c>
      <c r="BD175" s="73"/>
      <c r="BE175" s="66">
        <v>2.5000000000000001E-2</v>
      </c>
      <c r="BF175" s="66">
        <v>0.02</v>
      </c>
      <c r="BG175" s="63">
        <v>44418</v>
      </c>
      <c r="BH175" s="2"/>
      <c r="BI175" s="2"/>
      <c r="BJ175" s="2"/>
      <c r="BK175" s="2"/>
      <c r="BL175" s="1" t="s">
        <v>56</v>
      </c>
    </row>
    <row r="176" spans="1:64" x14ac:dyDescent="0.25">
      <c r="A176" s="56" t="s">
        <v>336</v>
      </c>
      <c r="B176" s="54" t="s">
        <v>735</v>
      </c>
      <c r="C176" s="56" t="s">
        <v>736</v>
      </c>
      <c r="D176" s="16">
        <v>40804</v>
      </c>
      <c r="E176" s="17"/>
      <c r="F176" s="2" t="s">
        <v>187</v>
      </c>
      <c r="G176" s="2" t="s">
        <v>189</v>
      </c>
      <c r="H176" s="10" t="s">
        <v>57</v>
      </c>
      <c r="I176" s="11" t="s">
        <v>188</v>
      </c>
      <c r="J176" s="11" t="s">
        <v>338</v>
      </c>
      <c r="K176" s="61" t="s">
        <v>339</v>
      </c>
      <c r="L176" s="11" t="s">
        <v>67</v>
      </c>
      <c r="M176" s="25"/>
      <c r="N176" s="54"/>
      <c r="O176" s="3" t="str">
        <f>IF($A176="","",IF(P176=0,"A",IF(P176=AZ176,"E","A")))</f>
        <v>A</v>
      </c>
      <c r="P176" s="48">
        <v>77145</v>
      </c>
      <c r="Q176" s="48">
        <v>22022</v>
      </c>
      <c r="R176" s="32"/>
      <c r="S176" s="3" t="str">
        <f t="shared" si="43"/>
        <v>A</v>
      </c>
      <c r="T176" s="48">
        <v>68166</v>
      </c>
      <c r="U176" s="48">
        <v>16846</v>
      </c>
      <c r="V176" s="32"/>
      <c r="W176" s="3" t="str">
        <f t="shared" si="33"/>
        <v>A</v>
      </c>
      <c r="X176" s="48">
        <v>59718</v>
      </c>
      <c r="Y176" s="48">
        <v>15691</v>
      </c>
      <c r="Z176" s="32"/>
      <c r="AA176" s="3" t="str">
        <f t="shared" si="34"/>
        <v>A</v>
      </c>
      <c r="AB176" s="48">
        <v>60874</v>
      </c>
      <c r="AC176" s="48">
        <v>17836</v>
      </c>
      <c r="AD176" s="36"/>
      <c r="AE176" s="54"/>
      <c r="AF176" s="3" t="str">
        <f t="shared" si="35"/>
        <v>A</v>
      </c>
      <c r="AG176" s="48">
        <v>0</v>
      </c>
      <c r="AH176" s="48">
        <v>0</v>
      </c>
      <c r="AI176" s="39"/>
      <c r="AJ176" s="79" t="s">
        <v>1801</v>
      </c>
      <c r="AK176" s="39"/>
      <c r="AL176" s="4">
        <f t="shared" si="41"/>
        <v>265903</v>
      </c>
      <c r="AM176" s="4">
        <f t="shared" si="41"/>
        <v>72395</v>
      </c>
      <c r="AN176" s="4">
        <f t="shared" si="36"/>
        <v>338298</v>
      </c>
      <c r="AO176" s="39"/>
      <c r="AP176" s="8">
        <f t="shared" si="42"/>
        <v>0</v>
      </c>
      <c r="AQ176" s="8">
        <f t="shared" si="42"/>
        <v>0</v>
      </c>
      <c r="AR176" s="8">
        <f t="shared" si="37"/>
        <v>0</v>
      </c>
      <c r="AS176" s="42"/>
      <c r="AT176" s="48">
        <v>265903</v>
      </c>
      <c r="AU176" s="48">
        <v>72395</v>
      </c>
      <c r="AV176" s="4">
        <f t="shared" si="38"/>
        <v>338298</v>
      </c>
      <c r="AW176" s="50" t="str">
        <f t="shared" si="39"/>
        <v/>
      </c>
      <c r="AX176" s="1" t="s">
        <v>1639</v>
      </c>
      <c r="AY176" s="2" t="s">
        <v>1640</v>
      </c>
      <c r="AZ176" s="2">
        <v>84111.44</v>
      </c>
      <c r="BA176" s="73">
        <v>73597.509999999995</v>
      </c>
      <c r="BB176" s="73">
        <v>73597.509999999995</v>
      </c>
      <c r="BC176" s="73">
        <v>84111.44</v>
      </c>
      <c r="BD176" s="73"/>
      <c r="BE176" s="66">
        <v>2.5000000000000001E-2</v>
      </c>
      <c r="BF176" s="66">
        <v>0.02</v>
      </c>
      <c r="BG176" s="63">
        <v>44418</v>
      </c>
      <c r="BH176" s="2"/>
      <c r="BI176" s="2"/>
      <c r="BJ176" s="2"/>
      <c r="BK176" s="2"/>
      <c r="BL176" s="1" t="s">
        <v>56</v>
      </c>
    </row>
    <row r="177" spans="1:64" x14ac:dyDescent="0.25">
      <c r="A177" s="56" t="s">
        <v>340</v>
      </c>
      <c r="B177" s="54" t="s">
        <v>340</v>
      </c>
      <c r="C177" s="56" t="s">
        <v>341</v>
      </c>
      <c r="D177" s="16">
        <v>39018</v>
      </c>
      <c r="E177" s="17"/>
      <c r="F177" s="2" t="s">
        <v>342</v>
      </c>
      <c r="G177" s="2" t="s">
        <v>343</v>
      </c>
      <c r="H177" s="10" t="s">
        <v>57</v>
      </c>
      <c r="I177" s="11" t="s">
        <v>53</v>
      </c>
      <c r="J177" s="11" t="s">
        <v>156</v>
      </c>
      <c r="K177" s="61"/>
      <c r="L177" s="11" t="s">
        <v>67</v>
      </c>
      <c r="M177" s="25"/>
      <c r="N177" s="54"/>
      <c r="O177" s="3" t="str">
        <f>IF($A177="","",IF(P177=0,"A",IF(P177=AZ177,"E","A")))</f>
        <v>A</v>
      </c>
      <c r="P177" s="48">
        <v>408163</v>
      </c>
      <c r="Q177" s="48">
        <v>145883</v>
      </c>
      <c r="R177" s="32"/>
      <c r="S177" s="3" t="str">
        <f t="shared" si="43"/>
        <v>A</v>
      </c>
      <c r="T177" s="48">
        <v>370042</v>
      </c>
      <c r="U177" s="48">
        <v>134973</v>
      </c>
      <c r="V177" s="32"/>
      <c r="W177" s="3" t="str">
        <f t="shared" si="33"/>
        <v>A</v>
      </c>
      <c r="X177" s="48">
        <v>335210</v>
      </c>
      <c r="Y177" s="48">
        <v>108531</v>
      </c>
      <c r="Z177" s="32"/>
      <c r="AA177" s="3" t="str">
        <f t="shared" si="34"/>
        <v>A</v>
      </c>
      <c r="AB177" s="48">
        <v>370480</v>
      </c>
      <c r="AC177" s="48">
        <v>117822</v>
      </c>
      <c r="AD177" s="36"/>
      <c r="AE177" s="54"/>
      <c r="AF177" s="3" t="str">
        <f t="shared" si="35"/>
        <v>A</v>
      </c>
      <c r="AG177" s="48">
        <v>0</v>
      </c>
      <c r="AH177" s="48">
        <v>0</v>
      </c>
      <c r="AI177" s="39"/>
      <c r="AJ177" s="79" t="s">
        <v>1801</v>
      </c>
      <c r="AK177" s="39"/>
      <c r="AL177" s="4">
        <f t="shared" si="41"/>
        <v>1483895</v>
      </c>
      <c r="AM177" s="4">
        <f t="shared" si="41"/>
        <v>507209</v>
      </c>
      <c r="AN177" s="4">
        <f t="shared" si="36"/>
        <v>1991104</v>
      </c>
      <c r="AO177" s="39"/>
      <c r="AP177" s="8">
        <f t="shared" si="42"/>
        <v>0</v>
      </c>
      <c r="AQ177" s="8">
        <f t="shared" si="42"/>
        <v>0</v>
      </c>
      <c r="AR177" s="8">
        <f t="shared" si="37"/>
        <v>0</v>
      </c>
      <c r="AS177" s="42"/>
      <c r="AT177" s="48">
        <v>1483895</v>
      </c>
      <c r="AU177" s="48">
        <v>507209</v>
      </c>
      <c r="AV177" s="4">
        <f t="shared" si="38"/>
        <v>1991104</v>
      </c>
      <c r="AW177" s="50" t="str">
        <f t="shared" si="39"/>
        <v/>
      </c>
      <c r="AX177" s="1" t="s">
        <v>1686</v>
      </c>
      <c r="AY177" s="2" t="s">
        <v>1687</v>
      </c>
      <c r="AZ177" s="2">
        <v>380144.56</v>
      </c>
      <c r="BA177" s="73">
        <v>332626.49</v>
      </c>
      <c r="BB177" s="73">
        <v>332626.49</v>
      </c>
      <c r="BC177" s="73">
        <v>380144.56</v>
      </c>
      <c r="BD177" s="73"/>
      <c r="BE177" s="66">
        <v>3.5000000000000003E-2</v>
      </c>
      <c r="BF177" s="66">
        <v>0.05</v>
      </c>
      <c r="BG177" s="63">
        <v>44496</v>
      </c>
      <c r="BH177" s="74">
        <v>43919</v>
      </c>
      <c r="BI177" s="74">
        <v>43934</v>
      </c>
      <c r="BJ177" s="2"/>
      <c r="BK177" s="2"/>
      <c r="BL177" s="1" t="s">
        <v>56</v>
      </c>
    </row>
    <row r="178" spans="1:64" x14ac:dyDescent="0.25">
      <c r="A178" s="56" t="s">
        <v>340</v>
      </c>
      <c r="B178" s="54" t="s">
        <v>1298</v>
      </c>
      <c r="C178" s="56" t="s">
        <v>1299</v>
      </c>
      <c r="D178" s="16">
        <v>45227</v>
      </c>
      <c r="E178" s="17"/>
      <c r="F178" s="2" t="s">
        <v>342</v>
      </c>
      <c r="G178" s="2" t="s">
        <v>343</v>
      </c>
      <c r="H178" s="10" t="s">
        <v>57</v>
      </c>
      <c r="I178" s="11" t="s">
        <v>53</v>
      </c>
      <c r="J178" s="11" t="s">
        <v>156</v>
      </c>
      <c r="K178" s="61"/>
      <c r="L178" s="11" t="s">
        <v>67</v>
      </c>
      <c r="M178" s="25"/>
      <c r="N178" s="54"/>
      <c r="O178" s="3" t="str">
        <f>IF($A178="","",IF(P178=AZ178,"E","A"))</f>
        <v>A</v>
      </c>
      <c r="P178" s="48">
        <v>59165</v>
      </c>
      <c r="Q178" s="48">
        <v>28624</v>
      </c>
      <c r="R178" s="32"/>
      <c r="S178" s="3" t="str">
        <f t="shared" si="43"/>
        <v>A</v>
      </c>
      <c r="T178" s="48">
        <v>50735</v>
      </c>
      <c r="U178" s="48">
        <v>28249</v>
      </c>
      <c r="V178" s="32"/>
      <c r="W178" s="3" t="str">
        <f t="shared" si="33"/>
        <v>A</v>
      </c>
      <c r="X178" s="48">
        <v>47355</v>
      </c>
      <c r="Y178" s="48">
        <v>24042</v>
      </c>
      <c r="Z178" s="32"/>
      <c r="AA178" s="3" t="str">
        <f t="shared" si="34"/>
        <v>A</v>
      </c>
      <c r="AB178" s="48">
        <v>56565</v>
      </c>
      <c r="AC178" s="48">
        <v>25375</v>
      </c>
      <c r="AD178" s="36"/>
      <c r="AE178" s="54"/>
      <c r="AF178" s="3" t="str">
        <f t="shared" si="35"/>
        <v>A</v>
      </c>
      <c r="AG178" s="48">
        <v>0</v>
      </c>
      <c r="AH178" s="48">
        <v>0</v>
      </c>
      <c r="AI178" s="39"/>
      <c r="AJ178" s="79" t="s">
        <v>1801</v>
      </c>
      <c r="AK178" s="39"/>
      <c r="AL178" s="4">
        <f t="shared" si="41"/>
        <v>213820</v>
      </c>
      <c r="AM178" s="4">
        <f t="shared" si="41"/>
        <v>106290</v>
      </c>
      <c r="AN178" s="4">
        <f t="shared" si="36"/>
        <v>320110</v>
      </c>
      <c r="AO178" s="39"/>
      <c r="AP178" s="8">
        <f t="shared" si="42"/>
        <v>0</v>
      </c>
      <c r="AQ178" s="8">
        <f t="shared" si="42"/>
        <v>0</v>
      </c>
      <c r="AR178" s="8">
        <f t="shared" si="37"/>
        <v>0</v>
      </c>
      <c r="AS178" s="42"/>
      <c r="AT178" s="48">
        <v>213820</v>
      </c>
      <c r="AU178" s="48">
        <v>106290</v>
      </c>
      <c r="AV178" s="4">
        <f t="shared" si="38"/>
        <v>320110</v>
      </c>
      <c r="AW178" s="50" t="str">
        <f t="shared" si="39"/>
        <v/>
      </c>
      <c r="AX178" s="1" t="s">
        <v>1686</v>
      </c>
      <c r="AY178" s="2" t="s">
        <v>1687</v>
      </c>
      <c r="AZ178" s="2">
        <v>108654</v>
      </c>
      <c r="BA178" s="73">
        <v>95072.25</v>
      </c>
      <c r="BB178" s="73">
        <v>95072.25</v>
      </c>
      <c r="BC178" s="73">
        <v>108654</v>
      </c>
      <c r="BD178" s="73"/>
      <c r="BE178" s="66">
        <v>0</v>
      </c>
      <c r="BF178" s="66">
        <v>0.05</v>
      </c>
      <c r="BG178" s="63">
        <v>45225</v>
      </c>
      <c r="BH178" s="2"/>
      <c r="BI178" s="2"/>
      <c r="BJ178" s="2">
        <v>398629.69</v>
      </c>
      <c r="BK178" s="2">
        <v>44292.19</v>
      </c>
      <c r="BL178" s="1" t="s">
        <v>56</v>
      </c>
    </row>
    <row r="179" spans="1:64" x14ac:dyDescent="0.25">
      <c r="A179" s="56" t="s">
        <v>344</v>
      </c>
      <c r="B179" s="54" t="s">
        <v>344</v>
      </c>
      <c r="C179" s="56" t="s">
        <v>345</v>
      </c>
      <c r="D179" s="16">
        <v>39299</v>
      </c>
      <c r="E179" s="17"/>
      <c r="F179" s="2" t="s">
        <v>217</v>
      </c>
      <c r="G179" s="2" t="s">
        <v>218</v>
      </c>
      <c r="H179" s="10" t="s">
        <v>105</v>
      </c>
      <c r="I179" s="11" t="s">
        <v>53</v>
      </c>
      <c r="J179" s="11" t="s">
        <v>106</v>
      </c>
      <c r="K179" s="61"/>
      <c r="L179" s="11" t="s">
        <v>67</v>
      </c>
      <c r="M179" s="25"/>
      <c r="N179" s="54"/>
      <c r="O179" s="3" t="str">
        <f>IF($A179="","",IF(P179=0,"A",IF(P179=AZ179,"E","A")))</f>
        <v>A</v>
      </c>
      <c r="P179" s="48">
        <v>270257</v>
      </c>
      <c r="Q179" s="48">
        <v>36872</v>
      </c>
      <c r="R179" s="32"/>
      <c r="S179" s="3" t="str">
        <f t="shared" si="43"/>
        <v>A</v>
      </c>
      <c r="T179" s="48">
        <v>227492</v>
      </c>
      <c r="U179" s="48">
        <v>37077</v>
      </c>
      <c r="V179" s="32"/>
      <c r="W179" s="3" t="str">
        <f t="shared" si="33"/>
        <v>A</v>
      </c>
      <c r="X179" s="48">
        <v>203790</v>
      </c>
      <c r="Y179" s="48">
        <v>28881</v>
      </c>
      <c r="Z179" s="32"/>
      <c r="AA179" s="3" t="str">
        <f t="shared" si="34"/>
        <v>A</v>
      </c>
      <c r="AB179" s="48">
        <v>198867</v>
      </c>
      <c r="AC179" s="48">
        <v>25033</v>
      </c>
      <c r="AD179" s="36"/>
      <c r="AE179" s="54"/>
      <c r="AF179" s="3" t="str">
        <f t="shared" si="35"/>
        <v>A</v>
      </c>
      <c r="AG179" s="48">
        <v>0</v>
      </c>
      <c r="AH179" s="48">
        <v>0</v>
      </c>
      <c r="AI179" s="39"/>
      <c r="AJ179" s="79" t="s">
        <v>1801</v>
      </c>
      <c r="AK179" s="39"/>
      <c r="AL179" s="4">
        <f t="shared" si="41"/>
        <v>900406</v>
      </c>
      <c r="AM179" s="4">
        <f t="shared" si="41"/>
        <v>127863</v>
      </c>
      <c r="AN179" s="4">
        <f t="shared" si="36"/>
        <v>1028269</v>
      </c>
      <c r="AO179" s="39"/>
      <c r="AP179" s="8">
        <f t="shared" si="42"/>
        <v>0</v>
      </c>
      <c r="AQ179" s="8">
        <f t="shared" si="42"/>
        <v>0</v>
      </c>
      <c r="AR179" s="8">
        <f t="shared" si="37"/>
        <v>0</v>
      </c>
      <c r="AS179" s="42"/>
      <c r="AT179" s="48">
        <v>900406</v>
      </c>
      <c r="AU179" s="48">
        <v>127863</v>
      </c>
      <c r="AV179" s="4">
        <f t="shared" si="38"/>
        <v>1028269</v>
      </c>
      <c r="AW179" s="50" t="str">
        <f t="shared" si="39"/>
        <v/>
      </c>
      <c r="AX179" s="1" t="s">
        <v>1658</v>
      </c>
      <c r="AY179" s="2" t="s">
        <v>1659</v>
      </c>
      <c r="AZ179" s="2">
        <v>148200.56</v>
      </c>
      <c r="BA179" s="73">
        <v>129675.49</v>
      </c>
      <c r="BB179" s="73">
        <v>129675.49</v>
      </c>
      <c r="BC179" s="73">
        <v>148200.56</v>
      </c>
      <c r="BD179" s="73"/>
      <c r="BE179" s="66">
        <v>0.04</v>
      </c>
      <c r="BF179" s="66">
        <v>0.05</v>
      </c>
      <c r="BG179" s="63">
        <v>44778</v>
      </c>
      <c r="BH179" s="2"/>
      <c r="BI179" s="2"/>
      <c r="BJ179" s="2"/>
      <c r="BK179" s="2"/>
      <c r="BL179" s="1" t="s">
        <v>219</v>
      </c>
    </row>
    <row r="180" spans="1:64" x14ac:dyDescent="0.25">
      <c r="A180" s="56" t="s">
        <v>344</v>
      </c>
      <c r="B180" s="54" t="s">
        <v>1387</v>
      </c>
      <c r="C180" s="56" t="s">
        <v>1388</v>
      </c>
      <c r="D180" s="16">
        <v>45177</v>
      </c>
      <c r="E180" s="17"/>
      <c r="F180" s="2" t="s">
        <v>217</v>
      </c>
      <c r="G180" s="2" t="s">
        <v>218</v>
      </c>
      <c r="H180" s="10" t="s">
        <v>105</v>
      </c>
      <c r="I180" s="11" t="s">
        <v>53</v>
      </c>
      <c r="J180" s="11" t="s">
        <v>106</v>
      </c>
      <c r="K180" s="61"/>
      <c r="L180" s="11" t="s">
        <v>67</v>
      </c>
      <c r="M180" s="25"/>
      <c r="N180" s="54"/>
      <c r="O180" s="3" t="str">
        <f>IF($A180="","",IF(P180=AZ180,"E","A"))</f>
        <v>A</v>
      </c>
      <c r="P180" s="48">
        <v>50207</v>
      </c>
      <c r="Q180" s="48">
        <v>10710</v>
      </c>
      <c r="R180" s="32"/>
      <c r="S180" s="3" t="str">
        <f t="shared" si="43"/>
        <v>A</v>
      </c>
      <c r="T180" s="48">
        <v>47926</v>
      </c>
      <c r="U180" s="48">
        <v>9415</v>
      </c>
      <c r="V180" s="32"/>
      <c r="W180" s="3" t="str">
        <f t="shared" si="33"/>
        <v>A</v>
      </c>
      <c r="X180" s="48">
        <v>38400</v>
      </c>
      <c r="Y180" s="48">
        <v>8169</v>
      </c>
      <c r="Z180" s="32"/>
      <c r="AA180" s="3" t="str">
        <f t="shared" si="34"/>
        <v>A</v>
      </c>
      <c r="AB180" s="48">
        <v>38499</v>
      </c>
      <c r="AC180" s="48">
        <v>6745</v>
      </c>
      <c r="AD180" s="36"/>
      <c r="AE180" s="54"/>
      <c r="AF180" s="3" t="str">
        <f t="shared" si="35"/>
        <v>A</v>
      </c>
      <c r="AG180" s="48">
        <v>0</v>
      </c>
      <c r="AH180" s="48">
        <v>0</v>
      </c>
      <c r="AI180" s="39"/>
      <c r="AJ180" s="79" t="s">
        <v>1801</v>
      </c>
      <c r="AK180" s="39"/>
      <c r="AL180" s="4">
        <f t="shared" si="41"/>
        <v>175032</v>
      </c>
      <c r="AM180" s="4">
        <f t="shared" si="41"/>
        <v>35039</v>
      </c>
      <c r="AN180" s="4">
        <f t="shared" si="36"/>
        <v>210071</v>
      </c>
      <c r="AO180" s="39"/>
      <c r="AP180" s="8">
        <f t="shared" si="42"/>
        <v>0</v>
      </c>
      <c r="AQ180" s="8">
        <f t="shared" si="42"/>
        <v>0</v>
      </c>
      <c r="AR180" s="8">
        <f t="shared" si="37"/>
        <v>0</v>
      </c>
      <c r="AS180" s="42"/>
      <c r="AT180" s="48">
        <v>175032</v>
      </c>
      <c r="AU180" s="48">
        <v>35039</v>
      </c>
      <c r="AV180" s="4">
        <f t="shared" si="38"/>
        <v>210071</v>
      </c>
      <c r="AW180" s="50" t="str">
        <f t="shared" si="39"/>
        <v/>
      </c>
      <c r="AX180" s="1" t="s">
        <v>1658</v>
      </c>
      <c r="AY180" s="2" t="s">
        <v>1659</v>
      </c>
      <c r="AZ180" s="2">
        <v>114417.44</v>
      </c>
      <c r="BA180" s="73">
        <v>100115.26</v>
      </c>
      <c r="BB180" s="73">
        <v>100115.26</v>
      </c>
      <c r="BC180" s="73">
        <v>114417.44</v>
      </c>
      <c r="BD180" s="73"/>
      <c r="BE180" s="66">
        <v>0</v>
      </c>
      <c r="BF180" s="66">
        <v>0.05</v>
      </c>
      <c r="BG180" s="63">
        <v>45177</v>
      </c>
      <c r="BH180" s="2"/>
      <c r="BI180" s="2"/>
      <c r="BJ180" s="2">
        <v>414936</v>
      </c>
      <c r="BK180" s="2">
        <v>21784.14</v>
      </c>
      <c r="BL180" s="1" t="s">
        <v>219</v>
      </c>
    </row>
    <row r="181" spans="1:64" x14ac:dyDescent="0.25">
      <c r="A181" s="56" t="s">
        <v>346</v>
      </c>
      <c r="B181" s="54" t="s">
        <v>346</v>
      </c>
      <c r="C181" s="56" t="s">
        <v>347</v>
      </c>
      <c r="D181" s="16">
        <v>39353</v>
      </c>
      <c r="E181" s="17"/>
      <c r="F181" s="2" t="s">
        <v>348</v>
      </c>
      <c r="G181" s="2" t="s">
        <v>349</v>
      </c>
      <c r="H181" s="10" t="s">
        <v>105</v>
      </c>
      <c r="I181" s="11" t="s">
        <v>53</v>
      </c>
      <c r="J181" s="11" t="s">
        <v>350</v>
      </c>
      <c r="K181" s="61"/>
      <c r="L181" s="11" t="s">
        <v>67</v>
      </c>
      <c r="M181" s="25"/>
      <c r="N181" s="54"/>
      <c r="O181" s="3" t="str">
        <f>IF($A181="","",IF(P181=0,"A",IF(P181=AZ181,"E","A")))</f>
        <v>A</v>
      </c>
      <c r="P181" s="48">
        <v>97659</v>
      </c>
      <c r="Q181" s="48">
        <v>15726</v>
      </c>
      <c r="R181" s="32"/>
      <c r="S181" s="3" t="str">
        <f t="shared" si="43"/>
        <v>A</v>
      </c>
      <c r="T181" s="48">
        <v>90024</v>
      </c>
      <c r="U181" s="48">
        <v>20102</v>
      </c>
      <c r="V181" s="32"/>
      <c r="W181" s="3" t="str">
        <f t="shared" si="33"/>
        <v>A</v>
      </c>
      <c r="X181" s="48">
        <v>92594</v>
      </c>
      <c r="Y181" s="48">
        <v>14615</v>
      </c>
      <c r="Z181" s="32"/>
      <c r="AA181" s="3" t="str">
        <f t="shared" si="34"/>
        <v>A</v>
      </c>
      <c r="AB181" s="48">
        <v>89919</v>
      </c>
      <c r="AC181" s="48">
        <v>12747</v>
      </c>
      <c r="AD181" s="36"/>
      <c r="AE181" s="54"/>
      <c r="AF181" s="3" t="str">
        <f t="shared" si="35"/>
        <v>A</v>
      </c>
      <c r="AG181" s="48">
        <v>0</v>
      </c>
      <c r="AH181" s="48">
        <v>0</v>
      </c>
      <c r="AI181" s="39"/>
      <c r="AJ181" s="79" t="s">
        <v>1801</v>
      </c>
      <c r="AK181" s="39"/>
      <c r="AL181" s="4">
        <f t="shared" si="41"/>
        <v>370196</v>
      </c>
      <c r="AM181" s="4">
        <f t="shared" si="41"/>
        <v>63190</v>
      </c>
      <c r="AN181" s="4">
        <f t="shared" si="36"/>
        <v>433386</v>
      </c>
      <c r="AO181" s="39"/>
      <c r="AP181" s="8">
        <f t="shared" si="42"/>
        <v>0</v>
      </c>
      <c r="AQ181" s="8">
        <f t="shared" si="42"/>
        <v>0</v>
      </c>
      <c r="AR181" s="8">
        <f t="shared" si="37"/>
        <v>0</v>
      </c>
      <c r="AS181" s="42"/>
      <c r="AT181" s="48">
        <v>370196</v>
      </c>
      <c r="AU181" s="48">
        <v>63190</v>
      </c>
      <c r="AV181" s="4">
        <f t="shared" si="38"/>
        <v>433386</v>
      </c>
      <c r="AW181" s="50" t="str">
        <f t="shared" si="39"/>
        <v/>
      </c>
      <c r="AX181" s="1" t="s">
        <v>1688</v>
      </c>
      <c r="AY181" s="2" t="s">
        <v>1689</v>
      </c>
      <c r="AZ181" s="2">
        <v>102170.4</v>
      </c>
      <c r="BA181" s="73">
        <v>89399.1</v>
      </c>
      <c r="BB181" s="73">
        <v>89399.1</v>
      </c>
      <c r="BC181" s="73">
        <v>102170.4</v>
      </c>
      <c r="BD181" s="73"/>
      <c r="BE181" s="66">
        <v>0.04</v>
      </c>
      <c r="BF181" s="66">
        <v>0.05</v>
      </c>
      <c r="BG181" s="63">
        <v>44828</v>
      </c>
      <c r="BH181" s="2"/>
      <c r="BI181" s="2"/>
      <c r="BJ181" s="2"/>
      <c r="BK181" s="2"/>
      <c r="BL181" s="1" t="s">
        <v>219</v>
      </c>
    </row>
    <row r="182" spans="1:64" x14ac:dyDescent="0.25">
      <c r="A182" s="56" t="s">
        <v>346</v>
      </c>
      <c r="B182" s="54" t="s">
        <v>737</v>
      </c>
      <c r="C182" s="56" t="s">
        <v>738</v>
      </c>
      <c r="D182" s="16">
        <v>41518</v>
      </c>
      <c r="E182" s="17"/>
      <c r="F182" s="2" t="s">
        <v>348</v>
      </c>
      <c r="G182" s="2" t="s">
        <v>349</v>
      </c>
      <c r="H182" s="10" t="s">
        <v>105</v>
      </c>
      <c r="I182" s="11" t="s">
        <v>53</v>
      </c>
      <c r="J182" s="11" t="s">
        <v>350</v>
      </c>
      <c r="K182" s="61"/>
      <c r="L182" s="11" t="s">
        <v>67</v>
      </c>
      <c r="M182" s="25"/>
      <c r="N182" s="54"/>
      <c r="O182" s="3" t="str">
        <f>IF($A182="","",IF(P182=0,"A",IF(P182=AZ182,"E","A")))</f>
        <v>A</v>
      </c>
      <c r="P182" s="48">
        <v>82951</v>
      </c>
      <c r="Q182" s="48">
        <v>10249</v>
      </c>
      <c r="R182" s="32"/>
      <c r="S182" s="3" t="str">
        <f t="shared" si="43"/>
        <v>A</v>
      </c>
      <c r="T182" s="48">
        <v>75826</v>
      </c>
      <c r="U182" s="48">
        <v>17315</v>
      </c>
      <c r="V182" s="32"/>
      <c r="W182" s="3" t="str">
        <f t="shared" si="33"/>
        <v>A</v>
      </c>
      <c r="X182" s="48">
        <v>66023</v>
      </c>
      <c r="Y182" s="48">
        <v>18270</v>
      </c>
      <c r="Z182" s="32"/>
      <c r="AA182" s="3" t="str">
        <f t="shared" si="34"/>
        <v>A</v>
      </c>
      <c r="AB182" s="48">
        <v>76020</v>
      </c>
      <c r="AC182" s="48">
        <v>16737</v>
      </c>
      <c r="AD182" s="36"/>
      <c r="AE182" s="54"/>
      <c r="AF182" s="3" t="str">
        <f t="shared" si="35"/>
        <v>A</v>
      </c>
      <c r="AG182" s="48">
        <v>0</v>
      </c>
      <c r="AH182" s="48">
        <v>0</v>
      </c>
      <c r="AI182" s="39"/>
      <c r="AJ182" s="79" t="s">
        <v>1801</v>
      </c>
      <c r="AK182" s="39"/>
      <c r="AL182" s="4">
        <f t="shared" si="41"/>
        <v>300820</v>
      </c>
      <c r="AM182" s="4">
        <f t="shared" si="41"/>
        <v>62571</v>
      </c>
      <c r="AN182" s="4">
        <f t="shared" si="36"/>
        <v>363391</v>
      </c>
      <c r="AO182" s="39"/>
      <c r="AP182" s="8">
        <f t="shared" si="42"/>
        <v>0</v>
      </c>
      <c r="AQ182" s="8">
        <f t="shared" si="42"/>
        <v>0</v>
      </c>
      <c r="AR182" s="8">
        <f t="shared" si="37"/>
        <v>0</v>
      </c>
      <c r="AS182" s="42"/>
      <c r="AT182" s="48">
        <v>300820</v>
      </c>
      <c r="AU182" s="48">
        <v>62571</v>
      </c>
      <c r="AV182" s="4">
        <f t="shared" si="38"/>
        <v>363391</v>
      </c>
      <c r="AW182" s="50" t="str">
        <f t="shared" si="39"/>
        <v/>
      </c>
      <c r="AX182" s="1" t="s">
        <v>1688</v>
      </c>
      <c r="AY182" s="2" t="s">
        <v>1689</v>
      </c>
      <c r="AZ182" s="2">
        <v>97608.4</v>
      </c>
      <c r="BA182" s="73">
        <v>85407.35</v>
      </c>
      <c r="BB182" s="73">
        <v>85407.35</v>
      </c>
      <c r="BC182" s="73">
        <v>97608.4</v>
      </c>
      <c r="BD182" s="73"/>
      <c r="BE182" s="66">
        <v>0.04</v>
      </c>
      <c r="BF182" s="66">
        <v>0.05</v>
      </c>
      <c r="BG182" s="63">
        <v>44828</v>
      </c>
      <c r="BH182" s="2"/>
      <c r="BI182" s="2"/>
      <c r="BJ182" s="2"/>
      <c r="BK182" s="2"/>
      <c r="BL182" s="1" t="s">
        <v>219</v>
      </c>
    </row>
    <row r="183" spans="1:64" x14ac:dyDescent="0.25">
      <c r="A183" s="56" t="s">
        <v>346</v>
      </c>
      <c r="B183" s="54" t="s">
        <v>1483</v>
      </c>
      <c r="C183" s="56" t="s">
        <v>1484</v>
      </c>
      <c r="D183" s="16">
        <v>0</v>
      </c>
      <c r="E183" s="17"/>
      <c r="F183" s="2" t="s">
        <v>348</v>
      </c>
      <c r="G183" s="2" t="s">
        <v>349</v>
      </c>
      <c r="H183" s="10" t="s">
        <v>105</v>
      </c>
      <c r="I183" s="11" t="s">
        <v>53</v>
      </c>
      <c r="J183" s="11" t="s">
        <v>350</v>
      </c>
      <c r="K183" s="61"/>
      <c r="L183" s="11" t="s">
        <v>67</v>
      </c>
      <c r="M183" s="25"/>
      <c r="N183" s="54"/>
      <c r="O183" s="3" t="str">
        <f>IF($A183="","",IF(P183=AZ183,"E","A"))</f>
        <v>A</v>
      </c>
      <c r="P183" s="48">
        <v>103423</v>
      </c>
      <c r="Q183" s="48">
        <v>0</v>
      </c>
      <c r="R183" s="32"/>
      <c r="S183" s="3" t="str">
        <f>IF($A183="","",IF(T183=BA183,"E","A"))</f>
        <v>A</v>
      </c>
      <c r="T183" s="48">
        <v>101134</v>
      </c>
      <c r="U183" s="48">
        <v>15</v>
      </c>
      <c r="V183" s="32"/>
      <c r="W183" s="3" t="str">
        <f t="shared" si="33"/>
        <v>A</v>
      </c>
      <c r="X183" s="48">
        <v>88360</v>
      </c>
      <c r="Y183" s="48">
        <v>210</v>
      </c>
      <c r="Z183" s="32"/>
      <c r="AA183" s="3" t="str">
        <f t="shared" si="34"/>
        <v>A</v>
      </c>
      <c r="AB183" s="48">
        <v>95453</v>
      </c>
      <c r="AC183" s="48">
        <v>360</v>
      </c>
      <c r="AD183" s="36"/>
      <c r="AE183" s="54"/>
      <c r="AF183" s="3" t="str">
        <f t="shared" si="35"/>
        <v>A</v>
      </c>
      <c r="AG183" s="48">
        <v>0</v>
      </c>
      <c r="AH183" s="48">
        <v>0</v>
      </c>
      <c r="AI183" s="39"/>
      <c r="AJ183" s="79" t="s">
        <v>1801</v>
      </c>
      <c r="AK183" s="39"/>
      <c r="AL183" s="4">
        <f t="shared" si="41"/>
        <v>388370</v>
      </c>
      <c r="AM183" s="4">
        <f t="shared" si="41"/>
        <v>585</v>
      </c>
      <c r="AN183" s="4">
        <f t="shared" si="36"/>
        <v>388955</v>
      </c>
      <c r="AO183" s="39"/>
      <c r="AP183" s="8">
        <f t="shared" si="42"/>
        <v>0</v>
      </c>
      <c r="AQ183" s="8">
        <f t="shared" si="42"/>
        <v>0</v>
      </c>
      <c r="AR183" s="8">
        <f t="shared" si="37"/>
        <v>0</v>
      </c>
      <c r="AS183" s="42"/>
      <c r="AT183" s="48">
        <v>388370</v>
      </c>
      <c r="AU183" s="48">
        <v>585</v>
      </c>
      <c r="AV183" s="4">
        <f t="shared" si="38"/>
        <v>388955</v>
      </c>
      <c r="AW183" s="50" t="str">
        <f t="shared" si="39"/>
        <v/>
      </c>
      <c r="AX183" s="1" t="s">
        <v>1688</v>
      </c>
      <c r="AY183" s="2" t="s">
        <v>1689</v>
      </c>
      <c r="AZ183" s="2">
        <v>71308.08</v>
      </c>
      <c r="BA183" s="73">
        <v>62394.57</v>
      </c>
      <c r="BB183" s="73">
        <v>62394.57</v>
      </c>
      <c r="BC183" s="73">
        <v>71308.08</v>
      </c>
      <c r="BD183" s="73"/>
      <c r="BE183" s="66">
        <v>0</v>
      </c>
      <c r="BF183" s="66">
        <v>0.05</v>
      </c>
      <c r="BG183" s="63">
        <v>45463</v>
      </c>
      <c r="BH183" s="2"/>
      <c r="BI183" s="2"/>
      <c r="BJ183" s="2">
        <v>264960.96000000002</v>
      </c>
      <c r="BK183" s="2"/>
      <c r="BL183" s="1" t="s">
        <v>219</v>
      </c>
    </row>
    <row r="184" spans="1:64" x14ac:dyDescent="0.25">
      <c r="A184" s="56" t="s">
        <v>351</v>
      </c>
      <c r="B184" s="54" t="s">
        <v>351</v>
      </c>
      <c r="C184" s="56" t="s">
        <v>352</v>
      </c>
      <c r="D184" s="16">
        <v>41734</v>
      </c>
      <c r="E184" s="17"/>
      <c r="F184" s="2" t="s">
        <v>243</v>
      </c>
      <c r="G184" s="2" t="s">
        <v>245</v>
      </c>
      <c r="H184" s="10" t="s">
        <v>105</v>
      </c>
      <c r="I184" s="11" t="s">
        <v>244</v>
      </c>
      <c r="J184" s="11" t="s">
        <v>334</v>
      </c>
      <c r="K184" s="61" t="s">
        <v>335</v>
      </c>
      <c r="L184" s="11" t="s">
        <v>67</v>
      </c>
      <c r="M184" s="25"/>
      <c r="N184" s="54"/>
      <c r="O184" s="3" t="str">
        <f t="shared" ref="O184:O202" si="44">IF($A184="","",IF(P184=0,"A",IF(P184=AZ184,"E","A")))</f>
        <v>A</v>
      </c>
      <c r="P184" s="48">
        <v>120238.10999999999</v>
      </c>
      <c r="Q184" s="48">
        <v>16826</v>
      </c>
      <c r="R184" s="32"/>
      <c r="S184" s="3" t="str">
        <f t="shared" ref="S184:S203" si="45">IF($A184="","",IF(T184=0,"A",IF(T184=BA184,"E","A")))</f>
        <v>A</v>
      </c>
      <c r="T184" s="48">
        <v>100299</v>
      </c>
      <c r="U184" s="48">
        <v>15877</v>
      </c>
      <c r="V184" s="32"/>
      <c r="W184" s="3" t="str">
        <f t="shared" si="33"/>
        <v>A</v>
      </c>
      <c r="X184" s="48">
        <v>94254.87</v>
      </c>
      <c r="Y184" s="48">
        <v>14506.89</v>
      </c>
      <c r="Z184" s="32"/>
      <c r="AA184" s="3" t="str">
        <f t="shared" si="34"/>
        <v>A</v>
      </c>
      <c r="AB184" s="48">
        <v>108490.93</v>
      </c>
      <c r="AC184" s="48">
        <v>14014.38</v>
      </c>
      <c r="AD184" s="36"/>
      <c r="AE184" s="54"/>
      <c r="AF184" s="3" t="str">
        <f t="shared" si="35"/>
        <v>A</v>
      </c>
      <c r="AG184" s="48">
        <v>0</v>
      </c>
      <c r="AH184" s="48">
        <v>0</v>
      </c>
      <c r="AI184" s="39"/>
      <c r="AJ184" s="79" t="s">
        <v>1801</v>
      </c>
      <c r="AK184" s="39"/>
      <c r="AL184" s="4">
        <f t="shared" si="41"/>
        <v>423282.91</v>
      </c>
      <c r="AM184" s="4">
        <f t="shared" si="41"/>
        <v>61224.27</v>
      </c>
      <c r="AN184" s="4">
        <f t="shared" si="36"/>
        <v>484507.18</v>
      </c>
      <c r="AO184" s="39"/>
      <c r="AP184" s="8">
        <f t="shared" si="42"/>
        <v>0</v>
      </c>
      <c r="AQ184" s="8">
        <f t="shared" si="42"/>
        <v>0</v>
      </c>
      <c r="AR184" s="8">
        <f t="shared" si="37"/>
        <v>0</v>
      </c>
      <c r="AS184" s="42"/>
      <c r="AT184" s="48">
        <v>423282.91</v>
      </c>
      <c r="AU184" s="48">
        <v>61224.27</v>
      </c>
      <c r="AV184" s="4">
        <f t="shared" si="38"/>
        <v>484507.18</v>
      </c>
      <c r="AW184" s="50" t="str">
        <f t="shared" si="39"/>
        <v/>
      </c>
      <c r="AX184" s="1" t="s">
        <v>1639</v>
      </c>
      <c r="AY184" s="2" t="s">
        <v>1640</v>
      </c>
      <c r="AZ184" s="2">
        <v>112343.52</v>
      </c>
      <c r="BA184" s="73">
        <v>98300.58</v>
      </c>
      <c r="BB184" s="73">
        <v>98300.58</v>
      </c>
      <c r="BC184" s="73">
        <v>112343.52</v>
      </c>
      <c r="BD184" s="73"/>
      <c r="BE184" s="66">
        <v>0</v>
      </c>
      <c r="BF184" s="66">
        <v>0.02</v>
      </c>
      <c r="BG184" s="63">
        <v>45387</v>
      </c>
      <c r="BH184" s="74">
        <v>41651</v>
      </c>
      <c r="BI184" s="74">
        <v>41734</v>
      </c>
      <c r="BJ184" s="2"/>
      <c r="BK184" s="2"/>
      <c r="BL184" s="1" t="s">
        <v>219</v>
      </c>
    </row>
    <row r="185" spans="1:64" x14ac:dyDescent="0.25">
      <c r="A185" s="56" t="s">
        <v>351</v>
      </c>
      <c r="B185" s="54" t="s">
        <v>1237</v>
      </c>
      <c r="C185" s="56" t="s">
        <v>1238</v>
      </c>
      <c r="D185" s="16">
        <v>45046</v>
      </c>
      <c r="E185" s="17"/>
      <c r="F185" s="2" t="s">
        <v>243</v>
      </c>
      <c r="G185" s="2" t="s">
        <v>245</v>
      </c>
      <c r="H185" s="10" t="s">
        <v>105</v>
      </c>
      <c r="I185" s="11" t="s">
        <v>244</v>
      </c>
      <c r="J185" s="11" t="s">
        <v>334</v>
      </c>
      <c r="K185" s="61" t="s">
        <v>335</v>
      </c>
      <c r="L185" s="11" t="s">
        <v>67</v>
      </c>
      <c r="M185" s="25"/>
      <c r="N185" s="54"/>
      <c r="O185" s="3" t="str">
        <f t="shared" si="44"/>
        <v>A</v>
      </c>
      <c r="P185" s="48">
        <v>37612</v>
      </c>
      <c r="Q185" s="48">
        <v>8887</v>
      </c>
      <c r="R185" s="32"/>
      <c r="S185" s="3" t="str">
        <f t="shared" si="45"/>
        <v>A</v>
      </c>
      <c r="T185" s="48">
        <v>30466</v>
      </c>
      <c r="U185" s="48">
        <v>7500</v>
      </c>
      <c r="V185" s="32"/>
      <c r="W185" s="3" t="str">
        <f t="shared" si="33"/>
        <v>A</v>
      </c>
      <c r="X185" s="48">
        <v>32631</v>
      </c>
      <c r="Y185" s="48">
        <v>8432</v>
      </c>
      <c r="Z185" s="32"/>
      <c r="AA185" s="3" t="str">
        <f t="shared" si="34"/>
        <v>A</v>
      </c>
      <c r="AB185" s="48">
        <v>32719</v>
      </c>
      <c r="AC185" s="48">
        <v>9447</v>
      </c>
      <c r="AD185" s="36"/>
      <c r="AE185" s="54"/>
      <c r="AF185" s="3" t="str">
        <f t="shared" si="35"/>
        <v>A</v>
      </c>
      <c r="AG185" s="48">
        <v>0</v>
      </c>
      <c r="AH185" s="48">
        <v>0</v>
      </c>
      <c r="AI185" s="39"/>
      <c r="AJ185" s="79" t="s">
        <v>1801</v>
      </c>
      <c r="AK185" s="39"/>
      <c r="AL185" s="4">
        <f t="shared" si="41"/>
        <v>133428</v>
      </c>
      <c r="AM185" s="4">
        <f t="shared" si="41"/>
        <v>34266</v>
      </c>
      <c r="AN185" s="4">
        <f t="shared" si="36"/>
        <v>167694</v>
      </c>
      <c r="AO185" s="39"/>
      <c r="AP185" s="8">
        <f t="shared" si="42"/>
        <v>0</v>
      </c>
      <c r="AQ185" s="8">
        <f t="shared" si="42"/>
        <v>0</v>
      </c>
      <c r="AR185" s="8">
        <f t="shared" si="37"/>
        <v>0</v>
      </c>
      <c r="AS185" s="42"/>
      <c r="AT185" s="48">
        <v>133428</v>
      </c>
      <c r="AU185" s="48">
        <v>34266</v>
      </c>
      <c r="AV185" s="4">
        <f t="shared" si="38"/>
        <v>167694</v>
      </c>
      <c r="AW185" s="50" t="str">
        <f t="shared" si="39"/>
        <v/>
      </c>
      <c r="AX185" s="1" t="s">
        <v>1639</v>
      </c>
      <c r="AY185" s="2" t="s">
        <v>1640</v>
      </c>
      <c r="AZ185" s="2">
        <v>83047.92</v>
      </c>
      <c r="BA185" s="73">
        <v>72666.929999999993</v>
      </c>
      <c r="BB185" s="73">
        <v>72666.929999999993</v>
      </c>
      <c r="BC185" s="73">
        <v>83047.92</v>
      </c>
      <c r="BD185" s="73"/>
      <c r="BE185" s="66">
        <v>0</v>
      </c>
      <c r="BF185" s="66">
        <v>0.02</v>
      </c>
      <c r="BG185" s="63">
        <v>45387</v>
      </c>
      <c r="BH185" s="2"/>
      <c r="BI185" s="2"/>
      <c r="BJ185" s="2">
        <v>299852.28000000003</v>
      </c>
      <c r="BK185" s="2">
        <v>33316.92</v>
      </c>
      <c r="BL185" s="1" t="s">
        <v>219</v>
      </c>
    </row>
    <row r="186" spans="1:64" x14ac:dyDescent="0.25">
      <c r="A186" s="56" t="s">
        <v>353</v>
      </c>
      <c r="B186" s="54" t="s">
        <v>353</v>
      </c>
      <c r="C186" s="56" t="s">
        <v>354</v>
      </c>
      <c r="D186" s="16">
        <v>39546</v>
      </c>
      <c r="E186" s="17"/>
      <c r="F186" s="2" t="s">
        <v>76</v>
      </c>
      <c r="G186" s="2" t="s">
        <v>78</v>
      </c>
      <c r="H186" s="10" t="s">
        <v>57</v>
      </c>
      <c r="I186" s="11" t="s">
        <v>77</v>
      </c>
      <c r="J186" s="11" t="s">
        <v>87</v>
      </c>
      <c r="K186" s="61" t="s">
        <v>88</v>
      </c>
      <c r="L186" s="11" t="s">
        <v>67</v>
      </c>
      <c r="M186" s="25"/>
      <c r="N186" s="54"/>
      <c r="O186" s="3" t="str">
        <f t="shared" si="44"/>
        <v>A</v>
      </c>
      <c r="P186" s="48">
        <v>351780</v>
      </c>
      <c r="Q186" s="48">
        <v>119827</v>
      </c>
      <c r="R186" s="32"/>
      <c r="S186" s="3" t="str">
        <f t="shared" si="45"/>
        <v>A</v>
      </c>
      <c r="T186" s="48">
        <v>311022</v>
      </c>
      <c r="U186" s="48">
        <v>110818</v>
      </c>
      <c r="V186" s="32"/>
      <c r="W186" s="3" t="str">
        <f t="shared" si="33"/>
        <v>A</v>
      </c>
      <c r="X186" s="48">
        <v>263212.5</v>
      </c>
      <c r="Y186" s="48">
        <v>82025</v>
      </c>
      <c r="Z186" s="32"/>
      <c r="AA186" s="3" t="str">
        <f t="shared" si="34"/>
        <v>A</v>
      </c>
      <c r="AB186" s="48">
        <v>288921</v>
      </c>
      <c r="AC186" s="48">
        <v>101497</v>
      </c>
      <c r="AD186" s="36"/>
      <c r="AE186" s="54"/>
      <c r="AF186" s="3" t="str">
        <f t="shared" si="35"/>
        <v>A</v>
      </c>
      <c r="AG186" s="48">
        <v>0</v>
      </c>
      <c r="AH186" s="48">
        <v>0</v>
      </c>
      <c r="AI186" s="39"/>
      <c r="AJ186" s="79" t="s">
        <v>1801</v>
      </c>
      <c r="AK186" s="39"/>
      <c r="AL186" s="4">
        <f t="shared" si="41"/>
        <v>1214935.5</v>
      </c>
      <c r="AM186" s="4">
        <f t="shared" si="41"/>
        <v>414167</v>
      </c>
      <c r="AN186" s="4">
        <f t="shared" si="36"/>
        <v>1629102.5</v>
      </c>
      <c r="AO186" s="39"/>
      <c r="AP186" s="8">
        <f t="shared" si="42"/>
        <v>0</v>
      </c>
      <c r="AQ186" s="8">
        <f t="shared" si="42"/>
        <v>0</v>
      </c>
      <c r="AR186" s="8">
        <f t="shared" si="37"/>
        <v>0</v>
      </c>
      <c r="AS186" s="42"/>
      <c r="AT186" s="48">
        <v>1214935.5</v>
      </c>
      <c r="AU186" s="48">
        <v>414167</v>
      </c>
      <c r="AV186" s="4">
        <f t="shared" si="38"/>
        <v>1629102.5</v>
      </c>
      <c r="AW186" s="50" t="str">
        <f t="shared" si="39"/>
        <v/>
      </c>
      <c r="AX186" s="1" t="s">
        <v>1639</v>
      </c>
      <c r="AY186" s="2" t="s">
        <v>1640</v>
      </c>
      <c r="AZ186" s="2">
        <v>235762.56</v>
      </c>
      <c r="BA186" s="73">
        <v>206292.24</v>
      </c>
      <c r="BB186" s="73">
        <v>206292.24</v>
      </c>
      <c r="BC186" s="73">
        <v>235762.56</v>
      </c>
      <c r="BD186" s="73"/>
      <c r="BE186" s="66">
        <v>3.5000000000000003E-2</v>
      </c>
      <c r="BF186" s="66">
        <v>0.02</v>
      </c>
      <c r="BG186" s="63">
        <v>45014</v>
      </c>
      <c r="BH186" s="2"/>
      <c r="BI186" s="2"/>
      <c r="BJ186" s="2"/>
      <c r="BK186" s="2"/>
      <c r="BL186" s="1" t="s">
        <v>56</v>
      </c>
    </row>
    <row r="187" spans="1:64" x14ac:dyDescent="0.25">
      <c r="A187" s="56" t="s">
        <v>353</v>
      </c>
      <c r="B187" s="54" t="s">
        <v>741</v>
      </c>
      <c r="C187" s="56" t="s">
        <v>742</v>
      </c>
      <c r="D187" s="16">
        <v>42108</v>
      </c>
      <c r="E187" s="17"/>
      <c r="F187" s="2" t="s">
        <v>76</v>
      </c>
      <c r="G187" s="2" t="s">
        <v>78</v>
      </c>
      <c r="H187" s="10" t="s">
        <v>57</v>
      </c>
      <c r="I187" s="11" t="s">
        <v>77</v>
      </c>
      <c r="J187" s="11" t="s">
        <v>87</v>
      </c>
      <c r="K187" s="61" t="s">
        <v>88</v>
      </c>
      <c r="L187" s="11" t="s">
        <v>67</v>
      </c>
      <c r="M187" s="25"/>
      <c r="N187" s="54"/>
      <c r="O187" s="3" t="str">
        <f t="shared" si="44"/>
        <v>A</v>
      </c>
      <c r="P187" s="48">
        <v>21863</v>
      </c>
      <c r="Q187" s="48">
        <v>18488</v>
      </c>
      <c r="R187" s="32"/>
      <c r="S187" s="3" t="str">
        <f t="shared" si="45"/>
        <v>A</v>
      </c>
      <c r="T187" s="48">
        <v>17398</v>
      </c>
      <c r="U187" s="48">
        <v>12883</v>
      </c>
      <c r="V187" s="32"/>
      <c r="W187" s="3" t="str">
        <f t="shared" si="33"/>
        <v>A</v>
      </c>
      <c r="X187" s="48">
        <v>17272</v>
      </c>
      <c r="Y187" s="48">
        <v>11126</v>
      </c>
      <c r="Z187" s="32"/>
      <c r="AA187" s="3" t="str">
        <f t="shared" si="34"/>
        <v>A</v>
      </c>
      <c r="AB187" s="48">
        <v>20538</v>
      </c>
      <c r="AC187" s="48">
        <v>12284</v>
      </c>
      <c r="AD187" s="36"/>
      <c r="AE187" s="54"/>
      <c r="AF187" s="3" t="str">
        <f t="shared" si="35"/>
        <v>A</v>
      </c>
      <c r="AG187" s="48">
        <v>0</v>
      </c>
      <c r="AH187" s="48">
        <v>0</v>
      </c>
      <c r="AI187" s="39"/>
      <c r="AJ187" s="79" t="s">
        <v>1801</v>
      </c>
      <c r="AK187" s="39"/>
      <c r="AL187" s="4">
        <f t="shared" si="41"/>
        <v>77071</v>
      </c>
      <c r="AM187" s="4">
        <f t="shared" si="41"/>
        <v>54781</v>
      </c>
      <c r="AN187" s="4">
        <f t="shared" si="36"/>
        <v>131852</v>
      </c>
      <c r="AO187" s="39"/>
      <c r="AP187" s="8">
        <f t="shared" si="42"/>
        <v>0</v>
      </c>
      <c r="AQ187" s="8">
        <f t="shared" si="42"/>
        <v>0</v>
      </c>
      <c r="AR187" s="8">
        <f t="shared" si="37"/>
        <v>0</v>
      </c>
      <c r="AS187" s="42"/>
      <c r="AT187" s="48">
        <v>77071</v>
      </c>
      <c r="AU187" s="48">
        <v>54781</v>
      </c>
      <c r="AV187" s="4">
        <f t="shared" si="38"/>
        <v>131852</v>
      </c>
      <c r="AW187" s="50" t="str">
        <f t="shared" si="39"/>
        <v/>
      </c>
      <c r="AX187" s="1" t="s">
        <v>1639</v>
      </c>
      <c r="AY187" s="2" t="s">
        <v>1640</v>
      </c>
      <c r="AZ187" s="2">
        <v>24062.799999999999</v>
      </c>
      <c r="BA187" s="73">
        <v>21054.95</v>
      </c>
      <c r="BB187" s="73">
        <v>21054.95</v>
      </c>
      <c r="BC187" s="73">
        <v>24062.799999999999</v>
      </c>
      <c r="BD187" s="73"/>
      <c r="BE187" s="66">
        <v>3.5000000000000003E-2</v>
      </c>
      <c r="BF187" s="66">
        <v>0.02</v>
      </c>
      <c r="BG187" s="63">
        <v>45014</v>
      </c>
      <c r="BH187" s="2"/>
      <c r="BI187" s="2"/>
      <c r="BJ187" s="2"/>
      <c r="BK187" s="2"/>
      <c r="BL187" s="1" t="s">
        <v>56</v>
      </c>
    </row>
    <row r="188" spans="1:64" x14ac:dyDescent="0.25">
      <c r="A188" s="56" t="s">
        <v>355</v>
      </c>
      <c r="B188" s="54" t="s">
        <v>355</v>
      </c>
      <c r="C188" s="56" t="s">
        <v>356</v>
      </c>
      <c r="D188" s="16">
        <v>39596</v>
      </c>
      <c r="E188" s="17"/>
      <c r="F188" s="2" t="s">
        <v>52</v>
      </c>
      <c r="G188" s="2" t="s">
        <v>55</v>
      </c>
      <c r="H188" s="10" t="s">
        <v>57</v>
      </c>
      <c r="I188" s="11" t="s">
        <v>54</v>
      </c>
      <c r="J188" s="11" t="s">
        <v>131</v>
      </c>
      <c r="K188" s="61" t="s">
        <v>132</v>
      </c>
      <c r="L188" s="11" t="s">
        <v>67</v>
      </c>
      <c r="M188" s="25"/>
      <c r="N188" s="54"/>
      <c r="O188" s="3" t="str">
        <f t="shared" si="44"/>
        <v>A</v>
      </c>
      <c r="P188" s="48">
        <v>69576.95</v>
      </c>
      <c r="Q188" s="48">
        <v>13918</v>
      </c>
      <c r="R188" s="32"/>
      <c r="S188" s="3" t="str">
        <f t="shared" si="45"/>
        <v>A</v>
      </c>
      <c r="T188" s="48">
        <v>63879.4</v>
      </c>
      <c r="U188" s="48">
        <v>12345</v>
      </c>
      <c r="V188" s="32"/>
      <c r="W188" s="3" t="str">
        <f t="shared" si="33"/>
        <v>A</v>
      </c>
      <c r="X188" s="48">
        <v>70770.8</v>
      </c>
      <c r="Y188" s="48">
        <v>14221</v>
      </c>
      <c r="Z188" s="32"/>
      <c r="AA188" s="3" t="str">
        <f t="shared" si="34"/>
        <v>A</v>
      </c>
      <c r="AB188" s="48">
        <v>76928.600000000006</v>
      </c>
      <c r="AC188" s="48">
        <v>15491</v>
      </c>
      <c r="AD188" s="36"/>
      <c r="AE188" s="54"/>
      <c r="AF188" s="3" t="str">
        <f t="shared" si="35"/>
        <v>A</v>
      </c>
      <c r="AG188" s="48">
        <v>0</v>
      </c>
      <c r="AH188" s="48">
        <v>0</v>
      </c>
      <c r="AI188" s="39"/>
      <c r="AJ188" s="79" t="s">
        <v>1801</v>
      </c>
      <c r="AK188" s="39"/>
      <c r="AL188" s="4">
        <f t="shared" si="41"/>
        <v>281155.75</v>
      </c>
      <c r="AM188" s="4">
        <f t="shared" si="41"/>
        <v>55975</v>
      </c>
      <c r="AN188" s="4">
        <f t="shared" si="36"/>
        <v>337130.75</v>
      </c>
      <c r="AO188" s="39"/>
      <c r="AP188" s="8">
        <f t="shared" si="42"/>
        <v>0</v>
      </c>
      <c r="AQ188" s="8">
        <f t="shared" si="42"/>
        <v>0</v>
      </c>
      <c r="AR188" s="8">
        <f t="shared" si="37"/>
        <v>0</v>
      </c>
      <c r="AS188" s="42"/>
      <c r="AT188" s="48">
        <v>281155.75</v>
      </c>
      <c r="AU188" s="48">
        <v>55975</v>
      </c>
      <c r="AV188" s="4">
        <f t="shared" si="38"/>
        <v>337130.75</v>
      </c>
      <c r="AW188" s="50" t="str">
        <f t="shared" si="39"/>
        <v/>
      </c>
      <c r="AX188" s="1" t="s">
        <v>1639</v>
      </c>
      <c r="AY188" s="2" t="s">
        <v>1640</v>
      </c>
      <c r="AZ188" s="2">
        <v>102788.24</v>
      </c>
      <c r="BA188" s="73">
        <v>89939.71</v>
      </c>
      <c r="BB188" s="73">
        <v>89939.71</v>
      </c>
      <c r="BC188" s="73">
        <v>102788.24</v>
      </c>
      <c r="BD188" s="73"/>
      <c r="BE188" s="66">
        <v>3.5000000000000003E-2</v>
      </c>
      <c r="BF188" s="66">
        <v>0.02</v>
      </c>
      <c r="BG188" s="63">
        <v>45069</v>
      </c>
      <c r="BH188" s="2"/>
      <c r="BI188" s="2"/>
      <c r="BJ188" s="2"/>
      <c r="BK188" s="2"/>
      <c r="BL188" s="1" t="s">
        <v>56</v>
      </c>
    </row>
    <row r="189" spans="1:64" x14ac:dyDescent="0.25">
      <c r="A189" s="56" t="s">
        <v>357</v>
      </c>
      <c r="B189" s="54" t="s">
        <v>357</v>
      </c>
      <c r="C189" s="56" t="s">
        <v>358</v>
      </c>
      <c r="D189" s="16">
        <v>41460</v>
      </c>
      <c r="E189" s="17"/>
      <c r="F189" s="2" t="s">
        <v>109</v>
      </c>
      <c r="G189" s="2" t="s">
        <v>111</v>
      </c>
      <c r="H189" s="10" t="s">
        <v>105</v>
      </c>
      <c r="I189" s="11" t="s">
        <v>110</v>
      </c>
      <c r="J189" s="11" t="s">
        <v>229</v>
      </c>
      <c r="K189" s="61" t="s">
        <v>230</v>
      </c>
      <c r="L189" s="11" t="s">
        <v>67</v>
      </c>
      <c r="M189" s="25"/>
      <c r="N189" s="54"/>
      <c r="O189" s="3" t="str">
        <f t="shared" si="44"/>
        <v>A</v>
      </c>
      <c r="P189" s="48">
        <v>74701</v>
      </c>
      <c r="Q189" s="48">
        <v>24413</v>
      </c>
      <c r="R189" s="32"/>
      <c r="S189" s="3" t="str">
        <f t="shared" si="45"/>
        <v>A</v>
      </c>
      <c r="T189" s="48">
        <v>76785</v>
      </c>
      <c r="U189" s="48">
        <v>16087</v>
      </c>
      <c r="V189" s="32"/>
      <c r="W189" s="3" t="str">
        <f t="shared" si="33"/>
        <v>A</v>
      </c>
      <c r="X189" s="48">
        <v>48109.82</v>
      </c>
      <c r="Y189" s="48">
        <v>16563.73</v>
      </c>
      <c r="Z189" s="32"/>
      <c r="AA189" s="3" t="str">
        <f t="shared" si="34"/>
        <v>A</v>
      </c>
      <c r="AB189" s="48">
        <v>77123</v>
      </c>
      <c r="AC189" s="48">
        <v>15946</v>
      </c>
      <c r="AD189" s="36"/>
      <c r="AE189" s="54"/>
      <c r="AF189" s="3" t="str">
        <f t="shared" si="35"/>
        <v>A</v>
      </c>
      <c r="AG189" s="48">
        <v>0</v>
      </c>
      <c r="AH189" s="48">
        <v>0</v>
      </c>
      <c r="AI189" s="39"/>
      <c r="AJ189" s="79" t="s">
        <v>1801</v>
      </c>
      <c r="AK189" s="39"/>
      <c r="AL189" s="4">
        <f t="shared" si="41"/>
        <v>276718.82</v>
      </c>
      <c r="AM189" s="4">
        <f t="shared" si="41"/>
        <v>73009.73</v>
      </c>
      <c r="AN189" s="4">
        <f t="shared" si="36"/>
        <v>349728.55</v>
      </c>
      <c r="AO189" s="39"/>
      <c r="AP189" s="8">
        <f t="shared" si="42"/>
        <v>0</v>
      </c>
      <c r="AQ189" s="8">
        <f t="shared" si="42"/>
        <v>0</v>
      </c>
      <c r="AR189" s="8">
        <f t="shared" si="37"/>
        <v>0</v>
      </c>
      <c r="AS189" s="42"/>
      <c r="AT189" s="48">
        <v>276718.82</v>
      </c>
      <c r="AU189" s="48">
        <v>73009.73000000001</v>
      </c>
      <c r="AV189" s="4">
        <f t="shared" si="38"/>
        <v>349728.55000000005</v>
      </c>
      <c r="AW189" s="50" t="str">
        <f t="shared" si="39"/>
        <v/>
      </c>
      <c r="AX189" s="1" t="s">
        <v>1647</v>
      </c>
      <c r="AY189" s="2" t="s">
        <v>1640</v>
      </c>
      <c r="AZ189" s="2">
        <v>169526.8</v>
      </c>
      <c r="BA189" s="73">
        <v>148335.95000000001</v>
      </c>
      <c r="BB189" s="73">
        <v>148335.95000000001</v>
      </c>
      <c r="BC189" s="73">
        <v>169526.8</v>
      </c>
      <c r="BD189" s="73"/>
      <c r="BE189" s="66">
        <v>0</v>
      </c>
      <c r="BF189" s="66">
        <v>0.02</v>
      </c>
      <c r="BG189" s="63">
        <v>45091</v>
      </c>
      <c r="BH189" s="74">
        <v>44984</v>
      </c>
      <c r="BI189" s="74">
        <v>45011</v>
      </c>
      <c r="BJ189" s="2"/>
      <c r="BK189" s="2"/>
      <c r="BL189" s="1" t="s">
        <v>219</v>
      </c>
    </row>
    <row r="190" spans="1:64" x14ac:dyDescent="0.25">
      <c r="A190" s="56" t="s">
        <v>359</v>
      </c>
      <c r="B190" s="54" t="s">
        <v>359</v>
      </c>
      <c r="C190" s="56" t="s">
        <v>360</v>
      </c>
      <c r="D190" s="16">
        <v>39647</v>
      </c>
      <c r="E190" s="17"/>
      <c r="F190" s="2" t="s">
        <v>187</v>
      </c>
      <c r="G190" s="2" t="s">
        <v>189</v>
      </c>
      <c r="H190" s="10" t="s">
        <v>57</v>
      </c>
      <c r="I190" s="11" t="s">
        <v>188</v>
      </c>
      <c r="J190" s="11" t="s">
        <v>338</v>
      </c>
      <c r="K190" s="61" t="s">
        <v>339</v>
      </c>
      <c r="L190" s="11" t="s">
        <v>67</v>
      </c>
      <c r="M190" s="25"/>
      <c r="N190" s="54"/>
      <c r="O190" s="3" t="str">
        <f t="shared" si="44"/>
        <v>A</v>
      </c>
      <c r="P190" s="48">
        <v>138483</v>
      </c>
      <c r="Q190" s="48">
        <v>45681</v>
      </c>
      <c r="R190" s="32"/>
      <c r="S190" s="3" t="str">
        <f t="shared" si="45"/>
        <v>A</v>
      </c>
      <c r="T190" s="48">
        <v>115417.5</v>
      </c>
      <c r="U190" s="48">
        <v>27665</v>
      </c>
      <c r="V190" s="32"/>
      <c r="W190" s="3" t="str">
        <f t="shared" si="33"/>
        <v>A</v>
      </c>
      <c r="X190" s="48">
        <v>94798.6</v>
      </c>
      <c r="Y190" s="48">
        <v>27115</v>
      </c>
      <c r="Z190" s="32"/>
      <c r="AA190" s="3" t="str">
        <f t="shared" si="34"/>
        <v>A</v>
      </c>
      <c r="AB190" s="48">
        <v>107960</v>
      </c>
      <c r="AC190" s="48">
        <v>31495</v>
      </c>
      <c r="AD190" s="36"/>
      <c r="AE190" s="54"/>
      <c r="AF190" s="3" t="str">
        <f t="shared" si="35"/>
        <v>A</v>
      </c>
      <c r="AG190" s="48">
        <v>0</v>
      </c>
      <c r="AH190" s="48">
        <v>0</v>
      </c>
      <c r="AI190" s="39"/>
      <c r="AJ190" s="79" t="s">
        <v>1801</v>
      </c>
      <c r="AK190" s="39"/>
      <c r="AL190" s="4">
        <f t="shared" si="41"/>
        <v>456659.1</v>
      </c>
      <c r="AM190" s="4">
        <f t="shared" si="41"/>
        <v>131956</v>
      </c>
      <c r="AN190" s="4">
        <f t="shared" si="36"/>
        <v>588615.1</v>
      </c>
      <c r="AO190" s="39"/>
      <c r="AP190" s="8">
        <f t="shared" si="42"/>
        <v>0</v>
      </c>
      <c r="AQ190" s="8">
        <f t="shared" si="42"/>
        <v>0</v>
      </c>
      <c r="AR190" s="8">
        <f t="shared" si="37"/>
        <v>0</v>
      </c>
      <c r="AS190" s="42"/>
      <c r="AT190" s="48">
        <v>456659.1</v>
      </c>
      <c r="AU190" s="48">
        <v>131956</v>
      </c>
      <c r="AV190" s="4">
        <f t="shared" si="38"/>
        <v>588615.1</v>
      </c>
      <c r="AW190" s="50" t="str">
        <f t="shared" si="39"/>
        <v/>
      </c>
      <c r="AX190" s="1" t="s">
        <v>1639</v>
      </c>
      <c r="AY190" s="2" t="s">
        <v>1640</v>
      </c>
      <c r="AZ190" s="2">
        <v>109960.32000000001</v>
      </c>
      <c r="BA190" s="73">
        <v>96215.28</v>
      </c>
      <c r="BB190" s="73">
        <v>96215.28</v>
      </c>
      <c r="BC190" s="73">
        <v>109960.32000000001</v>
      </c>
      <c r="BD190" s="73"/>
      <c r="BE190" s="66">
        <v>3.5000000000000003E-2</v>
      </c>
      <c r="BF190" s="66">
        <v>0.02</v>
      </c>
      <c r="BG190" s="63">
        <v>45118</v>
      </c>
      <c r="BH190" s="2"/>
      <c r="BI190" s="2"/>
      <c r="BJ190" s="2"/>
      <c r="BK190" s="2"/>
      <c r="BL190" s="1" t="s">
        <v>56</v>
      </c>
    </row>
    <row r="191" spans="1:64" x14ac:dyDescent="0.25">
      <c r="A191" s="56" t="s">
        <v>359</v>
      </c>
      <c r="B191" s="54" t="s">
        <v>743</v>
      </c>
      <c r="C191" s="56" t="s">
        <v>744</v>
      </c>
      <c r="D191" s="16">
        <v>43068</v>
      </c>
      <c r="E191" s="17"/>
      <c r="F191" s="2" t="s">
        <v>187</v>
      </c>
      <c r="G191" s="2" t="s">
        <v>189</v>
      </c>
      <c r="H191" s="10" t="s">
        <v>57</v>
      </c>
      <c r="I191" s="11" t="s">
        <v>188</v>
      </c>
      <c r="J191" s="11" t="s">
        <v>338</v>
      </c>
      <c r="K191" s="61" t="s">
        <v>339</v>
      </c>
      <c r="L191" s="11" t="s">
        <v>67</v>
      </c>
      <c r="M191" s="25"/>
      <c r="N191" s="54"/>
      <c r="O191" s="3" t="str">
        <f t="shared" si="44"/>
        <v>A</v>
      </c>
      <c r="P191" s="48">
        <v>2897</v>
      </c>
      <c r="Q191" s="48">
        <v>7639</v>
      </c>
      <c r="R191" s="32"/>
      <c r="S191" s="3" t="str">
        <f t="shared" si="45"/>
        <v>A</v>
      </c>
      <c r="T191" s="48">
        <v>-800</v>
      </c>
      <c r="U191" s="48">
        <v>6525</v>
      </c>
      <c r="V191" s="32"/>
      <c r="W191" s="3" t="str">
        <f t="shared" si="33"/>
        <v>A</v>
      </c>
      <c r="X191" s="48">
        <v>622</v>
      </c>
      <c r="Y191" s="48">
        <v>7974</v>
      </c>
      <c r="Z191" s="32"/>
      <c r="AA191" s="3" t="str">
        <f t="shared" si="34"/>
        <v>A</v>
      </c>
      <c r="AB191" s="48">
        <v>273</v>
      </c>
      <c r="AC191" s="48">
        <v>13080</v>
      </c>
      <c r="AD191" s="36"/>
      <c r="AE191" s="54"/>
      <c r="AF191" s="3" t="str">
        <f t="shared" si="35"/>
        <v>A</v>
      </c>
      <c r="AG191" s="48">
        <v>0</v>
      </c>
      <c r="AH191" s="48">
        <v>0</v>
      </c>
      <c r="AI191" s="39"/>
      <c r="AJ191" s="79" t="s">
        <v>1801</v>
      </c>
      <c r="AK191" s="39"/>
      <c r="AL191" s="4">
        <f t="shared" si="41"/>
        <v>2992</v>
      </c>
      <c r="AM191" s="4">
        <f t="shared" si="41"/>
        <v>35218</v>
      </c>
      <c r="AN191" s="4">
        <f t="shared" si="36"/>
        <v>38210</v>
      </c>
      <c r="AO191" s="39"/>
      <c r="AP191" s="8">
        <f t="shared" si="42"/>
        <v>0</v>
      </c>
      <c r="AQ191" s="8">
        <f t="shared" si="42"/>
        <v>0</v>
      </c>
      <c r="AR191" s="8">
        <f t="shared" si="37"/>
        <v>0</v>
      </c>
      <c r="AS191" s="42"/>
      <c r="AT191" s="48">
        <v>2992</v>
      </c>
      <c r="AU191" s="48">
        <v>35218</v>
      </c>
      <c r="AV191" s="4">
        <f t="shared" si="38"/>
        <v>38210</v>
      </c>
      <c r="AW191" s="50" t="str">
        <f t="shared" si="39"/>
        <v/>
      </c>
      <c r="AX191" s="1" t="s">
        <v>1639</v>
      </c>
      <c r="AY191" s="2" t="s">
        <v>1640</v>
      </c>
      <c r="AZ191" s="2">
        <v>17778.240000000002</v>
      </c>
      <c r="BA191" s="73">
        <v>15555.96</v>
      </c>
      <c r="BB191" s="73">
        <v>15555.96</v>
      </c>
      <c r="BC191" s="73">
        <v>17778.240000000002</v>
      </c>
      <c r="BD191" s="73"/>
      <c r="BE191" s="66">
        <v>0.04</v>
      </c>
      <c r="BF191" s="66">
        <v>0.02</v>
      </c>
      <c r="BG191" s="63">
        <v>45118</v>
      </c>
      <c r="BH191" s="74">
        <v>43943</v>
      </c>
      <c r="BI191" s="74">
        <v>43983</v>
      </c>
      <c r="BJ191" s="2"/>
      <c r="BK191" s="2"/>
      <c r="BL191" s="1" t="s">
        <v>56</v>
      </c>
    </row>
    <row r="192" spans="1:64" x14ac:dyDescent="0.25">
      <c r="A192" s="56" t="s">
        <v>361</v>
      </c>
      <c r="B192" s="54" t="s">
        <v>361</v>
      </c>
      <c r="C192" s="56" t="s">
        <v>362</v>
      </c>
      <c r="D192" s="16">
        <v>39688</v>
      </c>
      <c r="E192" s="17"/>
      <c r="F192" s="2" t="s">
        <v>187</v>
      </c>
      <c r="G192" s="2" t="s">
        <v>189</v>
      </c>
      <c r="H192" s="10" t="s">
        <v>57</v>
      </c>
      <c r="I192" s="11" t="s">
        <v>188</v>
      </c>
      <c r="J192" s="11" t="s">
        <v>338</v>
      </c>
      <c r="K192" s="61" t="s">
        <v>339</v>
      </c>
      <c r="L192" s="11" t="s">
        <v>67</v>
      </c>
      <c r="M192" s="25"/>
      <c r="N192" s="54"/>
      <c r="O192" s="3" t="str">
        <f t="shared" si="44"/>
        <v>A</v>
      </c>
      <c r="P192" s="48">
        <v>266497.55</v>
      </c>
      <c r="Q192" s="48">
        <v>45728.55</v>
      </c>
      <c r="R192" s="32"/>
      <c r="S192" s="3" t="str">
        <f t="shared" si="45"/>
        <v>A</v>
      </c>
      <c r="T192" s="48">
        <v>226472.74000000002</v>
      </c>
      <c r="U192" s="48">
        <v>37388</v>
      </c>
      <c r="V192" s="32"/>
      <c r="W192" s="3" t="str">
        <f t="shared" si="33"/>
        <v>A</v>
      </c>
      <c r="X192" s="48">
        <v>183257.25</v>
      </c>
      <c r="Y192" s="48">
        <v>33055.85</v>
      </c>
      <c r="Z192" s="32"/>
      <c r="AA192" s="3" t="str">
        <f t="shared" si="34"/>
        <v>A</v>
      </c>
      <c r="AB192" s="48">
        <v>206940.31</v>
      </c>
      <c r="AC192" s="48">
        <v>37300.74</v>
      </c>
      <c r="AD192" s="36"/>
      <c r="AE192" s="54"/>
      <c r="AF192" s="3" t="str">
        <f t="shared" si="35"/>
        <v>A</v>
      </c>
      <c r="AG192" s="48">
        <v>0</v>
      </c>
      <c r="AH192" s="48">
        <v>0</v>
      </c>
      <c r="AI192" s="39"/>
      <c r="AJ192" s="79" t="s">
        <v>1801</v>
      </c>
      <c r="AK192" s="39"/>
      <c r="AL192" s="4">
        <f t="shared" si="41"/>
        <v>883167.85000000009</v>
      </c>
      <c r="AM192" s="4">
        <f t="shared" si="41"/>
        <v>153473.13999999998</v>
      </c>
      <c r="AN192" s="4">
        <f t="shared" si="36"/>
        <v>1036640.9900000001</v>
      </c>
      <c r="AO192" s="39"/>
      <c r="AP192" s="8">
        <f t="shared" si="42"/>
        <v>0</v>
      </c>
      <c r="AQ192" s="8">
        <f t="shared" si="42"/>
        <v>0</v>
      </c>
      <c r="AR192" s="8">
        <f t="shared" si="37"/>
        <v>0</v>
      </c>
      <c r="AS192" s="42"/>
      <c r="AT192" s="48">
        <v>883167.85</v>
      </c>
      <c r="AU192" s="48">
        <v>153473.14000000001</v>
      </c>
      <c r="AV192" s="4">
        <f t="shared" si="38"/>
        <v>1036640.99</v>
      </c>
      <c r="AW192" s="50" t="str">
        <f t="shared" si="39"/>
        <v/>
      </c>
      <c r="AX192" s="1" t="s">
        <v>1639</v>
      </c>
      <c r="AY192" s="2" t="s">
        <v>1640</v>
      </c>
      <c r="AZ192" s="2">
        <v>187820.56</v>
      </c>
      <c r="BA192" s="73">
        <v>164342.99</v>
      </c>
      <c r="BB192" s="73">
        <v>164342.99</v>
      </c>
      <c r="BC192" s="73">
        <v>187820.56</v>
      </c>
      <c r="BD192" s="73"/>
      <c r="BE192" s="66">
        <v>3.5000000000000003E-2</v>
      </c>
      <c r="BF192" s="66">
        <v>0.02</v>
      </c>
      <c r="BG192" s="63">
        <v>45160</v>
      </c>
      <c r="BH192" s="2"/>
      <c r="BI192" s="2"/>
      <c r="BJ192" s="2"/>
      <c r="BK192" s="2"/>
      <c r="BL192" s="1" t="s">
        <v>56</v>
      </c>
    </row>
    <row r="193" spans="1:64" x14ac:dyDescent="0.25">
      <c r="A193" s="56" t="s">
        <v>361</v>
      </c>
      <c r="B193" s="54" t="s">
        <v>819</v>
      </c>
      <c r="C193" s="56" t="s">
        <v>820</v>
      </c>
      <c r="D193" s="16">
        <v>0</v>
      </c>
      <c r="E193" s="17"/>
      <c r="F193" s="2" t="s">
        <v>187</v>
      </c>
      <c r="G193" s="2" t="s">
        <v>189</v>
      </c>
      <c r="H193" s="10" t="s">
        <v>57</v>
      </c>
      <c r="I193" s="11" t="s">
        <v>188</v>
      </c>
      <c r="J193" s="11" t="s">
        <v>338</v>
      </c>
      <c r="K193" s="61" t="s">
        <v>339</v>
      </c>
      <c r="L193" s="11" t="s">
        <v>67</v>
      </c>
      <c r="M193" s="25"/>
      <c r="N193" s="54"/>
      <c r="O193" s="3" t="str">
        <f t="shared" si="44"/>
        <v>A</v>
      </c>
      <c r="P193" s="48">
        <v>-321</v>
      </c>
      <c r="Q193" s="48">
        <v>4878</v>
      </c>
      <c r="R193" s="32"/>
      <c r="S193" s="3" t="str">
        <f t="shared" si="45"/>
        <v>A</v>
      </c>
      <c r="T193" s="48">
        <v>412</v>
      </c>
      <c r="U193" s="48">
        <v>3464</v>
      </c>
      <c r="V193" s="32"/>
      <c r="W193" s="3" t="str">
        <f t="shared" si="33"/>
        <v>A</v>
      </c>
      <c r="X193" s="48">
        <v>-347</v>
      </c>
      <c r="Y193" s="48">
        <v>3070</v>
      </c>
      <c r="Z193" s="32"/>
      <c r="AA193" s="3" t="str">
        <f t="shared" si="34"/>
        <v>A</v>
      </c>
      <c r="AB193" s="48">
        <v>-729</v>
      </c>
      <c r="AC193" s="48">
        <v>4358</v>
      </c>
      <c r="AD193" s="36"/>
      <c r="AE193" s="54"/>
      <c r="AF193" s="3" t="str">
        <f t="shared" si="35"/>
        <v>A</v>
      </c>
      <c r="AG193" s="48">
        <v>0</v>
      </c>
      <c r="AH193" s="48">
        <v>0</v>
      </c>
      <c r="AI193" s="39"/>
      <c r="AJ193" s="79" t="s">
        <v>1801</v>
      </c>
      <c r="AK193" s="39"/>
      <c r="AL193" s="4">
        <f t="shared" si="41"/>
        <v>-985</v>
      </c>
      <c r="AM193" s="4">
        <f t="shared" si="41"/>
        <v>15770</v>
      </c>
      <c r="AN193" s="4">
        <f t="shared" si="36"/>
        <v>14785</v>
      </c>
      <c r="AO193" s="39"/>
      <c r="AP193" s="8">
        <f t="shared" si="42"/>
        <v>0</v>
      </c>
      <c r="AQ193" s="8">
        <f t="shared" si="42"/>
        <v>0</v>
      </c>
      <c r="AR193" s="8">
        <f t="shared" si="37"/>
        <v>0</v>
      </c>
      <c r="AS193" s="42"/>
      <c r="AT193" s="48">
        <v>-985</v>
      </c>
      <c r="AU193" s="48">
        <v>15770</v>
      </c>
      <c r="AV193" s="4">
        <f t="shared" si="38"/>
        <v>14785</v>
      </c>
      <c r="AW193" s="50" t="str">
        <f t="shared" si="39"/>
        <v/>
      </c>
      <c r="AX193" s="1" t="s">
        <v>1639</v>
      </c>
      <c r="AY193" s="2" t="s">
        <v>1640</v>
      </c>
      <c r="AZ193" s="2">
        <v>9135.0400000000009</v>
      </c>
      <c r="BA193" s="73">
        <v>7993.16</v>
      </c>
      <c r="BB193" s="73">
        <v>7993.16</v>
      </c>
      <c r="BC193" s="73">
        <v>9135.0400000000009</v>
      </c>
      <c r="BD193" s="73"/>
      <c r="BE193" s="66">
        <v>0</v>
      </c>
      <c r="BF193" s="66">
        <v>0.02</v>
      </c>
      <c r="BG193" s="63">
        <v>45160</v>
      </c>
      <c r="BH193" s="2"/>
      <c r="BI193" s="2"/>
      <c r="BJ193" s="2"/>
      <c r="BK193" s="2"/>
      <c r="BL193" s="1" t="s">
        <v>56</v>
      </c>
    </row>
    <row r="194" spans="1:64" x14ac:dyDescent="0.25">
      <c r="A194" s="56" t="s">
        <v>368</v>
      </c>
      <c r="B194" s="54" t="s">
        <v>368</v>
      </c>
      <c r="C194" s="56" t="s">
        <v>369</v>
      </c>
      <c r="D194" s="16">
        <v>39790</v>
      </c>
      <c r="E194" s="17"/>
      <c r="F194" s="2" t="s">
        <v>370</v>
      </c>
      <c r="G194" s="2" t="s">
        <v>371</v>
      </c>
      <c r="H194" s="10" t="s">
        <v>57</v>
      </c>
      <c r="I194" s="11" t="s">
        <v>53</v>
      </c>
      <c r="J194" s="11" t="s">
        <v>156</v>
      </c>
      <c r="K194" s="61"/>
      <c r="L194" s="11" t="s">
        <v>67</v>
      </c>
      <c r="M194" s="25"/>
      <c r="N194" s="54"/>
      <c r="O194" s="3" t="str">
        <f t="shared" si="44"/>
        <v>A</v>
      </c>
      <c r="P194" s="48">
        <v>224163</v>
      </c>
      <c r="Q194" s="48">
        <v>64057</v>
      </c>
      <c r="R194" s="32"/>
      <c r="S194" s="3" t="str">
        <f t="shared" si="45"/>
        <v>A</v>
      </c>
      <c r="T194" s="48">
        <v>192026</v>
      </c>
      <c r="U194" s="48">
        <v>50562</v>
      </c>
      <c r="V194" s="32"/>
      <c r="W194" s="3" t="str">
        <f t="shared" si="33"/>
        <v>A</v>
      </c>
      <c r="X194" s="48">
        <v>176321</v>
      </c>
      <c r="Y194" s="48">
        <v>51224</v>
      </c>
      <c r="Z194" s="32"/>
      <c r="AA194" s="3" t="str">
        <f t="shared" si="34"/>
        <v>A</v>
      </c>
      <c r="AB194" s="48">
        <v>200062</v>
      </c>
      <c r="AC194" s="48">
        <v>43722</v>
      </c>
      <c r="AD194" s="36"/>
      <c r="AE194" s="54"/>
      <c r="AF194" s="3" t="str">
        <f t="shared" si="35"/>
        <v>A</v>
      </c>
      <c r="AG194" s="48">
        <v>0</v>
      </c>
      <c r="AH194" s="48">
        <v>0</v>
      </c>
      <c r="AI194" s="39"/>
      <c r="AJ194" s="79" t="s">
        <v>1801</v>
      </c>
      <c r="AK194" s="39"/>
      <c r="AL194" s="4">
        <f t="shared" si="41"/>
        <v>792572</v>
      </c>
      <c r="AM194" s="4">
        <f t="shared" si="41"/>
        <v>209565</v>
      </c>
      <c r="AN194" s="4">
        <f t="shared" si="36"/>
        <v>1002137</v>
      </c>
      <c r="AO194" s="39"/>
      <c r="AP194" s="8">
        <f t="shared" si="42"/>
        <v>0</v>
      </c>
      <c r="AQ194" s="8">
        <f t="shared" si="42"/>
        <v>0</v>
      </c>
      <c r="AR194" s="8">
        <f t="shared" si="37"/>
        <v>0</v>
      </c>
      <c r="AS194" s="42"/>
      <c r="AT194" s="48">
        <v>792572</v>
      </c>
      <c r="AU194" s="48">
        <v>209565</v>
      </c>
      <c r="AV194" s="4">
        <f t="shared" si="38"/>
        <v>1002137</v>
      </c>
      <c r="AW194" s="50" t="str">
        <f t="shared" si="39"/>
        <v/>
      </c>
      <c r="AX194" s="1" t="s">
        <v>1692</v>
      </c>
      <c r="AY194" s="2" t="s">
        <v>1693</v>
      </c>
      <c r="AZ194" s="2">
        <v>192368.96</v>
      </c>
      <c r="BA194" s="73">
        <v>168322.84</v>
      </c>
      <c r="BB194" s="73">
        <v>168322.84</v>
      </c>
      <c r="BC194" s="73">
        <v>192368.96</v>
      </c>
      <c r="BD194" s="73"/>
      <c r="BE194" s="66">
        <v>4.4999999999999998E-2</v>
      </c>
      <c r="BF194" s="66">
        <v>0.05</v>
      </c>
      <c r="BG194" s="63">
        <v>45260</v>
      </c>
      <c r="BH194" s="2"/>
      <c r="BI194" s="2"/>
      <c r="BJ194" s="2"/>
      <c r="BK194" s="2"/>
      <c r="BL194" s="1" t="s">
        <v>56</v>
      </c>
    </row>
    <row r="195" spans="1:64" x14ac:dyDescent="0.25">
      <c r="A195" s="56" t="s">
        <v>368</v>
      </c>
      <c r="B195" s="54" t="s">
        <v>745</v>
      </c>
      <c r="C195" s="56" t="s">
        <v>746</v>
      </c>
      <c r="D195" s="16">
        <v>43128</v>
      </c>
      <c r="E195" s="17"/>
      <c r="F195" s="2" t="s">
        <v>370</v>
      </c>
      <c r="G195" s="2" t="s">
        <v>371</v>
      </c>
      <c r="H195" s="10" t="s">
        <v>57</v>
      </c>
      <c r="I195" s="11" t="s">
        <v>53</v>
      </c>
      <c r="J195" s="11" t="s">
        <v>156</v>
      </c>
      <c r="K195" s="61"/>
      <c r="L195" s="11" t="s">
        <v>67</v>
      </c>
      <c r="M195" s="25"/>
      <c r="N195" s="54"/>
      <c r="O195" s="3" t="str">
        <f t="shared" si="44"/>
        <v>A</v>
      </c>
      <c r="P195" s="48">
        <v>115058</v>
      </c>
      <c r="Q195" s="48">
        <v>29776</v>
      </c>
      <c r="R195" s="32"/>
      <c r="S195" s="3" t="str">
        <f t="shared" si="45"/>
        <v>A</v>
      </c>
      <c r="T195" s="48">
        <v>100054</v>
      </c>
      <c r="U195" s="48">
        <v>24102</v>
      </c>
      <c r="V195" s="32"/>
      <c r="W195" s="3" t="str">
        <f t="shared" si="33"/>
        <v>A</v>
      </c>
      <c r="X195" s="48">
        <v>83838</v>
      </c>
      <c r="Y195" s="48">
        <v>23346</v>
      </c>
      <c r="Z195" s="32"/>
      <c r="AA195" s="3" t="str">
        <f t="shared" si="34"/>
        <v>A</v>
      </c>
      <c r="AB195" s="48">
        <v>103527</v>
      </c>
      <c r="AC195" s="48">
        <v>25174</v>
      </c>
      <c r="AD195" s="36"/>
      <c r="AE195" s="54"/>
      <c r="AF195" s="3" t="str">
        <f t="shared" si="35"/>
        <v>A</v>
      </c>
      <c r="AG195" s="48">
        <v>0</v>
      </c>
      <c r="AH195" s="48">
        <v>0</v>
      </c>
      <c r="AI195" s="39"/>
      <c r="AJ195" s="79" t="s">
        <v>1801</v>
      </c>
      <c r="AK195" s="39"/>
      <c r="AL195" s="4">
        <f t="shared" si="41"/>
        <v>402477</v>
      </c>
      <c r="AM195" s="4">
        <f t="shared" si="41"/>
        <v>102398</v>
      </c>
      <c r="AN195" s="4">
        <f t="shared" si="36"/>
        <v>504875</v>
      </c>
      <c r="AO195" s="39"/>
      <c r="AP195" s="8">
        <f t="shared" si="42"/>
        <v>0</v>
      </c>
      <c r="AQ195" s="8">
        <f t="shared" si="42"/>
        <v>0</v>
      </c>
      <c r="AR195" s="8">
        <f t="shared" si="37"/>
        <v>0</v>
      </c>
      <c r="AS195" s="42"/>
      <c r="AT195" s="48">
        <v>402477</v>
      </c>
      <c r="AU195" s="48">
        <v>102398</v>
      </c>
      <c r="AV195" s="4">
        <f t="shared" si="38"/>
        <v>504875</v>
      </c>
      <c r="AW195" s="50" t="str">
        <f t="shared" si="39"/>
        <v/>
      </c>
      <c r="AX195" s="1" t="s">
        <v>1692</v>
      </c>
      <c r="AY195" s="2" t="s">
        <v>1693</v>
      </c>
      <c r="AZ195" s="2">
        <v>66621.919999999998</v>
      </c>
      <c r="BA195" s="73">
        <v>58294.18</v>
      </c>
      <c r="BB195" s="73">
        <v>58294.18</v>
      </c>
      <c r="BC195" s="73">
        <v>66621.919999999998</v>
      </c>
      <c r="BD195" s="73"/>
      <c r="BE195" s="66">
        <v>4.4999999999999998E-2</v>
      </c>
      <c r="BF195" s="66">
        <v>0.05</v>
      </c>
      <c r="BG195" s="63">
        <v>45260</v>
      </c>
      <c r="BH195" s="2"/>
      <c r="BI195" s="2"/>
      <c r="BJ195" s="2"/>
      <c r="BK195" s="2"/>
      <c r="BL195" s="1" t="s">
        <v>56</v>
      </c>
    </row>
    <row r="196" spans="1:64" x14ac:dyDescent="0.25">
      <c r="A196" s="56" t="s">
        <v>368</v>
      </c>
      <c r="B196" s="54" t="s">
        <v>970</v>
      </c>
      <c r="C196" s="56" t="s">
        <v>971</v>
      </c>
      <c r="D196" s="16">
        <v>0</v>
      </c>
      <c r="E196" s="17"/>
      <c r="F196" s="2" t="s">
        <v>370</v>
      </c>
      <c r="G196" s="2" t="s">
        <v>371</v>
      </c>
      <c r="H196" s="10" t="s">
        <v>57</v>
      </c>
      <c r="I196" s="11" t="s">
        <v>53</v>
      </c>
      <c r="J196" s="11" t="s">
        <v>156</v>
      </c>
      <c r="K196" s="61"/>
      <c r="L196" s="11" t="s">
        <v>67</v>
      </c>
      <c r="M196" s="25"/>
      <c r="N196" s="54"/>
      <c r="O196" s="3" t="str">
        <f t="shared" si="44"/>
        <v>A</v>
      </c>
      <c r="P196" s="48">
        <v>201976</v>
      </c>
      <c r="Q196" s="48">
        <v>41211</v>
      </c>
      <c r="R196" s="32"/>
      <c r="S196" s="3" t="str">
        <f t="shared" si="45"/>
        <v>A</v>
      </c>
      <c r="T196" s="48">
        <v>151098</v>
      </c>
      <c r="U196" s="48">
        <v>24227</v>
      </c>
      <c r="V196" s="32"/>
      <c r="W196" s="3" t="str">
        <f t="shared" si="33"/>
        <v>A</v>
      </c>
      <c r="X196" s="48">
        <v>143928</v>
      </c>
      <c r="Y196" s="48">
        <v>21569</v>
      </c>
      <c r="Z196" s="32"/>
      <c r="AA196" s="3" t="str">
        <f t="shared" si="34"/>
        <v>A</v>
      </c>
      <c r="AB196" s="48">
        <v>160914</v>
      </c>
      <c r="AC196" s="48">
        <v>23893</v>
      </c>
      <c r="AD196" s="36"/>
      <c r="AE196" s="54"/>
      <c r="AF196" s="3" t="str">
        <f t="shared" si="35"/>
        <v>A</v>
      </c>
      <c r="AG196" s="48">
        <v>0</v>
      </c>
      <c r="AH196" s="48">
        <v>0</v>
      </c>
      <c r="AI196" s="39"/>
      <c r="AJ196" s="79" t="s">
        <v>1801</v>
      </c>
      <c r="AK196" s="39"/>
      <c r="AL196" s="4">
        <f t="shared" si="41"/>
        <v>657916</v>
      </c>
      <c r="AM196" s="4">
        <f t="shared" si="41"/>
        <v>110900</v>
      </c>
      <c r="AN196" s="4">
        <f t="shared" si="36"/>
        <v>768816</v>
      </c>
      <c r="AO196" s="39"/>
      <c r="AP196" s="8">
        <f t="shared" si="42"/>
        <v>0</v>
      </c>
      <c r="AQ196" s="8">
        <f t="shared" si="42"/>
        <v>0</v>
      </c>
      <c r="AR196" s="8">
        <f t="shared" si="37"/>
        <v>0</v>
      </c>
      <c r="AS196" s="42"/>
      <c r="AT196" s="48">
        <v>657916</v>
      </c>
      <c r="AU196" s="48">
        <v>110900</v>
      </c>
      <c r="AV196" s="4">
        <f t="shared" si="38"/>
        <v>768816</v>
      </c>
      <c r="AW196" s="50" t="str">
        <f t="shared" si="39"/>
        <v/>
      </c>
      <c r="AX196" s="1" t="s">
        <v>1692</v>
      </c>
      <c r="AY196" s="2" t="s">
        <v>1693</v>
      </c>
      <c r="AZ196" s="2">
        <v>90278.32</v>
      </c>
      <c r="BA196" s="73">
        <v>78993.53</v>
      </c>
      <c r="BB196" s="73">
        <v>78993.53</v>
      </c>
      <c r="BC196" s="73">
        <v>90278.32</v>
      </c>
      <c r="BD196" s="73"/>
      <c r="BE196" s="66">
        <v>0</v>
      </c>
      <c r="BF196" s="66">
        <v>0.05</v>
      </c>
      <c r="BG196" s="63">
        <v>45260</v>
      </c>
      <c r="BH196" s="2"/>
      <c r="BI196" s="2"/>
      <c r="BJ196" s="2">
        <v>339568.6</v>
      </c>
      <c r="BK196" s="2">
        <v>37729.839999999997</v>
      </c>
      <c r="BL196" s="1" t="s">
        <v>56</v>
      </c>
    </row>
    <row r="197" spans="1:64" x14ac:dyDescent="0.25">
      <c r="A197" s="56" t="s">
        <v>372</v>
      </c>
      <c r="B197" s="54" t="s">
        <v>372</v>
      </c>
      <c r="C197" s="56" t="s">
        <v>373</v>
      </c>
      <c r="D197" s="16">
        <v>39801</v>
      </c>
      <c r="E197" s="17"/>
      <c r="F197" s="2" t="s">
        <v>374</v>
      </c>
      <c r="G197" s="2" t="s">
        <v>375</v>
      </c>
      <c r="H197" s="10" t="s">
        <v>98</v>
      </c>
      <c r="I197" s="11" t="s">
        <v>53</v>
      </c>
      <c r="J197" s="11" t="s">
        <v>238</v>
      </c>
      <c r="K197" s="61"/>
      <c r="L197" s="11" t="s">
        <v>67</v>
      </c>
      <c r="M197" s="25"/>
      <c r="N197" s="54"/>
      <c r="O197" s="3" t="str">
        <f t="shared" si="44"/>
        <v>A</v>
      </c>
      <c r="P197" s="48">
        <v>184440</v>
      </c>
      <c r="Q197" s="48">
        <v>31820</v>
      </c>
      <c r="R197" s="32"/>
      <c r="S197" s="3" t="str">
        <f t="shared" si="45"/>
        <v>A</v>
      </c>
      <c r="T197" s="48">
        <v>167560</v>
      </c>
      <c r="U197" s="48">
        <v>30925</v>
      </c>
      <c r="V197" s="32"/>
      <c r="W197" s="3" t="str">
        <f t="shared" si="33"/>
        <v>A</v>
      </c>
      <c r="X197" s="48">
        <v>150067</v>
      </c>
      <c r="Y197" s="48">
        <v>21840</v>
      </c>
      <c r="Z197" s="32"/>
      <c r="AA197" s="3" t="str">
        <f t="shared" si="34"/>
        <v>A</v>
      </c>
      <c r="AB197" s="48">
        <v>165583</v>
      </c>
      <c r="AC197" s="48">
        <v>23175</v>
      </c>
      <c r="AD197" s="36"/>
      <c r="AE197" s="54"/>
      <c r="AF197" s="3" t="str">
        <f t="shared" si="35"/>
        <v>A</v>
      </c>
      <c r="AG197" s="48">
        <v>0</v>
      </c>
      <c r="AH197" s="48">
        <v>0</v>
      </c>
      <c r="AI197" s="39"/>
      <c r="AJ197" s="79" t="s">
        <v>1801</v>
      </c>
      <c r="AK197" s="39"/>
      <c r="AL197" s="4">
        <f t="shared" si="41"/>
        <v>667650</v>
      </c>
      <c r="AM197" s="4">
        <f t="shared" si="41"/>
        <v>107760</v>
      </c>
      <c r="AN197" s="4">
        <f t="shared" si="36"/>
        <v>775410</v>
      </c>
      <c r="AO197" s="39"/>
      <c r="AP197" s="8">
        <f t="shared" si="42"/>
        <v>0</v>
      </c>
      <c r="AQ197" s="8">
        <f t="shared" si="42"/>
        <v>0</v>
      </c>
      <c r="AR197" s="8">
        <f t="shared" si="37"/>
        <v>0</v>
      </c>
      <c r="AS197" s="42"/>
      <c r="AT197" s="48">
        <v>667650</v>
      </c>
      <c r="AU197" s="48">
        <v>107760</v>
      </c>
      <c r="AV197" s="4">
        <f t="shared" si="38"/>
        <v>775410</v>
      </c>
      <c r="AW197" s="50" t="str">
        <f t="shared" si="39"/>
        <v/>
      </c>
      <c r="AX197" s="1" t="s">
        <v>1694</v>
      </c>
      <c r="AY197" s="2" t="s">
        <v>1695</v>
      </c>
      <c r="AZ197" s="2">
        <v>167572.72</v>
      </c>
      <c r="BA197" s="73">
        <v>146626.13</v>
      </c>
      <c r="BB197" s="73">
        <v>146626.13</v>
      </c>
      <c r="BC197" s="73">
        <v>167572.72</v>
      </c>
      <c r="BD197" s="73"/>
      <c r="BE197" s="66">
        <v>4.4999999999999998E-2</v>
      </c>
      <c r="BF197" s="66">
        <v>0.05</v>
      </c>
      <c r="BG197" s="63">
        <v>45270</v>
      </c>
      <c r="BH197" s="74">
        <v>43924</v>
      </c>
      <c r="BI197" s="74">
        <v>43928</v>
      </c>
      <c r="BJ197" s="2"/>
      <c r="BK197" s="2"/>
      <c r="BL197" s="1" t="s">
        <v>237</v>
      </c>
    </row>
    <row r="198" spans="1:64" x14ac:dyDescent="0.25">
      <c r="A198" s="56" t="s">
        <v>376</v>
      </c>
      <c r="B198" s="54" t="s">
        <v>376</v>
      </c>
      <c r="C198" s="56" t="s">
        <v>377</v>
      </c>
      <c r="D198" s="16">
        <v>39961</v>
      </c>
      <c r="E198" s="17"/>
      <c r="F198" s="2" t="s">
        <v>52</v>
      </c>
      <c r="G198" s="2" t="s">
        <v>55</v>
      </c>
      <c r="H198" s="10" t="s">
        <v>57</v>
      </c>
      <c r="I198" s="11" t="s">
        <v>54</v>
      </c>
      <c r="J198" s="11" t="s">
        <v>58</v>
      </c>
      <c r="K198" s="61" t="s">
        <v>59</v>
      </c>
      <c r="L198" s="11" t="s">
        <v>67</v>
      </c>
      <c r="M198" s="25"/>
      <c r="N198" s="54"/>
      <c r="O198" s="3" t="str">
        <f t="shared" si="44"/>
        <v>A</v>
      </c>
      <c r="P198" s="48">
        <v>103071</v>
      </c>
      <c r="Q198" s="48">
        <v>27217</v>
      </c>
      <c r="R198" s="32"/>
      <c r="S198" s="3" t="str">
        <f t="shared" si="45"/>
        <v>A</v>
      </c>
      <c r="T198" s="48">
        <v>97434</v>
      </c>
      <c r="U198" s="48">
        <v>27062</v>
      </c>
      <c r="V198" s="32"/>
      <c r="W198" s="3" t="str">
        <f t="shared" si="33"/>
        <v>A</v>
      </c>
      <c r="X198" s="48">
        <v>91308</v>
      </c>
      <c r="Y198" s="48">
        <v>22884</v>
      </c>
      <c r="Z198" s="32"/>
      <c r="AA198" s="3" t="str">
        <f t="shared" si="34"/>
        <v>A</v>
      </c>
      <c r="AB198" s="48">
        <v>98746</v>
      </c>
      <c r="AC198" s="48">
        <v>24015</v>
      </c>
      <c r="AD198" s="36"/>
      <c r="AE198" s="54"/>
      <c r="AF198" s="3" t="str">
        <f t="shared" si="35"/>
        <v>A</v>
      </c>
      <c r="AG198" s="48">
        <v>0</v>
      </c>
      <c r="AH198" s="48">
        <v>0</v>
      </c>
      <c r="AI198" s="39"/>
      <c r="AJ198" s="79" t="s">
        <v>1801</v>
      </c>
      <c r="AK198" s="39"/>
      <c r="AL198" s="4">
        <f t="shared" si="41"/>
        <v>390559</v>
      </c>
      <c r="AM198" s="4">
        <f t="shared" si="41"/>
        <v>101178</v>
      </c>
      <c r="AN198" s="4">
        <f t="shared" si="36"/>
        <v>491737</v>
      </c>
      <c r="AO198" s="39"/>
      <c r="AP198" s="8">
        <f t="shared" si="42"/>
        <v>0</v>
      </c>
      <c r="AQ198" s="8">
        <f t="shared" si="42"/>
        <v>0</v>
      </c>
      <c r="AR198" s="8">
        <f t="shared" si="37"/>
        <v>0</v>
      </c>
      <c r="AS198" s="42"/>
      <c r="AT198" s="48">
        <v>390559</v>
      </c>
      <c r="AU198" s="48">
        <v>101178</v>
      </c>
      <c r="AV198" s="4">
        <f t="shared" si="38"/>
        <v>491737</v>
      </c>
      <c r="AW198" s="50" t="str">
        <f t="shared" si="39"/>
        <v/>
      </c>
      <c r="AX198" s="1" t="s">
        <v>1639</v>
      </c>
      <c r="AY198" s="2" t="s">
        <v>1640</v>
      </c>
      <c r="AZ198" s="2">
        <v>157270.56</v>
      </c>
      <c r="BA198" s="73">
        <v>137611.74</v>
      </c>
      <c r="BB198" s="73">
        <v>137611.74</v>
      </c>
      <c r="BC198" s="73">
        <v>157270.56</v>
      </c>
      <c r="BD198" s="73"/>
      <c r="BE198" s="66">
        <v>2.5000000000000001E-2</v>
      </c>
      <c r="BF198" s="66">
        <v>0.02</v>
      </c>
      <c r="BG198" s="63">
        <v>45437</v>
      </c>
      <c r="BH198" s="2"/>
      <c r="BI198" s="2"/>
      <c r="BJ198" s="2"/>
      <c r="BK198" s="2"/>
      <c r="BL198" s="1" t="s">
        <v>56</v>
      </c>
    </row>
    <row r="199" spans="1:64" x14ac:dyDescent="0.25">
      <c r="A199" s="56" t="s">
        <v>376</v>
      </c>
      <c r="B199" s="54" t="s">
        <v>747</v>
      </c>
      <c r="C199" s="56" t="s">
        <v>748</v>
      </c>
      <c r="D199" s="16">
        <v>36130</v>
      </c>
      <c r="E199" s="17"/>
      <c r="F199" s="2" t="s">
        <v>52</v>
      </c>
      <c r="G199" s="2" t="s">
        <v>55</v>
      </c>
      <c r="H199" s="10" t="s">
        <v>57</v>
      </c>
      <c r="I199" s="11" t="s">
        <v>54</v>
      </c>
      <c r="J199" s="11" t="s">
        <v>58</v>
      </c>
      <c r="K199" s="61" t="s">
        <v>59</v>
      </c>
      <c r="L199" s="11" t="s">
        <v>67</v>
      </c>
      <c r="M199" s="25"/>
      <c r="N199" s="54"/>
      <c r="O199" s="3" t="str">
        <f t="shared" si="44"/>
        <v>A</v>
      </c>
      <c r="P199" s="48">
        <v>34116</v>
      </c>
      <c r="Q199" s="48">
        <v>9680</v>
      </c>
      <c r="R199" s="32"/>
      <c r="S199" s="3" t="str">
        <f t="shared" si="45"/>
        <v>A</v>
      </c>
      <c r="T199" s="48">
        <v>31453</v>
      </c>
      <c r="U199" s="48">
        <v>9092</v>
      </c>
      <c r="V199" s="32"/>
      <c r="W199" s="3" t="str">
        <f t="shared" si="33"/>
        <v>A</v>
      </c>
      <c r="X199" s="48">
        <v>28865</v>
      </c>
      <c r="Y199" s="48">
        <v>10589</v>
      </c>
      <c r="Z199" s="32"/>
      <c r="AA199" s="3" t="str">
        <f t="shared" si="34"/>
        <v>A</v>
      </c>
      <c r="AB199" s="48">
        <v>34787</v>
      </c>
      <c r="AC199" s="48">
        <v>12169</v>
      </c>
      <c r="AD199" s="36"/>
      <c r="AE199" s="54"/>
      <c r="AF199" s="3" t="str">
        <f t="shared" si="35"/>
        <v>A</v>
      </c>
      <c r="AG199" s="48">
        <v>0</v>
      </c>
      <c r="AH199" s="48">
        <v>0</v>
      </c>
      <c r="AI199" s="39"/>
      <c r="AJ199" s="79" t="s">
        <v>1801</v>
      </c>
      <c r="AK199" s="39"/>
      <c r="AL199" s="4">
        <f t="shared" si="41"/>
        <v>129221</v>
      </c>
      <c r="AM199" s="4">
        <f t="shared" si="41"/>
        <v>41530</v>
      </c>
      <c r="AN199" s="4">
        <f t="shared" si="36"/>
        <v>170751</v>
      </c>
      <c r="AO199" s="39"/>
      <c r="AP199" s="8">
        <f t="shared" si="42"/>
        <v>0</v>
      </c>
      <c r="AQ199" s="8">
        <f t="shared" si="42"/>
        <v>0</v>
      </c>
      <c r="AR199" s="8">
        <f t="shared" si="37"/>
        <v>0</v>
      </c>
      <c r="AS199" s="42"/>
      <c r="AT199" s="48">
        <v>129221</v>
      </c>
      <c r="AU199" s="48">
        <v>41530</v>
      </c>
      <c r="AV199" s="4">
        <f t="shared" si="38"/>
        <v>170751</v>
      </c>
      <c r="AW199" s="50" t="str">
        <f t="shared" si="39"/>
        <v/>
      </c>
      <c r="AX199" s="1" t="s">
        <v>1639</v>
      </c>
      <c r="AY199" s="2" t="s">
        <v>1640</v>
      </c>
      <c r="AZ199" s="2">
        <v>47557.440000000002</v>
      </c>
      <c r="BA199" s="73">
        <v>41612.76</v>
      </c>
      <c r="BB199" s="73">
        <v>41612.76</v>
      </c>
      <c r="BC199" s="73">
        <v>47557.440000000002</v>
      </c>
      <c r="BD199" s="73"/>
      <c r="BE199" s="66">
        <v>2.5000000000000001E-2</v>
      </c>
      <c r="BF199" s="66">
        <v>0.02</v>
      </c>
      <c r="BG199" s="63">
        <v>45437</v>
      </c>
      <c r="BH199" s="74">
        <v>43940</v>
      </c>
      <c r="BI199" s="74">
        <v>43983</v>
      </c>
      <c r="BJ199" s="2"/>
      <c r="BK199" s="2"/>
      <c r="BL199" s="1" t="s">
        <v>56</v>
      </c>
    </row>
    <row r="200" spans="1:64" x14ac:dyDescent="0.25">
      <c r="A200" s="56" t="s">
        <v>376</v>
      </c>
      <c r="B200" s="54" t="s">
        <v>1262</v>
      </c>
      <c r="C200" s="56" t="s">
        <v>1263</v>
      </c>
      <c r="D200" s="16">
        <v>45164</v>
      </c>
      <c r="E200" s="17">
        <v>45809</v>
      </c>
      <c r="F200" s="2" t="s">
        <v>52</v>
      </c>
      <c r="G200" s="2" t="s">
        <v>55</v>
      </c>
      <c r="H200" s="10" t="s">
        <v>57</v>
      </c>
      <c r="I200" s="11" t="s">
        <v>54</v>
      </c>
      <c r="J200" s="11" t="s">
        <v>58</v>
      </c>
      <c r="K200" s="61" t="s">
        <v>59</v>
      </c>
      <c r="L200" s="11" t="s">
        <v>67</v>
      </c>
      <c r="M200" s="25"/>
      <c r="N200" s="54"/>
      <c r="O200" s="3" t="str">
        <f t="shared" si="44"/>
        <v>A</v>
      </c>
      <c r="P200" s="48"/>
      <c r="Q200" s="48"/>
      <c r="R200" s="32"/>
      <c r="S200" s="3" t="str">
        <f t="shared" si="45"/>
        <v>A</v>
      </c>
      <c r="T200" s="48"/>
      <c r="U200" s="48"/>
      <c r="V200" s="32"/>
      <c r="W200" s="3" t="str">
        <f t="shared" ref="W200:W263" si="46">IF($A200="","",IF(X200=0,"A",IF(X200=BB200,"E","A")))</f>
        <v>A</v>
      </c>
      <c r="X200" s="48"/>
      <c r="Y200" s="48"/>
      <c r="Z200" s="32"/>
      <c r="AA200" s="3" t="str">
        <f t="shared" ref="AA200:AA263" si="47">IF($A200="","",IF(AB200=0,"A",IF(AB200=BC200,"E","A")))</f>
        <v>A</v>
      </c>
      <c r="AB200" s="48"/>
      <c r="AC200" s="48"/>
      <c r="AD200" s="36"/>
      <c r="AE200" s="54"/>
      <c r="AF200" s="3" t="str">
        <f t="shared" ref="AF200:AF263" si="48">IF($A200="","",IF(AG200=0,"A",IF(AG200=BD200,"E","A")))</f>
        <v>A</v>
      </c>
      <c r="AG200" s="48"/>
      <c r="AH200" s="48"/>
      <c r="AI200" s="39"/>
      <c r="AJ200" s="79" t="s">
        <v>1801</v>
      </c>
      <c r="AK200" s="39"/>
      <c r="AL200" s="4">
        <f t="shared" si="41"/>
        <v>0</v>
      </c>
      <c r="AM200" s="4">
        <f t="shared" si="41"/>
        <v>0</v>
      </c>
      <c r="AN200" s="4">
        <f t="shared" ref="AN200:AN263" si="49">SUM(AL200:AM200)</f>
        <v>0</v>
      </c>
      <c r="AO200" s="39"/>
      <c r="AP200" s="8">
        <f t="shared" si="42"/>
        <v>0</v>
      </c>
      <c r="AQ200" s="8">
        <f t="shared" si="42"/>
        <v>0</v>
      </c>
      <c r="AR200" s="8">
        <f t="shared" ref="AR200:AR263" si="50">SUM(AP200:AQ200)</f>
        <v>0</v>
      </c>
      <c r="AS200" s="42"/>
      <c r="AT200" s="48"/>
      <c r="AU200" s="48"/>
      <c r="AV200" s="4">
        <f t="shared" ref="AV200:AV263" si="51">SUM(AT200:AU200)</f>
        <v>0</v>
      </c>
      <c r="AW200" s="50" t="str">
        <f t="shared" ref="AW200:AW263" si="52">IF(AV200=0,"",IF(AN200=AV200,"","W"))</f>
        <v/>
      </c>
      <c r="AX200" s="1" t="s">
        <v>1639</v>
      </c>
      <c r="AY200" s="2" t="s">
        <v>1640</v>
      </c>
      <c r="AZ200" s="2"/>
      <c r="BA200" s="73"/>
      <c r="BB200" s="73"/>
      <c r="BC200" s="73"/>
      <c r="BD200" s="73"/>
      <c r="BE200" s="66">
        <v>0</v>
      </c>
      <c r="BF200" s="66">
        <v>0.02</v>
      </c>
      <c r="BG200" s="63">
        <v>45157</v>
      </c>
      <c r="BH200" s="2"/>
      <c r="BI200" s="2"/>
      <c r="BJ200" s="2">
        <v>423878.40000000002</v>
      </c>
      <c r="BK200" s="2">
        <v>47097.599999999999</v>
      </c>
      <c r="BL200" s="1" t="s">
        <v>56</v>
      </c>
    </row>
    <row r="201" spans="1:64" x14ac:dyDescent="0.25">
      <c r="A201" s="56" t="s">
        <v>378</v>
      </c>
      <c r="B201" s="54" t="s">
        <v>378</v>
      </c>
      <c r="C201" s="56" t="s">
        <v>379</v>
      </c>
      <c r="D201" s="16">
        <v>41632</v>
      </c>
      <c r="E201" s="17"/>
      <c r="F201" s="2" t="s">
        <v>243</v>
      </c>
      <c r="G201" s="2" t="s">
        <v>245</v>
      </c>
      <c r="H201" s="10" t="s">
        <v>98</v>
      </c>
      <c r="I201" s="11" t="s">
        <v>244</v>
      </c>
      <c r="J201" s="11" t="s">
        <v>278</v>
      </c>
      <c r="K201" s="61" t="s">
        <v>279</v>
      </c>
      <c r="L201" s="11" t="s">
        <v>67</v>
      </c>
      <c r="M201" s="25"/>
      <c r="N201" s="54"/>
      <c r="O201" s="3" t="str">
        <f t="shared" si="44"/>
        <v>A</v>
      </c>
      <c r="P201" s="48">
        <v>148358.66</v>
      </c>
      <c r="Q201" s="48">
        <v>5537</v>
      </c>
      <c r="R201" s="32"/>
      <c r="S201" s="3" t="str">
        <f t="shared" si="45"/>
        <v>A</v>
      </c>
      <c r="T201" s="48">
        <v>131421.25</v>
      </c>
      <c r="U201" s="48">
        <v>5521</v>
      </c>
      <c r="V201" s="32"/>
      <c r="W201" s="3" t="str">
        <f t="shared" si="46"/>
        <v>A</v>
      </c>
      <c r="X201" s="48">
        <v>112607.94</v>
      </c>
      <c r="Y201" s="48">
        <v>5048</v>
      </c>
      <c r="Z201" s="32"/>
      <c r="AA201" s="3" t="str">
        <f t="shared" si="47"/>
        <v>A</v>
      </c>
      <c r="AB201" s="48">
        <v>167615.76</v>
      </c>
      <c r="AC201" s="48">
        <v>5520</v>
      </c>
      <c r="AD201" s="36"/>
      <c r="AE201" s="54"/>
      <c r="AF201" s="3" t="str">
        <f t="shared" si="48"/>
        <v>A</v>
      </c>
      <c r="AG201" s="48">
        <v>0</v>
      </c>
      <c r="AH201" s="48">
        <v>0</v>
      </c>
      <c r="AI201" s="39"/>
      <c r="AJ201" s="79" t="s">
        <v>1801</v>
      </c>
      <c r="AK201" s="39"/>
      <c r="AL201" s="4">
        <f t="shared" si="41"/>
        <v>560003.6100000001</v>
      </c>
      <c r="AM201" s="4">
        <f t="shared" si="41"/>
        <v>21626</v>
      </c>
      <c r="AN201" s="4">
        <f t="shared" si="49"/>
        <v>581629.6100000001</v>
      </c>
      <c r="AO201" s="39"/>
      <c r="AP201" s="8">
        <f t="shared" si="42"/>
        <v>0</v>
      </c>
      <c r="AQ201" s="8">
        <f t="shared" si="42"/>
        <v>0</v>
      </c>
      <c r="AR201" s="8">
        <f t="shared" si="50"/>
        <v>0</v>
      </c>
      <c r="AS201" s="42"/>
      <c r="AT201" s="48">
        <v>560003.61</v>
      </c>
      <c r="AU201" s="48">
        <v>21626</v>
      </c>
      <c r="AV201" s="4">
        <f t="shared" si="51"/>
        <v>581629.61</v>
      </c>
      <c r="AW201" s="50" t="str">
        <f t="shared" si="52"/>
        <v/>
      </c>
      <c r="AX201" s="1" t="s">
        <v>1639</v>
      </c>
      <c r="AY201" s="2" t="s">
        <v>1640</v>
      </c>
      <c r="AZ201" s="2">
        <v>163871.04000000001</v>
      </c>
      <c r="BA201" s="73">
        <v>143387.16</v>
      </c>
      <c r="BB201" s="73">
        <v>143387.16</v>
      </c>
      <c r="BC201" s="73">
        <v>163871.04000000001</v>
      </c>
      <c r="BD201" s="73"/>
      <c r="BE201" s="66">
        <v>3.5000000000000003E-2</v>
      </c>
      <c r="BF201" s="66">
        <v>0.02</v>
      </c>
      <c r="BG201" s="63">
        <v>45242</v>
      </c>
      <c r="BH201" s="74">
        <v>43909</v>
      </c>
      <c r="BI201" s="74">
        <v>43918</v>
      </c>
      <c r="BJ201" s="2"/>
      <c r="BK201" s="2"/>
      <c r="BL201" s="1" t="s">
        <v>97</v>
      </c>
    </row>
    <row r="202" spans="1:64" x14ac:dyDescent="0.25">
      <c r="A202" s="56" t="s">
        <v>378</v>
      </c>
      <c r="B202" s="54" t="s">
        <v>1142</v>
      </c>
      <c r="C202" s="56" t="s">
        <v>1143</v>
      </c>
      <c r="D202" s="16">
        <v>0</v>
      </c>
      <c r="E202" s="17"/>
      <c r="F202" s="2" t="s">
        <v>243</v>
      </c>
      <c r="G202" s="2" t="s">
        <v>245</v>
      </c>
      <c r="H202" s="10" t="s">
        <v>98</v>
      </c>
      <c r="I202" s="11" t="s">
        <v>244</v>
      </c>
      <c r="J202" s="11" t="s">
        <v>278</v>
      </c>
      <c r="K202" s="61" t="s">
        <v>279</v>
      </c>
      <c r="L202" s="11" t="s">
        <v>67</v>
      </c>
      <c r="M202" s="25"/>
      <c r="N202" s="54"/>
      <c r="O202" s="3" t="str">
        <f t="shared" si="44"/>
        <v>A</v>
      </c>
      <c r="P202" s="48">
        <v>201803</v>
      </c>
      <c r="Q202" s="48">
        <v>0</v>
      </c>
      <c r="R202" s="32"/>
      <c r="S202" s="3" t="str">
        <f t="shared" si="45"/>
        <v>A</v>
      </c>
      <c r="T202" s="48">
        <v>172232</v>
      </c>
      <c r="U202" s="48">
        <v>130</v>
      </c>
      <c r="V202" s="32"/>
      <c r="W202" s="3" t="str">
        <f t="shared" si="46"/>
        <v>A</v>
      </c>
      <c r="X202" s="48">
        <v>161132</v>
      </c>
      <c r="Y202" s="48">
        <v>0</v>
      </c>
      <c r="Z202" s="32"/>
      <c r="AA202" s="3" t="str">
        <f t="shared" si="47"/>
        <v>A</v>
      </c>
      <c r="AB202" s="48">
        <v>179466</v>
      </c>
      <c r="AC202" s="48">
        <v>0</v>
      </c>
      <c r="AD202" s="36"/>
      <c r="AE202" s="54"/>
      <c r="AF202" s="3" t="str">
        <f t="shared" si="48"/>
        <v>A</v>
      </c>
      <c r="AG202" s="48">
        <v>0</v>
      </c>
      <c r="AH202" s="48">
        <v>0</v>
      </c>
      <c r="AI202" s="39"/>
      <c r="AJ202" s="79" t="s">
        <v>1801</v>
      </c>
      <c r="AK202" s="39"/>
      <c r="AL202" s="4">
        <f t="shared" si="41"/>
        <v>714633</v>
      </c>
      <c r="AM202" s="4">
        <f t="shared" si="41"/>
        <v>130</v>
      </c>
      <c r="AN202" s="4">
        <f t="shared" si="49"/>
        <v>714763</v>
      </c>
      <c r="AO202" s="39"/>
      <c r="AP202" s="8">
        <f t="shared" si="42"/>
        <v>0</v>
      </c>
      <c r="AQ202" s="8">
        <f t="shared" si="42"/>
        <v>0</v>
      </c>
      <c r="AR202" s="8">
        <f t="shared" si="50"/>
        <v>0</v>
      </c>
      <c r="AS202" s="42"/>
      <c r="AT202" s="48">
        <v>714633</v>
      </c>
      <c r="AU202" s="48">
        <v>130</v>
      </c>
      <c r="AV202" s="4">
        <f t="shared" si="51"/>
        <v>714763</v>
      </c>
      <c r="AW202" s="50" t="str">
        <f t="shared" si="52"/>
        <v/>
      </c>
      <c r="AX202" s="1" t="s">
        <v>1639</v>
      </c>
      <c r="AY202" s="2" t="s">
        <v>1640</v>
      </c>
      <c r="AZ202" s="2">
        <v>59659.839999999997</v>
      </c>
      <c r="BA202" s="73">
        <v>52202.36</v>
      </c>
      <c r="BB202" s="73">
        <v>52202.36</v>
      </c>
      <c r="BC202" s="73">
        <v>59659.839999999997</v>
      </c>
      <c r="BD202" s="73"/>
      <c r="BE202" s="66">
        <v>0</v>
      </c>
      <c r="BF202" s="66">
        <v>0.02</v>
      </c>
      <c r="BG202" s="63">
        <v>45242</v>
      </c>
      <c r="BH202" s="2"/>
      <c r="BI202" s="2"/>
      <c r="BJ202" s="2">
        <v>225000</v>
      </c>
      <c r="BK202" s="2"/>
      <c r="BL202" s="1" t="s">
        <v>97</v>
      </c>
    </row>
    <row r="203" spans="1:64" x14ac:dyDescent="0.25">
      <c r="A203" s="56" t="s">
        <v>378</v>
      </c>
      <c r="B203" s="54" t="s">
        <v>1352</v>
      </c>
      <c r="C203" s="56" t="s">
        <v>1353</v>
      </c>
      <c r="D203" s="16">
        <v>45219</v>
      </c>
      <c r="E203" s="17"/>
      <c r="F203" s="2" t="s">
        <v>243</v>
      </c>
      <c r="G203" s="2" t="s">
        <v>245</v>
      </c>
      <c r="H203" s="10" t="s">
        <v>98</v>
      </c>
      <c r="I203" s="11" t="s">
        <v>244</v>
      </c>
      <c r="J203" s="11" t="s">
        <v>278</v>
      </c>
      <c r="K203" s="61" t="s">
        <v>279</v>
      </c>
      <c r="L203" s="11" t="s">
        <v>67</v>
      </c>
      <c r="M203" s="25"/>
      <c r="N203" s="54"/>
      <c r="O203" s="3" t="str">
        <f>IF($A203="","",IF(P203=AZ203,"E","A"))</f>
        <v>A</v>
      </c>
      <c r="P203" s="48">
        <v>56053</v>
      </c>
      <c r="Q203" s="48">
        <v>3435</v>
      </c>
      <c r="R203" s="32"/>
      <c r="S203" s="3" t="str">
        <f t="shared" si="45"/>
        <v>A</v>
      </c>
      <c r="T203" s="48">
        <v>51712.5</v>
      </c>
      <c r="U203" s="48">
        <v>3404</v>
      </c>
      <c r="V203" s="32"/>
      <c r="W203" s="3" t="str">
        <f t="shared" si="46"/>
        <v>A</v>
      </c>
      <c r="X203" s="48">
        <v>53315.5</v>
      </c>
      <c r="Y203" s="48">
        <v>2120</v>
      </c>
      <c r="Z203" s="32"/>
      <c r="AA203" s="3" t="str">
        <f t="shared" si="47"/>
        <v>A</v>
      </c>
      <c r="AB203" s="48">
        <v>53724.5</v>
      </c>
      <c r="AC203" s="48">
        <v>2450</v>
      </c>
      <c r="AD203" s="36"/>
      <c r="AE203" s="54"/>
      <c r="AF203" s="3" t="str">
        <f t="shared" si="48"/>
        <v>A</v>
      </c>
      <c r="AG203" s="48">
        <v>0</v>
      </c>
      <c r="AH203" s="48">
        <v>0</v>
      </c>
      <c r="AI203" s="39"/>
      <c r="AJ203" s="79" t="s">
        <v>1801</v>
      </c>
      <c r="AK203" s="39"/>
      <c r="AL203" s="4">
        <f t="shared" si="41"/>
        <v>214805.5</v>
      </c>
      <c r="AM203" s="4">
        <f t="shared" si="41"/>
        <v>11409</v>
      </c>
      <c r="AN203" s="4">
        <f t="shared" si="49"/>
        <v>226214.5</v>
      </c>
      <c r="AO203" s="39"/>
      <c r="AP203" s="8">
        <f t="shared" si="42"/>
        <v>0</v>
      </c>
      <c r="AQ203" s="8">
        <f t="shared" si="42"/>
        <v>0</v>
      </c>
      <c r="AR203" s="8">
        <f t="shared" si="50"/>
        <v>0</v>
      </c>
      <c r="AS203" s="42"/>
      <c r="AT203" s="48">
        <v>214805.5</v>
      </c>
      <c r="AU203" s="48">
        <v>11409</v>
      </c>
      <c r="AV203" s="4">
        <f t="shared" si="51"/>
        <v>226214.5</v>
      </c>
      <c r="AW203" s="50" t="str">
        <f t="shared" si="52"/>
        <v/>
      </c>
      <c r="AX203" s="1" t="s">
        <v>1639</v>
      </c>
      <c r="AY203" s="2" t="s">
        <v>1640</v>
      </c>
      <c r="AZ203" s="2">
        <v>98124.479999999996</v>
      </c>
      <c r="BA203" s="73">
        <v>85858.92</v>
      </c>
      <c r="BB203" s="73">
        <v>85858.92</v>
      </c>
      <c r="BC203" s="73">
        <v>98124.479999999996</v>
      </c>
      <c r="BD203" s="73"/>
      <c r="BE203" s="66">
        <v>0</v>
      </c>
      <c r="BF203" s="66">
        <v>0.02</v>
      </c>
      <c r="BG203" s="63">
        <v>45242</v>
      </c>
      <c r="BH203" s="2"/>
      <c r="BI203" s="2"/>
      <c r="BJ203" s="2">
        <v>360000</v>
      </c>
      <c r="BK203" s="2"/>
      <c r="BL203" s="1" t="s">
        <v>97</v>
      </c>
    </row>
    <row r="204" spans="1:64" x14ac:dyDescent="0.25">
      <c r="A204" s="56" t="s">
        <v>378</v>
      </c>
      <c r="B204" s="54" t="s">
        <v>1446</v>
      </c>
      <c r="C204" s="56" t="s">
        <v>1447</v>
      </c>
      <c r="D204" s="16">
        <v>45357</v>
      </c>
      <c r="E204" s="17">
        <v>45665</v>
      </c>
      <c r="F204" s="2" t="s">
        <v>243</v>
      </c>
      <c r="G204" s="2" t="s">
        <v>245</v>
      </c>
      <c r="H204" s="10" t="s">
        <v>98</v>
      </c>
      <c r="I204" s="11" t="s">
        <v>244</v>
      </c>
      <c r="J204" s="11" t="s">
        <v>278</v>
      </c>
      <c r="K204" s="61" t="s">
        <v>279</v>
      </c>
      <c r="L204" s="11" t="s">
        <v>67</v>
      </c>
      <c r="M204" s="25"/>
      <c r="N204" s="54"/>
      <c r="O204" s="3" t="str">
        <f>IF($A204="","",IF(P204=AZ204,"E","A"))</f>
        <v>E</v>
      </c>
      <c r="P204" s="48"/>
      <c r="Q204" s="48"/>
      <c r="R204" s="32"/>
      <c r="S204" s="3" t="str">
        <f>IF($A204="","",IF(T204=BA204,"E","A"))</f>
        <v>E</v>
      </c>
      <c r="T204" s="48"/>
      <c r="U204" s="48"/>
      <c r="V204" s="32"/>
      <c r="W204" s="3" t="str">
        <f t="shared" si="46"/>
        <v>A</v>
      </c>
      <c r="X204" s="48"/>
      <c r="Y204" s="48"/>
      <c r="Z204" s="32"/>
      <c r="AA204" s="3" t="str">
        <f t="shared" si="47"/>
        <v>A</v>
      </c>
      <c r="AB204" s="48"/>
      <c r="AC204" s="48"/>
      <c r="AD204" s="36"/>
      <c r="AE204" s="54"/>
      <c r="AF204" s="3" t="str">
        <f t="shared" si="48"/>
        <v>A</v>
      </c>
      <c r="AG204" s="48"/>
      <c r="AH204" s="48"/>
      <c r="AI204" s="39"/>
      <c r="AJ204" s="79" t="s">
        <v>38</v>
      </c>
      <c r="AK204" s="39"/>
      <c r="AL204" s="4">
        <f t="shared" si="41"/>
        <v>0</v>
      </c>
      <c r="AM204" s="4">
        <f t="shared" si="41"/>
        <v>0</v>
      </c>
      <c r="AN204" s="4">
        <f t="shared" si="49"/>
        <v>0</v>
      </c>
      <c r="AO204" s="39"/>
      <c r="AP204" s="8">
        <f t="shared" si="42"/>
        <v>0</v>
      </c>
      <c r="AQ204" s="8">
        <f t="shared" si="42"/>
        <v>0</v>
      </c>
      <c r="AR204" s="8">
        <f t="shared" si="50"/>
        <v>0</v>
      </c>
      <c r="AS204" s="42"/>
      <c r="AT204" s="48"/>
      <c r="AU204" s="48"/>
      <c r="AV204" s="4">
        <f t="shared" si="51"/>
        <v>0</v>
      </c>
      <c r="AW204" s="50" t="str">
        <f t="shared" si="52"/>
        <v/>
      </c>
      <c r="AX204" s="1" t="s">
        <v>1639</v>
      </c>
      <c r="AY204" s="2" t="s">
        <v>1640</v>
      </c>
      <c r="AZ204" s="2"/>
      <c r="BA204" s="73"/>
      <c r="BB204" s="73"/>
      <c r="BC204" s="73"/>
      <c r="BD204" s="73"/>
      <c r="BE204" s="66">
        <v>0</v>
      </c>
      <c r="BF204" s="66">
        <v>0.02</v>
      </c>
      <c r="BG204" s="63">
        <v>45357</v>
      </c>
      <c r="BH204" s="74">
        <v>45665</v>
      </c>
      <c r="BI204" s="2"/>
      <c r="BJ204" s="2">
        <v>405000</v>
      </c>
      <c r="BK204" s="2">
        <v>12656.25</v>
      </c>
      <c r="BL204" s="1" t="s">
        <v>97</v>
      </c>
    </row>
    <row r="205" spans="1:64" x14ac:dyDescent="0.25">
      <c r="A205" s="56" t="s">
        <v>380</v>
      </c>
      <c r="B205" s="54" t="s">
        <v>380</v>
      </c>
      <c r="C205" s="56" t="s">
        <v>381</v>
      </c>
      <c r="D205" s="16">
        <v>40139</v>
      </c>
      <c r="E205" s="17"/>
      <c r="F205" s="2" t="s">
        <v>382</v>
      </c>
      <c r="G205" s="2" t="s">
        <v>383</v>
      </c>
      <c r="H205" s="10" t="s">
        <v>57</v>
      </c>
      <c r="I205" s="11" t="s">
        <v>53</v>
      </c>
      <c r="J205" s="11" t="s">
        <v>384</v>
      </c>
      <c r="K205" s="61"/>
      <c r="L205" s="11" t="s">
        <v>67</v>
      </c>
      <c r="M205" s="25"/>
      <c r="N205" s="54"/>
      <c r="O205" s="3" t="str">
        <f>IF($A205="","",IF(P205=0,"A",IF(P205=AZ205,"E","A")))</f>
        <v>A</v>
      </c>
      <c r="P205" s="48">
        <v>33510</v>
      </c>
      <c r="Q205" s="48">
        <v>11228</v>
      </c>
      <c r="R205" s="32"/>
      <c r="S205" s="3" t="str">
        <f>IF($A205="","",IF(T205=0,"A",IF(T205=BA205,"E","A")))</f>
        <v>A</v>
      </c>
      <c r="T205" s="48">
        <v>25731</v>
      </c>
      <c r="U205" s="48">
        <v>9220</v>
      </c>
      <c r="V205" s="32"/>
      <c r="W205" s="3" t="str">
        <f t="shared" si="46"/>
        <v>A</v>
      </c>
      <c r="X205" s="48">
        <v>25975</v>
      </c>
      <c r="Y205" s="48">
        <v>9624</v>
      </c>
      <c r="Z205" s="32"/>
      <c r="AA205" s="3" t="str">
        <f t="shared" si="47"/>
        <v>E</v>
      </c>
      <c r="AB205" s="48">
        <v>91968.72</v>
      </c>
      <c r="AC205" s="48">
        <v>15547.84</v>
      </c>
      <c r="AD205" s="36"/>
      <c r="AE205" s="54"/>
      <c r="AF205" s="3" t="str">
        <f t="shared" si="48"/>
        <v>A</v>
      </c>
      <c r="AG205" s="48">
        <v>0</v>
      </c>
      <c r="AH205" s="48">
        <v>0</v>
      </c>
      <c r="AI205" s="39"/>
      <c r="AJ205" s="79" t="s">
        <v>38</v>
      </c>
      <c r="AK205" s="39"/>
      <c r="AL205" s="4">
        <f t="shared" si="41"/>
        <v>85216</v>
      </c>
      <c r="AM205" s="4">
        <f t="shared" si="41"/>
        <v>30072</v>
      </c>
      <c r="AN205" s="4">
        <f t="shared" si="49"/>
        <v>115288</v>
      </c>
      <c r="AO205" s="39"/>
      <c r="AP205" s="8">
        <f t="shared" si="42"/>
        <v>91968.72</v>
      </c>
      <c r="AQ205" s="8">
        <f t="shared" si="42"/>
        <v>15547.84</v>
      </c>
      <c r="AR205" s="8">
        <f t="shared" si="50"/>
        <v>107516.56</v>
      </c>
      <c r="AS205" s="42"/>
      <c r="AT205" s="48">
        <v>85216</v>
      </c>
      <c r="AU205" s="48">
        <v>30072</v>
      </c>
      <c r="AV205" s="4">
        <f t="shared" si="51"/>
        <v>115288</v>
      </c>
      <c r="AW205" s="50" t="str">
        <f t="shared" si="52"/>
        <v/>
      </c>
      <c r="AX205" s="1" t="s">
        <v>1696</v>
      </c>
      <c r="AY205" s="2" t="s">
        <v>1697</v>
      </c>
      <c r="AZ205" s="2">
        <v>91968.72</v>
      </c>
      <c r="BA205" s="73">
        <v>80472.63</v>
      </c>
      <c r="BB205" s="73">
        <v>80472.63</v>
      </c>
      <c r="BC205" s="73">
        <v>91968.72</v>
      </c>
      <c r="BD205" s="73"/>
      <c r="BE205" s="66">
        <v>3.5000000000000003E-2</v>
      </c>
      <c r="BF205" s="66">
        <v>0.05</v>
      </c>
      <c r="BG205" s="63">
        <v>45611</v>
      </c>
      <c r="BH205" s="2"/>
      <c r="BI205" s="2"/>
      <c r="BJ205" s="2"/>
      <c r="BK205" s="2"/>
      <c r="BL205" s="1" t="s">
        <v>56</v>
      </c>
    </row>
    <row r="206" spans="1:64" x14ac:dyDescent="0.25">
      <c r="A206" s="56" t="s">
        <v>385</v>
      </c>
      <c r="B206" s="54" t="s">
        <v>385</v>
      </c>
      <c r="C206" s="56" t="s">
        <v>386</v>
      </c>
      <c r="D206" s="16">
        <v>40137</v>
      </c>
      <c r="E206" s="17"/>
      <c r="F206" s="2" t="s">
        <v>342</v>
      </c>
      <c r="G206" s="2" t="s">
        <v>343</v>
      </c>
      <c r="H206" s="10" t="s">
        <v>57</v>
      </c>
      <c r="I206" s="11" t="s">
        <v>53</v>
      </c>
      <c r="J206" s="11" t="s">
        <v>387</v>
      </c>
      <c r="K206" s="61"/>
      <c r="L206" s="11" t="s">
        <v>67</v>
      </c>
      <c r="M206" s="25"/>
      <c r="N206" s="54"/>
      <c r="O206" s="3" t="str">
        <f>IF($A206="","",IF(P206=0,"A",IF(P206=AZ206,"E","A")))</f>
        <v>A</v>
      </c>
      <c r="P206" s="48">
        <v>104395</v>
      </c>
      <c r="Q206" s="48">
        <v>69770</v>
      </c>
      <c r="R206" s="32"/>
      <c r="S206" s="3" t="str">
        <f>IF($A206="","",IF(T206=0,"A",IF(T206=BA206,"E","A")))</f>
        <v>A</v>
      </c>
      <c r="T206" s="48">
        <v>86475</v>
      </c>
      <c r="U206" s="48">
        <v>68072</v>
      </c>
      <c r="V206" s="32"/>
      <c r="W206" s="3" t="str">
        <f t="shared" si="46"/>
        <v>A</v>
      </c>
      <c r="X206" s="48">
        <v>81420</v>
      </c>
      <c r="Y206" s="48">
        <v>53290</v>
      </c>
      <c r="Z206" s="32"/>
      <c r="AA206" s="3" t="str">
        <f t="shared" si="47"/>
        <v>A</v>
      </c>
      <c r="AB206" s="48">
        <v>89595</v>
      </c>
      <c r="AC206" s="48">
        <v>56934</v>
      </c>
      <c r="AD206" s="36"/>
      <c r="AE206" s="54"/>
      <c r="AF206" s="3" t="str">
        <f t="shared" si="48"/>
        <v>A</v>
      </c>
      <c r="AG206" s="48">
        <v>0</v>
      </c>
      <c r="AH206" s="48">
        <v>0</v>
      </c>
      <c r="AI206" s="39"/>
      <c r="AJ206" s="79" t="s">
        <v>1801</v>
      </c>
      <c r="AK206" s="39"/>
      <c r="AL206" s="4">
        <f t="shared" si="41"/>
        <v>361885</v>
      </c>
      <c r="AM206" s="4">
        <f t="shared" si="41"/>
        <v>248066</v>
      </c>
      <c r="AN206" s="4">
        <f t="shared" si="49"/>
        <v>609951</v>
      </c>
      <c r="AO206" s="39"/>
      <c r="AP206" s="8">
        <f t="shared" si="42"/>
        <v>0</v>
      </c>
      <c r="AQ206" s="8">
        <f t="shared" si="42"/>
        <v>0</v>
      </c>
      <c r="AR206" s="8">
        <f t="shared" si="50"/>
        <v>0</v>
      </c>
      <c r="AS206" s="42"/>
      <c r="AT206" s="48">
        <v>361885</v>
      </c>
      <c r="AU206" s="48">
        <v>248066</v>
      </c>
      <c r="AV206" s="4">
        <f t="shared" si="51"/>
        <v>609951</v>
      </c>
      <c r="AW206" s="50" t="str">
        <f t="shared" si="52"/>
        <v/>
      </c>
      <c r="AX206" s="1" t="s">
        <v>1686</v>
      </c>
      <c r="AY206" s="2" t="s">
        <v>1687</v>
      </c>
      <c r="AZ206" s="2">
        <v>111892.16</v>
      </c>
      <c r="BA206" s="73">
        <v>97905.64</v>
      </c>
      <c r="BB206" s="73">
        <v>97905.64</v>
      </c>
      <c r="BC206" s="73">
        <v>111892.16</v>
      </c>
      <c r="BD206" s="73"/>
      <c r="BE206" s="66">
        <v>3.5000000000000003E-2</v>
      </c>
      <c r="BF206" s="66">
        <v>0.05</v>
      </c>
      <c r="BG206" s="63">
        <v>45616</v>
      </c>
      <c r="BH206" s="74">
        <v>43919</v>
      </c>
      <c r="BI206" s="74">
        <v>43985</v>
      </c>
      <c r="BJ206" s="2"/>
      <c r="BK206" s="2"/>
      <c r="BL206" s="1" t="s">
        <v>56</v>
      </c>
    </row>
    <row r="207" spans="1:64" x14ac:dyDescent="0.25">
      <c r="A207" s="56" t="s">
        <v>385</v>
      </c>
      <c r="B207" s="54" t="s">
        <v>749</v>
      </c>
      <c r="C207" s="56" t="s">
        <v>750</v>
      </c>
      <c r="D207" s="16">
        <v>40531</v>
      </c>
      <c r="E207" s="17"/>
      <c r="F207" s="2" t="s">
        <v>342</v>
      </c>
      <c r="G207" s="2" t="s">
        <v>343</v>
      </c>
      <c r="H207" s="10" t="s">
        <v>57</v>
      </c>
      <c r="I207" s="11" t="s">
        <v>53</v>
      </c>
      <c r="J207" s="11" t="s">
        <v>387</v>
      </c>
      <c r="K207" s="61"/>
      <c r="L207" s="11" t="s">
        <v>67</v>
      </c>
      <c r="M207" s="25"/>
      <c r="N207" s="54"/>
      <c r="O207" s="3" t="str">
        <f>IF($A207="","",IF(P207=0,"A",IF(P207=AZ207,"E","A")))</f>
        <v>A</v>
      </c>
      <c r="P207" s="48">
        <v>92940</v>
      </c>
      <c r="Q207" s="48">
        <v>39287</v>
      </c>
      <c r="R207" s="32"/>
      <c r="S207" s="3" t="str">
        <f>IF($A207="","",IF(T207=0,"A",IF(T207=BA207,"E","A")))</f>
        <v>A</v>
      </c>
      <c r="T207" s="48">
        <v>81995</v>
      </c>
      <c r="U207" s="48">
        <v>42567</v>
      </c>
      <c r="V207" s="32"/>
      <c r="W207" s="3" t="str">
        <f t="shared" si="46"/>
        <v>A</v>
      </c>
      <c r="X207" s="48">
        <v>80515</v>
      </c>
      <c r="Y207" s="48">
        <v>30903</v>
      </c>
      <c r="Z207" s="32"/>
      <c r="AA207" s="3" t="str">
        <f t="shared" si="47"/>
        <v>A</v>
      </c>
      <c r="AB207" s="48">
        <v>84535</v>
      </c>
      <c r="AC207" s="48">
        <v>32038</v>
      </c>
      <c r="AD207" s="36"/>
      <c r="AE207" s="54"/>
      <c r="AF207" s="3" t="str">
        <f t="shared" si="48"/>
        <v>A</v>
      </c>
      <c r="AG207" s="48">
        <v>0</v>
      </c>
      <c r="AH207" s="48">
        <v>0</v>
      </c>
      <c r="AI207" s="39"/>
      <c r="AJ207" s="79" t="s">
        <v>1801</v>
      </c>
      <c r="AK207" s="39"/>
      <c r="AL207" s="4">
        <f t="shared" si="41"/>
        <v>339985</v>
      </c>
      <c r="AM207" s="4">
        <f t="shared" si="41"/>
        <v>144795</v>
      </c>
      <c r="AN207" s="4">
        <f t="shared" si="49"/>
        <v>484780</v>
      </c>
      <c r="AO207" s="39"/>
      <c r="AP207" s="8">
        <f t="shared" si="42"/>
        <v>0</v>
      </c>
      <c r="AQ207" s="8">
        <f t="shared" si="42"/>
        <v>0</v>
      </c>
      <c r="AR207" s="8">
        <f t="shared" si="50"/>
        <v>0</v>
      </c>
      <c r="AS207" s="42"/>
      <c r="AT207" s="48">
        <v>339985</v>
      </c>
      <c r="AU207" s="48">
        <v>144795</v>
      </c>
      <c r="AV207" s="4">
        <f t="shared" si="51"/>
        <v>484780</v>
      </c>
      <c r="AW207" s="50" t="str">
        <f t="shared" si="52"/>
        <v/>
      </c>
      <c r="AX207" s="1" t="s">
        <v>1686</v>
      </c>
      <c r="AY207" s="2" t="s">
        <v>1687</v>
      </c>
      <c r="AZ207" s="2">
        <v>130740.64</v>
      </c>
      <c r="BA207" s="73">
        <v>114398.06</v>
      </c>
      <c r="BB207" s="73">
        <v>114398.06</v>
      </c>
      <c r="BC207" s="73">
        <v>130740.64</v>
      </c>
      <c r="BD207" s="73"/>
      <c r="BE207" s="66">
        <v>3.5000000000000003E-2</v>
      </c>
      <c r="BF207" s="66">
        <v>0.05</v>
      </c>
      <c r="BG207" s="63">
        <v>45616</v>
      </c>
      <c r="BH207" s="74">
        <v>43919</v>
      </c>
      <c r="BI207" s="74">
        <v>43976</v>
      </c>
      <c r="BJ207" s="2"/>
      <c r="BK207" s="2"/>
      <c r="BL207" s="1" t="s">
        <v>56</v>
      </c>
    </row>
    <row r="208" spans="1:64" x14ac:dyDescent="0.25">
      <c r="A208" s="56" t="s">
        <v>388</v>
      </c>
      <c r="B208" s="54" t="s">
        <v>388</v>
      </c>
      <c r="C208" s="56" t="s">
        <v>389</v>
      </c>
      <c r="D208" s="16">
        <v>40157</v>
      </c>
      <c r="E208" s="17"/>
      <c r="F208" s="2" t="s">
        <v>390</v>
      </c>
      <c r="G208" s="2" t="s">
        <v>391</v>
      </c>
      <c r="H208" s="10" t="s">
        <v>98</v>
      </c>
      <c r="I208" s="11" t="s">
        <v>53</v>
      </c>
      <c r="J208" s="11" t="s">
        <v>224</v>
      </c>
      <c r="K208" s="61"/>
      <c r="L208" s="11" t="s">
        <v>67</v>
      </c>
      <c r="M208" s="25"/>
      <c r="N208" s="54"/>
      <c r="O208" s="3" t="str">
        <f>IF($A208="","",IF(P208=0,"A",IF(P208=AZ208,"E","A")))</f>
        <v>A</v>
      </c>
      <c r="P208" s="48">
        <v>274256.25</v>
      </c>
      <c r="Q208" s="48">
        <v>9293</v>
      </c>
      <c r="R208" s="32"/>
      <c r="S208" s="3" t="str">
        <f>IF($A208="","",IF(T208=0,"A",IF(T208=BA208,"E","A")))</f>
        <v>A</v>
      </c>
      <c r="T208" s="48">
        <v>222846.85</v>
      </c>
      <c r="U208" s="48">
        <v>4905</v>
      </c>
      <c r="V208" s="32"/>
      <c r="W208" s="3" t="str">
        <f t="shared" si="46"/>
        <v>A</v>
      </c>
      <c r="X208" s="48">
        <v>228509.75</v>
      </c>
      <c r="Y208" s="48">
        <v>3900</v>
      </c>
      <c r="Z208" s="32"/>
      <c r="AA208" s="3" t="str">
        <f t="shared" si="47"/>
        <v>A</v>
      </c>
      <c r="AB208" s="48">
        <v>254190.5</v>
      </c>
      <c r="AC208" s="48">
        <v>5459</v>
      </c>
      <c r="AD208" s="36"/>
      <c r="AE208" s="54"/>
      <c r="AF208" s="3" t="str">
        <f t="shared" si="48"/>
        <v>A</v>
      </c>
      <c r="AG208" s="48">
        <v>0</v>
      </c>
      <c r="AH208" s="48">
        <v>0</v>
      </c>
      <c r="AI208" s="39"/>
      <c r="AJ208" s="79" t="s">
        <v>1801</v>
      </c>
      <c r="AK208" s="39"/>
      <c r="AL208" s="4">
        <f t="shared" si="41"/>
        <v>979803.35</v>
      </c>
      <c r="AM208" s="4">
        <f t="shared" si="41"/>
        <v>23557</v>
      </c>
      <c r="AN208" s="4">
        <f t="shared" si="49"/>
        <v>1003360.35</v>
      </c>
      <c r="AO208" s="39"/>
      <c r="AP208" s="8">
        <f t="shared" si="42"/>
        <v>0</v>
      </c>
      <c r="AQ208" s="8">
        <f t="shared" si="42"/>
        <v>0</v>
      </c>
      <c r="AR208" s="8">
        <f t="shared" si="50"/>
        <v>0</v>
      </c>
      <c r="AS208" s="42"/>
      <c r="AT208" s="48">
        <v>979803.35</v>
      </c>
      <c r="AU208" s="48">
        <v>23557</v>
      </c>
      <c r="AV208" s="4">
        <f t="shared" si="51"/>
        <v>1003360.35</v>
      </c>
      <c r="AW208" s="50" t="str">
        <f t="shared" si="52"/>
        <v/>
      </c>
      <c r="AX208" s="1" t="s">
        <v>1698</v>
      </c>
      <c r="AY208" s="2" t="s">
        <v>1699</v>
      </c>
      <c r="AZ208" s="2">
        <v>221505.28</v>
      </c>
      <c r="BA208" s="73">
        <v>193817.12</v>
      </c>
      <c r="BB208" s="73">
        <v>193817.12</v>
      </c>
      <c r="BC208" s="73">
        <v>221505.28</v>
      </c>
      <c r="BD208" s="73"/>
      <c r="BE208" s="66">
        <v>3.5000000000000003E-2</v>
      </c>
      <c r="BF208" s="66">
        <v>0.05</v>
      </c>
      <c r="BG208" s="63">
        <v>45627</v>
      </c>
      <c r="BH208" s="2"/>
      <c r="BI208" s="2"/>
      <c r="BJ208" s="2"/>
      <c r="BK208" s="2"/>
      <c r="BL208" s="1" t="s">
        <v>97</v>
      </c>
    </row>
    <row r="209" spans="1:64" x14ac:dyDescent="0.25">
      <c r="A209" s="56" t="s">
        <v>388</v>
      </c>
      <c r="B209" s="54" t="s">
        <v>1527</v>
      </c>
      <c r="C209" s="56" t="s">
        <v>1528</v>
      </c>
      <c r="D209" s="16">
        <v>0</v>
      </c>
      <c r="E209" s="17"/>
      <c r="F209" s="2" t="s">
        <v>390</v>
      </c>
      <c r="G209" s="2" t="s">
        <v>391</v>
      </c>
      <c r="H209" s="10" t="s">
        <v>98</v>
      </c>
      <c r="I209" s="11" t="s">
        <v>53</v>
      </c>
      <c r="J209" s="11" t="s">
        <v>224</v>
      </c>
      <c r="K209" s="61"/>
      <c r="L209" s="11" t="s">
        <v>67</v>
      </c>
      <c r="M209" s="25"/>
      <c r="N209" s="54"/>
      <c r="O209" s="3" t="str">
        <f>IF($A209="","",IF(P209=AZ209,"E","A"))</f>
        <v>A</v>
      </c>
      <c r="P209" s="48">
        <v>118061.00000099999</v>
      </c>
      <c r="Q209" s="48">
        <v>2250</v>
      </c>
      <c r="R209" s="32"/>
      <c r="S209" s="3" t="str">
        <f>IF($A209="","",IF(T209=BA209,"E","A"))</f>
        <v>A</v>
      </c>
      <c r="T209" s="48">
        <v>97593.500000000015</v>
      </c>
      <c r="U209" s="48">
        <v>1847.25</v>
      </c>
      <c r="V209" s="32"/>
      <c r="W209" s="3" t="str">
        <f t="shared" si="46"/>
        <v>A</v>
      </c>
      <c r="X209" s="48">
        <v>96213.700000000012</v>
      </c>
      <c r="Y209" s="48">
        <v>1695</v>
      </c>
      <c r="Z209" s="32"/>
      <c r="AA209" s="3" t="str">
        <f t="shared" si="47"/>
        <v>A</v>
      </c>
      <c r="AB209" s="48">
        <v>108189.59999999999</v>
      </c>
      <c r="AC209" s="48">
        <v>1611.75</v>
      </c>
      <c r="AD209" s="36"/>
      <c r="AE209" s="54"/>
      <c r="AF209" s="3" t="str">
        <f t="shared" si="48"/>
        <v>A</v>
      </c>
      <c r="AG209" s="48">
        <v>0</v>
      </c>
      <c r="AH209" s="48">
        <v>0</v>
      </c>
      <c r="AI209" s="39"/>
      <c r="AJ209" s="79" t="s">
        <v>1801</v>
      </c>
      <c r="AK209" s="39"/>
      <c r="AL209" s="4">
        <f t="shared" si="41"/>
        <v>420057.800001</v>
      </c>
      <c r="AM209" s="4">
        <f t="shared" si="41"/>
        <v>7404</v>
      </c>
      <c r="AN209" s="4">
        <f t="shared" si="49"/>
        <v>427461.800001</v>
      </c>
      <c r="AO209" s="39"/>
      <c r="AP209" s="8">
        <f t="shared" si="42"/>
        <v>0</v>
      </c>
      <c r="AQ209" s="8">
        <f t="shared" si="42"/>
        <v>0</v>
      </c>
      <c r="AR209" s="8">
        <f t="shared" si="50"/>
        <v>0</v>
      </c>
      <c r="AS209" s="42"/>
      <c r="AT209" s="48">
        <v>420057.800001</v>
      </c>
      <c r="AU209" s="48">
        <v>7404</v>
      </c>
      <c r="AV209" s="4">
        <f t="shared" si="51"/>
        <v>427461.800001</v>
      </c>
      <c r="AW209" s="50" t="str">
        <f t="shared" si="52"/>
        <v/>
      </c>
      <c r="AX209" s="1" t="s">
        <v>1698</v>
      </c>
      <c r="AY209" s="2" t="s">
        <v>1699</v>
      </c>
      <c r="AZ209" s="2">
        <v>100394.8</v>
      </c>
      <c r="BA209" s="73">
        <v>87845.45</v>
      </c>
      <c r="BB209" s="73">
        <v>87845.45</v>
      </c>
      <c r="BC209" s="73">
        <v>100394.8</v>
      </c>
      <c r="BD209" s="73"/>
      <c r="BE209" s="66">
        <v>0</v>
      </c>
      <c r="BF209" s="66">
        <v>0.05</v>
      </c>
      <c r="BG209" s="63">
        <v>45589</v>
      </c>
      <c r="BH209" s="2"/>
      <c r="BI209" s="2"/>
      <c r="BJ209" s="2">
        <v>378000</v>
      </c>
      <c r="BK209" s="2">
        <v>19845</v>
      </c>
      <c r="BL209" s="1" t="s">
        <v>97</v>
      </c>
    </row>
    <row r="210" spans="1:64" x14ac:dyDescent="0.25">
      <c r="A210" s="56" t="s">
        <v>388</v>
      </c>
      <c r="B210" s="54" t="s">
        <v>1619</v>
      </c>
      <c r="C210" s="56" t="s">
        <v>1620</v>
      </c>
      <c r="D210" s="16">
        <v>45815</v>
      </c>
      <c r="E210" s="17"/>
      <c r="F210" s="2" t="s">
        <v>390</v>
      </c>
      <c r="G210" s="2" t="s">
        <v>391</v>
      </c>
      <c r="H210" s="10" t="s">
        <v>98</v>
      </c>
      <c r="I210" s="11" t="s">
        <v>53</v>
      </c>
      <c r="J210" s="11" t="s">
        <v>224</v>
      </c>
      <c r="K210" s="61"/>
      <c r="L210" s="11" t="s">
        <v>67</v>
      </c>
      <c r="M210" s="25"/>
      <c r="N210" s="54"/>
      <c r="O210" s="3" t="str">
        <f>IF($A210="","",IF(P210=AZ210,"E","A"))</f>
        <v>E</v>
      </c>
      <c r="P210" s="48">
        <v>55920.4</v>
      </c>
      <c r="Q210" s="48">
        <v>1788.64</v>
      </c>
      <c r="R210" s="32"/>
      <c r="S210" s="3" t="str">
        <f>IF($A210="","",IF(T210=BA210,"E","A"))</f>
        <v>E</v>
      </c>
      <c r="T210" s="48">
        <v>48930.35</v>
      </c>
      <c r="U210" s="48">
        <v>1565.06</v>
      </c>
      <c r="V210" s="32"/>
      <c r="W210" s="3" t="str">
        <f t="shared" si="46"/>
        <v>E</v>
      </c>
      <c r="X210" s="48">
        <v>48930.35</v>
      </c>
      <c r="Y210" s="48">
        <v>1565.06</v>
      </c>
      <c r="Z210" s="32"/>
      <c r="AA210" s="3" t="str">
        <f t="shared" si="47"/>
        <v>E</v>
      </c>
      <c r="AB210" s="48">
        <v>55920.4</v>
      </c>
      <c r="AC210" s="48">
        <v>1788.64</v>
      </c>
      <c r="AD210" s="36"/>
      <c r="AE210" s="54"/>
      <c r="AF210" s="3" t="str">
        <f t="shared" si="48"/>
        <v>A</v>
      </c>
      <c r="AG210" s="48"/>
      <c r="AH210" s="48"/>
      <c r="AI210" s="39"/>
      <c r="AJ210" s="79" t="s">
        <v>38</v>
      </c>
      <c r="AK210" s="39"/>
      <c r="AL210" s="4">
        <f t="shared" si="41"/>
        <v>0</v>
      </c>
      <c r="AM210" s="4">
        <f t="shared" si="41"/>
        <v>0</v>
      </c>
      <c r="AN210" s="4">
        <f t="shared" si="49"/>
        <v>0</v>
      </c>
      <c r="AO210" s="39"/>
      <c r="AP210" s="8">
        <f t="shared" si="42"/>
        <v>209701.5</v>
      </c>
      <c r="AQ210" s="8">
        <f t="shared" si="42"/>
        <v>6707.4000000000005</v>
      </c>
      <c r="AR210" s="8">
        <f t="shared" si="50"/>
        <v>216408.9</v>
      </c>
      <c r="AS210" s="42"/>
      <c r="AT210" s="48"/>
      <c r="AU210" s="48"/>
      <c r="AV210" s="4">
        <f t="shared" si="51"/>
        <v>0</v>
      </c>
      <c r="AW210" s="50" t="str">
        <f t="shared" si="52"/>
        <v/>
      </c>
      <c r="AX210" s="1" t="s">
        <v>1698</v>
      </c>
      <c r="AY210" s="2" t="s">
        <v>1699</v>
      </c>
      <c r="AZ210" s="2">
        <v>55920.4</v>
      </c>
      <c r="BA210" s="73">
        <v>48930.35</v>
      </c>
      <c r="BB210" s="73">
        <v>48930.35</v>
      </c>
      <c r="BC210" s="73">
        <v>55920.4</v>
      </c>
      <c r="BD210" s="73"/>
      <c r="BE210" s="66">
        <v>0</v>
      </c>
      <c r="BF210" s="66">
        <v>0.05</v>
      </c>
      <c r="BG210" s="63">
        <v>45813</v>
      </c>
      <c r="BH210" s="2"/>
      <c r="BI210" s="2"/>
      <c r="BJ210" s="2">
        <v>216000</v>
      </c>
      <c r="BK210" s="2">
        <v>6750</v>
      </c>
      <c r="BL210" s="1" t="s">
        <v>97</v>
      </c>
    </row>
    <row r="211" spans="1:64" x14ac:dyDescent="0.25">
      <c r="A211" s="56" t="s">
        <v>392</v>
      </c>
      <c r="B211" s="54" t="s">
        <v>392</v>
      </c>
      <c r="C211" s="56" t="s">
        <v>393</v>
      </c>
      <c r="D211" s="16">
        <v>40161</v>
      </c>
      <c r="E211" s="17"/>
      <c r="F211" s="2" t="s">
        <v>394</v>
      </c>
      <c r="G211" s="2" t="s">
        <v>395</v>
      </c>
      <c r="H211" s="10" t="s">
        <v>57</v>
      </c>
      <c r="I211" s="11" t="s">
        <v>53</v>
      </c>
      <c r="J211" s="11" t="s">
        <v>397</v>
      </c>
      <c r="K211" s="61"/>
      <c r="L211" s="11" t="s">
        <v>67</v>
      </c>
      <c r="M211" s="25"/>
      <c r="N211" s="54"/>
      <c r="O211" s="3" t="str">
        <f>IF($A211="","",IF(P211=0,"A",IF(P211=AZ211,"E","A")))</f>
        <v>A</v>
      </c>
      <c r="P211" s="48">
        <v>309271</v>
      </c>
      <c r="Q211" s="48">
        <v>82667</v>
      </c>
      <c r="R211" s="32"/>
      <c r="S211" s="3" t="str">
        <f>IF($A211="","",IF(T211=0,"A",IF(T211=BA211,"E","A")))</f>
        <v>A</v>
      </c>
      <c r="T211" s="48">
        <v>293024</v>
      </c>
      <c r="U211" s="48">
        <v>59353</v>
      </c>
      <c r="V211" s="32"/>
      <c r="W211" s="3" t="str">
        <f t="shared" si="46"/>
        <v>A</v>
      </c>
      <c r="X211" s="48">
        <v>272988</v>
      </c>
      <c r="Y211" s="48">
        <v>58924</v>
      </c>
      <c r="Z211" s="32"/>
      <c r="AA211" s="3" t="str">
        <f t="shared" si="47"/>
        <v>A</v>
      </c>
      <c r="AB211" s="48">
        <v>297889</v>
      </c>
      <c r="AC211" s="48">
        <v>59117</v>
      </c>
      <c r="AD211" s="36"/>
      <c r="AE211" s="54"/>
      <c r="AF211" s="3" t="str">
        <f t="shared" si="48"/>
        <v>A</v>
      </c>
      <c r="AG211" s="48">
        <v>0</v>
      </c>
      <c r="AH211" s="48">
        <v>0</v>
      </c>
      <c r="AI211" s="39"/>
      <c r="AJ211" s="79" t="s">
        <v>1801</v>
      </c>
      <c r="AK211" s="39"/>
      <c r="AL211" s="4">
        <f t="shared" si="41"/>
        <v>1173172</v>
      </c>
      <c r="AM211" s="4">
        <f t="shared" si="41"/>
        <v>260061</v>
      </c>
      <c r="AN211" s="4">
        <f t="shared" si="49"/>
        <v>1433233</v>
      </c>
      <c r="AO211" s="39"/>
      <c r="AP211" s="8">
        <f t="shared" si="42"/>
        <v>0</v>
      </c>
      <c r="AQ211" s="8">
        <f t="shared" si="42"/>
        <v>0</v>
      </c>
      <c r="AR211" s="8">
        <f t="shared" si="50"/>
        <v>0</v>
      </c>
      <c r="AS211" s="42"/>
      <c r="AT211" s="48">
        <v>1173172</v>
      </c>
      <c r="AU211" s="48">
        <v>260061</v>
      </c>
      <c r="AV211" s="4">
        <f t="shared" si="51"/>
        <v>1433233</v>
      </c>
      <c r="AW211" s="50" t="str">
        <f t="shared" si="52"/>
        <v/>
      </c>
      <c r="AX211" s="1" t="s">
        <v>1700</v>
      </c>
      <c r="AY211" s="2" t="s">
        <v>1701</v>
      </c>
      <c r="AZ211" s="2">
        <v>298242.24</v>
      </c>
      <c r="BA211" s="73">
        <v>260961.96</v>
      </c>
      <c r="BB211" s="73">
        <v>260961.96</v>
      </c>
      <c r="BC211" s="73">
        <v>298242.24</v>
      </c>
      <c r="BD211" s="73"/>
      <c r="BE211" s="66">
        <v>3.5000000000000003E-2</v>
      </c>
      <c r="BF211" s="66">
        <v>0.05</v>
      </c>
      <c r="BG211" s="63">
        <v>45636</v>
      </c>
      <c r="BH211" s="2"/>
      <c r="BI211" s="2"/>
      <c r="BJ211" s="2"/>
      <c r="BK211" s="2"/>
      <c r="BL211" s="1" t="s">
        <v>396</v>
      </c>
    </row>
    <row r="212" spans="1:64" x14ac:dyDescent="0.25">
      <c r="A212" s="56" t="s">
        <v>392</v>
      </c>
      <c r="B212" s="54" t="s">
        <v>751</v>
      </c>
      <c r="C212" s="56" t="s">
        <v>752</v>
      </c>
      <c r="D212" s="16">
        <v>40704</v>
      </c>
      <c r="E212" s="17">
        <v>45817</v>
      </c>
      <c r="F212" s="2" t="s">
        <v>394</v>
      </c>
      <c r="G212" s="2" t="s">
        <v>395</v>
      </c>
      <c r="H212" s="10" t="s">
        <v>57</v>
      </c>
      <c r="I212" s="11" t="s">
        <v>53</v>
      </c>
      <c r="J212" s="11" t="s">
        <v>397</v>
      </c>
      <c r="K212" s="61"/>
      <c r="L212" s="11" t="s">
        <v>67</v>
      </c>
      <c r="M212" s="25"/>
      <c r="N212" s="54"/>
      <c r="O212" s="3" t="str">
        <f>IF($A212="","",IF(P212=0,"A",IF(P212=AZ212,"E","A")))</f>
        <v>A</v>
      </c>
      <c r="P212" s="48">
        <v>56801</v>
      </c>
      <c r="Q212" s="48">
        <v>1410</v>
      </c>
      <c r="R212" s="32"/>
      <c r="S212" s="3" t="str">
        <f>IF($A212="","",IF(T212=0,"A",IF(T212=BA212,"E","A")))</f>
        <v>A</v>
      </c>
      <c r="T212" s="48">
        <v>8630</v>
      </c>
      <c r="U212" s="48">
        <v>430</v>
      </c>
      <c r="V212" s="32"/>
      <c r="W212" s="3" t="str">
        <f t="shared" si="46"/>
        <v>A</v>
      </c>
      <c r="X212" s="48">
        <v>0</v>
      </c>
      <c r="Y212" s="48">
        <v>0</v>
      </c>
      <c r="Z212" s="32"/>
      <c r="AA212" s="3" t="str">
        <f t="shared" si="47"/>
        <v>A</v>
      </c>
      <c r="AB212" s="48">
        <v>0</v>
      </c>
      <c r="AC212" s="48">
        <v>0</v>
      </c>
      <c r="AD212" s="36"/>
      <c r="AE212" s="54"/>
      <c r="AF212" s="3" t="str">
        <f t="shared" si="48"/>
        <v>A</v>
      </c>
      <c r="AG212" s="48">
        <v>0</v>
      </c>
      <c r="AH212" s="48">
        <v>0</v>
      </c>
      <c r="AI212" s="39"/>
      <c r="AJ212" s="79" t="s">
        <v>1801</v>
      </c>
      <c r="AK212" s="39"/>
      <c r="AL212" s="4">
        <f t="shared" si="41"/>
        <v>65431</v>
      </c>
      <c r="AM212" s="4">
        <f t="shared" si="41"/>
        <v>1840</v>
      </c>
      <c r="AN212" s="4">
        <f t="shared" si="49"/>
        <v>67271</v>
      </c>
      <c r="AO212" s="39"/>
      <c r="AP212" s="8">
        <f t="shared" si="42"/>
        <v>0</v>
      </c>
      <c r="AQ212" s="8">
        <f t="shared" si="42"/>
        <v>0</v>
      </c>
      <c r="AR212" s="8">
        <f t="shared" si="50"/>
        <v>0</v>
      </c>
      <c r="AS212" s="42"/>
      <c r="AT212" s="48">
        <v>65431</v>
      </c>
      <c r="AU212" s="48">
        <v>1840</v>
      </c>
      <c r="AV212" s="4">
        <f t="shared" si="51"/>
        <v>67271</v>
      </c>
      <c r="AW212" s="50" t="str">
        <f t="shared" si="52"/>
        <v/>
      </c>
      <c r="AX212" s="1" t="s">
        <v>1700</v>
      </c>
      <c r="AY212" s="2" t="s">
        <v>1701</v>
      </c>
      <c r="AZ212" s="2">
        <v>41827.199999999997</v>
      </c>
      <c r="BA212" s="73"/>
      <c r="BB212" s="73"/>
      <c r="BC212" s="73"/>
      <c r="BD212" s="73"/>
      <c r="BE212" s="66">
        <v>3.5000000000000003E-2</v>
      </c>
      <c r="BF212" s="66">
        <v>0.05</v>
      </c>
      <c r="BG212" s="63">
        <v>45636</v>
      </c>
      <c r="BH212" s="74">
        <v>45817</v>
      </c>
      <c r="BI212" s="74">
        <v>43959</v>
      </c>
      <c r="BJ212" s="2"/>
      <c r="BK212" s="2"/>
      <c r="BL212" s="1" t="s">
        <v>396</v>
      </c>
    </row>
    <row r="213" spans="1:64" x14ac:dyDescent="0.25">
      <c r="A213" s="56" t="s">
        <v>392</v>
      </c>
      <c r="B213" s="54" t="s">
        <v>1487</v>
      </c>
      <c r="C213" s="56" t="s">
        <v>1488</v>
      </c>
      <c r="D213" s="16">
        <v>0</v>
      </c>
      <c r="E213" s="17"/>
      <c r="F213" s="2" t="s">
        <v>394</v>
      </c>
      <c r="G213" s="2" t="s">
        <v>395</v>
      </c>
      <c r="H213" s="10" t="s">
        <v>57</v>
      </c>
      <c r="I213" s="11" t="s">
        <v>53</v>
      </c>
      <c r="J213" s="11" t="s">
        <v>397</v>
      </c>
      <c r="K213" s="61"/>
      <c r="L213" s="11" t="s">
        <v>67</v>
      </c>
      <c r="M213" s="25"/>
      <c r="N213" s="54"/>
      <c r="O213" s="3" t="str">
        <f>IF($A213="","",IF(P213=AZ213,"E","A"))</f>
        <v>A</v>
      </c>
      <c r="P213" s="48">
        <v>48555</v>
      </c>
      <c r="Q213" s="48">
        <v>2295</v>
      </c>
      <c r="R213" s="32"/>
      <c r="S213" s="3" t="str">
        <f>IF($A213="","",IF(T213=BA213,"E","A"))</f>
        <v>A</v>
      </c>
      <c r="T213" s="48">
        <v>46095</v>
      </c>
      <c r="U213" s="48">
        <v>1315</v>
      </c>
      <c r="V213" s="32"/>
      <c r="W213" s="3" t="str">
        <f t="shared" si="46"/>
        <v>A</v>
      </c>
      <c r="X213" s="48">
        <v>41050</v>
      </c>
      <c r="Y213" s="48">
        <v>1765</v>
      </c>
      <c r="Z213" s="32"/>
      <c r="AA213" s="3" t="str">
        <f t="shared" si="47"/>
        <v>A</v>
      </c>
      <c r="AB213" s="48">
        <v>40688</v>
      </c>
      <c r="AC213" s="48">
        <v>1135</v>
      </c>
      <c r="AD213" s="36"/>
      <c r="AE213" s="54"/>
      <c r="AF213" s="3" t="str">
        <f t="shared" si="48"/>
        <v>A</v>
      </c>
      <c r="AG213" s="48">
        <v>0</v>
      </c>
      <c r="AH213" s="48">
        <v>0</v>
      </c>
      <c r="AI213" s="39"/>
      <c r="AJ213" s="79" t="s">
        <v>1801</v>
      </c>
      <c r="AK213" s="39"/>
      <c r="AL213" s="4">
        <f t="shared" si="41"/>
        <v>176388</v>
      </c>
      <c r="AM213" s="4">
        <f t="shared" si="41"/>
        <v>6510</v>
      </c>
      <c r="AN213" s="4">
        <f t="shared" si="49"/>
        <v>182898</v>
      </c>
      <c r="AO213" s="39"/>
      <c r="AP213" s="8">
        <f t="shared" si="42"/>
        <v>0</v>
      </c>
      <c r="AQ213" s="8">
        <f t="shared" si="42"/>
        <v>0</v>
      </c>
      <c r="AR213" s="8">
        <f t="shared" si="50"/>
        <v>0</v>
      </c>
      <c r="AS213" s="42"/>
      <c r="AT213" s="48">
        <v>176388</v>
      </c>
      <c r="AU213" s="48">
        <v>6510</v>
      </c>
      <c r="AV213" s="4">
        <f t="shared" si="51"/>
        <v>182898</v>
      </c>
      <c r="AW213" s="50" t="str">
        <f t="shared" si="52"/>
        <v/>
      </c>
      <c r="AX213" s="1" t="s">
        <v>1700</v>
      </c>
      <c r="AY213" s="2" t="s">
        <v>1701</v>
      </c>
      <c r="AZ213" s="2">
        <v>44303.519999999997</v>
      </c>
      <c r="BA213" s="73">
        <v>38765.58</v>
      </c>
      <c r="BB213" s="73">
        <v>38765.58</v>
      </c>
      <c r="BC213" s="73">
        <v>44303.519999999997</v>
      </c>
      <c r="BD213" s="73"/>
      <c r="BE213" s="66">
        <v>0</v>
      </c>
      <c r="BF213" s="66">
        <v>0.05</v>
      </c>
      <c r="BG213" s="63">
        <v>45444</v>
      </c>
      <c r="BH213" s="2"/>
      <c r="BI213" s="2"/>
      <c r="BJ213" s="2">
        <v>164619</v>
      </c>
      <c r="BK213" s="2">
        <v>8642.5</v>
      </c>
      <c r="BL213" s="1" t="s">
        <v>396</v>
      </c>
    </row>
    <row r="214" spans="1:64" x14ac:dyDescent="0.25">
      <c r="A214" s="56" t="s">
        <v>398</v>
      </c>
      <c r="B214" s="54" t="s">
        <v>398</v>
      </c>
      <c r="C214" s="56" t="s">
        <v>399</v>
      </c>
      <c r="D214" s="16">
        <v>40215</v>
      </c>
      <c r="E214" s="17"/>
      <c r="F214" s="2" t="s">
        <v>171</v>
      </c>
      <c r="G214" s="2" t="s">
        <v>172</v>
      </c>
      <c r="H214" s="10" t="s">
        <v>105</v>
      </c>
      <c r="I214" s="11" t="s">
        <v>53</v>
      </c>
      <c r="J214" s="11" t="s">
        <v>145</v>
      </c>
      <c r="K214" s="61"/>
      <c r="L214" s="11" t="s">
        <v>67</v>
      </c>
      <c r="M214" s="25"/>
      <c r="N214" s="54"/>
      <c r="O214" s="3" t="str">
        <f t="shared" ref="O214:O246" si="53">IF($A214="","",IF(P214=0,"A",IF(P214=AZ214,"E","A")))</f>
        <v>A</v>
      </c>
      <c r="P214" s="48">
        <v>270433</v>
      </c>
      <c r="Q214" s="48">
        <v>113164</v>
      </c>
      <c r="R214" s="32"/>
      <c r="S214" s="3" t="str">
        <f t="shared" ref="S214:S246" si="54">IF($A214="","",IF(T214=0,"A",IF(T214=BA214,"E","A")))</f>
        <v>A</v>
      </c>
      <c r="T214" s="48">
        <v>256292</v>
      </c>
      <c r="U214" s="48">
        <v>99552</v>
      </c>
      <c r="V214" s="32"/>
      <c r="W214" s="3" t="str">
        <f t="shared" si="46"/>
        <v>A</v>
      </c>
      <c r="X214" s="48">
        <v>229440</v>
      </c>
      <c r="Y214" s="48">
        <v>96889</v>
      </c>
      <c r="Z214" s="32"/>
      <c r="AA214" s="3" t="str">
        <f t="shared" si="47"/>
        <v>A</v>
      </c>
      <c r="AB214" s="48">
        <v>249019</v>
      </c>
      <c r="AC214" s="48">
        <v>92536</v>
      </c>
      <c r="AD214" s="36"/>
      <c r="AE214" s="54"/>
      <c r="AF214" s="3" t="str">
        <f t="shared" si="48"/>
        <v>A</v>
      </c>
      <c r="AG214" s="48">
        <v>0</v>
      </c>
      <c r="AH214" s="48">
        <v>0</v>
      </c>
      <c r="AI214" s="39"/>
      <c r="AJ214" s="79" t="s">
        <v>1801</v>
      </c>
      <c r="AK214" s="39"/>
      <c r="AL214" s="4">
        <f t="shared" si="41"/>
        <v>1005184</v>
      </c>
      <c r="AM214" s="4">
        <f t="shared" si="41"/>
        <v>402141</v>
      </c>
      <c r="AN214" s="4">
        <f t="shared" si="49"/>
        <v>1407325</v>
      </c>
      <c r="AO214" s="39"/>
      <c r="AP214" s="8">
        <f t="shared" si="42"/>
        <v>0</v>
      </c>
      <c r="AQ214" s="8">
        <f t="shared" si="42"/>
        <v>0</v>
      </c>
      <c r="AR214" s="8">
        <f t="shared" si="50"/>
        <v>0</v>
      </c>
      <c r="AS214" s="42"/>
      <c r="AT214" s="48">
        <v>1005184</v>
      </c>
      <c r="AU214" s="48">
        <v>402141</v>
      </c>
      <c r="AV214" s="4">
        <f t="shared" si="51"/>
        <v>1407325</v>
      </c>
      <c r="AW214" s="50" t="str">
        <f t="shared" si="52"/>
        <v/>
      </c>
      <c r="AX214" s="1" t="s">
        <v>1654</v>
      </c>
      <c r="AY214" s="2" t="s">
        <v>1655</v>
      </c>
      <c r="AZ214" s="2">
        <v>381354.48</v>
      </c>
      <c r="BA214" s="73">
        <v>333685.17</v>
      </c>
      <c r="BB214" s="73">
        <v>333685.17</v>
      </c>
      <c r="BC214" s="73">
        <v>381354.48</v>
      </c>
      <c r="BD214" s="73"/>
      <c r="BE214" s="66">
        <v>3.5000000000000003E-2</v>
      </c>
      <c r="BF214" s="66">
        <v>0.05</v>
      </c>
      <c r="BG214" s="63">
        <v>45694</v>
      </c>
      <c r="BH214" s="2"/>
      <c r="BI214" s="2"/>
      <c r="BJ214" s="2"/>
      <c r="BK214" s="2"/>
      <c r="BL214" s="1" t="s">
        <v>104</v>
      </c>
    </row>
    <row r="215" spans="1:64" x14ac:dyDescent="0.25">
      <c r="A215" s="56" t="s">
        <v>398</v>
      </c>
      <c r="B215" s="54" t="s">
        <v>753</v>
      </c>
      <c r="C215" s="56" t="s">
        <v>754</v>
      </c>
      <c r="D215" s="16">
        <v>43142</v>
      </c>
      <c r="E215" s="17"/>
      <c r="F215" s="2" t="s">
        <v>171</v>
      </c>
      <c r="G215" s="2" t="s">
        <v>172</v>
      </c>
      <c r="H215" s="10" t="s">
        <v>105</v>
      </c>
      <c r="I215" s="11" t="s">
        <v>53</v>
      </c>
      <c r="J215" s="11" t="s">
        <v>145</v>
      </c>
      <c r="K215" s="61"/>
      <c r="L215" s="11" t="s">
        <v>67</v>
      </c>
      <c r="M215" s="25"/>
      <c r="N215" s="54"/>
      <c r="O215" s="3" t="str">
        <f t="shared" si="53"/>
        <v>A</v>
      </c>
      <c r="P215" s="48">
        <v>11530</v>
      </c>
      <c r="Q215" s="48">
        <v>4234</v>
      </c>
      <c r="R215" s="32"/>
      <c r="S215" s="3" t="str">
        <f t="shared" si="54"/>
        <v>A</v>
      </c>
      <c r="T215" s="48">
        <v>8083</v>
      </c>
      <c r="U215" s="48">
        <v>3311</v>
      </c>
      <c r="V215" s="32"/>
      <c r="W215" s="3" t="str">
        <f t="shared" si="46"/>
        <v>A</v>
      </c>
      <c r="X215" s="48">
        <v>8088</v>
      </c>
      <c r="Y215" s="48">
        <v>5323</v>
      </c>
      <c r="Z215" s="32"/>
      <c r="AA215" s="3" t="str">
        <f t="shared" si="47"/>
        <v>A</v>
      </c>
      <c r="AB215" s="48">
        <v>9091</v>
      </c>
      <c r="AC215" s="48">
        <v>3170</v>
      </c>
      <c r="AD215" s="36"/>
      <c r="AE215" s="54"/>
      <c r="AF215" s="3" t="str">
        <f t="shared" si="48"/>
        <v>A</v>
      </c>
      <c r="AG215" s="48">
        <v>0</v>
      </c>
      <c r="AH215" s="48">
        <v>0</v>
      </c>
      <c r="AI215" s="39"/>
      <c r="AJ215" s="79" t="s">
        <v>1801</v>
      </c>
      <c r="AK215" s="39"/>
      <c r="AL215" s="4">
        <f t="shared" si="41"/>
        <v>36792</v>
      </c>
      <c r="AM215" s="4">
        <f t="shared" si="41"/>
        <v>16038</v>
      </c>
      <c r="AN215" s="4">
        <f t="shared" si="49"/>
        <v>52830</v>
      </c>
      <c r="AO215" s="39"/>
      <c r="AP215" s="8">
        <f t="shared" si="42"/>
        <v>0</v>
      </c>
      <c r="AQ215" s="8">
        <f t="shared" si="42"/>
        <v>0</v>
      </c>
      <c r="AR215" s="8">
        <f t="shared" si="50"/>
        <v>0</v>
      </c>
      <c r="AS215" s="42"/>
      <c r="AT215" s="48">
        <v>36792</v>
      </c>
      <c r="AU215" s="48">
        <v>16038</v>
      </c>
      <c r="AV215" s="4">
        <f t="shared" si="51"/>
        <v>52830</v>
      </c>
      <c r="AW215" s="50" t="str">
        <f t="shared" si="52"/>
        <v/>
      </c>
      <c r="AX215" s="1" t="s">
        <v>1654</v>
      </c>
      <c r="AY215" s="2" t="s">
        <v>1655</v>
      </c>
      <c r="AZ215" s="2">
        <v>32830.800000000003</v>
      </c>
      <c r="BA215" s="73">
        <v>28726.95</v>
      </c>
      <c r="BB215" s="73">
        <v>28726.95</v>
      </c>
      <c r="BC215" s="73">
        <v>32830.800000000003</v>
      </c>
      <c r="BD215" s="73"/>
      <c r="BE215" s="66">
        <v>0.04</v>
      </c>
      <c r="BF215" s="66">
        <v>0.05</v>
      </c>
      <c r="BG215" s="63">
        <v>45694</v>
      </c>
      <c r="BH215" s="74">
        <v>43909</v>
      </c>
      <c r="BI215" s="74">
        <v>44023</v>
      </c>
      <c r="BJ215" s="2"/>
      <c r="BK215" s="2"/>
      <c r="BL215" s="1" t="s">
        <v>311</v>
      </c>
    </row>
    <row r="216" spans="1:64" x14ac:dyDescent="0.25">
      <c r="A216" s="56" t="s">
        <v>400</v>
      </c>
      <c r="B216" s="54" t="s">
        <v>400</v>
      </c>
      <c r="C216" s="56" t="s">
        <v>401</v>
      </c>
      <c r="D216" s="16">
        <v>40276</v>
      </c>
      <c r="E216" s="17"/>
      <c r="F216" s="2" t="s">
        <v>370</v>
      </c>
      <c r="G216" s="2" t="s">
        <v>371</v>
      </c>
      <c r="H216" s="10" t="s">
        <v>57</v>
      </c>
      <c r="I216" s="11" t="s">
        <v>53</v>
      </c>
      <c r="J216" s="11" t="s">
        <v>156</v>
      </c>
      <c r="K216" s="61"/>
      <c r="L216" s="11" t="s">
        <v>67</v>
      </c>
      <c r="M216" s="25"/>
      <c r="N216" s="54"/>
      <c r="O216" s="3" t="str">
        <f t="shared" si="53"/>
        <v>A</v>
      </c>
      <c r="P216" s="48">
        <v>120871</v>
      </c>
      <c r="Q216" s="48">
        <v>35703</v>
      </c>
      <c r="R216" s="32"/>
      <c r="S216" s="3" t="str">
        <f t="shared" si="54"/>
        <v>A</v>
      </c>
      <c r="T216" s="48">
        <v>109009</v>
      </c>
      <c r="U216" s="48">
        <v>33289</v>
      </c>
      <c r="V216" s="32"/>
      <c r="W216" s="3" t="str">
        <f t="shared" si="46"/>
        <v>A</v>
      </c>
      <c r="X216" s="48">
        <v>102434</v>
      </c>
      <c r="Y216" s="48">
        <v>26461</v>
      </c>
      <c r="Z216" s="32"/>
      <c r="AA216" s="3" t="str">
        <f t="shared" si="47"/>
        <v>A</v>
      </c>
      <c r="AB216" s="48">
        <v>98774</v>
      </c>
      <c r="AC216" s="48">
        <v>24418</v>
      </c>
      <c r="AD216" s="36"/>
      <c r="AE216" s="54"/>
      <c r="AF216" s="3" t="str">
        <f t="shared" si="48"/>
        <v>A</v>
      </c>
      <c r="AG216" s="48">
        <v>0</v>
      </c>
      <c r="AH216" s="48">
        <v>0</v>
      </c>
      <c r="AI216" s="39"/>
      <c r="AJ216" s="79" t="s">
        <v>1801</v>
      </c>
      <c r="AK216" s="39"/>
      <c r="AL216" s="4">
        <f t="shared" ref="AL216:AM279" si="55">IF($O216="A",P216,0)+IF($S216="A",T216,0)+IF($W216="A",X216,0)+IF($AA216="A",AB216,0)+IF($AF216="A",AG216,0)</f>
        <v>431088</v>
      </c>
      <c r="AM216" s="4">
        <f t="shared" si="55"/>
        <v>119871</v>
      </c>
      <c r="AN216" s="4">
        <f t="shared" si="49"/>
        <v>550959</v>
      </c>
      <c r="AO216" s="39"/>
      <c r="AP216" s="8">
        <f t="shared" ref="AP216:AQ279" si="56">IF($O216="E",P216,0)+IF($S216="E",T216,0)+IF($W216="E",X216,0)+IF($AA216="E",AB216,0)+IF($AF216="E",AG216,0)</f>
        <v>0</v>
      </c>
      <c r="AQ216" s="8">
        <f t="shared" si="56"/>
        <v>0</v>
      </c>
      <c r="AR216" s="8">
        <f t="shared" si="50"/>
        <v>0</v>
      </c>
      <c r="AS216" s="42"/>
      <c r="AT216" s="48">
        <v>431088</v>
      </c>
      <c r="AU216" s="48">
        <v>119871</v>
      </c>
      <c r="AV216" s="4">
        <f t="shared" si="51"/>
        <v>550959</v>
      </c>
      <c r="AW216" s="50" t="str">
        <f t="shared" si="52"/>
        <v/>
      </c>
      <c r="AX216" s="1" t="s">
        <v>1692</v>
      </c>
      <c r="AY216" s="2" t="s">
        <v>1693</v>
      </c>
      <c r="AZ216" s="2">
        <v>74055.679999999993</v>
      </c>
      <c r="BA216" s="73">
        <v>64798.720000000001</v>
      </c>
      <c r="BB216" s="73">
        <v>64798.720000000001</v>
      </c>
      <c r="BC216" s="73">
        <v>74055.679999999993</v>
      </c>
      <c r="BD216" s="73"/>
      <c r="BE216" s="66">
        <v>3.5000000000000003E-2</v>
      </c>
      <c r="BF216" s="66">
        <v>0.05</v>
      </c>
      <c r="BG216" s="63">
        <v>45752</v>
      </c>
      <c r="BH216" s="2"/>
      <c r="BI216" s="2"/>
      <c r="BJ216" s="2"/>
      <c r="BK216" s="2"/>
      <c r="BL216" s="1" t="s">
        <v>56</v>
      </c>
    </row>
    <row r="217" spans="1:64" x14ac:dyDescent="0.25">
      <c r="A217" s="56" t="s">
        <v>402</v>
      </c>
      <c r="B217" s="54" t="s">
        <v>402</v>
      </c>
      <c r="C217" s="56" t="s">
        <v>403</v>
      </c>
      <c r="D217" s="16">
        <v>40444</v>
      </c>
      <c r="E217" s="17"/>
      <c r="F217" s="2" t="s">
        <v>187</v>
      </c>
      <c r="G217" s="2" t="s">
        <v>189</v>
      </c>
      <c r="H217" s="10" t="s">
        <v>57</v>
      </c>
      <c r="I217" s="11" t="s">
        <v>188</v>
      </c>
      <c r="J217" s="11" t="s">
        <v>338</v>
      </c>
      <c r="K217" s="61" t="s">
        <v>339</v>
      </c>
      <c r="L217" s="11" t="s">
        <v>67</v>
      </c>
      <c r="M217" s="25"/>
      <c r="N217" s="54"/>
      <c r="O217" s="3" t="str">
        <f t="shared" si="53"/>
        <v>A</v>
      </c>
      <c r="P217" s="48">
        <v>115628.20000000001</v>
      </c>
      <c r="Q217" s="48">
        <v>39778.5</v>
      </c>
      <c r="R217" s="32"/>
      <c r="S217" s="3" t="str">
        <f t="shared" si="54"/>
        <v>A</v>
      </c>
      <c r="T217" s="48">
        <v>113413.65</v>
      </c>
      <c r="U217" s="48">
        <v>35178.1</v>
      </c>
      <c r="V217" s="32"/>
      <c r="W217" s="3" t="str">
        <f t="shared" si="46"/>
        <v>A</v>
      </c>
      <c r="X217" s="48">
        <v>83700.2</v>
      </c>
      <c r="Y217" s="48">
        <v>28453.5</v>
      </c>
      <c r="Z217" s="32"/>
      <c r="AA217" s="3" t="str">
        <f t="shared" si="47"/>
        <v>A</v>
      </c>
      <c r="AB217" s="48">
        <v>105546</v>
      </c>
      <c r="AC217" s="48">
        <v>34214</v>
      </c>
      <c r="AD217" s="36"/>
      <c r="AE217" s="54"/>
      <c r="AF217" s="3" t="str">
        <f t="shared" si="48"/>
        <v>A</v>
      </c>
      <c r="AG217" s="48">
        <v>0</v>
      </c>
      <c r="AH217" s="48">
        <v>0</v>
      </c>
      <c r="AI217" s="39"/>
      <c r="AJ217" s="79" t="s">
        <v>1801</v>
      </c>
      <c r="AK217" s="39"/>
      <c r="AL217" s="4">
        <f t="shared" si="55"/>
        <v>418288.05</v>
      </c>
      <c r="AM217" s="4">
        <f t="shared" si="55"/>
        <v>137624.1</v>
      </c>
      <c r="AN217" s="4">
        <f t="shared" si="49"/>
        <v>555912.15</v>
      </c>
      <c r="AO217" s="39"/>
      <c r="AP217" s="8">
        <f t="shared" si="56"/>
        <v>0</v>
      </c>
      <c r="AQ217" s="8">
        <f t="shared" si="56"/>
        <v>0</v>
      </c>
      <c r="AR217" s="8">
        <f t="shared" si="50"/>
        <v>0</v>
      </c>
      <c r="AS217" s="42"/>
      <c r="AT217" s="48">
        <v>418288.05000000005</v>
      </c>
      <c r="AU217" s="48">
        <v>137624.1</v>
      </c>
      <c r="AV217" s="4">
        <f t="shared" si="51"/>
        <v>555912.15</v>
      </c>
      <c r="AW217" s="50" t="str">
        <f t="shared" si="52"/>
        <v/>
      </c>
      <c r="AX217" s="1" t="s">
        <v>1639</v>
      </c>
      <c r="AY217" s="2" t="s">
        <v>1640</v>
      </c>
      <c r="AZ217" s="2">
        <v>115515.2</v>
      </c>
      <c r="BA217" s="73">
        <v>101075.8</v>
      </c>
      <c r="BB217" s="73">
        <v>101075.8</v>
      </c>
      <c r="BC217" s="73">
        <v>115515.2</v>
      </c>
      <c r="BD217" s="73"/>
      <c r="BE217" s="66">
        <v>2.5000000000000001E-2</v>
      </c>
      <c r="BF217" s="66">
        <v>0.02</v>
      </c>
      <c r="BG217" s="63">
        <v>44093</v>
      </c>
      <c r="BH217" s="2"/>
      <c r="BI217" s="2"/>
      <c r="BJ217" s="2"/>
      <c r="BK217" s="2"/>
      <c r="BL217" s="1" t="s">
        <v>56</v>
      </c>
    </row>
    <row r="218" spans="1:64" x14ac:dyDescent="0.25">
      <c r="A218" s="56" t="s">
        <v>402</v>
      </c>
      <c r="B218" s="54" t="s">
        <v>761</v>
      </c>
      <c r="C218" s="56" t="s">
        <v>762</v>
      </c>
      <c r="D218" s="16">
        <v>41695</v>
      </c>
      <c r="E218" s="17"/>
      <c r="F218" s="2" t="s">
        <v>187</v>
      </c>
      <c r="G218" s="2" t="s">
        <v>189</v>
      </c>
      <c r="H218" s="10" t="s">
        <v>57</v>
      </c>
      <c r="I218" s="11" t="s">
        <v>188</v>
      </c>
      <c r="J218" s="11" t="s">
        <v>338</v>
      </c>
      <c r="K218" s="61" t="s">
        <v>339</v>
      </c>
      <c r="L218" s="11" t="s">
        <v>67</v>
      </c>
      <c r="M218" s="25"/>
      <c r="N218" s="54"/>
      <c r="O218" s="3" t="str">
        <f t="shared" si="53"/>
        <v>A</v>
      </c>
      <c r="P218" s="48">
        <v>12211</v>
      </c>
      <c r="Q218" s="48">
        <v>11844</v>
      </c>
      <c r="R218" s="32"/>
      <c r="S218" s="3" t="str">
        <f t="shared" si="54"/>
        <v>A</v>
      </c>
      <c r="T218" s="48">
        <v>9875</v>
      </c>
      <c r="U218" s="48">
        <v>11495</v>
      </c>
      <c r="V218" s="32"/>
      <c r="W218" s="3" t="str">
        <f t="shared" si="46"/>
        <v>A</v>
      </c>
      <c r="X218" s="48">
        <v>9616</v>
      </c>
      <c r="Y218" s="48">
        <v>9493</v>
      </c>
      <c r="Z218" s="32"/>
      <c r="AA218" s="3" t="str">
        <f t="shared" si="47"/>
        <v>A</v>
      </c>
      <c r="AB218" s="48">
        <v>10839</v>
      </c>
      <c r="AC218" s="48">
        <v>10276</v>
      </c>
      <c r="AD218" s="36"/>
      <c r="AE218" s="54"/>
      <c r="AF218" s="3" t="str">
        <f t="shared" si="48"/>
        <v>A</v>
      </c>
      <c r="AG218" s="48">
        <v>0</v>
      </c>
      <c r="AH218" s="48">
        <v>0</v>
      </c>
      <c r="AI218" s="39"/>
      <c r="AJ218" s="79" t="s">
        <v>1801</v>
      </c>
      <c r="AK218" s="39"/>
      <c r="AL218" s="4">
        <f t="shared" si="55"/>
        <v>42541</v>
      </c>
      <c r="AM218" s="4">
        <f t="shared" si="55"/>
        <v>43108</v>
      </c>
      <c r="AN218" s="4">
        <f t="shared" si="49"/>
        <v>85649</v>
      </c>
      <c r="AO218" s="39"/>
      <c r="AP218" s="8">
        <f t="shared" si="56"/>
        <v>0</v>
      </c>
      <c r="AQ218" s="8">
        <f t="shared" si="56"/>
        <v>0</v>
      </c>
      <c r="AR218" s="8">
        <f t="shared" si="50"/>
        <v>0</v>
      </c>
      <c r="AS218" s="42"/>
      <c r="AT218" s="48">
        <v>42541</v>
      </c>
      <c r="AU218" s="48">
        <v>43108</v>
      </c>
      <c r="AV218" s="4">
        <f t="shared" si="51"/>
        <v>85649</v>
      </c>
      <c r="AW218" s="50" t="str">
        <f t="shared" si="52"/>
        <v/>
      </c>
      <c r="AX218" s="1" t="s">
        <v>1639</v>
      </c>
      <c r="AY218" s="2" t="s">
        <v>1640</v>
      </c>
      <c r="AZ218" s="2">
        <v>55269.36</v>
      </c>
      <c r="BA218" s="73">
        <v>48360.69</v>
      </c>
      <c r="BB218" s="73">
        <v>48360.69</v>
      </c>
      <c r="BC218" s="73">
        <v>55269.36</v>
      </c>
      <c r="BD218" s="73"/>
      <c r="BE218" s="66">
        <v>2.5000000000000001E-2</v>
      </c>
      <c r="BF218" s="66">
        <v>0.02</v>
      </c>
      <c r="BG218" s="63">
        <v>44093</v>
      </c>
      <c r="BH218" s="2"/>
      <c r="BI218" s="2"/>
      <c r="BJ218" s="2"/>
      <c r="BK218" s="2"/>
      <c r="BL218" s="1" t="s">
        <v>56</v>
      </c>
    </row>
    <row r="219" spans="1:64" x14ac:dyDescent="0.25">
      <c r="A219" s="56" t="s">
        <v>402</v>
      </c>
      <c r="B219" s="54" t="s">
        <v>845</v>
      </c>
      <c r="C219" s="56" t="s">
        <v>846</v>
      </c>
      <c r="D219" s="16">
        <v>43644</v>
      </c>
      <c r="E219" s="17"/>
      <c r="F219" s="2" t="s">
        <v>187</v>
      </c>
      <c r="G219" s="2" t="s">
        <v>189</v>
      </c>
      <c r="H219" s="10" t="s">
        <v>57</v>
      </c>
      <c r="I219" s="11" t="s">
        <v>188</v>
      </c>
      <c r="J219" s="11" t="s">
        <v>338</v>
      </c>
      <c r="K219" s="61" t="s">
        <v>339</v>
      </c>
      <c r="L219" s="11" t="s">
        <v>67</v>
      </c>
      <c r="M219" s="25"/>
      <c r="N219" s="54"/>
      <c r="O219" s="3" t="str">
        <f t="shared" si="53"/>
        <v>A</v>
      </c>
      <c r="P219" s="48">
        <v>-3665</v>
      </c>
      <c r="Q219" s="48">
        <v>7175</v>
      </c>
      <c r="R219" s="32"/>
      <c r="S219" s="3" t="str">
        <f t="shared" si="54"/>
        <v>A</v>
      </c>
      <c r="T219" s="48">
        <v>1016</v>
      </c>
      <c r="U219" s="48">
        <v>6651</v>
      </c>
      <c r="V219" s="32"/>
      <c r="W219" s="3" t="str">
        <f t="shared" si="46"/>
        <v>A</v>
      </c>
      <c r="X219" s="48">
        <v>-1131</v>
      </c>
      <c r="Y219" s="48">
        <v>4031</v>
      </c>
      <c r="Z219" s="32"/>
      <c r="AA219" s="3" t="str">
        <f t="shared" si="47"/>
        <v>A</v>
      </c>
      <c r="AB219" s="48">
        <v>-2822</v>
      </c>
      <c r="AC219" s="48">
        <v>7272</v>
      </c>
      <c r="AD219" s="36"/>
      <c r="AE219" s="54"/>
      <c r="AF219" s="3" t="str">
        <f t="shared" si="48"/>
        <v>A</v>
      </c>
      <c r="AG219" s="48">
        <v>0</v>
      </c>
      <c r="AH219" s="48">
        <v>0</v>
      </c>
      <c r="AI219" s="39"/>
      <c r="AJ219" s="79" t="s">
        <v>1801</v>
      </c>
      <c r="AK219" s="39"/>
      <c r="AL219" s="4">
        <f t="shared" si="55"/>
        <v>-6602</v>
      </c>
      <c r="AM219" s="4">
        <f t="shared" si="55"/>
        <v>25129</v>
      </c>
      <c r="AN219" s="4">
        <f t="shared" si="49"/>
        <v>18527</v>
      </c>
      <c r="AO219" s="39"/>
      <c r="AP219" s="8">
        <f t="shared" si="56"/>
        <v>0</v>
      </c>
      <c r="AQ219" s="8">
        <f t="shared" si="56"/>
        <v>0</v>
      </c>
      <c r="AR219" s="8">
        <f t="shared" si="50"/>
        <v>0</v>
      </c>
      <c r="AS219" s="42"/>
      <c r="AT219" s="48">
        <v>-6602</v>
      </c>
      <c r="AU219" s="48">
        <v>25129</v>
      </c>
      <c r="AV219" s="4">
        <f t="shared" si="51"/>
        <v>18527</v>
      </c>
      <c r="AW219" s="50" t="str">
        <f t="shared" si="52"/>
        <v/>
      </c>
      <c r="AX219" s="1" t="s">
        <v>1639</v>
      </c>
      <c r="AY219" s="2" t="s">
        <v>1640</v>
      </c>
      <c r="AZ219" s="2">
        <v>26073.599999999999</v>
      </c>
      <c r="BA219" s="73">
        <v>22814.400000000001</v>
      </c>
      <c r="BB219" s="73">
        <v>22814.400000000001</v>
      </c>
      <c r="BC219" s="73">
        <v>26073.599999999999</v>
      </c>
      <c r="BD219" s="73"/>
      <c r="BE219" s="66">
        <v>0</v>
      </c>
      <c r="BF219" s="66">
        <v>0.02</v>
      </c>
      <c r="BG219" s="63">
        <v>44093</v>
      </c>
      <c r="BH219" s="2"/>
      <c r="BI219" s="2"/>
      <c r="BJ219" s="2"/>
      <c r="BK219" s="2"/>
      <c r="BL219" s="1" t="s">
        <v>56</v>
      </c>
    </row>
    <row r="220" spans="1:64" x14ac:dyDescent="0.25">
      <c r="A220" s="56" t="s">
        <v>402</v>
      </c>
      <c r="B220" s="54" t="s">
        <v>890</v>
      </c>
      <c r="C220" s="56" t="s">
        <v>891</v>
      </c>
      <c r="D220" s="16">
        <v>43887</v>
      </c>
      <c r="E220" s="17"/>
      <c r="F220" s="2" t="s">
        <v>187</v>
      </c>
      <c r="G220" s="2" t="s">
        <v>189</v>
      </c>
      <c r="H220" s="10" t="s">
        <v>57</v>
      </c>
      <c r="I220" s="11" t="s">
        <v>188</v>
      </c>
      <c r="J220" s="11" t="s">
        <v>338</v>
      </c>
      <c r="K220" s="61" t="s">
        <v>339</v>
      </c>
      <c r="L220" s="11" t="s">
        <v>67</v>
      </c>
      <c r="M220" s="25"/>
      <c r="N220" s="54"/>
      <c r="O220" s="3" t="str">
        <f t="shared" si="53"/>
        <v>A</v>
      </c>
      <c r="P220" s="48">
        <v>-1844</v>
      </c>
      <c r="Q220" s="48">
        <v>3472</v>
      </c>
      <c r="R220" s="32"/>
      <c r="S220" s="3" t="str">
        <f t="shared" si="54"/>
        <v>A</v>
      </c>
      <c r="T220" s="48">
        <v>747</v>
      </c>
      <c r="U220" s="48">
        <v>2698</v>
      </c>
      <c r="V220" s="32"/>
      <c r="W220" s="3" t="str">
        <f t="shared" si="46"/>
        <v>A</v>
      </c>
      <c r="X220" s="48">
        <v>-1577</v>
      </c>
      <c r="Y220" s="48">
        <v>3634</v>
      </c>
      <c r="Z220" s="32"/>
      <c r="AA220" s="3" t="str">
        <f t="shared" si="47"/>
        <v>A</v>
      </c>
      <c r="AB220" s="48">
        <v>282</v>
      </c>
      <c r="AC220" s="48">
        <v>2733</v>
      </c>
      <c r="AD220" s="36"/>
      <c r="AE220" s="54"/>
      <c r="AF220" s="3" t="str">
        <f t="shared" si="48"/>
        <v>A</v>
      </c>
      <c r="AG220" s="48">
        <v>0</v>
      </c>
      <c r="AH220" s="48">
        <v>0</v>
      </c>
      <c r="AI220" s="39"/>
      <c r="AJ220" s="79" t="s">
        <v>1801</v>
      </c>
      <c r="AK220" s="39"/>
      <c r="AL220" s="4">
        <f t="shared" si="55"/>
        <v>-2392</v>
      </c>
      <c r="AM220" s="4">
        <f t="shared" si="55"/>
        <v>12537</v>
      </c>
      <c r="AN220" s="4">
        <f t="shared" si="49"/>
        <v>10145</v>
      </c>
      <c r="AO220" s="39"/>
      <c r="AP220" s="8">
        <f t="shared" si="56"/>
        <v>0</v>
      </c>
      <c r="AQ220" s="8">
        <f t="shared" si="56"/>
        <v>0</v>
      </c>
      <c r="AR220" s="8">
        <f t="shared" si="50"/>
        <v>0</v>
      </c>
      <c r="AS220" s="42"/>
      <c r="AT220" s="48">
        <v>-2392</v>
      </c>
      <c r="AU220" s="48">
        <v>12537</v>
      </c>
      <c r="AV220" s="4">
        <f t="shared" si="51"/>
        <v>10145</v>
      </c>
      <c r="AW220" s="50" t="str">
        <f t="shared" si="52"/>
        <v/>
      </c>
      <c r="AX220" s="1" t="s">
        <v>1639</v>
      </c>
      <c r="AY220" s="2" t="s">
        <v>1640</v>
      </c>
      <c r="AZ220" s="2">
        <v>66484.160000000003</v>
      </c>
      <c r="BA220" s="73">
        <v>58173.64</v>
      </c>
      <c r="BB220" s="73">
        <v>58173.64</v>
      </c>
      <c r="BC220" s="73">
        <v>66484.160000000003</v>
      </c>
      <c r="BD220" s="73"/>
      <c r="BE220" s="66">
        <v>0</v>
      </c>
      <c r="BF220" s="66">
        <v>0.02</v>
      </c>
      <c r="BG220" s="63">
        <v>44093</v>
      </c>
      <c r="BH220" s="2"/>
      <c r="BI220" s="2"/>
      <c r="BJ220" s="2"/>
      <c r="BK220" s="2"/>
      <c r="BL220" s="1" t="s">
        <v>56</v>
      </c>
    </row>
    <row r="221" spans="1:64" x14ac:dyDescent="0.25">
      <c r="A221" s="56" t="s">
        <v>404</v>
      </c>
      <c r="B221" s="54" t="s">
        <v>404</v>
      </c>
      <c r="C221" s="56" t="s">
        <v>405</v>
      </c>
      <c r="D221" s="16">
        <v>40532</v>
      </c>
      <c r="E221" s="17"/>
      <c r="F221" s="2" t="s">
        <v>109</v>
      </c>
      <c r="G221" s="2" t="s">
        <v>111</v>
      </c>
      <c r="H221" s="10" t="s">
        <v>105</v>
      </c>
      <c r="I221" s="11" t="s">
        <v>110</v>
      </c>
      <c r="J221" s="11" t="s">
        <v>112</v>
      </c>
      <c r="K221" s="61" t="s">
        <v>113</v>
      </c>
      <c r="L221" s="11" t="s">
        <v>67</v>
      </c>
      <c r="M221" s="25"/>
      <c r="N221" s="54"/>
      <c r="O221" s="3" t="str">
        <f t="shared" si="53"/>
        <v>A</v>
      </c>
      <c r="P221" s="48">
        <v>106075</v>
      </c>
      <c r="Q221" s="48">
        <v>28747</v>
      </c>
      <c r="R221" s="32"/>
      <c r="S221" s="3" t="str">
        <f t="shared" si="54"/>
        <v>A</v>
      </c>
      <c r="T221" s="48">
        <v>107546</v>
      </c>
      <c r="U221" s="48">
        <v>22130</v>
      </c>
      <c r="V221" s="32"/>
      <c r="W221" s="3" t="str">
        <f t="shared" si="46"/>
        <v>A</v>
      </c>
      <c r="X221" s="48">
        <v>104354</v>
      </c>
      <c r="Y221" s="48">
        <v>17939</v>
      </c>
      <c r="Z221" s="32"/>
      <c r="AA221" s="3" t="str">
        <f t="shared" si="47"/>
        <v>A</v>
      </c>
      <c r="AB221" s="48">
        <v>120105.59</v>
      </c>
      <c r="AC221" s="48">
        <v>12631.02</v>
      </c>
      <c r="AD221" s="36"/>
      <c r="AE221" s="54"/>
      <c r="AF221" s="3" t="str">
        <f t="shared" si="48"/>
        <v>A</v>
      </c>
      <c r="AG221" s="48">
        <v>0</v>
      </c>
      <c r="AH221" s="48">
        <v>0</v>
      </c>
      <c r="AI221" s="39"/>
      <c r="AJ221" s="79" t="s">
        <v>1801</v>
      </c>
      <c r="AK221" s="39"/>
      <c r="AL221" s="4">
        <f t="shared" si="55"/>
        <v>438080.58999999997</v>
      </c>
      <c r="AM221" s="4">
        <f t="shared" si="55"/>
        <v>81447.02</v>
      </c>
      <c r="AN221" s="4">
        <f t="shared" si="49"/>
        <v>519527.61</v>
      </c>
      <c r="AO221" s="39"/>
      <c r="AP221" s="8">
        <f t="shared" si="56"/>
        <v>0</v>
      </c>
      <c r="AQ221" s="8">
        <f t="shared" si="56"/>
        <v>0</v>
      </c>
      <c r="AR221" s="8">
        <f t="shared" si="50"/>
        <v>0</v>
      </c>
      <c r="AS221" s="42"/>
      <c r="AT221" s="48">
        <v>438080.58999999997</v>
      </c>
      <c r="AU221" s="48">
        <v>81447.01999999999</v>
      </c>
      <c r="AV221" s="4">
        <f t="shared" si="51"/>
        <v>519527.61</v>
      </c>
      <c r="AW221" s="50" t="str">
        <f t="shared" si="52"/>
        <v/>
      </c>
      <c r="AX221" s="1" t="s">
        <v>1647</v>
      </c>
      <c r="AY221" s="2" t="s">
        <v>1640</v>
      </c>
      <c r="AZ221" s="2">
        <v>135521.92000000001</v>
      </c>
      <c r="BA221" s="73">
        <v>118581.68</v>
      </c>
      <c r="BB221" s="73">
        <v>118581.68</v>
      </c>
      <c r="BC221" s="73">
        <v>135521.92000000001</v>
      </c>
      <c r="BD221" s="73"/>
      <c r="BE221" s="66">
        <v>2.5000000000000001E-2</v>
      </c>
      <c r="BF221" s="66">
        <v>0.02</v>
      </c>
      <c r="BG221" s="63">
        <v>44183</v>
      </c>
      <c r="BH221" s="2"/>
      <c r="BI221" s="74">
        <v>41781</v>
      </c>
      <c r="BJ221" s="2"/>
      <c r="BK221" s="2"/>
      <c r="BL221" s="1" t="s">
        <v>104</v>
      </c>
    </row>
    <row r="222" spans="1:64" x14ac:dyDescent="0.25">
      <c r="A222" s="56" t="s">
        <v>406</v>
      </c>
      <c r="B222" s="54" t="s">
        <v>406</v>
      </c>
      <c r="C222" s="56" t="s">
        <v>407</v>
      </c>
      <c r="D222" s="16">
        <v>40575</v>
      </c>
      <c r="E222" s="17"/>
      <c r="F222" s="2" t="s">
        <v>52</v>
      </c>
      <c r="G222" s="2" t="s">
        <v>55</v>
      </c>
      <c r="H222" s="10" t="s">
        <v>57</v>
      </c>
      <c r="I222" s="11" t="s">
        <v>54</v>
      </c>
      <c r="J222" s="11" t="s">
        <v>72</v>
      </c>
      <c r="K222" s="61" t="s">
        <v>73</v>
      </c>
      <c r="L222" s="11" t="s">
        <v>67</v>
      </c>
      <c r="M222" s="25"/>
      <c r="N222" s="54"/>
      <c r="O222" s="3" t="str">
        <f t="shared" si="53"/>
        <v>A</v>
      </c>
      <c r="P222" s="48">
        <v>305394.90000000002</v>
      </c>
      <c r="Q222" s="48">
        <v>56245</v>
      </c>
      <c r="R222" s="32"/>
      <c r="S222" s="3" t="str">
        <f t="shared" si="54"/>
        <v>A</v>
      </c>
      <c r="T222" s="48">
        <v>296089.7</v>
      </c>
      <c r="U222" s="48">
        <v>56751</v>
      </c>
      <c r="V222" s="32"/>
      <c r="W222" s="3" t="str">
        <f t="shared" si="46"/>
        <v>A</v>
      </c>
      <c r="X222" s="48">
        <v>252880.45</v>
      </c>
      <c r="Y222" s="48">
        <v>49558</v>
      </c>
      <c r="Z222" s="32"/>
      <c r="AA222" s="3" t="str">
        <f t="shared" si="47"/>
        <v>A</v>
      </c>
      <c r="AB222" s="48">
        <v>289582.44999999995</v>
      </c>
      <c r="AC222" s="48">
        <v>46550.1</v>
      </c>
      <c r="AD222" s="36"/>
      <c r="AE222" s="54"/>
      <c r="AF222" s="3" t="str">
        <f t="shared" si="48"/>
        <v>A</v>
      </c>
      <c r="AG222" s="48">
        <v>0</v>
      </c>
      <c r="AH222" s="48">
        <v>0</v>
      </c>
      <c r="AI222" s="39"/>
      <c r="AJ222" s="79" t="s">
        <v>1801</v>
      </c>
      <c r="AK222" s="39"/>
      <c r="AL222" s="4">
        <f t="shared" si="55"/>
        <v>1143947.5</v>
      </c>
      <c r="AM222" s="4">
        <f t="shared" si="55"/>
        <v>209104.1</v>
      </c>
      <c r="AN222" s="4">
        <f t="shared" si="49"/>
        <v>1353051.6</v>
      </c>
      <c r="AO222" s="39"/>
      <c r="AP222" s="8">
        <f t="shared" si="56"/>
        <v>0</v>
      </c>
      <c r="AQ222" s="8">
        <f t="shared" si="56"/>
        <v>0</v>
      </c>
      <c r="AR222" s="8">
        <f t="shared" si="50"/>
        <v>0</v>
      </c>
      <c r="AS222" s="42"/>
      <c r="AT222" s="48">
        <v>1143947.5</v>
      </c>
      <c r="AU222" s="48">
        <v>209104.1</v>
      </c>
      <c r="AV222" s="4">
        <f t="shared" si="51"/>
        <v>1353051.6</v>
      </c>
      <c r="AW222" s="50" t="str">
        <f t="shared" si="52"/>
        <v/>
      </c>
      <c r="AX222" s="1" t="s">
        <v>1639</v>
      </c>
      <c r="AY222" s="2" t="s">
        <v>1640</v>
      </c>
      <c r="AZ222" s="2">
        <v>294339.20000000001</v>
      </c>
      <c r="BA222" s="73">
        <v>257546.8</v>
      </c>
      <c r="BB222" s="73">
        <v>257546.8</v>
      </c>
      <c r="BC222" s="73">
        <v>294339.20000000001</v>
      </c>
      <c r="BD222" s="73"/>
      <c r="BE222" s="66">
        <v>2.5000000000000001E-2</v>
      </c>
      <c r="BF222" s="66">
        <v>0.02</v>
      </c>
      <c r="BG222" s="63">
        <v>44228</v>
      </c>
      <c r="BH222" s="2"/>
      <c r="BI222" s="2"/>
      <c r="BJ222" s="2"/>
      <c r="BK222" s="2"/>
      <c r="BL222" s="1" t="s">
        <v>56</v>
      </c>
    </row>
    <row r="223" spans="1:64" x14ac:dyDescent="0.25">
      <c r="A223" s="56" t="s">
        <v>408</v>
      </c>
      <c r="B223" s="54" t="s">
        <v>408</v>
      </c>
      <c r="C223" s="56" t="s">
        <v>409</v>
      </c>
      <c r="D223" s="16">
        <v>40634</v>
      </c>
      <c r="E223" s="17"/>
      <c r="F223" s="2" t="s">
        <v>410</v>
      </c>
      <c r="G223" s="2" t="s">
        <v>411</v>
      </c>
      <c r="H223" s="10" t="s">
        <v>98</v>
      </c>
      <c r="I223" s="11" t="s">
        <v>53</v>
      </c>
      <c r="J223" s="11" t="s">
        <v>296</v>
      </c>
      <c r="K223" s="61"/>
      <c r="L223" s="11" t="s">
        <v>67</v>
      </c>
      <c r="M223" s="25"/>
      <c r="N223" s="54"/>
      <c r="O223" s="3" t="str">
        <f t="shared" si="53"/>
        <v>A</v>
      </c>
      <c r="P223" s="48">
        <v>71274</v>
      </c>
      <c r="Q223" s="48">
        <v>2158</v>
      </c>
      <c r="R223" s="32"/>
      <c r="S223" s="3" t="str">
        <f t="shared" si="54"/>
        <v>A</v>
      </c>
      <c r="T223" s="48">
        <v>71746</v>
      </c>
      <c r="U223" s="48">
        <v>2288</v>
      </c>
      <c r="V223" s="32"/>
      <c r="W223" s="3" t="str">
        <f t="shared" si="46"/>
        <v>A</v>
      </c>
      <c r="X223" s="48">
        <v>70965</v>
      </c>
      <c r="Y223" s="48">
        <v>2340</v>
      </c>
      <c r="Z223" s="32"/>
      <c r="AA223" s="3" t="str">
        <f t="shared" si="47"/>
        <v>A</v>
      </c>
      <c r="AB223" s="48">
        <v>75551</v>
      </c>
      <c r="AC223" s="48">
        <v>1978</v>
      </c>
      <c r="AD223" s="36"/>
      <c r="AE223" s="54"/>
      <c r="AF223" s="3" t="str">
        <f t="shared" si="48"/>
        <v>A</v>
      </c>
      <c r="AG223" s="48">
        <v>0</v>
      </c>
      <c r="AH223" s="48">
        <v>0</v>
      </c>
      <c r="AI223" s="39"/>
      <c r="AJ223" s="79" t="s">
        <v>1801</v>
      </c>
      <c r="AK223" s="39"/>
      <c r="AL223" s="4">
        <f t="shared" si="55"/>
        <v>289536</v>
      </c>
      <c r="AM223" s="4">
        <f t="shared" si="55"/>
        <v>8764</v>
      </c>
      <c r="AN223" s="4">
        <f t="shared" si="49"/>
        <v>298300</v>
      </c>
      <c r="AO223" s="39"/>
      <c r="AP223" s="8">
        <f t="shared" si="56"/>
        <v>0</v>
      </c>
      <c r="AQ223" s="8">
        <f t="shared" si="56"/>
        <v>0</v>
      </c>
      <c r="AR223" s="8">
        <f t="shared" si="50"/>
        <v>0</v>
      </c>
      <c r="AS223" s="42"/>
      <c r="AT223" s="48">
        <v>289536</v>
      </c>
      <c r="AU223" s="48">
        <v>8764</v>
      </c>
      <c r="AV223" s="4">
        <f t="shared" si="51"/>
        <v>298300</v>
      </c>
      <c r="AW223" s="50" t="str">
        <f t="shared" si="52"/>
        <v/>
      </c>
      <c r="AX223" s="1" t="s">
        <v>1702</v>
      </c>
      <c r="AY223" s="2" t="s">
        <v>1675</v>
      </c>
      <c r="AZ223" s="2">
        <v>124865.2</v>
      </c>
      <c r="BA223" s="73">
        <v>109257.05</v>
      </c>
      <c r="BB223" s="73">
        <v>109257.05</v>
      </c>
      <c r="BC223" s="73">
        <v>124865.2</v>
      </c>
      <c r="BD223" s="73"/>
      <c r="BE223" s="66">
        <v>3.5000000000000003E-2</v>
      </c>
      <c r="BF223" s="66">
        <v>0.05</v>
      </c>
      <c r="BG223" s="63">
        <v>44256</v>
      </c>
      <c r="BH223" s="74">
        <v>43962</v>
      </c>
      <c r="BI223" s="74">
        <v>43963</v>
      </c>
      <c r="BJ223" s="2"/>
      <c r="BK223" s="2"/>
      <c r="BL223" s="1" t="s">
        <v>97</v>
      </c>
    </row>
    <row r="224" spans="1:64" x14ac:dyDescent="0.25">
      <c r="A224" s="56" t="s">
        <v>408</v>
      </c>
      <c r="B224" s="54" t="s">
        <v>765</v>
      </c>
      <c r="C224" s="56" t="s">
        <v>766</v>
      </c>
      <c r="D224" s="16">
        <v>39620</v>
      </c>
      <c r="E224" s="17"/>
      <c r="F224" s="2" t="s">
        <v>410</v>
      </c>
      <c r="G224" s="2" t="s">
        <v>411</v>
      </c>
      <c r="H224" s="10" t="s">
        <v>98</v>
      </c>
      <c r="I224" s="11" t="s">
        <v>53</v>
      </c>
      <c r="J224" s="11" t="s">
        <v>296</v>
      </c>
      <c r="K224" s="61"/>
      <c r="L224" s="11" t="s">
        <v>67</v>
      </c>
      <c r="M224" s="25"/>
      <c r="N224" s="54"/>
      <c r="O224" s="3" t="str">
        <f t="shared" si="53"/>
        <v>A</v>
      </c>
      <c r="P224" s="48">
        <v>93703</v>
      </c>
      <c r="Q224" s="48">
        <v>435</v>
      </c>
      <c r="R224" s="32"/>
      <c r="S224" s="3" t="str">
        <f t="shared" si="54"/>
        <v>A</v>
      </c>
      <c r="T224" s="48">
        <v>86550</v>
      </c>
      <c r="U224" s="48">
        <v>195</v>
      </c>
      <c r="V224" s="32"/>
      <c r="W224" s="3" t="str">
        <f t="shared" si="46"/>
        <v>A</v>
      </c>
      <c r="X224" s="48">
        <v>84437</v>
      </c>
      <c r="Y224" s="48">
        <v>1958</v>
      </c>
      <c r="Z224" s="32"/>
      <c r="AA224" s="3" t="str">
        <f t="shared" si="47"/>
        <v>A</v>
      </c>
      <c r="AB224" s="48">
        <v>94221</v>
      </c>
      <c r="AC224" s="48">
        <v>2706</v>
      </c>
      <c r="AD224" s="36"/>
      <c r="AE224" s="54"/>
      <c r="AF224" s="3" t="str">
        <f t="shared" si="48"/>
        <v>A</v>
      </c>
      <c r="AG224" s="48">
        <v>0</v>
      </c>
      <c r="AH224" s="48">
        <v>0</v>
      </c>
      <c r="AI224" s="39"/>
      <c r="AJ224" s="79" t="s">
        <v>1801</v>
      </c>
      <c r="AK224" s="39"/>
      <c r="AL224" s="4">
        <f t="shared" si="55"/>
        <v>358911</v>
      </c>
      <c r="AM224" s="4">
        <f t="shared" si="55"/>
        <v>5294</v>
      </c>
      <c r="AN224" s="4">
        <f t="shared" si="49"/>
        <v>364205</v>
      </c>
      <c r="AO224" s="39"/>
      <c r="AP224" s="8">
        <f t="shared" si="56"/>
        <v>0</v>
      </c>
      <c r="AQ224" s="8">
        <f t="shared" si="56"/>
        <v>0</v>
      </c>
      <c r="AR224" s="8">
        <f t="shared" si="50"/>
        <v>0</v>
      </c>
      <c r="AS224" s="42"/>
      <c r="AT224" s="48">
        <v>358911</v>
      </c>
      <c r="AU224" s="48">
        <v>5294</v>
      </c>
      <c r="AV224" s="4">
        <f t="shared" si="51"/>
        <v>364205</v>
      </c>
      <c r="AW224" s="50" t="str">
        <f t="shared" si="52"/>
        <v/>
      </c>
      <c r="AX224" s="1" t="s">
        <v>1702</v>
      </c>
      <c r="AY224" s="2" t="s">
        <v>1675</v>
      </c>
      <c r="AZ224" s="2">
        <v>122828.64</v>
      </c>
      <c r="BA224" s="73">
        <v>107475.06</v>
      </c>
      <c r="BB224" s="73">
        <v>107475.06</v>
      </c>
      <c r="BC224" s="73">
        <v>122828.64</v>
      </c>
      <c r="BD224" s="73"/>
      <c r="BE224" s="66">
        <v>3.5000000000000003E-2</v>
      </c>
      <c r="BF224" s="66">
        <v>0.05</v>
      </c>
      <c r="BG224" s="63">
        <v>44256</v>
      </c>
      <c r="BH224" s="74">
        <v>43962</v>
      </c>
      <c r="BI224" s="74">
        <v>43963</v>
      </c>
      <c r="BJ224" s="2"/>
      <c r="BK224" s="2"/>
      <c r="BL224" s="1" t="s">
        <v>97</v>
      </c>
    </row>
    <row r="225" spans="1:64" x14ac:dyDescent="0.25">
      <c r="A225" s="56" t="s">
        <v>412</v>
      </c>
      <c r="B225" s="54" t="s">
        <v>412</v>
      </c>
      <c r="C225" s="56" t="s">
        <v>413</v>
      </c>
      <c r="D225" s="16">
        <v>40620</v>
      </c>
      <c r="E225" s="17"/>
      <c r="F225" s="2" t="s">
        <v>414</v>
      </c>
      <c r="G225" s="2" t="s">
        <v>415</v>
      </c>
      <c r="H225" s="10" t="s">
        <v>105</v>
      </c>
      <c r="I225" s="11" t="s">
        <v>53</v>
      </c>
      <c r="J225" s="11" t="s">
        <v>312</v>
      </c>
      <c r="K225" s="61"/>
      <c r="L225" s="11" t="s">
        <v>67</v>
      </c>
      <c r="M225" s="25"/>
      <c r="N225" s="54"/>
      <c r="O225" s="3" t="str">
        <f t="shared" si="53"/>
        <v>E</v>
      </c>
      <c r="P225" s="48">
        <v>203652.96</v>
      </c>
      <c r="Q225" s="48">
        <v>42710.720000000001</v>
      </c>
      <c r="R225" s="32"/>
      <c r="S225" s="3" t="str">
        <f t="shared" si="54"/>
        <v>E</v>
      </c>
      <c r="T225" s="48">
        <v>178196.34</v>
      </c>
      <c r="U225" s="48">
        <v>37371.879999999997</v>
      </c>
      <c r="V225" s="32"/>
      <c r="W225" s="3" t="str">
        <f t="shared" si="46"/>
        <v>E</v>
      </c>
      <c r="X225" s="48">
        <v>178196.34</v>
      </c>
      <c r="Y225" s="48">
        <v>37371.879999999997</v>
      </c>
      <c r="Z225" s="32"/>
      <c r="AA225" s="3" t="str">
        <f t="shared" si="47"/>
        <v>E</v>
      </c>
      <c r="AB225" s="48">
        <v>203652.96</v>
      </c>
      <c r="AC225" s="48">
        <v>42710.720000000001</v>
      </c>
      <c r="AD225" s="36"/>
      <c r="AE225" s="54"/>
      <c r="AF225" s="3" t="str">
        <f t="shared" si="48"/>
        <v>A</v>
      </c>
      <c r="AG225" s="48"/>
      <c r="AH225" s="48"/>
      <c r="AI225" s="39"/>
      <c r="AJ225" s="79" t="s">
        <v>38</v>
      </c>
      <c r="AK225" s="39"/>
      <c r="AL225" s="4">
        <f t="shared" si="55"/>
        <v>0</v>
      </c>
      <c r="AM225" s="4">
        <f t="shared" si="55"/>
        <v>0</v>
      </c>
      <c r="AN225" s="4">
        <f t="shared" si="49"/>
        <v>0</v>
      </c>
      <c r="AO225" s="39"/>
      <c r="AP225" s="8">
        <f t="shared" si="56"/>
        <v>763698.6</v>
      </c>
      <c r="AQ225" s="8">
        <f t="shared" si="56"/>
        <v>160165.20000000001</v>
      </c>
      <c r="AR225" s="8">
        <f t="shared" si="50"/>
        <v>923863.8</v>
      </c>
      <c r="AS225" s="42"/>
      <c r="AT225" s="48"/>
      <c r="AU225" s="48"/>
      <c r="AV225" s="4">
        <f t="shared" si="51"/>
        <v>0</v>
      </c>
      <c r="AW225" s="50" t="str">
        <f t="shared" si="52"/>
        <v/>
      </c>
      <c r="AX225" s="1" t="s">
        <v>1703</v>
      </c>
      <c r="AY225" s="2" t="s">
        <v>1704</v>
      </c>
      <c r="AZ225" s="2">
        <v>203652.96</v>
      </c>
      <c r="BA225" s="73">
        <v>178196.34</v>
      </c>
      <c r="BB225" s="73">
        <v>178196.34</v>
      </c>
      <c r="BC225" s="73">
        <v>203652.96</v>
      </c>
      <c r="BD225" s="73"/>
      <c r="BE225" s="66">
        <v>3.5000000000000003E-2</v>
      </c>
      <c r="BF225" s="66">
        <v>0.05</v>
      </c>
      <c r="BG225" s="63">
        <v>44273</v>
      </c>
      <c r="BH225" s="2"/>
      <c r="BI225" s="2"/>
      <c r="BJ225" s="2"/>
      <c r="BK225" s="2"/>
      <c r="BL225" s="1" t="s">
        <v>311</v>
      </c>
    </row>
    <row r="226" spans="1:64" x14ac:dyDescent="0.25">
      <c r="A226" s="56" t="s">
        <v>416</v>
      </c>
      <c r="B226" s="54" t="s">
        <v>416</v>
      </c>
      <c r="C226" s="56" t="s">
        <v>417</v>
      </c>
      <c r="D226" s="16">
        <v>40724</v>
      </c>
      <c r="E226" s="17"/>
      <c r="F226" s="2" t="s">
        <v>187</v>
      </c>
      <c r="G226" s="2" t="s">
        <v>189</v>
      </c>
      <c r="H226" s="10" t="s">
        <v>57</v>
      </c>
      <c r="I226" s="11" t="s">
        <v>188</v>
      </c>
      <c r="J226" s="11" t="s">
        <v>190</v>
      </c>
      <c r="K226" s="61" t="s">
        <v>191</v>
      </c>
      <c r="L226" s="11" t="s">
        <v>67</v>
      </c>
      <c r="M226" s="25"/>
      <c r="N226" s="54"/>
      <c r="O226" s="3" t="str">
        <f t="shared" si="53"/>
        <v>A</v>
      </c>
      <c r="P226" s="48">
        <v>190254.05</v>
      </c>
      <c r="Q226" s="48">
        <v>42604.6</v>
      </c>
      <c r="R226" s="32"/>
      <c r="S226" s="3" t="str">
        <f t="shared" si="54"/>
        <v>A</v>
      </c>
      <c r="T226" s="48">
        <v>166450.39000000001</v>
      </c>
      <c r="U226" s="48">
        <v>36180</v>
      </c>
      <c r="V226" s="32"/>
      <c r="W226" s="3" t="str">
        <f t="shared" si="46"/>
        <v>A</v>
      </c>
      <c r="X226" s="48">
        <v>141084.4</v>
      </c>
      <c r="Y226" s="48">
        <v>30537</v>
      </c>
      <c r="Z226" s="32"/>
      <c r="AA226" s="3" t="str">
        <f t="shared" si="47"/>
        <v>A</v>
      </c>
      <c r="AB226" s="48">
        <v>161961.94999999998</v>
      </c>
      <c r="AC226" s="48">
        <v>30093</v>
      </c>
      <c r="AD226" s="36"/>
      <c r="AE226" s="54"/>
      <c r="AF226" s="3" t="str">
        <f t="shared" si="48"/>
        <v>A</v>
      </c>
      <c r="AG226" s="48">
        <v>0</v>
      </c>
      <c r="AH226" s="48">
        <v>0</v>
      </c>
      <c r="AI226" s="39"/>
      <c r="AJ226" s="79" t="s">
        <v>1801</v>
      </c>
      <c r="AK226" s="39"/>
      <c r="AL226" s="4">
        <f t="shared" si="55"/>
        <v>659750.78999999992</v>
      </c>
      <c r="AM226" s="4">
        <f t="shared" si="55"/>
        <v>139414.6</v>
      </c>
      <c r="AN226" s="4">
        <f t="shared" si="49"/>
        <v>799165.3899999999</v>
      </c>
      <c r="AO226" s="39"/>
      <c r="AP226" s="8">
        <f t="shared" si="56"/>
        <v>0</v>
      </c>
      <c r="AQ226" s="8">
        <f t="shared" si="56"/>
        <v>0</v>
      </c>
      <c r="AR226" s="8">
        <f t="shared" si="50"/>
        <v>0</v>
      </c>
      <c r="AS226" s="42"/>
      <c r="AT226" s="48">
        <v>659750.79</v>
      </c>
      <c r="AU226" s="48">
        <v>139414.6</v>
      </c>
      <c r="AV226" s="4">
        <f t="shared" si="51"/>
        <v>799165.39</v>
      </c>
      <c r="AW226" s="50" t="str">
        <f t="shared" si="52"/>
        <v/>
      </c>
      <c r="AX226" s="1" t="s">
        <v>1639</v>
      </c>
      <c r="AY226" s="2" t="s">
        <v>1640</v>
      </c>
      <c r="AZ226" s="2">
        <v>173115.36</v>
      </c>
      <c r="BA226" s="73">
        <v>151475.94</v>
      </c>
      <c r="BB226" s="73">
        <v>151475.94</v>
      </c>
      <c r="BC226" s="73">
        <v>173115.36</v>
      </c>
      <c r="BD226" s="73"/>
      <c r="BE226" s="66">
        <v>2.5000000000000001E-2</v>
      </c>
      <c r="BF226" s="66">
        <v>0.02</v>
      </c>
      <c r="BG226" s="63">
        <v>44374</v>
      </c>
      <c r="BH226" s="2"/>
      <c r="BI226" s="2"/>
      <c r="BJ226" s="2"/>
      <c r="BK226" s="2"/>
      <c r="BL226" s="1" t="s">
        <v>56</v>
      </c>
    </row>
    <row r="227" spans="1:64" x14ac:dyDescent="0.25">
      <c r="A227" s="56" t="s">
        <v>416</v>
      </c>
      <c r="B227" s="54" t="s">
        <v>781</v>
      </c>
      <c r="C227" s="56" t="s">
        <v>782</v>
      </c>
      <c r="D227" s="16">
        <v>42679</v>
      </c>
      <c r="E227" s="17"/>
      <c r="F227" s="2" t="s">
        <v>187</v>
      </c>
      <c r="G227" s="2" t="s">
        <v>189</v>
      </c>
      <c r="H227" s="10" t="s">
        <v>57</v>
      </c>
      <c r="I227" s="11" t="s">
        <v>188</v>
      </c>
      <c r="J227" s="11" t="s">
        <v>190</v>
      </c>
      <c r="K227" s="61" t="s">
        <v>191</v>
      </c>
      <c r="L227" s="11" t="s">
        <v>67</v>
      </c>
      <c r="M227" s="25"/>
      <c r="N227" s="54"/>
      <c r="O227" s="3" t="str">
        <f t="shared" si="53"/>
        <v>A</v>
      </c>
      <c r="P227" s="48">
        <v>51622</v>
      </c>
      <c r="Q227" s="48">
        <v>8600</v>
      </c>
      <c r="R227" s="32"/>
      <c r="S227" s="3" t="str">
        <f t="shared" si="54"/>
        <v>A</v>
      </c>
      <c r="T227" s="48">
        <v>44383</v>
      </c>
      <c r="U227" s="48">
        <v>8783</v>
      </c>
      <c r="V227" s="32"/>
      <c r="W227" s="3" t="str">
        <f t="shared" si="46"/>
        <v>A</v>
      </c>
      <c r="X227" s="48">
        <v>34466</v>
      </c>
      <c r="Y227" s="48">
        <v>8412</v>
      </c>
      <c r="Z227" s="32"/>
      <c r="AA227" s="3" t="str">
        <f t="shared" si="47"/>
        <v>A</v>
      </c>
      <c r="AB227" s="48">
        <v>40219</v>
      </c>
      <c r="AC227" s="48">
        <v>9001</v>
      </c>
      <c r="AD227" s="36"/>
      <c r="AE227" s="54"/>
      <c r="AF227" s="3" t="str">
        <f t="shared" si="48"/>
        <v>A</v>
      </c>
      <c r="AG227" s="48">
        <v>0</v>
      </c>
      <c r="AH227" s="48">
        <v>0</v>
      </c>
      <c r="AI227" s="39"/>
      <c r="AJ227" s="79" t="s">
        <v>1801</v>
      </c>
      <c r="AK227" s="39"/>
      <c r="AL227" s="4">
        <f t="shared" si="55"/>
        <v>170690</v>
      </c>
      <c r="AM227" s="4">
        <f t="shared" si="55"/>
        <v>34796</v>
      </c>
      <c r="AN227" s="4">
        <f t="shared" si="49"/>
        <v>205486</v>
      </c>
      <c r="AO227" s="39"/>
      <c r="AP227" s="8">
        <f t="shared" si="56"/>
        <v>0</v>
      </c>
      <c r="AQ227" s="8">
        <f t="shared" si="56"/>
        <v>0</v>
      </c>
      <c r="AR227" s="8">
        <f t="shared" si="50"/>
        <v>0</v>
      </c>
      <c r="AS227" s="42"/>
      <c r="AT227" s="48">
        <v>170690</v>
      </c>
      <c r="AU227" s="48">
        <v>34796</v>
      </c>
      <c r="AV227" s="4">
        <f t="shared" si="51"/>
        <v>205486</v>
      </c>
      <c r="AW227" s="50" t="str">
        <f t="shared" si="52"/>
        <v/>
      </c>
      <c r="AX227" s="1" t="s">
        <v>1639</v>
      </c>
      <c r="AY227" s="2" t="s">
        <v>1640</v>
      </c>
      <c r="AZ227" s="2">
        <v>37970.480000000003</v>
      </c>
      <c r="BA227" s="73">
        <v>33224.17</v>
      </c>
      <c r="BB227" s="73">
        <v>33224.17</v>
      </c>
      <c r="BC227" s="73">
        <v>37970.480000000003</v>
      </c>
      <c r="BD227" s="73"/>
      <c r="BE227" s="66">
        <v>0</v>
      </c>
      <c r="BF227" s="66">
        <v>0.02</v>
      </c>
      <c r="BG227" s="63">
        <v>44374</v>
      </c>
      <c r="BH227" s="2"/>
      <c r="BI227" s="2"/>
      <c r="BJ227" s="2"/>
      <c r="BK227" s="2"/>
      <c r="BL227" s="1" t="s">
        <v>56</v>
      </c>
    </row>
    <row r="228" spans="1:64" x14ac:dyDescent="0.25">
      <c r="A228" s="56" t="s">
        <v>418</v>
      </c>
      <c r="B228" s="54" t="s">
        <v>418</v>
      </c>
      <c r="C228" s="56" t="s">
        <v>419</v>
      </c>
      <c r="D228" s="16">
        <v>40751</v>
      </c>
      <c r="E228" s="17"/>
      <c r="F228" s="2" t="s">
        <v>109</v>
      </c>
      <c r="G228" s="2" t="s">
        <v>111</v>
      </c>
      <c r="H228" s="10" t="s">
        <v>105</v>
      </c>
      <c r="I228" s="11" t="s">
        <v>110</v>
      </c>
      <c r="J228" s="11" t="s">
        <v>420</v>
      </c>
      <c r="K228" s="61" t="s">
        <v>113</v>
      </c>
      <c r="L228" s="11" t="s">
        <v>67</v>
      </c>
      <c r="M228" s="25"/>
      <c r="N228" s="54"/>
      <c r="O228" s="3" t="str">
        <f t="shared" si="53"/>
        <v>A</v>
      </c>
      <c r="P228" s="48">
        <v>188423</v>
      </c>
      <c r="Q228" s="48">
        <v>24009</v>
      </c>
      <c r="R228" s="32"/>
      <c r="S228" s="3" t="str">
        <f t="shared" si="54"/>
        <v>A</v>
      </c>
      <c r="T228" s="48">
        <v>165562</v>
      </c>
      <c r="U228" s="48">
        <v>20335</v>
      </c>
      <c r="V228" s="32"/>
      <c r="W228" s="3" t="str">
        <f t="shared" si="46"/>
        <v>A</v>
      </c>
      <c r="X228" s="48">
        <v>162708.68</v>
      </c>
      <c r="Y228" s="48">
        <v>18672.32</v>
      </c>
      <c r="Z228" s="32"/>
      <c r="AA228" s="3" t="str">
        <f t="shared" si="47"/>
        <v>A</v>
      </c>
      <c r="AB228" s="48">
        <v>169030</v>
      </c>
      <c r="AC228" s="48">
        <v>21993</v>
      </c>
      <c r="AD228" s="36"/>
      <c r="AE228" s="54"/>
      <c r="AF228" s="3" t="str">
        <f t="shared" si="48"/>
        <v>A</v>
      </c>
      <c r="AG228" s="48">
        <v>0</v>
      </c>
      <c r="AH228" s="48">
        <v>0</v>
      </c>
      <c r="AI228" s="39"/>
      <c r="AJ228" s="79" t="s">
        <v>1801</v>
      </c>
      <c r="AK228" s="39"/>
      <c r="AL228" s="4">
        <f t="shared" si="55"/>
        <v>685723.67999999993</v>
      </c>
      <c r="AM228" s="4">
        <f t="shared" si="55"/>
        <v>85009.32</v>
      </c>
      <c r="AN228" s="4">
        <f t="shared" si="49"/>
        <v>770733</v>
      </c>
      <c r="AO228" s="39"/>
      <c r="AP228" s="8">
        <f t="shared" si="56"/>
        <v>0</v>
      </c>
      <c r="AQ228" s="8">
        <f t="shared" si="56"/>
        <v>0</v>
      </c>
      <c r="AR228" s="8">
        <f t="shared" si="50"/>
        <v>0</v>
      </c>
      <c r="AS228" s="42"/>
      <c r="AT228" s="48">
        <v>685723.67999999993</v>
      </c>
      <c r="AU228" s="48">
        <v>85009.32</v>
      </c>
      <c r="AV228" s="4">
        <f t="shared" si="51"/>
        <v>770733</v>
      </c>
      <c r="AW228" s="50" t="str">
        <f t="shared" si="52"/>
        <v/>
      </c>
      <c r="AX228" s="1" t="s">
        <v>1647</v>
      </c>
      <c r="AY228" s="2" t="s">
        <v>1640</v>
      </c>
      <c r="AZ228" s="2">
        <v>115784</v>
      </c>
      <c r="BA228" s="73">
        <v>101311</v>
      </c>
      <c r="BB228" s="73">
        <v>101311</v>
      </c>
      <c r="BC228" s="73">
        <v>115784</v>
      </c>
      <c r="BD228" s="73"/>
      <c r="BE228" s="66">
        <v>2.5000000000000001E-2</v>
      </c>
      <c r="BF228" s="66">
        <v>0.02</v>
      </c>
      <c r="BG228" s="63">
        <v>44385</v>
      </c>
      <c r="BH228" s="2"/>
      <c r="BI228" s="2"/>
      <c r="BJ228" s="2"/>
      <c r="BK228" s="2"/>
      <c r="BL228" s="1" t="s">
        <v>104</v>
      </c>
    </row>
    <row r="229" spans="1:64" x14ac:dyDescent="0.25">
      <c r="A229" s="56" t="s">
        <v>421</v>
      </c>
      <c r="B229" s="54" t="s">
        <v>421</v>
      </c>
      <c r="C229" s="56" t="s">
        <v>422</v>
      </c>
      <c r="D229" s="16">
        <v>40770</v>
      </c>
      <c r="E229" s="17"/>
      <c r="F229" s="2" t="s">
        <v>423</v>
      </c>
      <c r="G229" s="2" t="s">
        <v>424</v>
      </c>
      <c r="H229" s="10" t="s">
        <v>105</v>
      </c>
      <c r="I229" s="11" t="s">
        <v>53</v>
      </c>
      <c r="J229" s="11" t="s">
        <v>312</v>
      </c>
      <c r="K229" s="61"/>
      <c r="L229" s="11" t="s">
        <v>67</v>
      </c>
      <c r="M229" s="25"/>
      <c r="N229" s="54"/>
      <c r="O229" s="3" t="str">
        <f t="shared" si="53"/>
        <v>A</v>
      </c>
      <c r="P229" s="48">
        <v>148516</v>
      </c>
      <c r="Q229" s="48">
        <v>24475</v>
      </c>
      <c r="R229" s="32"/>
      <c r="S229" s="3" t="str">
        <f t="shared" si="54"/>
        <v>A</v>
      </c>
      <c r="T229" s="48">
        <v>124847</v>
      </c>
      <c r="U229" s="48">
        <v>17755</v>
      </c>
      <c r="V229" s="32"/>
      <c r="W229" s="3" t="str">
        <f t="shared" si="46"/>
        <v>A</v>
      </c>
      <c r="X229" s="48">
        <v>117751</v>
      </c>
      <c r="Y229" s="48">
        <v>18890</v>
      </c>
      <c r="Z229" s="32"/>
      <c r="AA229" s="3" t="str">
        <f t="shared" si="47"/>
        <v>A</v>
      </c>
      <c r="AB229" s="48">
        <v>131150</v>
      </c>
      <c r="AC229" s="48">
        <v>16735</v>
      </c>
      <c r="AD229" s="36"/>
      <c r="AE229" s="54"/>
      <c r="AF229" s="3" t="str">
        <f t="shared" si="48"/>
        <v>A</v>
      </c>
      <c r="AG229" s="48">
        <v>0</v>
      </c>
      <c r="AH229" s="48">
        <v>0</v>
      </c>
      <c r="AI229" s="39"/>
      <c r="AJ229" s="79" t="s">
        <v>1801</v>
      </c>
      <c r="AK229" s="39"/>
      <c r="AL229" s="4">
        <f t="shared" si="55"/>
        <v>522264</v>
      </c>
      <c r="AM229" s="4">
        <f t="shared" si="55"/>
        <v>77855</v>
      </c>
      <c r="AN229" s="4">
        <f t="shared" si="49"/>
        <v>600119</v>
      </c>
      <c r="AO229" s="39"/>
      <c r="AP229" s="8">
        <f t="shared" si="56"/>
        <v>0</v>
      </c>
      <c r="AQ229" s="8">
        <f t="shared" si="56"/>
        <v>0</v>
      </c>
      <c r="AR229" s="8">
        <f t="shared" si="50"/>
        <v>0</v>
      </c>
      <c r="AS229" s="42"/>
      <c r="AT229" s="48">
        <v>522264</v>
      </c>
      <c r="AU229" s="48">
        <v>77855</v>
      </c>
      <c r="AV229" s="4">
        <f t="shared" si="51"/>
        <v>600119</v>
      </c>
      <c r="AW229" s="50" t="str">
        <f t="shared" si="52"/>
        <v/>
      </c>
      <c r="AX229" s="1" t="s">
        <v>1705</v>
      </c>
      <c r="AY229" s="2" t="s">
        <v>1706</v>
      </c>
      <c r="AZ229" s="2">
        <v>205474.24</v>
      </c>
      <c r="BA229" s="73">
        <v>179789.96</v>
      </c>
      <c r="BB229" s="73">
        <v>179789.96</v>
      </c>
      <c r="BC229" s="73">
        <v>205474.24</v>
      </c>
      <c r="BD229" s="73"/>
      <c r="BE229" s="66">
        <v>3.5000000000000003E-2</v>
      </c>
      <c r="BF229" s="66">
        <v>0.05</v>
      </c>
      <c r="BG229" s="63">
        <v>44420</v>
      </c>
      <c r="BH229" s="2"/>
      <c r="BI229" s="2"/>
      <c r="BJ229" s="2"/>
      <c r="BK229" s="2"/>
      <c r="BL229" s="1" t="s">
        <v>104</v>
      </c>
    </row>
    <row r="230" spans="1:64" x14ac:dyDescent="0.25">
      <c r="A230" s="56" t="s">
        <v>425</v>
      </c>
      <c r="B230" s="54" t="s">
        <v>425</v>
      </c>
      <c r="C230" s="56" t="s">
        <v>426</v>
      </c>
      <c r="D230" s="16">
        <v>40893</v>
      </c>
      <c r="E230" s="17"/>
      <c r="F230" s="2" t="s">
        <v>52</v>
      </c>
      <c r="G230" s="2" t="s">
        <v>55</v>
      </c>
      <c r="H230" s="10" t="s">
        <v>57</v>
      </c>
      <c r="I230" s="11" t="s">
        <v>54</v>
      </c>
      <c r="J230" s="11" t="s">
        <v>72</v>
      </c>
      <c r="K230" s="61" t="s">
        <v>73</v>
      </c>
      <c r="L230" s="11" t="s">
        <v>67</v>
      </c>
      <c r="M230" s="25"/>
      <c r="N230" s="54"/>
      <c r="O230" s="3" t="str">
        <f t="shared" si="53"/>
        <v>A</v>
      </c>
      <c r="P230" s="48">
        <v>194016.25</v>
      </c>
      <c r="Q230" s="48">
        <v>67159.05</v>
      </c>
      <c r="R230" s="32"/>
      <c r="S230" s="3" t="str">
        <f t="shared" si="54"/>
        <v>A</v>
      </c>
      <c r="T230" s="48">
        <v>165897.79999999999</v>
      </c>
      <c r="U230" s="48">
        <v>58024</v>
      </c>
      <c r="V230" s="32"/>
      <c r="W230" s="3" t="str">
        <f t="shared" si="46"/>
        <v>A</v>
      </c>
      <c r="X230" s="48">
        <v>154705</v>
      </c>
      <c r="Y230" s="48">
        <v>48236</v>
      </c>
      <c r="Z230" s="32"/>
      <c r="AA230" s="3" t="str">
        <f t="shared" si="47"/>
        <v>A</v>
      </c>
      <c r="AB230" s="48">
        <v>193586.46</v>
      </c>
      <c r="AC230" s="48">
        <v>48679.54</v>
      </c>
      <c r="AD230" s="36"/>
      <c r="AE230" s="54"/>
      <c r="AF230" s="3" t="str">
        <f t="shared" si="48"/>
        <v>A</v>
      </c>
      <c r="AG230" s="48">
        <v>0</v>
      </c>
      <c r="AH230" s="48">
        <v>0</v>
      </c>
      <c r="AI230" s="39"/>
      <c r="AJ230" s="79" t="s">
        <v>1801</v>
      </c>
      <c r="AK230" s="39"/>
      <c r="AL230" s="4">
        <f t="shared" si="55"/>
        <v>708205.51</v>
      </c>
      <c r="AM230" s="4">
        <f t="shared" si="55"/>
        <v>222098.59</v>
      </c>
      <c r="AN230" s="4">
        <f t="shared" si="49"/>
        <v>930304.1</v>
      </c>
      <c r="AO230" s="39"/>
      <c r="AP230" s="8">
        <f t="shared" si="56"/>
        <v>0</v>
      </c>
      <c r="AQ230" s="8">
        <f t="shared" si="56"/>
        <v>0</v>
      </c>
      <c r="AR230" s="8">
        <f t="shared" si="50"/>
        <v>0</v>
      </c>
      <c r="AS230" s="42"/>
      <c r="AT230" s="48">
        <v>708205.51000000013</v>
      </c>
      <c r="AU230" s="48">
        <v>222098.59</v>
      </c>
      <c r="AV230" s="4">
        <f t="shared" si="51"/>
        <v>930304.10000000009</v>
      </c>
      <c r="AW230" s="50" t="str">
        <f t="shared" si="52"/>
        <v/>
      </c>
      <c r="AX230" s="1" t="s">
        <v>1639</v>
      </c>
      <c r="AY230" s="2" t="s">
        <v>1640</v>
      </c>
      <c r="AZ230" s="2">
        <v>254339.44</v>
      </c>
      <c r="BA230" s="73">
        <v>222547.01</v>
      </c>
      <c r="BB230" s="73">
        <v>222547.01</v>
      </c>
      <c r="BC230" s="73">
        <v>254339.44</v>
      </c>
      <c r="BD230" s="73"/>
      <c r="BE230" s="66">
        <v>2.5000000000000001E-2</v>
      </c>
      <c r="BF230" s="66">
        <v>0.02</v>
      </c>
      <c r="BG230" s="63">
        <v>44520</v>
      </c>
      <c r="BH230" s="2"/>
      <c r="BI230" s="2"/>
      <c r="BJ230" s="2"/>
      <c r="BK230" s="2"/>
      <c r="BL230" s="1" t="s">
        <v>56</v>
      </c>
    </row>
    <row r="231" spans="1:64" x14ac:dyDescent="0.25">
      <c r="A231" s="56" t="s">
        <v>427</v>
      </c>
      <c r="B231" s="54" t="s">
        <v>427</v>
      </c>
      <c r="C231" s="56" t="s">
        <v>428</v>
      </c>
      <c r="D231" s="16">
        <v>40892</v>
      </c>
      <c r="E231" s="17"/>
      <c r="F231" s="2" t="s">
        <v>414</v>
      </c>
      <c r="G231" s="2" t="s">
        <v>415</v>
      </c>
      <c r="H231" s="10" t="s">
        <v>105</v>
      </c>
      <c r="I231" s="11" t="s">
        <v>53</v>
      </c>
      <c r="J231" s="11" t="s">
        <v>312</v>
      </c>
      <c r="K231" s="61"/>
      <c r="L231" s="11" t="s">
        <v>67</v>
      </c>
      <c r="M231" s="25"/>
      <c r="N231" s="54"/>
      <c r="O231" s="3" t="str">
        <f t="shared" si="53"/>
        <v>E</v>
      </c>
      <c r="P231" s="48">
        <v>135824.79999999999</v>
      </c>
      <c r="Q231" s="48">
        <v>28485.119999999999</v>
      </c>
      <c r="R231" s="32"/>
      <c r="S231" s="3" t="str">
        <f t="shared" si="54"/>
        <v>E</v>
      </c>
      <c r="T231" s="48">
        <v>118846.7</v>
      </c>
      <c r="U231" s="48">
        <v>24924.48</v>
      </c>
      <c r="V231" s="32"/>
      <c r="W231" s="3" t="str">
        <f t="shared" si="46"/>
        <v>E</v>
      </c>
      <c r="X231" s="48">
        <v>118846.7</v>
      </c>
      <c r="Y231" s="48">
        <v>24924.48</v>
      </c>
      <c r="Z231" s="32"/>
      <c r="AA231" s="3" t="str">
        <f t="shared" si="47"/>
        <v>E</v>
      </c>
      <c r="AB231" s="48">
        <v>135824.79999999999</v>
      </c>
      <c r="AC231" s="48">
        <v>28485.119999999999</v>
      </c>
      <c r="AD231" s="36"/>
      <c r="AE231" s="54"/>
      <c r="AF231" s="3" t="str">
        <f t="shared" si="48"/>
        <v>A</v>
      </c>
      <c r="AG231" s="48"/>
      <c r="AH231" s="48"/>
      <c r="AI231" s="39"/>
      <c r="AJ231" s="79" t="s">
        <v>38</v>
      </c>
      <c r="AK231" s="39"/>
      <c r="AL231" s="4">
        <f t="shared" si="55"/>
        <v>0</v>
      </c>
      <c r="AM231" s="4">
        <f t="shared" si="55"/>
        <v>0</v>
      </c>
      <c r="AN231" s="4">
        <f t="shared" si="49"/>
        <v>0</v>
      </c>
      <c r="AO231" s="39"/>
      <c r="AP231" s="8">
        <f t="shared" si="56"/>
        <v>509343</v>
      </c>
      <c r="AQ231" s="8">
        <f t="shared" si="56"/>
        <v>106819.2</v>
      </c>
      <c r="AR231" s="8">
        <f t="shared" si="50"/>
        <v>616162.19999999995</v>
      </c>
      <c r="AS231" s="42"/>
      <c r="AT231" s="48"/>
      <c r="AU231" s="48"/>
      <c r="AV231" s="4">
        <f t="shared" si="51"/>
        <v>0</v>
      </c>
      <c r="AW231" s="50" t="str">
        <f t="shared" si="52"/>
        <v/>
      </c>
      <c r="AX231" s="1" t="s">
        <v>1703</v>
      </c>
      <c r="AY231" s="2" t="s">
        <v>1704</v>
      </c>
      <c r="AZ231" s="2">
        <v>135824.79999999999</v>
      </c>
      <c r="BA231" s="73">
        <v>118846.7</v>
      </c>
      <c r="BB231" s="73">
        <v>118846.7</v>
      </c>
      <c r="BC231" s="73">
        <v>135824.79999999999</v>
      </c>
      <c r="BD231" s="73"/>
      <c r="BE231" s="66">
        <v>3.5000000000000003E-2</v>
      </c>
      <c r="BF231" s="66">
        <v>0.05</v>
      </c>
      <c r="BG231" s="63">
        <v>44544</v>
      </c>
      <c r="BH231" s="74">
        <v>42749</v>
      </c>
      <c r="BI231" s="74">
        <v>42774</v>
      </c>
      <c r="BJ231" s="2"/>
      <c r="BK231" s="2"/>
      <c r="BL231" s="1" t="s">
        <v>104</v>
      </c>
    </row>
    <row r="232" spans="1:64" x14ac:dyDescent="0.25">
      <c r="A232" s="56" t="s">
        <v>427</v>
      </c>
      <c r="B232" s="54" t="s">
        <v>894</v>
      </c>
      <c r="C232" s="56" t="s">
        <v>895</v>
      </c>
      <c r="D232" s="16">
        <v>43855</v>
      </c>
      <c r="E232" s="17">
        <v>45832</v>
      </c>
      <c r="F232" s="2" t="s">
        <v>414</v>
      </c>
      <c r="G232" s="2" t="s">
        <v>415</v>
      </c>
      <c r="H232" s="10" t="s">
        <v>105</v>
      </c>
      <c r="I232" s="11" t="s">
        <v>53</v>
      </c>
      <c r="J232" s="11" t="s">
        <v>312</v>
      </c>
      <c r="K232" s="61"/>
      <c r="L232" s="11" t="s">
        <v>67</v>
      </c>
      <c r="M232" s="25"/>
      <c r="N232" s="54"/>
      <c r="O232" s="3" t="str">
        <f t="shared" si="53"/>
        <v>A</v>
      </c>
      <c r="P232" s="48"/>
      <c r="Q232" s="48"/>
      <c r="R232" s="32"/>
      <c r="S232" s="3" t="str">
        <f t="shared" si="54"/>
        <v>A</v>
      </c>
      <c r="T232" s="48"/>
      <c r="U232" s="48"/>
      <c r="V232" s="32"/>
      <c r="W232" s="3" t="str">
        <f t="shared" si="46"/>
        <v>A</v>
      </c>
      <c r="X232" s="48"/>
      <c r="Y232" s="48"/>
      <c r="Z232" s="32"/>
      <c r="AA232" s="3" t="str">
        <f t="shared" si="47"/>
        <v>A</v>
      </c>
      <c r="AB232" s="48"/>
      <c r="AC232" s="48"/>
      <c r="AD232" s="36"/>
      <c r="AE232" s="54"/>
      <c r="AF232" s="3" t="str">
        <f t="shared" si="48"/>
        <v>A</v>
      </c>
      <c r="AG232" s="48"/>
      <c r="AH232" s="48"/>
      <c r="AI232" s="39"/>
      <c r="AJ232" s="79" t="s">
        <v>1801</v>
      </c>
      <c r="AK232" s="39"/>
      <c r="AL232" s="4">
        <f t="shared" si="55"/>
        <v>0</v>
      </c>
      <c r="AM232" s="4">
        <f t="shared" si="55"/>
        <v>0</v>
      </c>
      <c r="AN232" s="4">
        <f t="shared" si="49"/>
        <v>0</v>
      </c>
      <c r="AO232" s="39"/>
      <c r="AP232" s="8">
        <f t="shared" si="56"/>
        <v>0</v>
      </c>
      <c r="AQ232" s="8">
        <f t="shared" si="56"/>
        <v>0</v>
      </c>
      <c r="AR232" s="8">
        <f t="shared" si="50"/>
        <v>0</v>
      </c>
      <c r="AS232" s="42"/>
      <c r="AT232" s="48"/>
      <c r="AU232" s="48"/>
      <c r="AV232" s="4">
        <f t="shared" si="51"/>
        <v>0</v>
      </c>
      <c r="AW232" s="50" t="str">
        <f t="shared" si="52"/>
        <v/>
      </c>
      <c r="AX232" s="1" t="s">
        <v>1703</v>
      </c>
      <c r="AY232" s="2" t="s">
        <v>1704</v>
      </c>
      <c r="AZ232" s="2"/>
      <c r="BA232" s="73"/>
      <c r="BB232" s="73"/>
      <c r="BC232" s="73"/>
      <c r="BD232" s="73"/>
      <c r="BE232" s="66">
        <v>0</v>
      </c>
      <c r="BF232" s="66">
        <v>0.05</v>
      </c>
      <c r="BG232" s="63">
        <v>44544</v>
      </c>
      <c r="BH232" s="74">
        <v>45658</v>
      </c>
      <c r="BI232" s="2"/>
      <c r="BJ232" s="2"/>
      <c r="BK232" s="2"/>
      <c r="BL232" s="1" t="s">
        <v>104</v>
      </c>
    </row>
    <row r="233" spans="1:64" x14ac:dyDescent="0.25">
      <c r="A233" s="56" t="s">
        <v>429</v>
      </c>
      <c r="B233" s="54" t="s">
        <v>429</v>
      </c>
      <c r="C233" s="56" t="s">
        <v>430</v>
      </c>
      <c r="D233" s="16">
        <v>40867</v>
      </c>
      <c r="E233" s="17"/>
      <c r="F233" s="2" t="s">
        <v>431</v>
      </c>
      <c r="G233" s="2" t="s">
        <v>432</v>
      </c>
      <c r="H233" s="10" t="s">
        <v>57</v>
      </c>
      <c r="I233" s="11" t="s">
        <v>53</v>
      </c>
      <c r="J233" s="11" t="s">
        <v>397</v>
      </c>
      <c r="K233" s="61"/>
      <c r="L233" s="11" t="s">
        <v>67</v>
      </c>
      <c r="M233" s="25"/>
      <c r="N233" s="54"/>
      <c r="O233" s="3" t="str">
        <f t="shared" si="53"/>
        <v>A</v>
      </c>
      <c r="P233" s="48">
        <v>43483</v>
      </c>
      <c r="Q233" s="48">
        <v>4936</v>
      </c>
      <c r="R233" s="32"/>
      <c r="S233" s="3" t="str">
        <f t="shared" si="54"/>
        <v>E</v>
      </c>
      <c r="T233" s="48">
        <v>44082.15</v>
      </c>
      <c r="U233" s="48">
        <v>2097.27</v>
      </c>
      <c r="V233" s="32"/>
      <c r="W233" s="3" t="str">
        <f t="shared" si="46"/>
        <v>E</v>
      </c>
      <c r="X233" s="48">
        <v>44082.15</v>
      </c>
      <c r="Y233" s="48">
        <v>2097.27</v>
      </c>
      <c r="Z233" s="32"/>
      <c r="AA233" s="3" t="str">
        <f t="shared" si="47"/>
        <v>A</v>
      </c>
      <c r="AB233" s="48">
        <v>40177</v>
      </c>
      <c r="AC233" s="48">
        <v>5997</v>
      </c>
      <c r="AD233" s="36"/>
      <c r="AE233" s="54"/>
      <c r="AF233" s="3" t="str">
        <f t="shared" si="48"/>
        <v>A</v>
      </c>
      <c r="AG233" s="48">
        <v>0</v>
      </c>
      <c r="AH233" s="48">
        <v>0</v>
      </c>
      <c r="AI233" s="39"/>
      <c r="AJ233" s="79" t="s">
        <v>38</v>
      </c>
      <c r="AK233" s="39"/>
      <c r="AL233" s="4">
        <f t="shared" si="55"/>
        <v>83660</v>
      </c>
      <c r="AM233" s="4">
        <f t="shared" si="55"/>
        <v>10933</v>
      </c>
      <c r="AN233" s="4">
        <f t="shared" si="49"/>
        <v>94593</v>
      </c>
      <c r="AO233" s="39"/>
      <c r="AP233" s="8">
        <f t="shared" si="56"/>
        <v>88164.3</v>
      </c>
      <c r="AQ233" s="8">
        <f t="shared" si="56"/>
        <v>4194.54</v>
      </c>
      <c r="AR233" s="8">
        <f t="shared" si="50"/>
        <v>92358.84</v>
      </c>
      <c r="AS233" s="42"/>
      <c r="AT233" s="48">
        <v>83660</v>
      </c>
      <c r="AU233" s="48">
        <v>10933</v>
      </c>
      <c r="AV233" s="4">
        <f t="shared" si="51"/>
        <v>94593</v>
      </c>
      <c r="AW233" s="50" t="str">
        <f t="shared" si="52"/>
        <v/>
      </c>
      <c r="AX233" s="1" t="s">
        <v>1707</v>
      </c>
      <c r="AY233" s="2" t="s">
        <v>1708</v>
      </c>
      <c r="AZ233" s="2">
        <v>50379.6</v>
      </c>
      <c r="BA233" s="73">
        <v>44082.15</v>
      </c>
      <c r="BB233" s="73">
        <v>44082.15</v>
      </c>
      <c r="BC233" s="73">
        <v>50379.6</v>
      </c>
      <c r="BD233" s="73"/>
      <c r="BE233" s="66">
        <v>3.5000000000000003E-2</v>
      </c>
      <c r="BF233" s="66">
        <v>0.05</v>
      </c>
      <c r="BG233" s="63">
        <v>44518</v>
      </c>
      <c r="BH233" s="74">
        <v>43937</v>
      </c>
      <c r="BI233" s="74">
        <v>43953</v>
      </c>
      <c r="BJ233" s="2"/>
      <c r="BK233" s="2"/>
      <c r="BL233" s="1" t="s">
        <v>396</v>
      </c>
    </row>
    <row r="234" spans="1:64" x14ac:dyDescent="0.25">
      <c r="A234" s="56" t="s">
        <v>433</v>
      </c>
      <c r="B234" s="54" t="s">
        <v>433</v>
      </c>
      <c r="C234" s="56" t="s">
        <v>434</v>
      </c>
      <c r="D234" s="16">
        <v>41047</v>
      </c>
      <c r="E234" s="17"/>
      <c r="F234" s="2" t="s">
        <v>187</v>
      </c>
      <c r="G234" s="2" t="s">
        <v>189</v>
      </c>
      <c r="H234" s="10" t="s">
        <v>57</v>
      </c>
      <c r="I234" s="11" t="s">
        <v>188</v>
      </c>
      <c r="J234" s="11" t="s">
        <v>338</v>
      </c>
      <c r="K234" s="61" t="s">
        <v>339</v>
      </c>
      <c r="L234" s="11" t="s">
        <v>67</v>
      </c>
      <c r="M234" s="25"/>
      <c r="N234" s="54"/>
      <c r="O234" s="3" t="str">
        <f t="shared" si="53"/>
        <v>A</v>
      </c>
      <c r="P234" s="48">
        <v>122362.62</v>
      </c>
      <c r="Q234" s="48">
        <v>30728.6</v>
      </c>
      <c r="R234" s="32"/>
      <c r="S234" s="3" t="str">
        <f t="shared" si="54"/>
        <v>A</v>
      </c>
      <c r="T234" s="48">
        <v>109762.91</v>
      </c>
      <c r="U234" s="48">
        <v>26324.510000000002</v>
      </c>
      <c r="V234" s="32"/>
      <c r="W234" s="3" t="str">
        <f t="shared" si="46"/>
        <v>A</v>
      </c>
      <c r="X234" s="48">
        <v>95982.84</v>
      </c>
      <c r="Y234" s="48">
        <v>19049.719999999998</v>
      </c>
      <c r="Z234" s="32"/>
      <c r="AA234" s="3" t="str">
        <f t="shared" si="47"/>
        <v>A</v>
      </c>
      <c r="AB234" s="48">
        <v>97897.12000000001</v>
      </c>
      <c r="AC234" s="48">
        <v>18012.059999999998</v>
      </c>
      <c r="AD234" s="36"/>
      <c r="AE234" s="54"/>
      <c r="AF234" s="3" t="str">
        <f t="shared" si="48"/>
        <v>A</v>
      </c>
      <c r="AG234" s="48">
        <v>0</v>
      </c>
      <c r="AH234" s="48">
        <v>0</v>
      </c>
      <c r="AI234" s="39"/>
      <c r="AJ234" s="79" t="s">
        <v>1801</v>
      </c>
      <c r="AK234" s="39"/>
      <c r="AL234" s="4">
        <f t="shared" si="55"/>
        <v>426005.49</v>
      </c>
      <c r="AM234" s="4">
        <f t="shared" si="55"/>
        <v>94114.89</v>
      </c>
      <c r="AN234" s="4">
        <f t="shared" si="49"/>
        <v>520120.38</v>
      </c>
      <c r="AO234" s="39"/>
      <c r="AP234" s="8">
        <f t="shared" si="56"/>
        <v>0</v>
      </c>
      <c r="AQ234" s="8">
        <f t="shared" si="56"/>
        <v>0</v>
      </c>
      <c r="AR234" s="8">
        <f t="shared" si="50"/>
        <v>0</v>
      </c>
      <c r="AS234" s="42"/>
      <c r="AT234" s="48">
        <v>426005.48999999993</v>
      </c>
      <c r="AU234" s="48">
        <v>94114.890000000014</v>
      </c>
      <c r="AV234" s="4">
        <f t="shared" si="51"/>
        <v>520120.37999999995</v>
      </c>
      <c r="AW234" s="50" t="str">
        <f t="shared" si="52"/>
        <v/>
      </c>
      <c r="AX234" s="1" t="s">
        <v>1639</v>
      </c>
      <c r="AY234" s="2" t="s">
        <v>1640</v>
      </c>
      <c r="AZ234" s="2">
        <v>143694.72</v>
      </c>
      <c r="BA234" s="73">
        <v>125732.88</v>
      </c>
      <c r="BB234" s="73">
        <v>125732.88</v>
      </c>
      <c r="BC234" s="73">
        <v>143694.72</v>
      </c>
      <c r="BD234" s="73"/>
      <c r="BE234" s="66">
        <v>3.5000000000000003E-2</v>
      </c>
      <c r="BF234" s="66">
        <v>0.02</v>
      </c>
      <c r="BG234" s="63">
        <v>44693</v>
      </c>
      <c r="BH234" s="2"/>
      <c r="BI234" s="2"/>
      <c r="BJ234" s="2"/>
      <c r="BK234" s="2"/>
      <c r="BL234" s="1" t="s">
        <v>56</v>
      </c>
    </row>
    <row r="235" spans="1:64" x14ac:dyDescent="0.25">
      <c r="A235" s="56" t="s">
        <v>433</v>
      </c>
      <c r="B235" s="54" t="s">
        <v>849</v>
      </c>
      <c r="C235" s="56" t="s">
        <v>850</v>
      </c>
      <c r="D235" s="16">
        <v>44693</v>
      </c>
      <c r="E235" s="17"/>
      <c r="F235" s="2" t="s">
        <v>187</v>
      </c>
      <c r="G235" s="2" t="s">
        <v>189</v>
      </c>
      <c r="H235" s="10" t="s">
        <v>57</v>
      </c>
      <c r="I235" s="11" t="s">
        <v>188</v>
      </c>
      <c r="J235" s="11" t="s">
        <v>338</v>
      </c>
      <c r="K235" s="61" t="s">
        <v>339</v>
      </c>
      <c r="L235" s="11" t="s">
        <v>67</v>
      </c>
      <c r="M235" s="25"/>
      <c r="N235" s="54"/>
      <c r="O235" s="3" t="str">
        <f t="shared" si="53"/>
        <v>A</v>
      </c>
      <c r="P235" s="48">
        <v>10335</v>
      </c>
      <c r="Q235" s="48">
        <v>7788</v>
      </c>
      <c r="R235" s="32"/>
      <c r="S235" s="3" t="str">
        <f t="shared" si="54"/>
        <v>A</v>
      </c>
      <c r="T235" s="48">
        <v>17948</v>
      </c>
      <c r="U235" s="48">
        <v>5583</v>
      </c>
      <c r="V235" s="32"/>
      <c r="W235" s="3" t="str">
        <f t="shared" si="46"/>
        <v>A</v>
      </c>
      <c r="X235" s="48">
        <v>7999</v>
      </c>
      <c r="Y235" s="48">
        <v>7643</v>
      </c>
      <c r="Z235" s="32"/>
      <c r="AA235" s="3" t="str">
        <f t="shared" si="47"/>
        <v>A</v>
      </c>
      <c r="AB235" s="48">
        <v>9635</v>
      </c>
      <c r="AC235" s="48">
        <v>8074</v>
      </c>
      <c r="AD235" s="36"/>
      <c r="AE235" s="54"/>
      <c r="AF235" s="3" t="str">
        <f t="shared" si="48"/>
        <v>A</v>
      </c>
      <c r="AG235" s="48">
        <v>0</v>
      </c>
      <c r="AH235" s="48">
        <v>0</v>
      </c>
      <c r="AI235" s="39"/>
      <c r="AJ235" s="79" t="s">
        <v>1801</v>
      </c>
      <c r="AK235" s="39"/>
      <c r="AL235" s="4">
        <f t="shared" si="55"/>
        <v>45917</v>
      </c>
      <c r="AM235" s="4">
        <f t="shared" si="55"/>
        <v>29088</v>
      </c>
      <c r="AN235" s="4">
        <f t="shared" si="49"/>
        <v>75005</v>
      </c>
      <c r="AO235" s="39"/>
      <c r="AP235" s="8">
        <f t="shared" si="56"/>
        <v>0</v>
      </c>
      <c r="AQ235" s="8">
        <f t="shared" si="56"/>
        <v>0</v>
      </c>
      <c r="AR235" s="8">
        <f t="shared" si="50"/>
        <v>0</v>
      </c>
      <c r="AS235" s="42"/>
      <c r="AT235" s="48">
        <v>45917</v>
      </c>
      <c r="AU235" s="48">
        <v>29088</v>
      </c>
      <c r="AV235" s="4">
        <f t="shared" si="51"/>
        <v>75005</v>
      </c>
      <c r="AW235" s="50" t="str">
        <f t="shared" si="52"/>
        <v/>
      </c>
      <c r="AX235" s="1" t="s">
        <v>1639</v>
      </c>
      <c r="AY235" s="2" t="s">
        <v>1640</v>
      </c>
      <c r="AZ235" s="2">
        <v>112959.36</v>
      </c>
      <c r="BA235" s="73">
        <v>98839.44</v>
      </c>
      <c r="BB235" s="73">
        <v>98839.44</v>
      </c>
      <c r="BC235" s="73">
        <v>112959.36</v>
      </c>
      <c r="BD235" s="73"/>
      <c r="BE235" s="66">
        <v>0</v>
      </c>
      <c r="BF235" s="66">
        <v>0.02</v>
      </c>
      <c r="BG235" s="63">
        <v>44693</v>
      </c>
      <c r="BH235" s="2"/>
      <c r="BI235" s="2"/>
      <c r="BJ235" s="2">
        <v>411431</v>
      </c>
      <c r="BK235" s="2">
        <v>45715</v>
      </c>
      <c r="BL235" s="1" t="s">
        <v>56</v>
      </c>
    </row>
    <row r="236" spans="1:64" x14ac:dyDescent="0.25">
      <c r="A236" s="56" t="s">
        <v>435</v>
      </c>
      <c r="B236" s="54" t="s">
        <v>435</v>
      </c>
      <c r="C236" s="56" t="s">
        <v>436</v>
      </c>
      <c r="D236" s="16">
        <v>41136</v>
      </c>
      <c r="E236" s="17"/>
      <c r="F236" s="2" t="s">
        <v>187</v>
      </c>
      <c r="G236" s="2" t="s">
        <v>189</v>
      </c>
      <c r="H236" s="10" t="s">
        <v>57</v>
      </c>
      <c r="I236" s="11" t="s">
        <v>188</v>
      </c>
      <c r="J236" s="11" t="s">
        <v>190</v>
      </c>
      <c r="K236" s="61" t="s">
        <v>191</v>
      </c>
      <c r="L236" s="11" t="s">
        <v>67</v>
      </c>
      <c r="M236" s="25"/>
      <c r="N236" s="54"/>
      <c r="O236" s="3" t="str">
        <f t="shared" si="53"/>
        <v>A</v>
      </c>
      <c r="P236" s="48">
        <v>224550.5</v>
      </c>
      <c r="Q236" s="48">
        <v>61998</v>
      </c>
      <c r="R236" s="32"/>
      <c r="S236" s="3" t="str">
        <f t="shared" si="54"/>
        <v>A</v>
      </c>
      <c r="T236" s="48">
        <v>184602.4</v>
      </c>
      <c r="U236" s="48">
        <v>49859.6</v>
      </c>
      <c r="V236" s="32"/>
      <c r="W236" s="3" t="str">
        <f t="shared" si="46"/>
        <v>A</v>
      </c>
      <c r="X236" s="48">
        <v>142031.6</v>
      </c>
      <c r="Y236" s="48">
        <v>40957</v>
      </c>
      <c r="Z236" s="32"/>
      <c r="AA236" s="3" t="str">
        <f t="shared" si="47"/>
        <v>A</v>
      </c>
      <c r="AB236" s="48">
        <v>166772.44999999998</v>
      </c>
      <c r="AC236" s="48">
        <v>43520</v>
      </c>
      <c r="AD236" s="36"/>
      <c r="AE236" s="54"/>
      <c r="AF236" s="3" t="str">
        <f t="shared" si="48"/>
        <v>A</v>
      </c>
      <c r="AG236" s="48">
        <v>0</v>
      </c>
      <c r="AH236" s="48">
        <v>0</v>
      </c>
      <c r="AI236" s="39"/>
      <c r="AJ236" s="79" t="s">
        <v>1801</v>
      </c>
      <c r="AK236" s="39"/>
      <c r="AL236" s="4">
        <f t="shared" si="55"/>
        <v>717956.95</v>
      </c>
      <c r="AM236" s="4">
        <f t="shared" si="55"/>
        <v>196334.6</v>
      </c>
      <c r="AN236" s="4">
        <f t="shared" si="49"/>
        <v>914291.54999999993</v>
      </c>
      <c r="AO236" s="39"/>
      <c r="AP236" s="8">
        <f t="shared" si="56"/>
        <v>0</v>
      </c>
      <c r="AQ236" s="8">
        <f t="shared" si="56"/>
        <v>0</v>
      </c>
      <c r="AR236" s="8">
        <f t="shared" si="50"/>
        <v>0</v>
      </c>
      <c r="AS236" s="42"/>
      <c r="AT236" s="48">
        <v>717956.95000000007</v>
      </c>
      <c r="AU236" s="48">
        <v>196334.6</v>
      </c>
      <c r="AV236" s="4">
        <f t="shared" si="51"/>
        <v>914291.55</v>
      </c>
      <c r="AW236" s="50" t="str">
        <f t="shared" si="52"/>
        <v/>
      </c>
      <c r="AX236" s="1" t="s">
        <v>1639</v>
      </c>
      <c r="AY236" s="2" t="s">
        <v>1640</v>
      </c>
      <c r="AZ236" s="2">
        <v>221197.6</v>
      </c>
      <c r="BA236" s="73">
        <v>193547.9</v>
      </c>
      <c r="BB236" s="73">
        <v>193547.9</v>
      </c>
      <c r="BC236" s="73">
        <v>221197.6</v>
      </c>
      <c r="BD236" s="73"/>
      <c r="BE236" s="66">
        <v>3.5000000000000003E-2</v>
      </c>
      <c r="BF236" s="66">
        <v>0.02</v>
      </c>
      <c r="BG236" s="63">
        <v>44774</v>
      </c>
      <c r="BH236" s="2"/>
      <c r="BI236" s="2"/>
      <c r="BJ236" s="2"/>
      <c r="BK236" s="2"/>
      <c r="BL236" s="1" t="s">
        <v>56</v>
      </c>
    </row>
    <row r="237" spans="1:64" x14ac:dyDescent="0.25">
      <c r="A237" s="56" t="s">
        <v>435</v>
      </c>
      <c r="B237" s="54" t="s">
        <v>767</v>
      </c>
      <c r="C237" s="56" t="s">
        <v>768</v>
      </c>
      <c r="D237" s="16">
        <v>42941</v>
      </c>
      <c r="E237" s="17"/>
      <c r="F237" s="2" t="s">
        <v>187</v>
      </c>
      <c r="G237" s="2" t="s">
        <v>189</v>
      </c>
      <c r="H237" s="10" t="s">
        <v>57</v>
      </c>
      <c r="I237" s="11" t="s">
        <v>188</v>
      </c>
      <c r="J237" s="11" t="s">
        <v>190</v>
      </c>
      <c r="K237" s="61" t="s">
        <v>191</v>
      </c>
      <c r="L237" s="11" t="s">
        <v>67</v>
      </c>
      <c r="M237" s="25"/>
      <c r="N237" s="54"/>
      <c r="O237" s="3" t="str">
        <f t="shared" si="53"/>
        <v>A</v>
      </c>
      <c r="P237" s="48">
        <v>37805</v>
      </c>
      <c r="Q237" s="48">
        <v>17245</v>
      </c>
      <c r="R237" s="32"/>
      <c r="S237" s="3" t="str">
        <f t="shared" si="54"/>
        <v>A</v>
      </c>
      <c r="T237" s="48">
        <v>28902</v>
      </c>
      <c r="U237" s="48">
        <v>14548</v>
      </c>
      <c r="V237" s="32"/>
      <c r="W237" s="3" t="str">
        <f t="shared" si="46"/>
        <v>A</v>
      </c>
      <c r="X237" s="48">
        <v>23014</v>
      </c>
      <c r="Y237" s="48">
        <v>9658</v>
      </c>
      <c r="Z237" s="32"/>
      <c r="AA237" s="3" t="str">
        <f t="shared" si="47"/>
        <v>A</v>
      </c>
      <c r="AB237" s="48">
        <v>30772</v>
      </c>
      <c r="AC237" s="48">
        <v>12799</v>
      </c>
      <c r="AD237" s="36"/>
      <c r="AE237" s="54"/>
      <c r="AF237" s="3" t="str">
        <f t="shared" si="48"/>
        <v>A</v>
      </c>
      <c r="AG237" s="48">
        <v>0</v>
      </c>
      <c r="AH237" s="48">
        <v>0</v>
      </c>
      <c r="AI237" s="39"/>
      <c r="AJ237" s="79" t="s">
        <v>1801</v>
      </c>
      <c r="AK237" s="39"/>
      <c r="AL237" s="4">
        <f t="shared" si="55"/>
        <v>120493</v>
      </c>
      <c r="AM237" s="4">
        <f t="shared" si="55"/>
        <v>54250</v>
      </c>
      <c r="AN237" s="4">
        <f t="shared" si="49"/>
        <v>174743</v>
      </c>
      <c r="AO237" s="39"/>
      <c r="AP237" s="8">
        <f t="shared" si="56"/>
        <v>0</v>
      </c>
      <c r="AQ237" s="8">
        <f t="shared" si="56"/>
        <v>0</v>
      </c>
      <c r="AR237" s="8">
        <f t="shared" si="50"/>
        <v>0</v>
      </c>
      <c r="AS237" s="42"/>
      <c r="AT237" s="48">
        <v>120493</v>
      </c>
      <c r="AU237" s="48">
        <v>54250</v>
      </c>
      <c r="AV237" s="4">
        <f t="shared" si="51"/>
        <v>174743</v>
      </c>
      <c r="AW237" s="50" t="str">
        <f t="shared" si="52"/>
        <v/>
      </c>
      <c r="AX237" s="1" t="s">
        <v>1639</v>
      </c>
      <c r="AY237" s="2" t="s">
        <v>1640</v>
      </c>
      <c r="AZ237" s="2">
        <v>50634.16</v>
      </c>
      <c r="BA237" s="73">
        <v>44304.89</v>
      </c>
      <c r="BB237" s="73">
        <v>44304.89</v>
      </c>
      <c r="BC237" s="73">
        <v>50634.16</v>
      </c>
      <c r="BD237" s="73"/>
      <c r="BE237" s="66">
        <v>0</v>
      </c>
      <c r="BF237" s="66">
        <v>0.02</v>
      </c>
      <c r="BG237" s="63">
        <v>44774</v>
      </c>
      <c r="BH237" s="2"/>
      <c r="BI237" s="2"/>
      <c r="BJ237" s="2"/>
      <c r="BK237" s="2"/>
      <c r="BL237" s="1" t="s">
        <v>56</v>
      </c>
    </row>
    <row r="238" spans="1:64" x14ac:dyDescent="0.25">
      <c r="A238" s="56" t="s">
        <v>363</v>
      </c>
      <c r="B238" s="54" t="s">
        <v>364</v>
      </c>
      <c r="C238" s="56" t="s">
        <v>365</v>
      </c>
      <c r="D238" s="16">
        <v>39708</v>
      </c>
      <c r="E238" s="17"/>
      <c r="F238" s="2" t="s">
        <v>366</v>
      </c>
      <c r="G238" s="2" t="s">
        <v>367</v>
      </c>
      <c r="H238" s="10" t="s">
        <v>105</v>
      </c>
      <c r="I238" s="11" t="s">
        <v>53</v>
      </c>
      <c r="J238" s="11" t="s">
        <v>312</v>
      </c>
      <c r="K238" s="61"/>
      <c r="L238" s="11" t="s">
        <v>67</v>
      </c>
      <c r="M238" s="25"/>
      <c r="N238" s="54"/>
      <c r="O238" s="3" t="str">
        <f t="shared" si="53"/>
        <v>A</v>
      </c>
      <c r="P238" s="48">
        <v>19807</v>
      </c>
      <c r="Q238" s="48">
        <v>7030</v>
      </c>
      <c r="R238" s="32"/>
      <c r="S238" s="3" t="str">
        <f t="shared" si="54"/>
        <v>A</v>
      </c>
      <c r="T238" s="48">
        <v>15109</v>
      </c>
      <c r="U238" s="48">
        <v>7825</v>
      </c>
      <c r="V238" s="32"/>
      <c r="W238" s="3" t="str">
        <f t="shared" si="46"/>
        <v>A</v>
      </c>
      <c r="X238" s="48">
        <v>18544</v>
      </c>
      <c r="Y238" s="48">
        <v>9160</v>
      </c>
      <c r="Z238" s="32"/>
      <c r="AA238" s="3" t="str">
        <f t="shared" si="47"/>
        <v>A</v>
      </c>
      <c r="AB238" s="48">
        <v>18834</v>
      </c>
      <c r="AC238" s="48">
        <v>10079</v>
      </c>
      <c r="AD238" s="36"/>
      <c r="AE238" s="54"/>
      <c r="AF238" s="3" t="str">
        <f t="shared" si="48"/>
        <v>A</v>
      </c>
      <c r="AG238" s="48">
        <v>0</v>
      </c>
      <c r="AH238" s="48">
        <v>0</v>
      </c>
      <c r="AI238" s="39"/>
      <c r="AJ238" s="79" t="s">
        <v>1801</v>
      </c>
      <c r="AK238" s="39"/>
      <c r="AL238" s="4">
        <f t="shared" si="55"/>
        <v>72294</v>
      </c>
      <c r="AM238" s="4">
        <f t="shared" si="55"/>
        <v>34094</v>
      </c>
      <c r="AN238" s="4">
        <f t="shared" si="49"/>
        <v>106388</v>
      </c>
      <c r="AO238" s="39"/>
      <c r="AP238" s="8">
        <f t="shared" si="56"/>
        <v>0</v>
      </c>
      <c r="AQ238" s="8">
        <f t="shared" si="56"/>
        <v>0</v>
      </c>
      <c r="AR238" s="8">
        <f t="shared" si="50"/>
        <v>0</v>
      </c>
      <c r="AS238" s="42"/>
      <c r="AT238" s="48">
        <v>72294</v>
      </c>
      <c r="AU238" s="48">
        <v>34094</v>
      </c>
      <c r="AV238" s="4">
        <f t="shared" si="51"/>
        <v>106388</v>
      </c>
      <c r="AW238" s="50" t="str">
        <f t="shared" si="52"/>
        <v/>
      </c>
      <c r="AX238" s="1" t="s">
        <v>1690</v>
      </c>
      <c r="AY238" s="2" t="s">
        <v>1691</v>
      </c>
      <c r="AZ238" s="2">
        <v>57835.68</v>
      </c>
      <c r="BA238" s="73">
        <v>50606.22</v>
      </c>
      <c r="BB238" s="73">
        <v>50606.22</v>
      </c>
      <c r="BC238" s="73">
        <v>57835.68</v>
      </c>
      <c r="BD238" s="73"/>
      <c r="BE238" s="66">
        <v>4.4999999999999998E-2</v>
      </c>
      <c r="BF238" s="66">
        <v>0.05</v>
      </c>
      <c r="BG238" s="63">
        <v>45186</v>
      </c>
      <c r="BH238" s="74">
        <v>43926</v>
      </c>
      <c r="BI238" s="74">
        <v>44013</v>
      </c>
      <c r="BJ238" s="2"/>
      <c r="BK238" s="2"/>
      <c r="BL238" s="1" t="s">
        <v>311</v>
      </c>
    </row>
    <row r="239" spans="1:64" x14ac:dyDescent="0.25">
      <c r="A239" s="56" t="s">
        <v>363</v>
      </c>
      <c r="B239" s="54" t="s">
        <v>363</v>
      </c>
      <c r="C239" s="56" t="s">
        <v>437</v>
      </c>
      <c r="D239" s="16">
        <v>41184</v>
      </c>
      <c r="E239" s="17"/>
      <c r="F239" s="2" t="s">
        <v>366</v>
      </c>
      <c r="G239" s="2" t="s">
        <v>367</v>
      </c>
      <c r="H239" s="10" t="s">
        <v>105</v>
      </c>
      <c r="I239" s="11" t="s">
        <v>53</v>
      </c>
      <c r="J239" s="11" t="s">
        <v>312</v>
      </c>
      <c r="K239" s="61"/>
      <c r="L239" s="11" t="s">
        <v>67</v>
      </c>
      <c r="M239" s="25"/>
      <c r="N239" s="54"/>
      <c r="O239" s="3" t="str">
        <f t="shared" si="53"/>
        <v>A</v>
      </c>
      <c r="P239" s="48">
        <v>160598</v>
      </c>
      <c r="Q239" s="48">
        <v>44973.5</v>
      </c>
      <c r="R239" s="32"/>
      <c r="S239" s="3" t="str">
        <f t="shared" si="54"/>
        <v>A</v>
      </c>
      <c r="T239" s="48">
        <v>150460</v>
      </c>
      <c r="U239" s="48">
        <v>58126</v>
      </c>
      <c r="V239" s="32"/>
      <c r="W239" s="3" t="str">
        <f t="shared" si="46"/>
        <v>A</v>
      </c>
      <c r="X239" s="48">
        <v>134162</v>
      </c>
      <c r="Y239" s="48">
        <v>44223</v>
      </c>
      <c r="Z239" s="32"/>
      <c r="AA239" s="3" t="str">
        <f t="shared" si="47"/>
        <v>A</v>
      </c>
      <c r="AB239" s="48">
        <v>141335</v>
      </c>
      <c r="AC239" s="48">
        <v>43678.5</v>
      </c>
      <c r="AD239" s="36"/>
      <c r="AE239" s="54"/>
      <c r="AF239" s="3" t="str">
        <f t="shared" si="48"/>
        <v>A</v>
      </c>
      <c r="AG239" s="48">
        <v>0</v>
      </c>
      <c r="AH239" s="48">
        <v>0</v>
      </c>
      <c r="AI239" s="39"/>
      <c r="AJ239" s="79" t="s">
        <v>1801</v>
      </c>
      <c r="AK239" s="39"/>
      <c r="AL239" s="4">
        <f t="shared" si="55"/>
        <v>586555</v>
      </c>
      <c r="AM239" s="4">
        <f t="shared" si="55"/>
        <v>191001</v>
      </c>
      <c r="AN239" s="4">
        <f t="shared" si="49"/>
        <v>777556</v>
      </c>
      <c r="AO239" s="39"/>
      <c r="AP239" s="8">
        <f t="shared" si="56"/>
        <v>0</v>
      </c>
      <c r="AQ239" s="8">
        <f t="shared" si="56"/>
        <v>0</v>
      </c>
      <c r="AR239" s="8">
        <f t="shared" si="50"/>
        <v>0</v>
      </c>
      <c r="AS239" s="42"/>
      <c r="AT239" s="48">
        <v>586555</v>
      </c>
      <c r="AU239" s="48">
        <v>191001</v>
      </c>
      <c r="AV239" s="4">
        <f t="shared" si="51"/>
        <v>777556</v>
      </c>
      <c r="AW239" s="50" t="str">
        <f t="shared" si="52"/>
        <v/>
      </c>
      <c r="AX239" s="1" t="s">
        <v>1690</v>
      </c>
      <c r="AY239" s="2" t="s">
        <v>1691</v>
      </c>
      <c r="AZ239" s="2">
        <v>136348.79999999999</v>
      </c>
      <c r="BA239" s="73">
        <v>119305.2</v>
      </c>
      <c r="BB239" s="73">
        <v>119305.2</v>
      </c>
      <c r="BC239" s="73">
        <v>136348.79999999999</v>
      </c>
      <c r="BD239" s="73"/>
      <c r="BE239" s="66">
        <v>0.04</v>
      </c>
      <c r="BF239" s="66">
        <v>0.05</v>
      </c>
      <c r="BG239" s="63">
        <v>45186</v>
      </c>
      <c r="BH239" s="74">
        <v>44067</v>
      </c>
      <c r="BI239" s="74">
        <v>44105</v>
      </c>
      <c r="BJ239" s="2"/>
      <c r="BK239" s="2"/>
      <c r="BL239" s="1" t="s">
        <v>104</v>
      </c>
    </row>
    <row r="240" spans="1:64" x14ac:dyDescent="0.25">
      <c r="A240" s="56" t="s">
        <v>363</v>
      </c>
      <c r="B240" s="54" t="s">
        <v>547</v>
      </c>
      <c r="C240" s="56" t="s">
        <v>548</v>
      </c>
      <c r="D240" s="16">
        <v>42747</v>
      </c>
      <c r="E240" s="17"/>
      <c r="F240" s="2" t="s">
        <v>366</v>
      </c>
      <c r="G240" s="2" t="s">
        <v>367</v>
      </c>
      <c r="H240" s="10" t="s">
        <v>105</v>
      </c>
      <c r="I240" s="11" t="s">
        <v>53</v>
      </c>
      <c r="J240" s="11" t="s">
        <v>312</v>
      </c>
      <c r="K240" s="61"/>
      <c r="L240" s="11" t="s">
        <v>67</v>
      </c>
      <c r="M240" s="25"/>
      <c r="N240" s="54"/>
      <c r="O240" s="3" t="str">
        <f t="shared" si="53"/>
        <v>A</v>
      </c>
      <c r="P240" s="48">
        <v>22962</v>
      </c>
      <c r="Q240" s="48">
        <v>5486</v>
      </c>
      <c r="R240" s="32"/>
      <c r="S240" s="3" t="str">
        <f t="shared" si="54"/>
        <v>A</v>
      </c>
      <c r="T240" s="48">
        <v>22923</v>
      </c>
      <c r="U240" s="48">
        <v>9052</v>
      </c>
      <c r="V240" s="32"/>
      <c r="W240" s="3" t="str">
        <f t="shared" si="46"/>
        <v>A</v>
      </c>
      <c r="X240" s="48">
        <v>23598</v>
      </c>
      <c r="Y240" s="48">
        <v>7705</v>
      </c>
      <c r="Z240" s="32"/>
      <c r="AA240" s="3" t="str">
        <f t="shared" si="47"/>
        <v>A</v>
      </c>
      <c r="AB240" s="48">
        <v>25052</v>
      </c>
      <c r="AC240" s="48">
        <v>8858</v>
      </c>
      <c r="AD240" s="36"/>
      <c r="AE240" s="54"/>
      <c r="AF240" s="3" t="str">
        <f t="shared" si="48"/>
        <v>A</v>
      </c>
      <c r="AG240" s="48">
        <v>0</v>
      </c>
      <c r="AH240" s="48">
        <v>0</v>
      </c>
      <c r="AI240" s="39"/>
      <c r="AJ240" s="79" t="s">
        <v>1801</v>
      </c>
      <c r="AK240" s="39"/>
      <c r="AL240" s="4">
        <f t="shared" si="55"/>
        <v>94535</v>
      </c>
      <c r="AM240" s="4">
        <f t="shared" si="55"/>
        <v>31101</v>
      </c>
      <c r="AN240" s="4">
        <f t="shared" si="49"/>
        <v>125636</v>
      </c>
      <c r="AO240" s="39"/>
      <c r="AP240" s="8">
        <f t="shared" si="56"/>
        <v>0</v>
      </c>
      <c r="AQ240" s="8">
        <f t="shared" si="56"/>
        <v>0</v>
      </c>
      <c r="AR240" s="8">
        <f t="shared" si="50"/>
        <v>0</v>
      </c>
      <c r="AS240" s="42"/>
      <c r="AT240" s="48">
        <v>94535</v>
      </c>
      <c r="AU240" s="48">
        <v>31101</v>
      </c>
      <c r="AV240" s="4">
        <f t="shared" si="51"/>
        <v>125636</v>
      </c>
      <c r="AW240" s="50" t="str">
        <f t="shared" si="52"/>
        <v/>
      </c>
      <c r="AX240" s="1" t="s">
        <v>1690</v>
      </c>
      <c r="AY240" s="2" t="s">
        <v>1691</v>
      </c>
      <c r="AZ240" s="2">
        <v>67627.199999999997</v>
      </c>
      <c r="BA240" s="73">
        <v>59173.8</v>
      </c>
      <c r="BB240" s="73">
        <v>59173.8</v>
      </c>
      <c r="BC240" s="73">
        <v>67627.199999999997</v>
      </c>
      <c r="BD240" s="73"/>
      <c r="BE240" s="66">
        <v>3.5000000000000003E-2</v>
      </c>
      <c r="BF240" s="66">
        <v>0.05</v>
      </c>
      <c r="BG240" s="63">
        <v>45186</v>
      </c>
      <c r="BH240" s="74">
        <v>43926</v>
      </c>
      <c r="BI240" s="74">
        <v>43952</v>
      </c>
      <c r="BJ240" s="2"/>
      <c r="BK240" s="2"/>
      <c r="BL240" s="1" t="s">
        <v>104</v>
      </c>
    </row>
    <row r="241" spans="1:64" x14ac:dyDescent="0.25">
      <c r="A241" s="56" t="s">
        <v>438</v>
      </c>
      <c r="B241" s="54" t="s">
        <v>438</v>
      </c>
      <c r="C241" s="56" t="s">
        <v>439</v>
      </c>
      <c r="D241" s="16">
        <v>41251</v>
      </c>
      <c r="E241" s="17"/>
      <c r="F241" s="2" t="s">
        <v>423</v>
      </c>
      <c r="G241" s="2" t="s">
        <v>424</v>
      </c>
      <c r="H241" s="10" t="s">
        <v>105</v>
      </c>
      <c r="I241" s="11" t="s">
        <v>53</v>
      </c>
      <c r="J241" s="11" t="s">
        <v>312</v>
      </c>
      <c r="K241" s="61"/>
      <c r="L241" s="11" t="s">
        <v>67</v>
      </c>
      <c r="M241" s="25"/>
      <c r="N241" s="54"/>
      <c r="O241" s="3" t="str">
        <f t="shared" si="53"/>
        <v>A</v>
      </c>
      <c r="P241" s="48">
        <v>136006</v>
      </c>
      <c r="Q241" s="48">
        <v>25715</v>
      </c>
      <c r="R241" s="32"/>
      <c r="S241" s="3" t="str">
        <f t="shared" si="54"/>
        <v>A</v>
      </c>
      <c r="T241" s="48">
        <v>118724</v>
      </c>
      <c r="U241" s="48">
        <v>19220</v>
      </c>
      <c r="V241" s="32"/>
      <c r="W241" s="3" t="str">
        <f t="shared" si="46"/>
        <v>A</v>
      </c>
      <c r="X241" s="48">
        <v>108595</v>
      </c>
      <c r="Y241" s="48">
        <v>15250</v>
      </c>
      <c r="Z241" s="32"/>
      <c r="AA241" s="3" t="str">
        <f t="shared" si="47"/>
        <v>A</v>
      </c>
      <c r="AB241" s="48">
        <v>122613</v>
      </c>
      <c r="AC241" s="48">
        <v>19130</v>
      </c>
      <c r="AD241" s="36"/>
      <c r="AE241" s="54"/>
      <c r="AF241" s="3" t="str">
        <f t="shared" si="48"/>
        <v>A</v>
      </c>
      <c r="AG241" s="48">
        <v>0</v>
      </c>
      <c r="AH241" s="48">
        <v>0</v>
      </c>
      <c r="AI241" s="39"/>
      <c r="AJ241" s="79" t="s">
        <v>1801</v>
      </c>
      <c r="AK241" s="39"/>
      <c r="AL241" s="4">
        <f t="shared" si="55"/>
        <v>485938</v>
      </c>
      <c r="AM241" s="4">
        <f t="shared" si="55"/>
        <v>79315</v>
      </c>
      <c r="AN241" s="4">
        <f t="shared" si="49"/>
        <v>565253</v>
      </c>
      <c r="AO241" s="39"/>
      <c r="AP241" s="8">
        <f t="shared" si="56"/>
        <v>0</v>
      </c>
      <c r="AQ241" s="8">
        <f t="shared" si="56"/>
        <v>0</v>
      </c>
      <c r="AR241" s="8">
        <f t="shared" si="50"/>
        <v>0</v>
      </c>
      <c r="AS241" s="42"/>
      <c r="AT241" s="48">
        <v>485938</v>
      </c>
      <c r="AU241" s="48">
        <v>79315</v>
      </c>
      <c r="AV241" s="4">
        <f t="shared" si="51"/>
        <v>565253</v>
      </c>
      <c r="AW241" s="50" t="str">
        <f t="shared" si="52"/>
        <v/>
      </c>
      <c r="AX241" s="1" t="s">
        <v>1705</v>
      </c>
      <c r="AY241" s="2" t="s">
        <v>1706</v>
      </c>
      <c r="AZ241" s="2">
        <v>157744</v>
      </c>
      <c r="BA241" s="73">
        <v>138026</v>
      </c>
      <c r="BB241" s="73">
        <v>138026</v>
      </c>
      <c r="BC241" s="73">
        <v>157744</v>
      </c>
      <c r="BD241" s="73"/>
      <c r="BE241" s="66">
        <v>3.5000000000000003E-2</v>
      </c>
      <c r="BF241" s="66">
        <v>0.05</v>
      </c>
      <c r="BG241" s="63">
        <v>44898</v>
      </c>
      <c r="BH241" s="2"/>
      <c r="BI241" s="2"/>
      <c r="BJ241" s="2"/>
      <c r="BK241" s="2"/>
      <c r="BL241" s="1" t="s">
        <v>104</v>
      </c>
    </row>
    <row r="242" spans="1:64" x14ac:dyDescent="0.25">
      <c r="A242" s="56" t="s">
        <v>438</v>
      </c>
      <c r="B242" s="54" t="s">
        <v>907</v>
      </c>
      <c r="C242" s="56" t="s">
        <v>908</v>
      </c>
      <c r="D242" s="16">
        <v>0</v>
      </c>
      <c r="E242" s="17"/>
      <c r="F242" s="2" t="s">
        <v>423</v>
      </c>
      <c r="G242" s="2" t="s">
        <v>424</v>
      </c>
      <c r="H242" s="10" t="s">
        <v>105</v>
      </c>
      <c r="I242" s="11" t="s">
        <v>53</v>
      </c>
      <c r="J242" s="11" t="s">
        <v>312</v>
      </c>
      <c r="K242" s="61"/>
      <c r="L242" s="11" t="s">
        <v>67</v>
      </c>
      <c r="M242" s="25"/>
      <c r="N242" s="54"/>
      <c r="O242" s="3" t="str">
        <f t="shared" si="53"/>
        <v>A</v>
      </c>
      <c r="P242" s="48">
        <v>137119</v>
      </c>
      <c r="Q242" s="48">
        <v>32995</v>
      </c>
      <c r="R242" s="32"/>
      <c r="S242" s="3" t="str">
        <f t="shared" si="54"/>
        <v>A</v>
      </c>
      <c r="T242" s="48">
        <v>118182</v>
      </c>
      <c r="U242" s="48">
        <v>12290</v>
      </c>
      <c r="V242" s="32"/>
      <c r="W242" s="3" t="str">
        <f t="shared" si="46"/>
        <v>A</v>
      </c>
      <c r="X242" s="48">
        <v>103601</v>
      </c>
      <c r="Y242" s="48">
        <v>15860</v>
      </c>
      <c r="Z242" s="32"/>
      <c r="AA242" s="3" t="str">
        <f t="shared" si="47"/>
        <v>A</v>
      </c>
      <c r="AB242" s="48">
        <v>115471</v>
      </c>
      <c r="AC242" s="48">
        <v>13850</v>
      </c>
      <c r="AD242" s="36"/>
      <c r="AE242" s="54"/>
      <c r="AF242" s="3" t="str">
        <f t="shared" si="48"/>
        <v>A</v>
      </c>
      <c r="AG242" s="48">
        <v>0</v>
      </c>
      <c r="AH242" s="48">
        <v>0</v>
      </c>
      <c r="AI242" s="39"/>
      <c r="AJ242" s="79" t="s">
        <v>1801</v>
      </c>
      <c r="AK242" s="39"/>
      <c r="AL242" s="4">
        <f t="shared" si="55"/>
        <v>474373</v>
      </c>
      <c r="AM242" s="4">
        <f t="shared" si="55"/>
        <v>74995</v>
      </c>
      <c r="AN242" s="4">
        <f t="shared" si="49"/>
        <v>549368</v>
      </c>
      <c r="AO242" s="39"/>
      <c r="AP242" s="8">
        <f t="shared" si="56"/>
        <v>0</v>
      </c>
      <c r="AQ242" s="8">
        <f t="shared" si="56"/>
        <v>0</v>
      </c>
      <c r="AR242" s="8">
        <f t="shared" si="50"/>
        <v>0</v>
      </c>
      <c r="AS242" s="42"/>
      <c r="AT242" s="48">
        <v>474373</v>
      </c>
      <c r="AU242" s="48">
        <v>74995</v>
      </c>
      <c r="AV242" s="4">
        <f t="shared" si="51"/>
        <v>549368</v>
      </c>
      <c r="AW242" s="50" t="str">
        <f t="shared" si="52"/>
        <v/>
      </c>
      <c r="AX242" s="1" t="s">
        <v>1705</v>
      </c>
      <c r="AY242" s="2" t="s">
        <v>1706</v>
      </c>
      <c r="AZ242" s="2">
        <v>75858.399999999994</v>
      </c>
      <c r="BA242" s="73">
        <v>66376.100000000006</v>
      </c>
      <c r="BB242" s="73">
        <v>66376.100000000006</v>
      </c>
      <c r="BC242" s="73">
        <v>75858.399999999994</v>
      </c>
      <c r="BD242" s="73"/>
      <c r="BE242" s="66">
        <v>0</v>
      </c>
      <c r="BF242" s="66">
        <v>0.05</v>
      </c>
      <c r="BG242" s="63">
        <v>44898</v>
      </c>
      <c r="BH242" s="2"/>
      <c r="BI242" s="2"/>
      <c r="BJ242" s="2"/>
      <c r="BK242" s="2"/>
      <c r="BL242" s="1" t="s">
        <v>104</v>
      </c>
    </row>
    <row r="243" spans="1:64" x14ac:dyDescent="0.25">
      <c r="A243" s="56" t="s">
        <v>440</v>
      </c>
      <c r="B243" s="54" t="s">
        <v>440</v>
      </c>
      <c r="C243" s="56" t="s">
        <v>441</v>
      </c>
      <c r="D243" s="16">
        <v>41324</v>
      </c>
      <c r="E243" s="17"/>
      <c r="F243" s="2" t="s">
        <v>442</v>
      </c>
      <c r="G243" s="2" t="s">
        <v>443</v>
      </c>
      <c r="H243" s="10" t="s">
        <v>98</v>
      </c>
      <c r="I243" s="11" t="s">
        <v>53</v>
      </c>
      <c r="J243" s="11" t="s">
        <v>99</v>
      </c>
      <c r="K243" s="61"/>
      <c r="L243" s="11" t="s">
        <v>67</v>
      </c>
      <c r="M243" s="25"/>
      <c r="N243" s="54"/>
      <c r="O243" s="3" t="str">
        <f t="shared" si="53"/>
        <v>A</v>
      </c>
      <c r="P243" s="48">
        <v>91339</v>
      </c>
      <c r="Q243" s="48">
        <v>11340</v>
      </c>
      <c r="R243" s="32"/>
      <c r="S243" s="3" t="str">
        <f t="shared" si="54"/>
        <v>A</v>
      </c>
      <c r="T243" s="48">
        <v>81464</v>
      </c>
      <c r="U243" s="48">
        <v>9425</v>
      </c>
      <c r="V243" s="32"/>
      <c r="W243" s="3" t="str">
        <f t="shared" si="46"/>
        <v>A</v>
      </c>
      <c r="X243" s="48">
        <v>69424</v>
      </c>
      <c r="Y243" s="48">
        <v>6990</v>
      </c>
      <c r="Z243" s="32"/>
      <c r="AA243" s="3" t="str">
        <f t="shared" si="47"/>
        <v>A</v>
      </c>
      <c r="AB243" s="48">
        <v>88094</v>
      </c>
      <c r="AC243" s="48">
        <v>8905</v>
      </c>
      <c r="AD243" s="36"/>
      <c r="AE243" s="54"/>
      <c r="AF243" s="3" t="str">
        <f t="shared" si="48"/>
        <v>A</v>
      </c>
      <c r="AG243" s="48">
        <v>0</v>
      </c>
      <c r="AH243" s="48">
        <v>0</v>
      </c>
      <c r="AI243" s="39"/>
      <c r="AJ243" s="79" t="s">
        <v>1801</v>
      </c>
      <c r="AK243" s="39"/>
      <c r="AL243" s="4">
        <f t="shared" si="55"/>
        <v>330321</v>
      </c>
      <c r="AM243" s="4">
        <f t="shared" si="55"/>
        <v>36660</v>
      </c>
      <c r="AN243" s="4">
        <f t="shared" si="49"/>
        <v>366981</v>
      </c>
      <c r="AO243" s="39"/>
      <c r="AP243" s="8">
        <f t="shared" si="56"/>
        <v>0</v>
      </c>
      <c r="AQ243" s="8">
        <f t="shared" si="56"/>
        <v>0</v>
      </c>
      <c r="AR243" s="8">
        <f t="shared" si="50"/>
        <v>0</v>
      </c>
      <c r="AS243" s="42"/>
      <c r="AT243" s="48">
        <v>330321</v>
      </c>
      <c r="AU243" s="48">
        <v>36660</v>
      </c>
      <c r="AV243" s="4">
        <f t="shared" si="51"/>
        <v>366981</v>
      </c>
      <c r="AW243" s="50" t="str">
        <f t="shared" si="52"/>
        <v/>
      </c>
      <c r="AX243" s="1" t="s">
        <v>1709</v>
      </c>
      <c r="AY243" s="2" t="s">
        <v>1710</v>
      </c>
      <c r="AZ243" s="2">
        <v>140370.79999999999</v>
      </c>
      <c r="BA243" s="73">
        <v>122824.45</v>
      </c>
      <c r="BB243" s="73">
        <v>122824.45</v>
      </c>
      <c r="BC243" s="73">
        <v>140370.79999999999</v>
      </c>
      <c r="BD243" s="73"/>
      <c r="BE243" s="66">
        <v>4.4999999999999998E-2</v>
      </c>
      <c r="BF243" s="66">
        <v>0.05</v>
      </c>
      <c r="BG243" s="63">
        <v>44964</v>
      </c>
      <c r="BH243" s="74">
        <v>43907</v>
      </c>
      <c r="BI243" s="74">
        <v>43953</v>
      </c>
      <c r="BJ243" s="2"/>
      <c r="BK243" s="2"/>
      <c r="BL243" s="1" t="s">
        <v>97</v>
      </c>
    </row>
    <row r="244" spans="1:64" x14ac:dyDescent="0.25">
      <c r="A244" s="56" t="s">
        <v>440</v>
      </c>
      <c r="B244" s="54" t="s">
        <v>769</v>
      </c>
      <c r="C244" s="56" t="s">
        <v>770</v>
      </c>
      <c r="D244" s="16">
        <v>0</v>
      </c>
      <c r="E244" s="17"/>
      <c r="F244" s="2" t="s">
        <v>442</v>
      </c>
      <c r="G244" s="2" t="s">
        <v>443</v>
      </c>
      <c r="H244" s="10" t="s">
        <v>98</v>
      </c>
      <c r="I244" s="11" t="s">
        <v>53</v>
      </c>
      <c r="J244" s="11" t="s">
        <v>99</v>
      </c>
      <c r="K244" s="61"/>
      <c r="L244" s="11" t="s">
        <v>67</v>
      </c>
      <c r="M244" s="25"/>
      <c r="N244" s="54"/>
      <c r="O244" s="3" t="str">
        <f t="shared" si="53"/>
        <v>A</v>
      </c>
      <c r="P244" s="48">
        <v>90542</v>
      </c>
      <c r="Q244" s="48">
        <v>0</v>
      </c>
      <c r="R244" s="32"/>
      <c r="S244" s="3" t="str">
        <f t="shared" si="54"/>
        <v>A</v>
      </c>
      <c r="T244" s="48">
        <v>88431</v>
      </c>
      <c r="U244" s="48">
        <v>0</v>
      </c>
      <c r="V244" s="32"/>
      <c r="W244" s="3" t="str">
        <f t="shared" si="46"/>
        <v>A</v>
      </c>
      <c r="X244" s="48">
        <v>86270</v>
      </c>
      <c r="Y244" s="48">
        <v>0</v>
      </c>
      <c r="Z244" s="32"/>
      <c r="AA244" s="3" t="str">
        <f t="shared" si="47"/>
        <v>A</v>
      </c>
      <c r="AB244" s="48">
        <v>114526</v>
      </c>
      <c r="AC244" s="48">
        <v>0</v>
      </c>
      <c r="AD244" s="36"/>
      <c r="AE244" s="54"/>
      <c r="AF244" s="3" t="str">
        <f t="shared" si="48"/>
        <v>A</v>
      </c>
      <c r="AG244" s="48">
        <v>0</v>
      </c>
      <c r="AH244" s="48">
        <v>0</v>
      </c>
      <c r="AI244" s="39"/>
      <c r="AJ244" s="79" t="s">
        <v>1801</v>
      </c>
      <c r="AK244" s="39"/>
      <c r="AL244" s="4">
        <f t="shared" si="55"/>
        <v>379769</v>
      </c>
      <c r="AM244" s="4">
        <f t="shared" si="55"/>
        <v>0</v>
      </c>
      <c r="AN244" s="4">
        <f t="shared" si="49"/>
        <v>379769</v>
      </c>
      <c r="AO244" s="39"/>
      <c r="AP244" s="8">
        <f t="shared" si="56"/>
        <v>0</v>
      </c>
      <c r="AQ244" s="8">
        <f t="shared" si="56"/>
        <v>0</v>
      </c>
      <c r="AR244" s="8">
        <f t="shared" si="50"/>
        <v>0</v>
      </c>
      <c r="AS244" s="42"/>
      <c r="AT244" s="48">
        <v>379769</v>
      </c>
      <c r="AU244" s="48"/>
      <c r="AV244" s="4">
        <f t="shared" si="51"/>
        <v>379769</v>
      </c>
      <c r="AW244" s="50" t="str">
        <f t="shared" si="52"/>
        <v/>
      </c>
      <c r="AX244" s="1" t="s">
        <v>1709</v>
      </c>
      <c r="AY244" s="2" t="s">
        <v>1710</v>
      </c>
      <c r="AZ244" s="2">
        <v>42042.96</v>
      </c>
      <c r="BA244" s="73">
        <v>36787.589999999997</v>
      </c>
      <c r="BB244" s="73">
        <v>36787.589999999997</v>
      </c>
      <c r="BC244" s="73">
        <v>42042.96</v>
      </c>
      <c r="BD244" s="73"/>
      <c r="BE244" s="66">
        <v>0</v>
      </c>
      <c r="BF244" s="66">
        <v>0.05</v>
      </c>
      <c r="BG244" s="63">
        <v>44964</v>
      </c>
      <c r="BH244" s="2"/>
      <c r="BI244" s="2"/>
      <c r="BJ244" s="2"/>
      <c r="BK244" s="2"/>
      <c r="BL244" s="1" t="s">
        <v>97</v>
      </c>
    </row>
    <row r="245" spans="1:64" x14ac:dyDescent="0.25">
      <c r="A245" s="56" t="s">
        <v>440</v>
      </c>
      <c r="B245" s="54" t="s">
        <v>771</v>
      </c>
      <c r="C245" s="56" t="s">
        <v>772</v>
      </c>
      <c r="D245" s="16">
        <v>42577</v>
      </c>
      <c r="E245" s="17"/>
      <c r="F245" s="2" t="s">
        <v>442</v>
      </c>
      <c r="G245" s="2" t="s">
        <v>443</v>
      </c>
      <c r="H245" s="10" t="s">
        <v>98</v>
      </c>
      <c r="I245" s="11" t="s">
        <v>53</v>
      </c>
      <c r="J245" s="11" t="s">
        <v>99</v>
      </c>
      <c r="K245" s="61"/>
      <c r="L245" s="11" t="s">
        <v>67</v>
      </c>
      <c r="M245" s="25"/>
      <c r="N245" s="54"/>
      <c r="O245" s="3" t="str">
        <f t="shared" si="53"/>
        <v>A</v>
      </c>
      <c r="P245" s="48">
        <v>63831</v>
      </c>
      <c r="Q245" s="48">
        <v>0</v>
      </c>
      <c r="R245" s="32"/>
      <c r="S245" s="3" t="str">
        <f t="shared" si="54"/>
        <v>A</v>
      </c>
      <c r="T245" s="48">
        <v>52447</v>
      </c>
      <c r="U245" s="48"/>
      <c r="V245" s="32"/>
      <c r="W245" s="3" t="str">
        <f t="shared" si="46"/>
        <v>A</v>
      </c>
      <c r="X245" s="48">
        <v>46995</v>
      </c>
      <c r="Y245" s="48"/>
      <c r="Z245" s="32"/>
      <c r="AA245" s="3" t="str">
        <f t="shared" si="47"/>
        <v>A</v>
      </c>
      <c r="AB245" s="48">
        <v>63748</v>
      </c>
      <c r="AC245" s="48"/>
      <c r="AD245" s="36"/>
      <c r="AE245" s="54"/>
      <c r="AF245" s="3" t="str">
        <f t="shared" si="48"/>
        <v>A</v>
      </c>
      <c r="AG245" s="48">
        <v>0</v>
      </c>
      <c r="AH245" s="48">
        <v>0</v>
      </c>
      <c r="AI245" s="39"/>
      <c r="AJ245" s="79" t="s">
        <v>1801</v>
      </c>
      <c r="AK245" s="39"/>
      <c r="AL245" s="4">
        <f t="shared" si="55"/>
        <v>227021</v>
      </c>
      <c r="AM245" s="4">
        <f t="shared" si="55"/>
        <v>0</v>
      </c>
      <c r="AN245" s="4">
        <f t="shared" si="49"/>
        <v>227021</v>
      </c>
      <c r="AO245" s="39"/>
      <c r="AP245" s="8">
        <f t="shared" si="56"/>
        <v>0</v>
      </c>
      <c r="AQ245" s="8">
        <f t="shared" si="56"/>
        <v>0</v>
      </c>
      <c r="AR245" s="8">
        <f t="shared" si="50"/>
        <v>0</v>
      </c>
      <c r="AS245" s="42"/>
      <c r="AT245" s="48">
        <v>227021</v>
      </c>
      <c r="AU245" s="48"/>
      <c r="AV245" s="4">
        <f t="shared" si="51"/>
        <v>227021</v>
      </c>
      <c r="AW245" s="50" t="str">
        <f t="shared" si="52"/>
        <v/>
      </c>
      <c r="AX245" s="1" t="s">
        <v>1709</v>
      </c>
      <c r="AY245" s="2" t="s">
        <v>1710</v>
      </c>
      <c r="AZ245" s="2">
        <v>73077.679999999993</v>
      </c>
      <c r="BA245" s="73">
        <v>63942.97</v>
      </c>
      <c r="BB245" s="73">
        <v>63942.97</v>
      </c>
      <c r="BC245" s="73">
        <v>73077.679999999993</v>
      </c>
      <c r="BD245" s="73"/>
      <c r="BE245" s="66">
        <v>4.4999999999999998E-2</v>
      </c>
      <c r="BF245" s="66">
        <v>0.05</v>
      </c>
      <c r="BG245" s="63">
        <v>44964</v>
      </c>
      <c r="BH245" s="74">
        <v>44414</v>
      </c>
      <c r="BI245" s="74">
        <v>44431</v>
      </c>
      <c r="BJ245" s="2"/>
      <c r="BK245" s="2"/>
      <c r="BL245" s="1" t="s">
        <v>97</v>
      </c>
    </row>
    <row r="246" spans="1:64" x14ac:dyDescent="0.25">
      <c r="A246" s="56" t="s">
        <v>440</v>
      </c>
      <c r="B246" s="54" t="s">
        <v>1066</v>
      </c>
      <c r="C246" s="56" t="s">
        <v>1067</v>
      </c>
      <c r="D246" s="16">
        <v>42263</v>
      </c>
      <c r="E246" s="17"/>
      <c r="F246" s="2" t="s">
        <v>442</v>
      </c>
      <c r="G246" s="2" t="s">
        <v>443</v>
      </c>
      <c r="H246" s="10" t="s">
        <v>98</v>
      </c>
      <c r="I246" s="11" t="s">
        <v>53</v>
      </c>
      <c r="J246" s="11" t="s">
        <v>99</v>
      </c>
      <c r="K246" s="61"/>
      <c r="L246" s="11" t="s">
        <v>67</v>
      </c>
      <c r="M246" s="25"/>
      <c r="N246" s="54"/>
      <c r="O246" s="3" t="str">
        <f t="shared" si="53"/>
        <v>A</v>
      </c>
      <c r="P246" s="48">
        <v>105052</v>
      </c>
      <c r="Q246" s="48">
        <v>6060</v>
      </c>
      <c r="R246" s="32"/>
      <c r="S246" s="3" t="str">
        <f t="shared" si="54"/>
        <v>A</v>
      </c>
      <c r="T246" s="48">
        <v>94112</v>
      </c>
      <c r="U246" s="48">
        <v>4880</v>
      </c>
      <c r="V246" s="32"/>
      <c r="W246" s="3" t="str">
        <f t="shared" si="46"/>
        <v>A</v>
      </c>
      <c r="X246" s="48">
        <v>88193</v>
      </c>
      <c r="Y246" s="48">
        <v>5440</v>
      </c>
      <c r="Z246" s="32"/>
      <c r="AA246" s="3" t="str">
        <f t="shared" si="47"/>
        <v>A</v>
      </c>
      <c r="AB246" s="48">
        <v>107561</v>
      </c>
      <c r="AC246" s="48">
        <v>7060</v>
      </c>
      <c r="AD246" s="36"/>
      <c r="AE246" s="54"/>
      <c r="AF246" s="3" t="str">
        <f t="shared" si="48"/>
        <v>A</v>
      </c>
      <c r="AG246" s="48">
        <v>0</v>
      </c>
      <c r="AH246" s="48">
        <v>0</v>
      </c>
      <c r="AI246" s="39"/>
      <c r="AJ246" s="79" t="s">
        <v>1801</v>
      </c>
      <c r="AK246" s="39"/>
      <c r="AL246" s="4">
        <f t="shared" si="55"/>
        <v>394918</v>
      </c>
      <c r="AM246" s="4">
        <f t="shared" si="55"/>
        <v>23440</v>
      </c>
      <c r="AN246" s="4">
        <f t="shared" si="49"/>
        <v>418358</v>
      </c>
      <c r="AO246" s="39"/>
      <c r="AP246" s="8">
        <f t="shared" si="56"/>
        <v>0</v>
      </c>
      <c r="AQ246" s="8">
        <f t="shared" si="56"/>
        <v>0</v>
      </c>
      <c r="AR246" s="8">
        <f t="shared" si="50"/>
        <v>0</v>
      </c>
      <c r="AS246" s="42"/>
      <c r="AT246" s="48">
        <v>394918</v>
      </c>
      <c r="AU246" s="48">
        <v>23440</v>
      </c>
      <c r="AV246" s="4">
        <f t="shared" si="51"/>
        <v>418358</v>
      </c>
      <c r="AW246" s="50" t="str">
        <f t="shared" si="52"/>
        <v/>
      </c>
      <c r="AX246" s="1" t="s">
        <v>1709</v>
      </c>
      <c r="AY246" s="2" t="s">
        <v>1710</v>
      </c>
      <c r="AZ246" s="2">
        <v>85241.76</v>
      </c>
      <c r="BA246" s="73">
        <v>74586.539999999994</v>
      </c>
      <c r="BB246" s="73">
        <v>74586.539999999994</v>
      </c>
      <c r="BC246" s="73">
        <v>85241.76</v>
      </c>
      <c r="BD246" s="73"/>
      <c r="BE246" s="66">
        <v>4.4999999999999998E-2</v>
      </c>
      <c r="BF246" s="66">
        <v>0.05</v>
      </c>
      <c r="BG246" s="63">
        <v>44964</v>
      </c>
      <c r="BH246" s="2"/>
      <c r="BI246" s="2"/>
      <c r="BJ246" s="2">
        <v>310476</v>
      </c>
      <c r="BK246" s="2">
        <v>15523.8</v>
      </c>
      <c r="BL246" s="1" t="s">
        <v>97</v>
      </c>
    </row>
    <row r="247" spans="1:64" x14ac:dyDescent="0.25">
      <c r="A247" s="56" t="s">
        <v>440</v>
      </c>
      <c r="B247" s="54" t="s">
        <v>1539</v>
      </c>
      <c r="C247" s="56" t="s">
        <v>1540</v>
      </c>
      <c r="D247" s="16">
        <v>0</v>
      </c>
      <c r="E247" s="17"/>
      <c r="F247" s="2" t="s">
        <v>442</v>
      </c>
      <c r="G247" s="2" t="s">
        <v>443</v>
      </c>
      <c r="H247" s="10" t="s">
        <v>98</v>
      </c>
      <c r="I247" s="11" t="s">
        <v>53</v>
      </c>
      <c r="J247" s="11" t="s">
        <v>99</v>
      </c>
      <c r="K247" s="61"/>
      <c r="L247" s="11" t="s">
        <v>67</v>
      </c>
      <c r="M247" s="25"/>
      <c r="N247" s="54"/>
      <c r="O247" s="3" t="str">
        <f>IF($A247="","",IF(P247=AZ247,"E","A"))</f>
        <v>A</v>
      </c>
      <c r="P247" s="48">
        <v>61697</v>
      </c>
      <c r="Q247" s="48">
        <v>680</v>
      </c>
      <c r="R247" s="32"/>
      <c r="S247" s="3" t="str">
        <f>IF($A247="","",IF(T247=BA247,"E","A"))</f>
        <v>A</v>
      </c>
      <c r="T247" s="48">
        <v>55827</v>
      </c>
      <c r="U247" s="48">
        <v>800</v>
      </c>
      <c r="V247" s="32"/>
      <c r="W247" s="3" t="str">
        <f t="shared" si="46"/>
        <v>A</v>
      </c>
      <c r="X247" s="48">
        <v>48736</v>
      </c>
      <c r="Y247" s="48">
        <v>620</v>
      </c>
      <c r="Z247" s="32"/>
      <c r="AA247" s="3" t="str">
        <f t="shared" si="47"/>
        <v>A</v>
      </c>
      <c r="AB247" s="48">
        <v>60309</v>
      </c>
      <c r="AC247" s="48">
        <v>1100</v>
      </c>
      <c r="AD247" s="36"/>
      <c r="AE247" s="54"/>
      <c r="AF247" s="3" t="str">
        <f t="shared" si="48"/>
        <v>A</v>
      </c>
      <c r="AG247" s="48">
        <v>0</v>
      </c>
      <c r="AH247" s="48">
        <v>0</v>
      </c>
      <c r="AI247" s="39"/>
      <c r="AJ247" s="79" t="s">
        <v>1801</v>
      </c>
      <c r="AK247" s="39"/>
      <c r="AL247" s="4">
        <f t="shared" si="55"/>
        <v>226569</v>
      </c>
      <c r="AM247" s="4">
        <f t="shared" si="55"/>
        <v>3200</v>
      </c>
      <c r="AN247" s="4">
        <f t="shared" si="49"/>
        <v>229769</v>
      </c>
      <c r="AO247" s="39"/>
      <c r="AP247" s="8">
        <f t="shared" si="56"/>
        <v>0</v>
      </c>
      <c r="AQ247" s="8">
        <f t="shared" si="56"/>
        <v>0</v>
      </c>
      <c r="AR247" s="8">
        <f t="shared" si="50"/>
        <v>0</v>
      </c>
      <c r="AS247" s="42"/>
      <c r="AT247" s="48">
        <v>226569</v>
      </c>
      <c r="AU247" s="48">
        <v>3200</v>
      </c>
      <c r="AV247" s="4">
        <f t="shared" si="51"/>
        <v>229769</v>
      </c>
      <c r="AW247" s="50" t="str">
        <f t="shared" si="52"/>
        <v/>
      </c>
      <c r="AX247" s="1" t="s">
        <v>1709</v>
      </c>
      <c r="AY247" s="2" t="s">
        <v>1710</v>
      </c>
      <c r="AZ247" s="2">
        <v>58733.599999999999</v>
      </c>
      <c r="BA247" s="73">
        <v>51391.9</v>
      </c>
      <c r="BB247" s="73">
        <v>51391.9</v>
      </c>
      <c r="BC247" s="73">
        <v>58733.599999999999</v>
      </c>
      <c r="BD247" s="73"/>
      <c r="BE247" s="66">
        <v>0</v>
      </c>
      <c r="BF247" s="66">
        <v>0.05</v>
      </c>
      <c r="BG247" s="63">
        <v>45569</v>
      </c>
      <c r="BH247" s="2"/>
      <c r="BI247" s="2"/>
      <c r="BJ247" s="2">
        <v>217350</v>
      </c>
      <c r="BK247" s="2">
        <v>11410</v>
      </c>
      <c r="BL247" s="1" t="s">
        <v>97</v>
      </c>
    </row>
    <row r="248" spans="1:64" x14ac:dyDescent="0.25">
      <c r="A248" s="56" t="s">
        <v>444</v>
      </c>
      <c r="B248" s="54" t="s">
        <v>444</v>
      </c>
      <c r="C248" s="56" t="s">
        <v>445</v>
      </c>
      <c r="D248" s="16">
        <v>38936</v>
      </c>
      <c r="E248" s="17"/>
      <c r="F248" s="2" t="s">
        <v>187</v>
      </c>
      <c r="G248" s="2" t="s">
        <v>189</v>
      </c>
      <c r="H248" s="10" t="s">
        <v>57</v>
      </c>
      <c r="I248" s="11" t="s">
        <v>188</v>
      </c>
      <c r="J248" s="11" t="s">
        <v>338</v>
      </c>
      <c r="K248" s="61" t="s">
        <v>339</v>
      </c>
      <c r="L248" s="11" t="s">
        <v>67</v>
      </c>
      <c r="M248" s="25"/>
      <c r="N248" s="54"/>
      <c r="O248" s="3" t="str">
        <f>IF($A248="","",IF(P248=0,"A",IF(P248=AZ248,"E","A")))</f>
        <v>A</v>
      </c>
      <c r="P248" s="48">
        <v>366540.46</v>
      </c>
      <c r="Q248" s="48">
        <v>48515.33</v>
      </c>
      <c r="R248" s="32"/>
      <c r="S248" s="3" t="str">
        <f t="shared" ref="S248:S274" si="57">IF($A248="","",IF(T248=0,"A",IF(T248=BA248,"E","A")))</f>
        <v>A</v>
      </c>
      <c r="T248" s="48">
        <v>296125.65000000002</v>
      </c>
      <c r="U248" s="48">
        <v>43600.45</v>
      </c>
      <c r="V248" s="32"/>
      <c r="W248" s="3" t="str">
        <f t="shared" si="46"/>
        <v>A</v>
      </c>
      <c r="X248" s="48">
        <v>272733.89999999997</v>
      </c>
      <c r="Y248" s="48">
        <v>37751</v>
      </c>
      <c r="Z248" s="32"/>
      <c r="AA248" s="3" t="str">
        <f t="shared" si="47"/>
        <v>A</v>
      </c>
      <c r="AB248" s="48">
        <v>273375.75</v>
      </c>
      <c r="AC248" s="48">
        <v>35278.85</v>
      </c>
      <c r="AD248" s="36"/>
      <c r="AE248" s="54"/>
      <c r="AF248" s="3" t="str">
        <f t="shared" si="48"/>
        <v>A</v>
      </c>
      <c r="AG248" s="48">
        <v>0</v>
      </c>
      <c r="AH248" s="48">
        <v>0</v>
      </c>
      <c r="AI248" s="39"/>
      <c r="AJ248" s="79" t="s">
        <v>1801</v>
      </c>
      <c r="AK248" s="39"/>
      <c r="AL248" s="4">
        <f t="shared" si="55"/>
        <v>1208775.76</v>
      </c>
      <c r="AM248" s="4">
        <f t="shared" si="55"/>
        <v>165145.63</v>
      </c>
      <c r="AN248" s="4">
        <f t="shared" si="49"/>
        <v>1373921.3900000001</v>
      </c>
      <c r="AO248" s="39"/>
      <c r="AP248" s="8">
        <f t="shared" si="56"/>
        <v>0</v>
      </c>
      <c r="AQ248" s="8">
        <f t="shared" si="56"/>
        <v>0</v>
      </c>
      <c r="AR248" s="8">
        <f t="shared" si="50"/>
        <v>0</v>
      </c>
      <c r="AS248" s="42"/>
      <c r="AT248" s="48">
        <v>1208775.7599999998</v>
      </c>
      <c r="AU248" s="48">
        <v>165145.62999999998</v>
      </c>
      <c r="AV248" s="4">
        <f t="shared" si="51"/>
        <v>1373921.3899999997</v>
      </c>
      <c r="AW248" s="50" t="str">
        <f t="shared" si="52"/>
        <v/>
      </c>
      <c r="AX248" s="1" t="s">
        <v>1639</v>
      </c>
      <c r="AY248" s="2" t="s">
        <v>1640</v>
      </c>
      <c r="AZ248" s="2">
        <v>317613.84000000003</v>
      </c>
      <c r="BA248" s="73">
        <v>277912.11</v>
      </c>
      <c r="BB248" s="73">
        <v>277912.11</v>
      </c>
      <c r="BC248" s="73">
        <v>317613.84000000003</v>
      </c>
      <c r="BD248" s="73"/>
      <c r="BE248" s="66">
        <v>2.5000000000000001E-2</v>
      </c>
      <c r="BF248" s="66">
        <v>0.02</v>
      </c>
      <c r="BG248" s="63">
        <v>44415</v>
      </c>
      <c r="BH248" s="2"/>
      <c r="BI248" s="2"/>
      <c r="BJ248" s="2"/>
      <c r="BK248" s="2"/>
      <c r="BL248" s="1" t="s">
        <v>56</v>
      </c>
    </row>
    <row r="249" spans="1:64" x14ac:dyDescent="0.25">
      <c r="A249" s="56" t="s">
        <v>446</v>
      </c>
      <c r="B249" s="54" t="s">
        <v>446</v>
      </c>
      <c r="C249" s="56" t="s">
        <v>447</v>
      </c>
      <c r="D249" s="16">
        <v>41419</v>
      </c>
      <c r="E249" s="17"/>
      <c r="F249" s="2" t="s">
        <v>243</v>
      </c>
      <c r="G249" s="2" t="s">
        <v>245</v>
      </c>
      <c r="H249" s="10" t="s">
        <v>105</v>
      </c>
      <c r="I249" s="11" t="s">
        <v>244</v>
      </c>
      <c r="J249" s="11" t="s">
        <v>334</v>
      </c>
      <c r="K249" s="61" t="s">
        <v>335</v>
      </c>
      <c r="L249" s="11" t="s">
        <v>67</v>
      </c>
      <c r="M249" s="25"/>
      <c r="N249" s="54"/>
      <c r="O249" s="3" t="str">
        <f>IF($A249="","",IF(P249=0,"A",IF(P249=AZ249,"E","A")))</f>
        <v>A</v>
      </c>
      <c r="P249" s="48">
        <v>141429</v>
      </c>
      <c r="Q249" s="48">
        <v>29421</v>
      </c>
      <c r="R249" s="32"/>
      <c r="S249" s="3" t="str">
        <f t="shared" si="57"/>
        <v>A</v>
      </c>
      <c r="T249" s="48">
        <v>127612</v>
      </c>
      <c r="U249" s="48">
        <v>28077</v>
      </c>
      <c r="V249" s="32"/>
      <c r="W249" s="3" t="str">
        <f t="shared" si="46"/>
        <v>A</v>
      </c>
      <c r="X249" s="48">
        <v>138138.01</v>
      </c>
      <c r="Y249" s="48">
        <v>20528</v>
      </c>
      <c r="Z249" s="32"/>
      <c r="AA249" s="3" t="str">
        <f t="shared" si="47"/>
        <v>A</v>
      </c>
      <c r="AB249" s="48">
        <v>147824</v>
      </c>
      <c r="AC249" s="48">
        <v>25006</v>
      </c>
      <c r="AD249" s="36"/>
      <c r="AE249" s="54"/>
      <c r="AF249" s="3" t="str">
        <f t="shared" si="48"/>
        <v>A</v>
      </c>
      <c r="AG249" s="48">
        <v>0</v>
      </c>
      <c r="AH249" s="48">
        <v>0</v>
      </c>
      <c r="AI249" s="39"/>
      <c r="AJ249" s="79" t="s">
        <v>1801</v>
      </c>
      <c r="AK249" s="39"/>
      <c r="AL249" s="4">
        <f t="shared" si="55"/>
        <v>555003.01</v>
      </c>
      <c r="AM249" s="4">
        <f t="shared" si="55"/>
        <v>103032</v>
      </c>
      <c r="AN249" s="4">
        <f t="shared" si="49"/>
        <v>658035.01</v>
      </c>
      <c r="AO249" s="39"/>
      <c r="AP249" s="8">
        <f t="shared" si="56"/>
        <v>0</v>
      </c>
      <c r="AQ249" s="8">
        <f t="shared" si="56"/>
        <v>0</v>
      </c>
      <c r="AR249" s="8">
        <f t="shared" si="50"/>
        <v>0</v>
      </c>
      <c r="AS249" s="42"/>
      <c r="AT249" s="48">
        <v>555003.01</v>
      </c>
      <c r="AU249" s="48">
        <v>103032</v>
      </c>
      <c r="AV249" s="4">
        <f t="shared" si="51"/>
        <v>658035.01</v>
      </c>
      <c r="AW249" s="50" t="str">
        <f t="shared" si="52"/>
        <v/>
      </c>
      <c r="AX249" s="1" t="s">
        <v>1639</v>
      </c>
      <c r="AY249" s="2" t="s">
        <v>1640</v>
      </c>
      <c r="AZ249" s="2">
        <v>120527.44</v>
      </c>
      <c r="BA249" s="73">
        <v>105461.51</v>
      </c>
      <c r="BB249" s="73">
        <v>105461.51</v>
      </c>
      <c r="BC249" s="73">
        <v>120527.44</v>
      </c>
      <c r="BD249" s="73"/>
      <c r="BE249" s="66">
        <v>3.5000000000000003E-2</v>
      </c>
      <c r="BF249" s="66">
        <v>0.02</v>
      </c>
      <c r="BG249" s="63">
        <v>45017</v>
      </c>
      <c r="BH249" s="2"/>
      <c r="BI249" s="2"/>
      <c r="BJ249" s="2"/>
      <c r="BK249" s="2"/>
      <c r="BL249" s="1" t="s">
        <v>219</v>
      </c>
    </row>
    <row r="250" spans="1:64" x14ac:dyDescent="0.25">
      <c r="A250" s="56" t="s">
        <v>452</v>
      </c>
      <c r="B250" s="54" t="s">
        <v>452</v>
      </c>
      <c r="C250" s="56" t="s">
        <v>453</v>
      </c>
      <c r="D250" s="16">
        <v>41482</v>
      </c>
      <c r="E250" s="17"/>
      <c r="F250" s="2" t="s">
        <v>52</v>
      </c>
      <c r="G250" s="2" t="s">
        <v>55</v>
      </c>
      <c r="H250" s="10" t="s">
        <v>57</v>
      </c>
      <c r="I250" s="11" t="s">
        <v>54</v>
      </c>
      <c r="J250" s="11" t="s">
        <v>58</v>
      </c>
      <c r="K250" s="61" t="s">
        <v>59</v>
      </c>
      <c r="L250" s="11" t="s">
        <v>67</v>
      </c>
      <c r="M250" s="25"/>
      <c r="N250" s="54"/>
      <c r="O250" s="3" t="str">
        <f>IF($A250="","",IF(P250=0,"A",IF(P250=AZ250,"E","A")))</f>
        <v>A</v>
      </c>
      <c r="P250" s="48">
        <v>132117.70000000001</v>
      </c>
      <c r="Q250" s="48">
        <v>19692.150000000001</v>
      </c>
      <c r="R250" s="32"/>
      <c r="S250" s="3" t="str">
        <f t="shared" si="57"/>
        <v>A</v>
      </c>
      <c r="T250" s="48">
        <v>126788.40999999997</v>
      </c>
      <c r="U250" s="48">
        <v>21931.8</v>
      </c>
      <c r="V250" s="32"/>
      <c r="W250" s="3" t="str">
        <f t="shared" si="46"/>
        <v>A</v>
      </c>
      <c r="X250" s="48">
        <v>118464.15000000001</v>
      </c>
      <c r="Y250" s="48">
        <v>21425.85</v>
      </c>
      <c r="Z250" s="32"/>
      <c r="AA250" s="3" t="str">
        <f t="shared" si="47"/>
        <v>A</v>
      </c>
      <c r="AB250" s="48">
        <v>129888.84999999999</v>
      </c>
      <c r="AC250" s="48">
        <v>19319.91</v>
      </c>
      <c r="AD250" s="36"/>
      <c r="AE250" s="54"/>
      <c r="AF250" s="3" t="str">
        <f t="shared" si="48"/>
        <v>A</v>
      </c>
      <c r="AG250" s="48">
        <v>0</v>
      </c>
      <c r="AH250" s="48">
        <v>0</v>
      </c>
      <c r="AI250" s="39"/>
      <c r="AJ250" s="79" t="s">
        <v>1801</v>
      </c>
      <c r="AK250" s="39"/>
      <c r="AL250" s="4">
        <f t="shared" si="55"/>
        <v>507259.11</v>
      </c>
      <c r="AM250" s="4">
        <f t="shared" si="55"/>
        <v>82369.709999999992</v>
      </c>
      <c r="AN250" s="4">
        <f t="shared" si="49"/>
        <v>589628.81999999995</v>
      </c>
      <c r="AO250" s="39"/>
      <c r="AP250" s="8">
        <f t="shared" si="56"/>
        <v>0</v>
      </c>
      <c r="AQ250" s="8">
        <f t="shared" si="56"/>
        <v>0</v>
      </c>
      <c r="AR250" s="8">
        <f t="shared" si="50"/>
        <v>0</v>
      </c>
      <c r="AS250" s="42"/>
      <c r="AT250" s="48">
        <v>507259.11000000004</v>
      </c>
      <c r="AU250" s="48">
        <v>82369.710000000021</v>
      </c>
      <c r="AV250" s="4">
        <f t="shared" si="51"/>
        <v>589628.82000000007</v>
      </c>
      <c r="AW250" s="50" t="str">
        <f t="shared" si="52"/>
        <v/>
      </c>
      <c r="AX250" s="1" t="s">
        <v>1639</v>
      </c>
      <c r="AY250" s="2" t="s">
        <v>1640</v>
      </c>
      <c r="AZ250" s="2">
        <v>139674</v>
      </c>
      <c r="BA250" s="73">
        <v>122214.75</v>
      </c>
      <c r="BB250" s="73">
        <v>122214.75</v>
      </c>
      <c r="BC250" s="73">
        <v>139674</v>
      </c>
      <c r="BD250" s="73"/>
      <c r="BE250" s="66">
        <v>3.5000000000000003E-2</v>
      </c>
      <c r="BF250" s="66">
        <v>0.02</v>
      </c>
      <c r="BG250" s="63">
        <v>45046</v>
      </c>
      <c r="BH250" s="74">
        <v>43252</v>
      </c>
      <c r="BI250" s="74">
        <v>43371</v>
      </c>
      <c r="BJ250" s="2"/>
      <c r="BK250" s="2"/>
      <c r="BL250" s="1" t="s">
        <v>56</v>
      </c>
    </row>
    <row r="251" spans="1:64" x14ac:dyDescent="0.25">
      <c r="A251" s="56" t="s">
        <v>452</v>
      </c>
      <c r="B251" s="54" t="s">
        <v>773</v>
      </c>
      <c r="C251" s="56" t="s">
        <v>774</v>
      </c>
      <c r="D251" s="16">
        <v>41422</v>
      </c>
      <c r="E251" s="17"/>
      <c r="F251" s="2" t="s">
        <v>52</v>
      </c>
      <c r="G251" s="2" t="s">
        <v>55</v>
      </c>
      <c r="H251" s="10" t="s">
        <v>57</v>
      </c>
      <c r="I251" s="11" t="s">
        <v>54</v>
      </c>
      <c r="J251" s="11" t="s">
        <v>58</v>
      </c>
      <c r="K251" s="61" t="s">
        <v>59</v>
      </c>
      <c r="L251" s="11" t="s">
        <v>67</v>
      </c>
      <c r="M251" s="25"/>
      <c r="N251" s="54"/>
      <c r="O251" s="3" t="str">
        <f>IF($A251="","",IF(P251=0,"A",IF(P251=AZ251,"E","A")))</f>
        <v>A</v>
      </c>
      <c r="P251" s="48">
        <v>37978</v>
      </c>
      <c r="Q251" s="48">
        <v>9469</v>
      </c>
      <c r="R251" s="32"/>
      <c r="S251" s="3" t="str">
        <f t="shared" si="57"/>
        <v>A</v>
      </c>
      <c r="T251" s="48">
        <v>30392</v>
      </c>
      <c r="U251" s="48">
        <v>9008</v>
      </c>
      <c r="V251" s="32"/>
      <c r="W251" s="3" t="str">
        <f t="shared" si="46"/>
        <v>A</v>
      </c>
      <c r="X251" s="48">
        <v>31760</v>
      </c>
      <c r="Y251" s="48">
        <v>7462</v>
      </c>
      <c r="Z251" s="32"/>
      <c r="AA251" s="3" t="str">
        <f t="shared" si="47"/>
        <v>A</v>
      </c>
      <c r="AB251" s="48">
        <v>33321</v>
      </c>
      <c r="AC251" s="48">
        <v>6837</v>
      </c>
      <c r="AD251" s="36"/>
      <c r="AE251" s="54"/>
      <c r="AF251" s="3" t="str">
        <f t="shared" si="48"/>
        <v>A</v>
      </c>
      <c r="AG251" s="48">
        <v>0</v>
      </c>
      <c r="AH251" s="48">
        <v>0</v>
      </c>
      <c r="AI251" s="39"/>
      <c r="AJ251" s="79" t="s">
        <v>1801</v>
      </c>
      <c r="AK251" s="39"/>
      <c r="AL251" s="4">
        <f t="shared" si="55"/>
        <v>133451</v>
      </c>
      <c r="AM251" s="4">
        <f t="shared" si="55"/>
        <v>32776</v>
      </c>
      <c r="AN251" s="4">
        <f t="shared" si="49"/>
        <v>166227</v>
      </c>
      <c r="AO251" s="39"/>
      <c r="AP251" s="8">
        <f t="shared" si="56"/>
        <v>0</v>
      </c>
      <c r="AQ251" s="8">
        <f t="shared" si="56"/>
        <v>0</v>
      </c>
      <c r="AR251" s="8">
        <f t="shared" si="50"/>
        <v>0</v>
      </c>
      <c r="AS251" s="42"/>
      <c r="AT251" s="48">
        <v>133451</v>
      </c>
      <c r="AU251" s="48">
        <v>32776</v>
      </c>
      <c r="AV251" s="4">
        <f t="shared" si="51"/>
        <v>166227</v>
      </c>
      <c r="AW251" s="50" t="str">
        <f t="shared" si="52"/>
        <v/>
      </c>
      <c r="AX251" s="1" t="s">
        <v>1639</v>
      </c>
      <c r="AY251" s="2" t="s">
        <v>1640</v>
      </c>
      <c r="AZ251" s="2">
        <v>64869.919999999998</v>
      </c>
      <c r="BA251" s="73">
        <v>56761.18</v>
      </c>
      <c r="BB251" s="73">
        <v>56761.18</v>
      </c>
      <c r="BC251" s="73">
        <v>64869.919999999998</v>
      </c>
      <c r="BD251" s="73"/>
      <c r="BE251" s="66">
        <v>3.5000000000000003E-2</v>
      </c>
      <c r="BF251" s="66">
        <v>0.02</v>
      </c>
      <c r="BG251" s="63">
        <v>45046</v>
      </c>
      <c r="BH251" s="74">
        <v>43252</v>
      </c>
      <c r="BI251" s="74">
        <v>43570</v>
      </c>
      <c r="BJ251" s="2"/>
      <c r="BK251" s="2"/>
      <c r="BL251" s="1" t="s">
        <v>56</v>
      </c>
    </row>
    <row r="252" spans="1:64" x14ac:dyDescent="0.25">
      <c r="A252" s="56" t="s">
        <v>452</v>
      </c>
      <c r="B252" s="54" t="s">
        <v>1350</v>
      </c>
      <c r="C252" s="56" t="s">
        <v>1351</v>
      </c>
      <c r="D252" s="16">
        <v>45254</v>
      </c>
      <c r="E252" s="17">
        <v>45823</v>
      </c>
      <c r="F252" s="2" t="s">
        <v>52</v>
      </c>
      <c r="G252" s="2" t="s">
        <v>55</v>
      </c>
      <c r="H252" s="10" t="s">
        <v>57</v>
      </c>
      <c r="I252" s="11" t="s">
        <v>54</v>
      </c>
      <c r="J252" s="11" t="s">
        <v>58</v>
      </c>
      <c r="K252" s="61" t="s">
        <v>59</v>
      </c>
      <c r="L252" s="11" t="s">
        <v>67</v>
      </c>
      <c r="M252" s="25"/>
      <c r="N252" s="54"/>
      <c r="O252" s="3" t="str">
        <f>IF($A252="","",IF(P252=AZ252,"E","A"))</f>
        <v>A</v>
      </c>
      <c r="P252" s="48">
        <v>13695</v>
      </c>
      <c r="Q252" s="48">
        <v>6429</v>
      </c>
      <c r="R252" s="32"/>
      <c r="S252" s="3" t="str">
        <f t="shared" si="57"/>
        <v>A</v>
      </c>
      <c r="T252" s="48">
        <v>12746</v>
      </c>
      <c r="U252" s="48">
        <v>3547</v>
      </c>
      <c r="V252" s="32"/>
      <c r="W252" s="3" t="str">
        <f t="shared" si="46"/>
        <v>A</v>
      </c>
      <c r="X252" s="48">
        <v>0</v>
      </c>
      <c r="Y252" s="48">
        <v>0</v>
      </c>
      <c r="Z252" s="32"/>
      <c r="AA252" s="3" t="str">
        <f t="shared" si="47"/>
        <v>A</v>
      </c>
      <c r="AB252" s="48">
        <v>0</v>
      </c>
      <c r="AC252" s="48">
        <v>0</v>
      </c>
      <c r="AD252" s="36"/>
      <c r="AE252" s="54"/>
      <c r="AF252" s="3" t="str">
        <f t="shared" si="48"/>
        <v>A</v>
      </c>
      <c r="AG252" s="48">
        <v>0</v>
      </c>
      <c r="AH252" s="48">
        <v>0</v>
      </c>
      <c r="AI252" s="39"/>
      <c r="AJ252" s="79" t="s">
        <v>1801</v>
      </c>
      <c r="AK252" s="39"/>
      <c r="AL252" s="4">
        <f t="shared" si="55"/>
        <v>26441</v>
      </c>
      <c r="AM252" s="4">
        <f t="shared" si="55"/>
        <v>9976</v>
      </c>
      <c r="AN252" s="4">
        <f t="shared" si="49"/>
        <v>36417</v>
      </c>
      <c r="AO252" s="39"/>
      <c r="AP252" s="8">
        <f t="shared" si="56"/>
        <v>0</v>
      </c>
      <c r="AQ252" s="8">
        <f t="shared" si="56"/>
        <v>0</v>
      </c>
      <c r="AR252" s="8">
        <f t="shared" si="50"/>
        <v>0</v>
      </c>
      <c r="AS252" s="42"/>
      <c r="AT252" s="48">
        <v>26441</v>
      </c>
      <c r="AU252" s="48">
        <v>9976</v>
      </c>
      <c r="AV252" s="4">
        <f t="shared" si="51"/>
        <v>36417</v>
      </c>
      <c r="AW252" s="50" t="str">
        <f t="shared" si="52"/>
        <v/>
      </c>
      <c r="AX252" s="1" t="s">
        <v>1639</v>
      </c>
      <c r="AY252" s="2" t="s">
        <v>1640</v>
      </c>
      <c r="AZ252" s="2">
        <v>58440.4</v>
      </c>
      <c r="BA252" s="73">
        <v>51135.35</v>
      </c>
      <c r="BB252" s="73"/>
      <c r="BC252" s="73"/>
      <c r="BD252" s="73"/>
      <c r="BE252" s="66">
        <v>0</v>
      </c>
      <c r="BF252" s="66">
        <v>0.02</v>
      </c>
      <c r="BG252" s="63">
        <v>45254</v>
      </c>
      <c r="BH252" s="2"/>
      <c r="BI252" s="2"/>
      <c r="BJ252" s="2">
        <v>218034</v>
      </c>
      <c r="BK252" s="2">
        <v>11446.79</v>
      </c>
      <c r="BL252" s="1" t="s">
        <v>56</v>
      </c>
    </row>
    <row r="253" spans="1:64" x14ac:dyDescent="0.25">
      <c r="A253" s="56" t="s">
        <v>454</v>
      </c>
      <c r="B253" s="54" t="s">
        <v>454</v>
      </c>
      <c r="C253" s="56" t="s">
        <v>455</v>
      </c>
      <c r="D253" s="16">
        <v>41536</v>
      </c>
      <c r="E253" s="17"/>
      <c r="F253" s="2" t="s">
        <v>456</v>
      </c>
      <c r="G253" s="2" t="s">
        <v>457</v>
      </c>
      <c r="H253" s="10" t="s">
        <v>105</v>
      </c>
      <c r="I253" s="11" t="s">
        <v>53</v>
      </c>
      <c r="J253" s="11" t="s">
        <v>350</v>
      </c>
      <c r="K253" s="61"/>
      <c r="L253" s="11" t="s">
        <v>67</v>
      </c>
      <c r="M253" s="25"/>
      <c r="N253" s="54"/>
      <c r="O253" s="3" t="str">
        <f t="shared" ref="O253:O274" si="58">IF($A253="","",IF(P253=0,"A",IF(P253=AZ253,"E","A")))</f>
        <v>A</v>
      </c>
      <c r="P253" s="48">
        <v>154959</v>
      </c>
      <c r="Q253" s="48">
        <v>23763</v>
      </c>
      <c r="R253" s="32"/>
      <c r="S253" s="3" t="str">
        <f t="shared" si="57"/>
        <v>A</v>
      </c>
      <c r="T253" s="48">
        <v>153299</v>
      </c>
      <c r="U253" s="48">
        <v>28671</v>
      </c>
      <c r="V253" s="32"/>
      <c r="W253" s="3" t="str">
        <f t="shared" si="46"/>
        <v>A</v>
      </c>
      <c r="X253" s="48">
        <v>173825</v>
      </c>
      <c r="Y253" s="48">
        <v>17036</v>
      </c>
      <c r="Z253" s="32"/>
      <c r="AA253" s="3" t="str">
        <f t="shared" si="47"/>
        <v>A</v>
      </c>
      <c r="AB253" s="48">
        <v>209397</v>
      </c>
      <c r="AC253" s="48">
        <v>23823</v>
      </c>
      <c r="AD253" s="36"/>
      <c r="AE253" s="54"/>
      <c r="AF253" s="3" t="str">
        <f t="shared" si="48"/>
        <v>A</v>
      </c>
      <c r="AG253" s="48">
        <v>0</v>
      </c>
      <c r="AH253" s="48">
        <v>0</v>
      </c>
      <c r="AI253" s="39"/>
      <c r="AJ253" s="79" t="s">
        <v>1801</v>
      </c>
      <c r="AK253" s="39"/>
      <c r="AL253" s="4">
        <f t="shared" si="55"/>
        <v>691480</v>
      </c>
      <c r="AM253" s="4">
        <f t="shared" si="55"/>
        <v>93293</v>
      </c>
      <c r="AN253" s="4">
        <f t="shared" si="49"/>
        <v>784773</v>
      </c>
      <c r="AO253" s="39"/>
      <c r="AP253" s="8">
        <f t="shared" si="56"/>
        <v>0</v>
      </c>
      <c r="AQ253" s="8">
        <f t="shared" si="56"/>
        <v>0</v>
      </c>
      <c r="AR253" s="8">
        <f t="shared" si="50"/>
        <v>0</v>
      </c>
      <c r="AS253" s="42"/>
      <c r="AT253" s="48">
        <v>691480</v>
      </c>
      <c r="AU253" s="48">
        <v>93293</v>
      </c>
      <c r="AV253" s="4">
        <f t="shared" si="51"/>
        <v>784773</v>
      </c>
      <c r="AW253" s="50" t="str">
        <f t="shared" si="52"/>
        <v/>
      </c>
      <c r="AX253" s="1" t="s">
        <v>1711</v>
      </c>
      <c r="AY253" s="2" t="s">
        <v>1712</v>
      </c>
      <c r="AZ253" s="2">
        <v>238319.52</v>
      </c>
      <c r="BA253" s="73">
        <v>208529.58</v>
      </c>
      <c r="BB253" s="73">
        <v>208529.58</v>
      </c>
      <c r="BC253" s="73">
        <v>238319.52</v>
      </c>
      <c r="BD253" s="73"/>
      <c r="BE253" s="66">
        <v>4.4999999999999998E-2</v>
      </c>
      <c r="BF253" s="66">
        <v>0.05</v>
      </c>
      <c r="BG253" s="63">
        <v>45124</v>
      </c>
      <c r="BH253" s="2"/>
      <c r="BI253" s="2"/>
      <c r="BJ253" s="2"/>
      <c r="BK253" s="2"/>
      <c r="BL253" s="1" t="s">
        <v>219</v>
      </c>
    </row>
    <row r="254" spans="1:64" x14ac:dyDescent="0.25">
      <c r="A254" s="56" t="s">
        <v>458</v>
      </c>
      <c r="B254" s="54" t="s">
        <v>458</v>
      </c>
      <c r="C254" s="56" t="s">
        <v>459</v>
      </c>
      <c r="D254" s="16">
        <v>41594</v>
      </c>
      <c r="E254" s="17"/>
      <c r="F254" s="2" t="s">
        <v>109</v>
      </c>
      <c r="G254" s="2" t="s">
        <v>111</v>
      </c>
      <c r="H254" s="10" t="s">
        <v>57</v>
      </c>
      <c r="I254" s="11" t="s">
        <v>110</v>
      </c>
      <c r="J254" s="11" t="s">
        <v>460</v>
      </c>
      <c r="K254" s="61" t="s">
        <v>461</v>
      </c>
      <c r="L254" s="11" t="s">
        <v>67</v>
      </c>
      <c r="M254" s="25"/>
      <c r="N254" s="54"/>
      <c r="O254" s="3" t="str">
        <f t="shared" si="58"/>
        <v>A</v>
      </c>
      <c r="P254" s="48">
        <v>74166.070000000007</v>
      </c>
      <c r="Q254" s="48">
        <v>23397.93</v>
      </c>
      <c r="R254" s="32"/>
      <c r="S254" s="3" t="str">
        <f t="shared" si="57"/>
        <v>A</v>
      </c>
      <c r="T254" s="48">
        <v>71153</v>
      </c>
      <c r="U254" s="48">
        <v>22190</v>
      </c>
      <c r="V254" s="32"/>
      <c r="W254" s="3" t="str">
        <f t="shared" si="46"/>
        <v>A</v>
      </c>
      <c r="X254" s="48">
        <v>70959</v>
      </c>
      <c r="Y254" s="48">
        <v>20043</v>
      </c>
      <c r="Z254" s="32"/>
      <c r="AA254" s="3" t="str">
        <f t="shared" si="47"/>
        <v>A</v>
      </c>
      <c r="AB254" s="48">
        <v>79684</v>
      </c>
      <c r="AC254" s="48">
        <v>20422</v>
      </c>
      <c r="AD254" s="36"/>
      <c r="AE254" s="54"/>
      <c r="AF254" s="3" t="str">
        <f t="shared" si="48"/>
        <v>A</v>
      </c>
      <c r="AG254" s="48">
        <v>0</v>
      </c>
      <c r="AH254" s="48">
        <v>0</v>
      </c>
      <c r="AI254" s="39"/>
      <c r="AJ254" s="79" t="s">
        <v>1801</v>
      </c>
      <c r="AK254" s="39"/>
      <c r="AL254" s="4">
        <f t="shared" si="55"/>
        <v>295962.07</v>
      </c>
      <c r="AM254" s="4">
        <f t="shared" si="55"/>
        <v>86052.93</v>
      </c>
      <c r="AN254" s="4">
        <f t="shared" si="49"/>
        <v>382015</v>
      </c>
      <c r="AO254" s="39"/>
      <c r="AP254" s="8">
        <f t="shared" si="56"/>
        <v>0</v>
      </c>
      <c r="AQ254" s="8">
        <f t="shared" si="56"/>
        <v>0</v>
      </c>
      <c r="AR254" s="8">
        <f t="shared" si="50"/>
        <v>0</v>
      </c>
      <c r="AS254" s="42"/>
      <c r="AT254" s="48">
        <v>295962.07</v>
      </c>
      <c r="AU254" s="48">
        <v>86052.93</v>
      </c>
      <c r="AV254" s="4">
        <f t="shared" si="51"/>
        <v>382015</v>
      </c>
      <c r="AW254" s="50" t="str">
        <f t="shared" si="52"/>
        <v/>
      </c>
      <c r="AX254" s="1" t="s">
        <v>1647</v>
      </c>
      <c r="AY254" s="2" t="s">
        <v>1640</v>
      </c>
      <c r="AZ254" s="2">
        <v>60976.639999999999</v>
      </c>
      <c r="BA254" s="73">
        <v>53354.559999999998</v>
      </c>
      <c r="BB254" s="73">
        <v>53354.559999999998</v>
      </c>
      <c r="BC254" s="73">
        <v>60976.639999999999</v>
      </c>
      <c r="BD254" s="73"/>
      <c r="BE254" s="66">
        <v>3.5000000000000003E-2</v>
      </c>
      <c r="BF254" s="66">
        <v>0.02</v>
      </c>
      <c r="BG254" s="63">
        <v>45131</v>
      </c>
      <c r="BH254" s="2"/>
      <c r="BI254" s="2"/>
      <c r="BJ254" s="2"/>
      <c r="BK254" s="2"/>
      <c r="BL254" s="1" t="s">
        <v>56</v>
      </c>
    </row>
    <row r="255" spans="1:64" x14ac:dyDescent="0.25">
      <c r="A255" s="56" t="s">
        <v>462</v>
      </c>
      <c r="B255" s="54" t="s">
        <v>462</v>
      </c>
      <c r="C255" s="56" t="s">
        <v>463</v>
      </c>
      <c r="D255" s="16">
        <v>41511</v>
      </c>
      <c r="E255" s="17"/>
      <c r="F255" s="2" t="s">
        <v>109</v>
      </c>
      <c r="G255" s="2" t="s">
        <v>111</v>
      </c>
      <c r="H255" s="10" t="s">
        <v>57</v>
      </c>
      <c r="I255" s="11" t="s">
        <v>110</v>
      </c>
      <c r="J255" s="11" t="s">
        <v>460</v>
      </c>
      <c r="K255" s="61" t="s">
        <v>461</v>
      </c>
      <c r="L255" s="11" t="s">
        <v>67</v>
      </c>
      <c r="M255" s="25"/>
      <c r="N255" s="54"/>
      <c r="O255" s="3" t="str">
        <f t="shared" si="58"/>
        <v>A</v>
      </c>
      <c r="P255" s="48">
        <v>139714</v>
      </c>
      <c r="Q255" s="48">
        <v>18358</v>
      </c>
      <c r="R255" s="32"/>
      <c r="S255" s="3" t="str">
        <f t="shared" si="57"/>
        <v>A</v>
      </c>
      <c r="T255" s="48">
        <v>138255</v>
      </c>
      <c r="U255" s="48">
        <v>16524</v>
      </c>
      <c r="V255" s="32"/>
      <c r="W255" s="3" t="str">
        <f t="shared" si="46"/>
        <v>A</v>
      </c>
      <c r="X255" s="48">
        <v>115077</v>
      </c>
      <c r="Y255" s="48">
        <v>13519</v>
      </c>
      <c r="Z255" s="32"/>
      <c r="AA255" s="3" t="str">
        <f t="shared" si="47"/>
        <v>A</v>
      </c>
      <c r="AB255" s="48">
        <v>124855</v>
      </c>
      <c r="AC255" s="48">
        <v>11085</v>
      </c>
      <c r="AD255" s="36"/>
      <c r="AE255" s="54"/>
      <c r="AF255" s="3" t="str">
        <f t="shared" si="48"/>
        <v>A</v>
      </c>
      <c r="AG255" s="48">
        <v>0</v>
      </c>
      <c r="AH255" s="48">
        <v>0</v>
      </c>
      <c r="AI255" s="39"/>
      <c r="AJ255" s="79" t="s">
        <v>1801</v>
      </c>
      <c r="AK255" s="39"/>
      <c r="AL255" s="4">
        <f t="shared" si="55"/>
        <v>517901</v>
      </c>
      <c r="AM255" s="4">
        <f t="shared" si="55"/>
        <v>59486</v>
      </c>
      <c r="AN255" s="4">
        <f t="shared" si="49"/>
        <v>577387</v>
      </c>
      <c r="AO255" s="39"/>
      <c r="AP255" s="8">
        <f t="shared" si="56"/>
        <v>0</v>
      </c>
      <c r="AQ255" s="8">
        <f t="shared" si="56"/>
        <v>0</v>
      </c>
      <c r="AR255" s="8">
        <f t="shared" si="50"/>
        <v>0</v>
      </c>
      <c r="AS255" s="42"/>
      <c r="AT255" s="48">
        <v>517901</v>
      </c>
      <c r="AU255" s="48">
        <v>59486</v>
      </c>
      <c r="AV255" s="4">
        <f t="shared" si="51"/>
        <v>577387</v>
      </c>
      <c r="AW255" s="50" t="str">
        <f t="shared" si="52"/>
        <v/>
      </c>
      <c r="AX255" s="1" t="s">
        <v>1647</v>
      </c>
      <c r="AY255" s="2" t="s">
        <v>1640</v>
      </c>
      <c r="AZ255" s="2">
        <v>137526.07999999999</v>
      </c>
      <c r="BA255" s="73">
        <v>120335.32</v>
      </c>
      <c r="BB255" s="73">
        <v>120335.32</v>
      </c>
      <c r="BC255" s="73">
        <v>137526.07999999999</v>
      </c>
      <c r="BD255" s="73"/>
      <c r="BE255" s="66">
        <v>3.5000000000000003E-2</v>
      </c>
      <c r="BF255" s="66">
        <v>0.02</v>
      </c>
      <c r="BG255" s="63">
        <v>45143</v>
      </c>
      <c r="BH255" s="2"/>
      <c r="BI255" s="2"/>
      <c r="BJ255" s="2"/>
      <c r="BK255" s="2"/>
      <c r="BL255" s="1" t="s">
        <v>56</v>
      </c>
    </row>
    <row r="256" spans="1:64" x14ac:dyDescent="0.25">
      <c r="A256" s="56" t="s">
        <v>464</v>
      </c>
      <c r="B256" s="54" t="s">
        <v>464</v>
      </c>
      <c r="C256" s="56" t="s">
        <v>465</v>
      </c>
      <c r="D256" s="16">
        <v>41616</v>
      </c>
      <c r="E256" s="17"/>
      <c r="F256" s="2" t="s">
        <v>76</v>
      </c>
      <c r="G256" s="2" t="s">
        <v>78</v>
      </c>
      <c r="H256" s="10" t="s">
        <v>57</v>
      </c>
      <c r="I256" s="11" t="s">
        <v>77</v>
      </c>
      <c r="J256" s="11" t="s">
        <v>79</v>
      </c>
      <c r="K256" s="61" t="s">
        <v>80</v>
      </c>
      <c r="L256" s="11" t="s">
        <v>67</v>
      </c>
      <c r="M256" s="25"/>
      <c r="N256" s="54"/>
      <c r="O256" s="3" t="str">
        <f t="shared" si="58"/>
        <v>A</v>
      </c>
      <c r="P256" s="48">
        <v>88730.849999999991</v>
      </c>
      <c r="Q256" s="48">
        <v>16603</v>
      </c>
      <c r="R256" s="32"/>
      <c r="S256" s="3" t="str">
        <f t="shared" si="57"/>
        <v>A</v>
      </c>
      <c r="T256" s="48">
        <v>125002.55</v>
      </c>
      <c r="U256" s="48">
        <v>12191</v>
      </c>
      <c r="V256" s="32"/>
      <c r="W256" s="3" t="str">
        <f t="shared" si="46"/>
        <v>A</v>
      </c>
      <c r="X256" s="48">
        <v>74478.5</v>
      </c>
      <c r="Y256" s="48">
        <v>12140</v>
      </c>
      <c r="Z256" s="32"/>
      <c r="AA256" s="3" t="str">
        <f t="shared" si="47"/>
        <v>A</v>
      </c>
      <c r="AB256" s="48">
        <v>88350.950000000012</v>
      </c>
      <c r="AC256" s="48">
        <v>15538</v>
      </c>
      <c r="AD256" s="36"/>
      <c r="AE256" s="54"/>
      <c r="AF256" s="3" t="str">
        <f t="shared" si="48"/>
        <v>A</v>
      </c>
      <c r="AG256" s="48">
        <v>0</v>
      </c>
      <c r="AH256" s="48">
        <v>0</v>
      </c>
      <c r="AI256" s="39"/>
      <c r="AJ256" s="79" t="s">
        <v>1801</v>
      </c>
      <c r="AK256" s="39"/>
      <c r="AL256" s="4">
        <f t="shared" si="55"/>
        <v>376562.85000000003</v>
      </c>
      <c r="AM256" s="4">
        <f t="shared" si="55"/>
        <v>56472</v>
      </c>
      <c r="AN256" s="4">
        <f t="shared" si="49"/>
        <v>433034.85000000003</v>
      </c>
      <c r="AO256" s="39"/>
      <c r="AP256" s="8">
        <f t="shared" si="56"/>
        <v>0</v>
      </c>
      <c r="AQ256" s="8">
        <f t="shared" si="56"/>
        <v>0</v>
      </c>
      <c r="AR256" s="8">
        <f t="shared" si="50"/>
        <v>0</v>
      </c>
      <c r="AS256" s="42"/>
      <c r="AT256" s="48">
        <v>376562.84999999992</v>
      </c>
      <c r="AU256" s="48">
        <v>56472</v>
      </c>
      <c r="AV256" s="4">
        <f t="shared" si="51"/>
        <v>433034.84999999992</v>
      </c>
      <c r="AW256" s="50" t="str">
        <f t="shared" si="52"/>
        <v/>
      </c>
      <c r="AX256" s="1" t="s">
        <v>1639</v>
      </c>
      <c r="AY256" s="2" t="s">
        <v>1640</v>
      </c>
      <c r="AZ256" s="2">
        <v>42955.040000000001</v>
      </c>
      <c r="BA256" s="73">
        <v>37585.660000000003</v>
      </c>
      <c r="BB256" s="73">
        <v>37585.660000000003</v>
      </c>
      <c r="BC256" s="73">
        <v>42955.040000000001</v>
      </c>
      <c r="BD256" s="73"/>
      <c r="BE256" s="66">
        <v>3.5000000000000003E-2</v>
      </c>
      <c r="BF256" s="66">
        <v>0.02</v>
      </c>
      <c r="BG256" s="63">
        <v>45222</v>
      </c>
      <c r="BH256" s="2"/>
      <c r="BI256" s="2"/>
      <c r="BJ256" s="2"/>
      <c r="BK256" s="2"/>
      <c r="BL256" s="1" t="s">
        <v>56</v>
      </c>
    </row>
    <row r="257" spans="1:64" x14ac:dyDescent="0.25">
      <c r="A257" s="56" t="s">
        <v>466</v>
      </c>
      <c r="B257" s="54" t="s">
        <v>466</v>
      </c>
      <c r="C257" s="56" t="s">
        <v>467</v>
      </c>
      <c r="D257" s="16">
        <v>41504</v>
      </c>
      <c r="E257" s="17"/>
      <c r="F257" s="2" t="s">
        <v>52</v>
      </c>
      <c r="G257" s="2" t="s">
        <v>55</v>
      </c>
      <c r="H257" s="10" t="s">
        <v>57</v>
      </c>
      <c r="I257" s="11" t="s">
        <v>54</v>
      </c>
      <c r="J257" s="11" t="s">
        <v>139</v>
      </c>
      <c r="K257" s="61" t="s">
        <v>140</v>
      </c>
      <c r="L257" s="11" t="s">
        <v>67</v>
      </c>
      <c r="M257" s="25"/>
      <c r="N257" s="54"/>
      <c r="O257" s="3" t="str">
        <f t="shared" si="58"/>
        <v>A</v>
      </c>
      <c r="P257" s="48">
        <v>172026.05</v>
      </c>
      <c r="Q257" s="48">
        <v>28529.5</v>
      </c>
      <c r="R257" s="32"/>
      <c r="S257" s="3" t="str">
        <f t="shared" si="57"/>
        <v>A</v>
      </c>
      <c r="T257" s="48">
        <v>155423.74999999997</v>
      </c>
      <c r="U257" s="48">
        <v>20527.5</v>
      </c>
      <c r="V257" s="32"/>
      <c r="W257" s="3" t="str">
        <f t="shared" si="46"/>
        <v>A</v>
      </c>
      <c r="X257" s="48">
        <v>143135.94999999998</v>
      </c>
      <c r="Y257" s="48">
        <v>20387</v>
      </c>
      <c r="Z257" s="32"/>
      <c r="AA257" s="3" t="str">
        <f t="shared" si="47"/>
        <v>A</v>
      </c>
      <c r="AB257" s="48">
        <v>180451.47</v>
      </c>
      <c r="AC257" s="48">
        <v>25718.550000000003</v>
      </c>
      <c r="AD257" s="36"/>
      <c r="AE257" s="54"/>
      <c r="AF257" s="3" t="str">
        <f t="shared" si="48"/>
        <v>A</v>
      </c>
      <c r="AG257" s="48">
        <v>0</v>
      </c>
      <c r="AH257" s="48">
        <v>0</v>
      </c>
      <c r="AI257" s="39"/>
      <c r="AJ257" s="79" t="s">
        <v>1801</v>
      </c>
      <c r="AK257" s="39"/>
      <c r="AL257" s="4">
        <f t="shared" si="55"/>
        <v>651037.21999999986</v>
      </c>
      <c r="AM257" s="4">
        <f t="shared" si="55"/>
        <v>95162.55</v>
      </c>
      <c r="AN257" s="4">
        <f t="shared" si="49"/>
        <v>746199.7699999999</v>
      </c>
      <c r="AO257" s="39"/>
      <c r="AP257" s="8">
        <f t="shared" si="56"/>
        <v>0</v>
      </c>
      <c r="AQ257" s="8">
        <f t="shared" si="56"/>
        <v>0</v>
      </c>
      <c r="AR257" s="8">
        <f t="shared" si="50"/>
        <v>0</v>
      </c>
      <c r="AS257" s="42"/>
      <c r="AT257" s="48">
        <v>651037.22</v>
      </c>
      <c r="AU257" s="48">
        <v>95162.55</v>
      </c>
      <c r="AV257" s="4">
        <f t="shared" si="51"/>
        <v>746199.77</v>
      </c>
      <c r="AW257" s="50" t="str">
        <f t="shared" si="52"/>
        <v/>
      </c>
      <c r="AX257" s="1" t="s">
        <v>1639</v>
      </c>
      <c r="AY257" s="2" t="s">
        <v>1640</v>
      </c>
      <c r="AZ257" s="2">
        <v>206108.79999999999</v>
      </c>
      <c r="BA257" s="73">
        <v>180345.2</v>
      </c>
      <c r="BB257" s="73">
        <v>180345.2</v>
      </c>
      <c r="BC257" s="73">
        <v>206108.79999999999</v>
      </c>
      <c r="BD257" s="73"/>
      <c r="BE257" s="66">
        <v>0</v>
      </c>
      <c r="BF257" s="66">
        <v>0.02</v>
      </c>
      <c r="BG257" s="63">
        <v>45153</v>
      </c>
      <c r="BH257" s="2"/>
      <c r="BI257" s="2"/>
      <c r="BJ257" s="2"/>
      <c r="BK257" s="2"/>
      <c r="BL257" s="1" t="s">
        <v>56</v>
      </c>
    </row>
    <row r="258" spans="1:64" x14ac:dyDescent="0.25">
      <c r="A258" s="56" t="s">
        <v>466</v>
      </c>
      <c r="B258" s="54" t="s">
        <v>775</v>
      </c>
      <c r="C258" s="56" t="s">
        <v>776</v>
      </c>
      <c r="D258" s="16">
        <v>43070</v>
      </c>
      <c r="E258" s="17"/>
      <c r="F258" s="2" t="s">
        <v>52</v>
      </c>
      <c r="G258" s="2" t="s">
        <v>55</v>
      </c>
      <c r="H258" s="10" t="s">
        <v>57</v>
      </c>
      <c r="I258" s="11" t="s">
        <v>54</v>
      </c>
      <c r="J258" s="11" t="s">
        <v>139</v>
      </c>
      <c r="K258" s="61" t="s">
        <v>140</v>
      </c>
      <c r="L258" s="11" t="s">
        <v>67</v>
      </c>
      <c r="M258" s="25"/>
      <c r="N258" s="54"/>
      <c r="O258" s="3" t="str">
        <f t="shared" si="58"/>
        <v>A</v>
      </c>
      <c r="P258" s="48">
        <v>33324</v>
      </c>
      <c r="Q258" s="48">
        <v>8447</v>
      </c>
      <c r="R258" s="32"/>
      <c r="S258" s="3" t="str">
        <f t="shared" si="57"/>
        <v>A</v>
      </c>
      <c r="T258" s="48">
        <v>28996</v>
      </c>
      <c r="U258" s="48">
        <v>7383</v>
      </c>
      <c r="V258" s="32"/>
      <c r="W258" s="3" t="str">
        <f t="shared" si="46"/>
        <v>A</v>
      </c>
      <c r="X258" s="48">
        <v>28679</v>
      </c>
      <c r="Y258" s="48">
        <v>7027</v>
      </c>
      <c r="Z258" s="32"/>
      <c r="AA258" s="3" t="str">
        <f t="shared" si="47"/>
        <v>A</v>
      </c>
      <c r="AB258" s="48">
        <v>36015</v>
      </c>
      <c r="AC258" s="48">
        <v>7688</v>
      </c>
      <c r="AD258" s="36"/>
      <c r="AE258" s="54"/>
      <c r="AF258" s="3" t="str">
        <f t="shared" si="48"/>
        <v>A</v>
      </c>
      <c r="AG258" s="48">
        <v>0</v>
      </c>
      <c r="AH258" s="48">
        <v>0</v>
      </c>
      <c r="AI258" s="39"/>
      <c r="AJ258" s="79" t="s">
        <v>1801</v>
      </c>
      <c r="AK258" s="39"/>
      <c r="AL258" s="4">
        <f t="shared" si="55"/>
        <v>127014</v>
      </c>
      <c r="AM258" s="4">
        <f t="shared" si="55"/>
        <v>30545</v>
      </c>
      <c r="AN258" s="4">
        <f t="shared" si="49"/>
        <v>157559</v>
      </c>
      <c r="AO258" s="39"/>
      <c r="AP258" s="8">
        <f t="shared" si="56"/>
        <v>0</v>
      </c>
      <c r="AQ258" s="8">
        <f t="shared" si="56"/>
        <v>0</v>
      </c>
      <c r="AR258" s="8">
        <f t="shared" si="50"/>
        <v>0</v>
      </c>
      <c r="AS258" s="42"/>
      <c r="AT258" s="48">
        <v>127014</v>
      </c>
      <c r="AU258" s="48">
        <v>30545</v>
      </c>
      <c r="AV258" s="4">
        <f t="shared" si="51"/>
        <v>157559</v>
      </c>
      <c r="AW258" s="50" t="str">
        <f t="shared" si="52"/>
        <v/>
      </c>
      <c r="AX258" s="1" t="s">
        <v>1639</v>
      </c>
      <c r="AY258" s="2" t="s">
        <v>1640</v>
      </c>
      <c r="AZ258" s="2">
        <v>38030</v>
      </c>
      <c r="BA258" s="73">
        <v>33276.25</v>
      </c>
      <c r="BB258" s="73">
        <v>33276.25</v>
      </c>
      <c r="BC258" s="73">
        <v>38030</v>
      </c>
      <c r="BD258" s="73"/>
      <c r="BE258" s="66">
        <v>0</v>
      </c>
      <c r="BF258" s="66">
        <v>0.02</v>
      </c>
      <c r="BG258" s="63">
        <v>45153</v>
      </c>
      <c r="BH258" s="2"/>
      <c r="BI258" s="2"/>
      <c r="BJ258" s="2"/>
      <c r="BK258" s="2"/>
      <c r="BL258" s="1" t="s">
        <v>56</v>
      </c>
    </row>
    <row r="259" spans="1:64" x14ac:dyDescent="0.25">
      <c r="A259" s="56" t="s">
        <v>468</v>
      </c>
      <c r="B259" s="54" t="s">
        <v>468</v>
      </c>
      <c r="C259" s="56" t="s">
        <v>469</v>
      </c>
      <c r="D259" s="16">
        <v>41570</v>
      </c>
      <c r="E259" s="17"/>
      <c r="F259" s="2" t="s">
        <v>52</v>
      </c>
      <c r="G259" s="2" t="s">
        <v>55</v>
      </c>
      <c r="H259" s="10" t="s">
        <v>57</v>
      </c>
      <c r="I259" s="11" t="s">
        <v>54</v>
      </c>
      <c r="J259" s="11" t="s">
        <v>131</v>
      </c>
      <c r="K259" s="61" t="s">
        <v>132</v>
      </c>
      <c r="L259" s="11" t="s">
        <v>67</v>
      </c>
      <c r="M259" s="25"/>
      <c r="N259" s="54"/>
      <c r="O259" s="3" t="str">
        <f t="shared" si="58"/>
        <v>A</v>
      </c>
      <c r="P259" s="48">
        <v>49786</v>
      </c>
      <c r="Q259" s="48">
        <v>10290</v>
      </c>
      <c r="R259" s="32"/>
      <c r="S259" s="3" t="str">
        <f t="shared" si="57"/>
        <v>A</v>
      </c>
      <c r="T259" s="48">
        <v>41825</v>
      </c>
      <c r="U259" s="48">
        <v>7662</v>
      </c>
      <c r="V259" s="32"/>
      <c r="W259" s="3" t="str">
        <f t="shared" si="46"/>
        <v>A</v>
      </c>
      <c r="X259" s="48">
        <v>44647</v>
      </c>
      <c r="Y259" s="48">
        <v>8812</v>
      </c>
      <c r="Z259" s="32"/>
      <c r="AA259" s="3" t="str">
        <f t="shared" si="47"/>
        <v>A</v>
      </c>
      <c r="AB259" s="48">
        <v>47621</v>
      </c>
      <c r="AC259" s="48">
        <v>10099</v>
      </c>
      <c r="AD259" s="36"/>
      <c r="AE259" s="54"/>
      <c r="AF259" s="3" t="str">
        <f t="shared" si="48"/>
        <v>A</v>
      </c>
      <c r="AG259" s="48">
        <v>0</v>
      </c>
      <c r="AH259" s="48">
        <v>0</v>
      </c>
      <c r="AI259" s="39"/>
      <c r="AJ259" s="79" t="s">
        <v>1801</v>
      </c>
      <c r="AK259" s="39"/>
      <c r="AL259" s="4">
        <f t="shared" si="55"/>
        <v>183879</v>
      </c>
      <c r="AM259" s="4">
        <f t="shared" si="55"/>
        <v>36863</v>
      </c>
      <c r="AN259" s="4">
        <f t="shared" si="49"/>
        <v>220742</v>
      </c>
      <c r="AO259" s="39"/>
      <c r="AP259" s="8">
        <f t="shared" si="56"/>
        <v>0</v>
      </c>
      <c r="AQ259" s="8">
        <f t="shared" si="56"/>
        <v>0</v>
      </c>
      <c r="AR259" s="8">
        <f t="shared" si="50"/>
        <v>0</v>
      </c>
      <c r="AS259" s="42"/>
      <c r="AT259" s="48">
        <v>183879</v>
      </c>
      <c r="AU259" s="48">
        <v>36863</v>
      </c>
      <c r="AV259" s="4">
        <f t="shared" si="51"/>
        <v>220742</v>
      </c>
      <c r="AW259" s="50" t="str">
        <f t="shared" si="52"/>
        <v/>
      </c>
      <c r="AX259" s="1" t="s">
        <v>1639</v>
      </c>
      <c r="AY259" s="2" t="s">
        <v>1640</v>
      </c>
      <c r="AZ259" s="2">
        <v>88020.08</v>
      </c>
      <c r="BA259" s="73">
        <v>77017.570000000007</v>
      </c>
      <c r="BB259" s="73">
        <v>77017.570000000007</v>
      </c>
      <c r="BC259" s="73">
        <v>88020.08</v>
      </c>
      <c r="BD259" s="73"/>
      <c r="BE259" s="66">
        <v>3.5000000000000003E-2</v>
      </c>
      <c r="BF259" s="66">
        <v>0.02</v>
      </c>
      <c r="BG259" s="63">
        <v>45201</v>
      </c>
      <c r="BH259" s="74">
        <v>43918</v>
      </c>
      <c r="BI259" s="74">
        <v>43997</v>
      </c>
      <c r="BJ259" s="2"/>
      <c r="BK259" s="2"/>
      <c r="BL259" s="1" t="s">
        <v>56</v>
      </c>
    </row>
    <row r="260" spans="1:64" x14ac:dyDescent="0.25">
      <c r="A260" s="56" t="s">
        <v>470</v>
      </c>
      <c r="B260" s="54" t="s">
        <v>470</v>
      </c>
      <c r="C260" s="56" t="s">
        <v>471</v>
      </c>
      <c r="D260" s="16">
        <v>41670</v>
      </c>
      <c r="E260" s="17"/>
      <c r="F260" s="2" t="s">
        <v>342</v>
      </c>
      <c r="G260" s="2" t="s">
        <v>343</v>
      </c>
      <c r="H260" s="10" t="s">
        <v>57</v>
      </c>
      <c r="I260" s="11" t="s">
        <v>53</v>
      </c>
      <c r="J260" s="11" t="s">
        <v>387</v>
      </c>
      <c r="K260" s="61"/>
      <c r="L260" s="11" t="s">
        <v>67</v>
      </c>
      <c r="M260" s="25"/>
      <c r="N260" s="54"/>
      <c r="O260" s="3" t="str">
        <f t="shared" si="58"/>
        <v>A</v>
      </c>
      <c r="P260" s="48">
        <v>121380</v>
      </c>
      <c r="Q260" s="48">
        <v>120862</v>
      </c>
      <c r="R260" s="32"/>
      <c r="S260" s="3" t="str">
        <f t="shared" si="57"/>
        <v>A</v>
      </c>
      <c r="T260" s="48">
        <v>94535</v>
      </c>
      <c r="U260" s="48">
        <v>167476</v>
      </c>
      <c r="V260" s="32"/>
      <c r="W260" s="3" t="str">
        <f t="shared" si="46"/>
        <v>A</v>
      </c>
      <c r="X260" s="48">
        <v>101105</v>
      </c>
      <c r="Y260" s="48">
        <v>81939</v>
      </c>
      <c r="Z260" s="32"/>
      <c r="AA260" s="3" t="str">
        <f t="shared" si="47"/>
        <v>A</v>
      </c>
      <c r="AB260" s="48">
        <v>105480</v>
      </c>
      <c r="AC260" s="48">
        <v>88823</v>
      </c>
      <c r="AD260" s="36"/>
      <c r="AE260" s="54"/>
      <c r="AF260" s="3" t="str">
        <f t="shared" si="48"/>
        <v>A</v>
      </c>
      <c r="AG260" s="48">
        <v>0</v>
      </c>
      <c r="AH260" s="48">
        <v>0</v>
      </c>
      <c r="AI260" s="39"/>
      <c r="AJ260" s="79" t="s">
        <v>1801</v>
      </c>
      <c r="AK260" s="39"/>
      <c r="AL260" s="4">
        <f t="shared" si="55"/>
        <v>422500</v>
      </c>
      <c r="AM260" s="4">
        <f t="shared" si="55"/>
        <v>459100</v>
      </c>
      <c r="AN260" s="4">
        <f t="shared" si="49"/>
        <v>881600</v>
      </c>
      <c r="AO260" s="39"/>
      <c r="AP260" s="8">
        <f t="shared" si="56"/>
        <v>0</v>
      </c>
      <c r="AQ260" s="8">
        <f t="shared" si="56"/>
        <v>0</v>
      </c>
      <c r="AR260" s="8">
        <f t="shared" si="50"/>
        <v>0</v>
      </c>
      <c r="AS260" s="42"/>
      <c r="AT260" s="48">
        <v>422500</v>
      </c>
      <c r="AU260" s="48">
        <v>459100</v>
      </c>
      <c r="AV260" s="4">
        <f t="shared" si="51"/>
        <v>881600</v>
      </c>
      <c r="AW260" s="50" t="str">
        <f t="shared" si="52"/>
        <v/>
      </c>
      <c r="AX260" s="1" t="s">
        <v>1686</v>
      </c>
      <c r="AY260" s="2" t="s">
        <v>1687</v>
      </c>
      <c r="AZ260" s="2">
        <v>154328.4</v>
      </c>
      <c r="BA260" s="73">
        <v>135037.35</v>
      </c>
      <c r="BB260" s="73">
        <v>135037.35</v>
      </c>
      <c r="BC260" s="73">
        <v>154328.4</v>
      </c>
      <c r="BD260" s="73"/>
      <c r="BE260" s="66">
        <v>4.4999999999999998E-2</v>
      </c>
      <c r="BF260" s="66">
        <v>0.05</v>
      </c>
      <c r="BG260" s="63">
        <v>45287</v>
      </c>
      <c r="BH260" s="74">
        <v>43919</v>
      </c>
      <c r="BI260" s="74">
        <v>43934</v>
      </c>
      <c r="BJ260" s="2"/>
      <c r="BK260" s="2"/>
      <c r="BL260" s="1" t="s">
        <v>56</v>
      </c>
    </row>
    <row r="261" spans="1:64" x14ac:dyDescent="0.25">
      <c r="A261" s="56" t="s">
        <v>470</v>
      </c>
      <c r="B261" s="54" t="s">
        <v>777</v>
      </c>
      <c r="C261" s="56" t="s">
        <v>778</v>
      </c>
      <c r="D261" s="16">
        <v>42302</v>
      </c>
      <c r="E261" s="17"/>
      <c r="F261" s="2" t="s">
        <v>342</v>
      </c>
      <c r="G261" s="2" t="s">
        <v>343</v>
      </c>
      <c r="H261" s="10" t="s">
        <v>57</v>
      </c>
      <c r="I261" s="11" t="s">
        <v>53</v>
      </c>
      <c r="J261" s="11" t="s">
        <v>387</v>
      </c>
      <c r="K261" s="61"/>
      <c r="L261" s="11" t="s">
        <v>67</v>
      </c>
      <c r="M261" s="25"/>
      <c r="N261" s="54"/>
      <c r="O261" s="3" t="str">
        <f t="shared" si="58"/>
        <v>A</v>
      </c>
      <c r="P261" s="48">
        <v>17140</v>
      </c>
      <c r="Q261" s="48">
        <v>24535</v>
      </c>
      <c r="R261" s="32"/>
      <c r="S261" s="3" t="str">
        <f t="shared" si="57"/>
        <v>A</v>
      </c>
      <c r="T261" s="48">
        <v>28645</v>
      </c>
      <c r="U261" s="48">
        <v>41906</v>
      </c>
      <c r="V261" s="32"/>
      <c r="W261" s="3" t="str">
        <f t="shared" si="46"/>
        <v>A</v>
      </c>
      <c r="X261" s="48">
        <v>11786</v>
      </c>
      <c r="Y261" s="48">
        <v>10945</v>
      </c>
      <c r="Z261" s="32"/>
      <c r="AA261" s="3" t="str">
        <f t="shared" si="47"/>
        <v>A</v>
      </c>
      <c r="AB261" s="48">
        <v>8750</v>
      </c>
      <c r="AC261" s="48">
        <v>12708</v>
      </c>
      <c r="AD261" s="36"/>
      <c r="AE261" s="54"/>
      <c r="AF261" s="3" t="str">
        <f t="shared" si="48"/>
        <v>A</v>
      </c>
      <c r="AG261" s="48">
        <v>0</v>
      </c>
      <c r="AH261" s="48">
        <v>0</v>
      </c>
      <c r="AI261" s="39"/>
      <c r="AJ261" s="79" t="s">
        <v>1801</v>
      </c>
      <c r="AK261" s="39"/>
      <c r="AL261" s="4">
        <f t="shared" si="55"/>
        <v>66321</v>
      </c>
      <c r="AM261" s="4">
        <f t="shared" si="55"/>
        <v>90094</v>
      </c>
      <c r="AN261" s="4">
        <f t="shared" si="49"/>
        <v>156415</v>
      </c>
      <c r="AO261" s="39"/>
      <c r="AP261" s="8">
        <f t="shared" si="56"/>
        <v>0</v>
      </c>
      <c r="AQ261" s="8">
        <f t="shared" si="56"/>
        <v>0</v>
      </c>
      <c r="AR261" s="8">
        <f t="shared" si="50"/>
        <v>0</v>
      </c>
      <c r="AS261" s="42"/>
      <c r="AT261" s="48">
        <v>66321</v>
      </c>
      <c r="AU261" s="48">
        <v>90094</v>
      </c>
      <c r="AV261" s="4">
        <f t="shared" si="51"/>
        <v>156415</v>
      </c>
      <c r="AW261" s="50" t="str">
        <f t="shared" si="52"/>
        <v/>
      </c>
      <c r="AX261" s="1" t="s">
        <v>1686</v>
      </c>
      <c r="AY261" s="2" t="s">
        <v>1687</v>
      </c>
      <c r="AZ261" s="2">
        <v>78475.360000000001</v>
      </c>
      <c r="BA261" s="73">
        <v>68665.94</v>
      </c>
      <c r="BB261" s="73">
        <v>68665.94</v>
      </c>
      <c r="BC261" s="73">
        <v>78475.360000000001</v>
      </c>
      <c r="BD261" s="73"/>
      <c r="BE261" s="66">
        <v>4.4999999999999998E-2</v>
      </c>
      <c r="BF261" s="66">
        <v>0.05</v>
      </c>
      <c r="BG261" s="63">
        <v>45287</v>
      </c>
      <c r="BH261" s="74">
        <v>43919</v>
      </c>
      <c r="BI261" s="74">
        <v>43934</v>
      </c>
      <c r="BJ261" s="2"/>
      <c r="BK261" s="2"/>
      <c r="BL261" s="1" t="s">
        <v>56</v>
      </c>
    </row>
    <row r="262" spans="1:64" x14ac:dyDescent="0.25">
      <c r="A262" s="56" t="s">
        <v>470</v>
      </c>
      <c r="B262" s="54" t="s">
        <v>1272</v>
      </c>
      <c r="C262" s="56" t="s">
        <v>1273</v>
      </c>
      <c r="D262" s="16">
        <v>0</v>
      </c>
      <c r="E262" s="17"/>
      <c r="F262" s="2" t="s">
        <v>342</v>
      </c>
      <c r="G262" s="2" t="s">
        <v>343</v>
      </c>
      <c r="H262" s="10" t="s">
        <v>57</v>
      </c>
      <c r="I262" s="11" t="s">
        <v>53</v>
      </c>
      <c r="J262" s="11" t="s">
        <v>387</v>
      </c>
      <c r="K262" s="61"/>
      <c r="L262" s="11" t="s">
        <v>67</v>
      </c>
      <c r="M262" s="25"/>
      <c r="N262" s="54"/>
      <c r="O262" s="3" t="str">
        <f t="shared" si="58"/>
        <v>A</v>
      </c>
      <c r="P262" s="48">
        <v>84430</v>
      </c>
      <c r="Q262" s="48">
        <v>47099</v>
      </c>
      <c r="R262" s="32"/>
      <c r="S262" s="3" t="str">
        <f t="shared" si="57"/>
        <v>A</v>
      </c>
      <c r="T262" s="48">
        <v>72390</v>
      </c>
      <c r="U262" s="48">
        <v>53957</v>
      </c>
      <c r="V262" s="32"/>
      <c r="W262" s="3" t="str">
        <f t="shared" si="46"/>
        <v>A</v>
      </c>
      <c r="X262" s="48">
        <v>61150</v>
      </c>
      <c r="Y262" s="48">
        <v>33359</v>
      </c>
      <c r="Z262" s="32"/>
      <c r="AA262" s="3" t="str">
        <f t="shared" si="47"/>
        <v>A</v>
      </c>
      <c r="AB262" s="48">
        <v>56540</v>
      </c>
      <c r="AC262" s="48">
        <v>40252</v>
      </c>
      <c r="AD262" s="36"/>
      <c r="AE262" s="54"/>
      <c r="AF262" s="3" t="str">
        <f t="shared" si="48"/>
        <v>A</v>
      </c>
      <c r="AG262" s="48">
        <v>0</v>
      </c>
      <c r="AH262" s="48">
        <v>0</v>
      </c>
      <c r="AI262" s="39"/>
      <c r="AJ262" s="79" t="s">
        <v>1801</v>
      </c>
      <c r="AK262" s="39"/>
      <c r="AL262" s="4">
        <f t="shared" si="55"/>
        <v>274510</v>
      </c>
      <c r="AM262" s="4">
        <f t="shared" si="55"/>
        <v>174667</v>
      </c>
      <c r="AN262" s="4">
        <f t="shared" si="49"/>
        <v>449177</v>
      </c>
      <c r="AO262" s="39"/>
      <c r="AP262" s="8">
        <f t="shared" si="56"/>
        <v>0</v>
      </c>
      <c r="AQ262" s="8">
        <f t="shared" si="56"/>
        <v>0</v>
      </c>
      <c r="AR262" s="8">
        <f t="shared" si="50"/>
        <v>0</v>
      </c>
      <c r="AS262" s="42"/>
      <c r="AT262" s="48">
        <v>274510</v>
      </c>
      <c r="AU262" s="48">
        <v>174667</v>
      </c>
      <c r="AV262" s="4">
        <f t="shared" si="51"/>
        <v>449177</v>
      </c>
      <c r="AW262" s="50" t="str">
        <f t="shared" si="52"/>
        <v/>
      </c>
      <c r="AX262" s="1" t="s">
        <v>1686</v>
      </c>
      <c r="AY262" s="2" t="s">
        <v>1687</v>
      </c>
      <c r="AZ262" s="2">
        <v>34989.839999999997</v>
      </c>
      <c r="BA262" s="73">
        <v>30616.11</v>
      </c>
      <c r="BB262" s="73">
        <v>30616.11</v>
      </c>
      <c r="BC262" s="73">
        <v>34989.839999999997</v>
      </c>
      <c r="BD262" s="73"/>
      <c r="BE262" s="66">
        <v>0</v>
      </c>
      <c r="BF262" s="66">
        <v>0.05</v>
      </c>
      <c r="BG262" s="63">
        <v>45287</v>
      </c>
      <c r="BH262" s="2"/>
      <c r="BI262" s="2"/>
      <c r="BJ262" s="2">
        <v>211536.92</v>
      </c>
      <c r="BK262" s="2">
        <v>23504.1</v>
      </c>
      <c r="BL262" s="1" t="s">
        <v>56</v>
      </c>
    </row>
    <row r="263" spans="1:64" x14ac:dyDescent="0.25">
      <c r="A263" s="56" t="s">
        <v>472</v>
      </c>
      <c r="B263" s="54" t="s">
        <v>472</v>
      </c>
      <c r="C263" s="56" t="s">
        <v>473</v>
      </c>
      <c r="D263" s="16">
        <v>41620</v>
      </c>
      <c r="E263" s="17"/>
      <c r="F263" s="2" t="s">
        <v>243</v>
      </c>
      <c r="G263" s="2" t="s">
        <v>245</v>
      </c>
      <c r="H263" s="10" t="s">
        <v>98</v>
      </c>
      <c r="I263" s="11" t="s">
        <v>244</v>
      </c>
      <c r="J263" s="11" t="s">
        <v>278</v>
      </c>
      <c r="K263" s="61" t="s">
        <v>279</v>
      </c>
      <c r="L263" s="11" t="s">
        <v>67</v>
      </c>
      <c r="M263" s="25"/>
      <c r="N263" s="54"/>
      <c r="O263" s="3" t="str">
        <f t="shared" si="58"/>
        <v>A</v>
      </c>
      <c r="P263" s="48">
        <v>224414.7</v>
      </c>
      <c r="Q263" s="48">
        <v>15927</v>
      </c>
      <c r="R263" s="32"/>
      <c r="S263" s="3" t="str">
        <f t="shared" si="57"/>
        <v>A</v>
      </c>
      <c r="T263" s="48">
        <v>196618.72</v>
      </c>
      <c r="U263" s="48">
        <v>15677.08</v>
      </c>
      <c r="V263" s="32"/>
      <c r="W263" s="3" t="str">
        <f t="shared" si="46"/>
        <v>A</v>
      </c>
      <c r="X263" s="48">
        <v>187794.78</v>
      </c>
      <c r="Y263" s="48">
        <v>11584</v>
      </c>
      <c r="Z263" s="32"/>
      <c r="AA263" s="3" t="str">
        <f t="shared" si="47"/>
        <v>A</v>
      </c>
      <c r="AB263" s="48">
        <v>198584</v>
      </c>
      <c r="AC263" s="48">
        <v>12820</v>
      </c>
      <c r="AD263" s="36"/>
      <c r="AE263" s="54"/>
      <c r="AF263" s="3" t="str">
        <f t="shared" si="48"/>
        <v>A</v>
      </c>
      <c r="AG263" s="48">
        <v>0</v>
      </c>
      <c r="AH263" s="48">
        <v>0</v>
      </c>
      <c r="AI263" s="39"/>
      <c r="AJ263" s="79" t="s">
        <v>1801</v>
      </c>
      <c r="AK263" s="39"/>
      <c r="AL263" s="4">
        <f t="shared" si="55"/>
        <v>807412.20000000007</v>
      </c>
      <c r="AM263" s="4">
        <f t="shared" si="55"/>
        <v>56008.08</v>
      </c>
      <c r="AN263" s="4">
        <f t="shared" si="49"/>
        <v>863420.28</v>
      </c>
      <c r="AO263" s="39"/>
      <c r="AP263" s="8">
        <f t="shared" si="56"/>
        <v>0</v>
      </c>
      <c r="AQ263" s="8">
        <f t="shared" si="56"/>
        <v>0</v>
      </c>
      <c r="AR263" s="8">
        <f t="shared" si="50"/>
        <v>0</v>
      </c>
      <c r="AS263" s="42"/>
      <c r="AT263" s="48">
        <v>807412.2</v>
      </c>
      <c r="AU263" s="48">
        <v>56008.08</v>
      </c>
      <c r="AV263" s="4">
        <f t="shared" si="51"/>
        <v>863420.27999999991</v>
      </c>
      <c r="AW263" s="50" t="str">
        <f t="shared" si="52"/>
        <v/>
      </c>
      <c r="AX263" s="1" t="s">
        <v>1639</v>
      </c>
      <c r="AY263" s="2" t="s">
        <v>1640</v>
      </c>
      <c r="AZ263" s="2">
        <v>229281.36</v>
      </c>
      <c r="BA263" s="73">
        <v>200621.19</v>
      </c>
      <c r="BB263" s="73">
        <v>200621.19</v>
      </c>
      <c r="BC263" s="73">
        <v>229281.36</v>
      </c>
      <c r="BD263" s="73"/>
      <c r="BE263" s="66">
        <v>3.5000000000000003E-2</v>
      </c>
      <c r="BF263" s="66">
        <v>0.02</v>
      </c>
      <c r="BG263" s="63">
        <v>45276</v>
      </c>
      <c r="BH263" s="74">
        <v>43908</v>
      </c>
      <c r="BI263" s="74">
        <v>43923</v>
      </c>
      <c r="BJ263" s="2"/>
      <c r="BK263" s="2"/>
      <c r="BL263" s="1" t="s">
        <v>97</v>
      </c>
    </row>
    <row r="264" spans="1:64" x14ac:dyDescent="0.25">
      <c r="A264" s="56" t="s">
        <v>474</v>
      </c>
      <c r="B264" s="54" t="s">
        <v>474</v>
      </c>
      <c r="C264" s="56" t="s">
        <v>475</v>
      </c>
      <c r="D264" s="16">
        <v>41524</v>
      </c>
      <c r="E264" s="17"/>
      <c r="F264" s="2" t="s">
        <v>187</v>
      </c>
      <c r="G264" s="2" t="s">
        <v>189</v>
      </c>
      <c r="H264" s="10" t="s">
        <v>57</v>
      </c>
      <c r="I264" s="11" t="s">
        <v>188</v>
      </c>
      <c r="J264" s="11" t="s">
        <v>190</v>
      </c>
      <c r="K264" s="61" t="s">
        <v>191</v>
      </c>
      <c r="L264" s="11" t="s">
        <v>67</v>
      </c>
      <c r="M264" s="25"/>
      <c r="N264" s="54"/>
      <c r="O264" s="3" t="str">
        <f t="shared" si="58"/>
        <v>A</v>
      </c>
      <c r="P264" s="48">
        <v>77623.199999999997</v>
      </c>
      <c r="Q264" s="48">
        <v>12659</v>
      </c>
      <c r="R264" s="32"/>
      <c r="S264" s="3" t="str">
        <f t="shared" si="57"/>
        <v>A</v>
      </c>
      <c r="T264" s="48">
        <v>61371.199999999997</v>
      </c>
      <c r="U264" s="48">
        <v>11227</v>
      </c>
      <c r="V264" s="32"/>
      <c r="W264" s="3" t="str">
        <f t="shared" ref="W264:W327" si="59">IF($A264="","",IF(X264=0,"A",IF(X264=BB264,"E","A")))</f>
        <v>A</v>
      </c>
      <c r="X264" s="48">
        <v>63407.44</v>
      </c>
      <c r="Y264" s="48">
        <v>11585.35</v>
      </c>
      <c r="Z264" s="32"/>
      <c r="AA264" s="3" t="str">
        <f t="shared" ref="AA264:AA327" si="60">IF($A264="","",IF(AB264=0,"A",IF(AB264=BC264,"E","A")))</f>
        <v>A</v>
      </c>
      <c r="AB264" s="48">
        <v>73804.98000000001</v>
      </c>
      <c r="AC264" s="48">
        <v>12739.83</v>
      </c>
      <c r="AD264" s="36"/>
      <c r="AE264" s="54"/>
      <c r="AF264" s="3" t="str">
        <f t="shared" ref="AF264:AF327" si="61">IF($A264="","",IF(AG264=0,"A",IF(AG264=BD264,"E","A")))</f>
        <v>A</v>
      </c>
      <c r="AG264" s="48">
        <v>0</v>
      </c>
      <c r="AH264" s="48">
        <v>0</v>
      </c>
      <c r="AI264" s="39"/>
      <c r="AJ264" s="79" t="s">
        <v>1801</v>
      </c>
      <c r="AK264" s="39"/>
      <c r="AL264" s="4">
        <f t="shared" si="55"/>
        <v>276206.82</v>
      </c>
      <c r="AM264" s="4">
        <f t="shared" si="55"/>
        <v>48211.18</v>
      </c>
      <c r="AN264" s="4">
        <f t="shared" ref="AN264:AN327" si="62">SUM(AL264:AM264)</f>
        <v>324418</v>
      </c>
      <c r="AO264" s="39"/>
      <c r="AP264" s="8">
        <f t="shared" si="56"/>
        <v>0</v>
      </c>
      <c r="AQ264" s="8">
        <f t="shared" si="56"/>
        <v>0</v>
      </c>
      <c r="AR264" s="8">
        <f t="shared" ref="AR264:AR327" si="63">SUM(AP264:AQ264)</f>
        <v>0</v>
      </c>
      <c r="AS264" s="42"/>
      <c r="AT264" s="48">
        <v>276206.82</v>
      </c>
      <c r="AU264" s="48">
        <v>48211.18</v>
      </c>
      <c r="AV264" s="4">
        <f t="shared" ref="AV264:AV327" si="64">SUM(AT264:AU264)</f>
        <v>324418</v>
      </c>
      <c r="AW264" s="50" t="str">
        <f t="shared" ref="AW264:AW327" si="65">IF(AV264=0,"",IF(AN264=AV264,"","W"))</f>
        <v/>
      </c>
      <c r="AX264" s="1" t="s">
        <v>1639</v>
      </c>
      <c r="AY264" s="2" t="s">
        <v>1640</v>
      </c>
      <c r="AZ264" s="2">
        <v>149193.20000000001</v>
      </c>
      <c r="BA264" s="73">
        <v>130544.05</v>
      </c>
      <c r="BB264" s="73">
        <v>130544.05</v>
      </c>
      <c r="BC264" s="73">
        <v>149193.20000000001</v>
      </c>
      <c r="BD264" s="73"/>
      <c r="BE264" s="66">
        <v>0</v>
      </c>
      <c r="BF264" s="66">
        <v>0.02</v>
      </c>
      <c r="BG264" s="63">
        <v>45171</v>
      </c>
      <c r="BH264" s="2"/>
      <c r="BI264" s="2"/>
      <c r="BJ264" s="2"/>
      <c r="BK264" s="2"/>
      <c r="BL264" s="1" t="s">
        <v>56</v>
      </c>
    </row>
    <row r="265" spans="1:64" x14ac:dyDescent="0.25">
      <c r="A265" s="56" t="s">
        <v>474</v>
      </c>
      <c r="B265" s="54" t="s">
        <v>779</v>
      </c>
      <c r="C265" s="56" t="s">
        <v>780</v>
      </c>
      <c r="D265" s="16">
        <v>42110</v>
      </c>
      <c r="E265" s="17">
        <v>45809</v>
      </c>
      <c r="F265" s="2" t="s">
        <v>187</v>
      </c>
      <c r="G265" s="2" t="s">
        <v>189</v>
      </c>
      <c r="H265" s="10" t="s">
        <v>57</v>
      </c>
      <c r="I265" s="11" t="s">
        <v>188</v>
      </c>
      <c r="J265" s="11" t="s">
        <v>190</v>
      </c>
      <c r="K265" s="61" t="s">
        <v>191</v>
      </c>
      <c r="L265" s="11" t="s">
        <v>67</v>
      </c>
      <c r="M265" s="25"/>
      <c r="N265" s="54"/>
      <c r="O265" s="3" t="str">
        <f t="shared" si="58"/>
        <v>A</v>
      </c>
      <c r="P265" s="48"/>
      <c r="Q265" s="48"/>
      <c r="R265" s="32"/>
      <c r="S265" s="3" t="str">
        <f t="shared" si="57"/>
        <v>A</v>
      </c>
      <c r="T265" s="48"/>
      <c r="U265" s="48"/>
      <c r="V265" s="32"/>
      <c r="W265" s="3" t="str">
        <f t="shared" si="59"/>
        <v>A</v>
      </c>
      <c r="X265" s="48"/>
      <c r="Y265" s="48"/>
      <c r="Z265" s="32"/>
      <c r="AA265" s="3" t="str">
        <f t="shared" si="60"/>
        <v>A</v>
      </c>
      <c r="AB265" s="48"/>
      <c r="AC265" s="48"/>
      <c r="AD265" s="36"/>
      <c r="AE265" s="54"/>
      <c r="AF265" s="3" t="str">
        <f t="shared" si="61"/>
        <v>A</v>
      </c>
      <c r="AG265" s="48"/>
      <c r="AH265" s="48"/>
      <c r="AI265" s="39"/>
      <c r="AJ265" s="79" t="s">
        <v>1801</v>
      </c>
      <c r="AK265" s="39"/>
      <c r="AL265" s="4">
        <f t="shared" si="55"/>
        <v>0</v>
      </c>
      <c r="AM265" s="4">
        <f t="shared" si="55"/>
        <v>0</v>
      </c>
      <c r="AN265" s="4">
        <f t="shared" si="62"/>
        <v>0</v>
      </c>
      <c r="AO265" s="39"/>
      <c r="AP265" s="8">
        <f t="shared" si="56"/>
        <v>0</v>
      </c>
      <c r="AQ265" s="8">
        <f t="shared" si="56"/>
        <v>0</v>
      </c>
      <c r="AR265" s="8">
        <f t="shared" si="63"/>
        <v>0</v>
      </c>
      <c r="AS265" s="42"/>
      <c r="AT265" s="48"/>
      <c r="AU265" s="48"/>
      <c r="AV265" s="4">
        <f t="shared" si="64"/>
        <v>0</v>
      </c>
      <c r="AW265" s="50" t="str">
        <f t="shared" si="65"/>
        <v/>
      </c>
      <c r="AX265" s="1" t="s">
        <v>1639</v>
      </c>
      <c r="AY265" s="2" t="s">
        <v>1640</v>
      </c>
      <c r="AZ265" s="2"/>
      <c r="BA265" s="73"/>
      <c r="BB265" s="73"/>
      <c r="BC265" s="73"/>
      <c r="BD265" s="73"/>
      <c r="BE265" s="66">
        <v>0</v>
      </c>
      <c r="BF265" s="66">
        <v>0.02</v>
      </c>
      <c r="BG265" s="63">
        <v>45171</v>
      </c>
      <c r="BH265" s="2"/>
      <c r="BI265" s="2"/>
      <c r="BJ265" s="2"/>
      <c r="BK265" s="2"/>
      <c r="BL265" s="1" t="s">
        <v>56</v>
      </c>
    </row>
    <row r="266" spans="1:64" x14ac:dyDescent="0.25">
      <c r="A266" s="56" t="s">
        <v>476</v>
      </c>
      <c r="B266" s="54" t="s">
        <v>476</v>
      </c>
      <c r="C266" s="56" t="s">
        <v>477</v>
      </c>
      <c r="D266" s="16">
        <v>41835</v>
      </c>
      <c r="E266" s="17"/>
      <c r="F266" s="2" t="s">
        <v>243</v>
      </c>
      <c r="G266" s="2" t="s">
        <v>245</v>
      </c>
      <c r="H266" s="10" t="s">
        <v>57</v>
      </c>
      <c r="I266" s="11" t="s">
        <v>244</v>
      </c>
      <c r="J266" s="11" t="s">
        <v>478</v>
      </c>
      <c r="K266" s="61" t="s">
        <v>479</v>
      </c>
      <c r="L266" s="11" t="s">
        <v>67</v>
      </c>
      <c r="M266" s="25"/>
      <c r="N266" s="54"/>
      <c r="O266" s="3" t="str">
        <f t="shared" si="58"/>
        <v>A</v>
      </c>
      <c r="P266" s="48">
        <v>161463</v>
      </c>
      <c r="Q266" s="48">
        <v>21012</v>
      </c>
      <c r="R266" s="32"/>
      <c r="S266" s="3" t="str">
        <f t="shared" si="57"/>
        <v>A</v>
      </c>
      <c r="T266" s="48">
        <v>153761</v>
      </c>
      <c r="U266" s="48">
        <v>15779</v>
      </c>
      <c r="V266" s="32"/>
      <c r="W266" s="3" t="str">
        <f t="shared" si="59"/>
        <v>A</v>
      </c>
      <c r="X266" s="48">
        <v>157792</v>
      </c>
      <c r="Y266" s="48">
        <v>14748</v>
      </c>
      <c r="Z266" s="32"/>
      <c r="AA266" s="3" t="str">
        <f t="shared" si="60"/>
        <v>A</v>
      </c>
      <c r="AB266" s="48">
        <v>171930.75</v>
      </c>
      <c r="AC266" s="48">
        <v>9289</v>
      </c>
      <c r="AD266" s="36"/>
      <c r="AE266" s="54"/>
      <c r="AF266" s="3" t="str">
        <f t="shared" si="61"/>
        <v>A</v>
      </c>
      <c r="AG266" s="48">
        <v>0</v>
      </c>
      <c r="AH266" s="48">
        <v>0</v>
      </c>
      <c r="AI266" s="39"/>
      <c r="AJ266" s="79" t="s">
        <v>1801</v>
      </c>
      <c r="AK266" s="39"/>
      <c r="AL266" s="4">
        <f t="shared" si="55"/>
        <v>644946.75</v>
      </c>
      <c r="AM266" s="4">
        <f t="shared" si="55"/>
        <v>60828</v>
      </c>
      <c r="AN266" s="4">
        <f t="shared" si="62"/>
        <v>705774.75</v>
      </c>
      <c r="AO266" s="39"/>
      <c r="AP266" s="8">
        <f t="shared" si="56"/>
        <v>0</v>
      </c>
      <c r="AQ266" s="8">
        <f t="shared" si="56"/>
        <v>0</v>
      </c>
      <c r="AR266" s="8">
        <f t="shared" si="63"/>
        <v>0</v>
      </c>
      <c r="AS266" s="42"/>
      <c r="AT266" s="48">
        <v>644946.75</v>
      </c>
      <c r="AU266" s="48">
        <v>60828</v>
      </c>
      <c r="AV266" s="4">
        <f t="shared" si="64"/>
        <v>705774.75</v>
      </c>
      <c r="AW266" s="50" t="str">
        <f t="shared" si="65"/>
        <v/>
      </c>
      <c r="AX266" s="1" t="s">
        <v>1639</v>
      </c>
      <c r="AY266" s="2" t="s">
        <v>1640</v>
      </c>
      <c r="AZ266" s="2">
        <v>135242.88</v>
      </c>
      <c r="BA266" s="73">
        <v>118337.52</v>
      </c>
      <c r="BB266" s="73">
        <v>118337.52</v>
      </c>
      <c r="BC266" s="73">
        <v>135242.88</v>
      </c>
      <c r="BD266" s="73"/>
      <c r="BE266" s="66">
        <v>3.5000000000000003E-2</v>
      </c>
      <c r="BF266" s="66">
        <v>0.02</v>
      </c>
      <c r="BG266" s="63">
        <v>45342</v>
      </c>
      <c r="BH266" s="2"/>
      <c r="BI266" s="2"/>
      <c r="BJ266" s="2"/>
      <c r="BK266" s="2"/>
      <c r="BL266" s="1" t="s">
        <v>396</v>
      </c>
    </row>
    <row r="267" spans="1:64" x14ac:dyDescent="0.25">
      <c r="A267" s="56" t="s">
        <v>480</v>
      </c>
      <c r="B267" s="54" t="s">
        <v>480</v>
      </c>
      <c r="C267" s="56" t="s">
        <v>481</v>
      </c>
      <c r="D267" s="16">
        <v>41810</v>
      </c>
      <c r="E267" s="17"/>
      <c r="F267" s="2" t="s">
        <v>109</v>
      </c>
      <c r="G267" s="2" t="s">
        <v>111</v>
      </c>
      <c r="H267" s="10" t="s">
        <v>57</v>
      </c>
      <c r="I267" s="11" t="s">
        <v>110</v>
      </c>
      <c r="J267" s="11" t="s">
        <v>460</v>
      </c>
      <c r="K267" s="61" t="s">
        <v>461</v>
      </c>
      <c r="L267" s="11" t="s">
        <v>67</v>
      </c>
      <c r="M267" s="25"/>
      <c r="N267" s="54"/>
      <c r="O267" s="3" t="str">
        <f t="shared" si="58"/>
        <v>A</v>
      </c>
      <c r="P267" s="48">
        <v>88520</v>
      </c>
      <c r="Q267" s="48">
        <v>16924</v>
      </c>
      <c r="R267" s="32"/>
      <c r="S267" s="3" t="str">
        <f t="shared" si="57"/>
        <v>A</v>
      </c>
      <c r="T267" s="48">
        <v>84291</v>
      </c>
      <c r="U267" s="48">
        <v>25252</v>
      </c>
      <c r="V267" s="32"/>
      <c r="W267" s="3" t="str">
        <f t="shared" si="59"/>
        <v>A</v>
      </c>
      <c r="X267" s="48">
        <v>70584</v>
      </c>
      <c r="Y267" s="48">
        <v>15431</v>
      </c>
      <c r="Z267" s="32"/>
      <c r="AA267" s="3" t="str">
        <f t="shared" si="60"/>
        <v>A</v>
      </c>
      <c r="AB267" s="48">
        <v>72263</v>
      </c>
      <c r="AC267" s="48">
        <v>13571</v>
      </c>
      <c r="AD267" s="36"/>
      <c r="AE267" s="54"/>
      <c r="AF267" s="3" t="str">
        <f t="shared" si="61"/>
        <v>A</v>
      </c>
      <c r="AG267" s="48">
        <v>0</v>
      </c>
      <c r="AH267" s="48">
        <v>0</v>
      </c>
      <c r="AI267" s="39"/>
      <c r="AJ267" s="79" t="s">
        <v>1801</v>
      </c>
      <c r="AK267" s="39"/>
      <c r="AL267" s="4">
        <f t="shared" si="55"/>
        <v>315658</v>
      </c>
      <c r="AM267" s="4">
        <f t="shared" si="55"/>
        <v>71178</v>
      </c>
      <c r="AN267" s="4">
        <f t="shared" si="62"/>
        <v>386836</v>
      </c>
      <c r="AO267" s="39"/>
      <c r="AP267" s="8">
        <f t="shared" si="56"/>
        <v>0</v>
      </c>
      <c r="AQ267" s="8">
        <f t="shared" si="56"/>
        <v>0</v>
      </c>
      <c r="AR267" s="8">
        <f t="shared" si="63"/>
        <v>0</v>
      </c>
      <c r="AS267" s="42"/>
      <c r="AT267" s="48">
        <v>315658</v>
      </c>
      <c r="AU267" s="48">
        <v>71178</v>
      </c>
      <c r="AV267" s="4">
        <f t="shared" si="64"/>
        <v>386836</v>
      </c>
      <c r="AW267" s="50" t="str">
        <f t="shared" si="65"/>
        <v/>
      </c>
      <c r="AX267" s="1" t="s">
        <v>1647</v>
      </c>
      <c r="AY267" s="2" t="s">
        <v>1640</v>
      </c>
      <c r="AZ267" s="2">
        <v>123501.92</v>
      </c>
      <c r="BA267" s="73">
        <v>108064.18</v>
      </c>
      <c r="BB267" s="73">
        <v>108064.18</v>
      </c>
      <c r="BC267" s="73">
        <v>123501.92</v>
      </c>
      <c r="BD267" s="73"/>
      <c r="BE267" s="66">
        <v>0</v>
      </c>
      <c r="BF267" s="66">
        <v>0.02</v>
      </c>
      <c r="BG267" s="63">
        <v>45434</v>
      </c>
      <c r="BH267" s="2"/>
      <c r="BI267" s="2"/>
      <c r="BJ267" s="2"/>
      <c r="BK267" s="2"/>
      <c r="BL267" s="1" t="s">
        <v>56</v>
      </c>
    </row>
    <row r="268" spans="1:64" x14ac:dyDescent="0.25">
      <c r="A268" s="56" t="s">
        <v>482</v>
      </c>
      <c r="B268" s="54" t="s">
        <v>482</v>
      </c>
      <c r="C268" s="56" t="s">
        <v>483</v>
      </c>
      <c r="D268" s="16">
        <v>41930</v>
      </c>
      <c r="E268" s="17"/>
      <c r="F268" s="2" t="s">
        <v>187</v>
      </c>
      <c r="G268" s="2" t="s">
        <v>189</v>
      </c>
      <c r="H268" s="10" t="s">
        <v>57</v>
      </c>
      <c r="I268" s="11" t="s">
        <v>188</v>
      </c>
      <c r="J268" s="11" t="s">
        <v>338</v>
      </c>
      <c r="K268" s="61" t="s">
        <v>339</v>
      </c>
      <c r="L268" s="11" t="s">
        <v>67</v>
      </c>
      <c r="M268" s="25"/>
      <c r="N268" s="54"/>
      <c r="O268" s="3" t="str">
        <f t="shared" si="58"/>
        <v>A</v>
      </c>
      <c r="P268" s="48">
        <v>207369.1</v>
      </c>
      <c r="Q268" s="48">
        <v>43623</v>
      </c>
      <c r="R268" s="32"/>
      <c r="S268" s="3" t="str">
        <f t="shared" si="57"/>
        <v>A</v>
      </c>
      <c r="T268" s="48">
        <v>183605.05</v>
      </c>
      <c r="U268" s="48">
        <v>32390</v>
      </c>
      <c r="V268" s="32"/>
      <c r="W268" s="3" t="str">
        <f t="shared" si="59"/>
        <v>A</v>
      </c>
      <c r="X268" s="48">
        <v>157953.60000000001</v>
      </c>
      <c r="Y268" s="48">
        <v>33729</v>
      </c>
      <c r="Z268" s="32"/>
      <c r="AA268" s="3" t="str">
        <f t="shared" si="60"/>
        <v>A</v>
      </c>
      <c r="AB268" s="48">
        <v>189402.75</v>
      </c>
      <c r="AC268" s="48">
        <v>44842</v>
      </c>
      <c r="AD268" s="36"/>
      <c r="AE268" s="54"/>
      <c r="AF268" s="3" t="str">
        <f t="shared" si="61"/>
        <v>A</v>
      </c>
      <c r="AG268" s="48">
        <v>0</v>
      </c>
      <c r="AH268" s="48">
        <v>0</v>
      </c>
      <c r="AI268" s="39"/>
      <c r="AJ268" s="79" t="s">
        <v>1801</v>
      </c>
      <c r="AK268" s="39"/>
      <c r="AL268" s="4">
        <f t="shared" si="55"/>
        <v>738330.5</v>
      </c>
      <c r="AM268" s="4">
        <f t="shared" si="55"/>
        <v>154584</v>
      </c>
      <c r="AN268" s="4">
        <f t="shared" si="62"/>
        <v>892914.5</v>
      </c>
      <c r="AO268" s="39"/>
      <c r="AP268" s="8">
        <f t="shared" si="56"/>
        <v>0</v>
      </c>
      <c r="AQ268" s="8">
        <f t="shared" si="56"/>
        <v>0</v>
      </c>
      <c r="AR268" s="8">
        <f t="shared" si="63"/>
        <v>0</v>
      </c>
      <c r="AS268" s="42"/>
      <c r="AT268" s="48">
        <v>738330.5</v>
      </c>
      <c r="AU268" s="48">
        <v>154584</v>
      </c>
      <c r="AV268" s="4">
        <f t="shared" si="64"/>
        <v>892914.5</v>
      </c>
      <c r="AW268" s="50" t="str">
        <f t="shared" si="65"/>
        <v/>
      </c>
      <c r="AX268" s="1" t="s">
        <v>1639</v>
      </c>
      <c r="AY268" s="2" t="s">
        <v>1640</v>
      </c>
      <c r="AZ268" s="2">
        <v>97733.28</v>
      </c>
      <c r="BA268" s="73">
        <v>85516.62</v>
      </c>
      <c r="BB268" s="73">
        <v>85516.62</v>
      </c>
      <c r="BC268" s="73">
        <v>97733.28</v>
      </c>
      <c r="BD268" s="73"/>
      <c r="BE268" s="66">
        <v>0</v>
      </c>
      <c r="BF268" s="66">
        <v>0.02</v>
      </c>
      <c r="BG268" s="63">
        <v>45501</v>
      </c>
      <c r="BH268" s="2"/>
      <c r="BI268" s="2"/>
      <c r="BJ268" s="2"/>
      <c r="BK268" s="2"/>
      <c r="BL268" s="1" t="s">
        <v>56</v>
      </c>
    </row>
    <row r="269" spans="1:64" x14ac:dyDescent="0.25">
      <c r="A269" s="56" t="s">
        <v>484</v>
      </c>
      <c r="B269" s="54" t="s">
        <v>484</v>
      </c>
      <c r="C269" s="56" t="s">
        <v>485</v>
      </c>
      <c r="D269" s="16">
        <v>41971</v>
      </c>
      <c r="E269" s="17"/>
      <c r="F269" s="2" t="s">
        <v>243</v>
      </c>
      <c r="G269" s="2" t="s">
        <v>245</v>
      </c>
      <c r="H269" s="10" t="s">
        <v>57</v>
      </c>
      <c r="I269" s="11" t="s">
        <v>244</v>
      </c>
      <c r="J269" s="11" t="s">
        <v>486</v>
      </c>
      <c r="K269" s="61" t="s">
        <v>487</v>
      </c>
      <c r="L269" s="11" t="s">
        <v>67</v>
      </c>
      <c r="M269" s="25"/>
      <c r="N269" s="54"/>
      <c r="O269" s="3" t="str">
        <f t="shared" si="58"/>
        <v>A</v>
      </c>
      <c r="P269" s="48">
        <v>84495.12</v>
      </c>
      <c r="Q269" s="48">
        <v>21791.89</v>
      </c>
      <c r="R269" s="32"/>
      <c r="S269" s="3" t="str">
        <f t="shared" si="57"/>
        <v>A</v>
      </c>
      <c r="T269" s="48">
        <v>81126.44</v>
      </c>
      <c r="U269" s="48">
        <v>18237.559999999998</v>
      </c>
      <c r="V269" s="32"/>
      <c r="W269" s="3" t="str">
        <f t="shared" si="59"/>
        <v>A</v>
      </c>
      <c r="X269" s="48">
        <v>73175.039999999994</v>
      </c>
      <c r="Y269" s="48">
        <v>11519.96</v>
      </c>
      <c r="Z269" s="32"/>
      <c r="AA269" s="3" t="str">
        <f t="shared" si="60"/>
        <v>A</v>
      </c>
      <c r="AB269" s="48">
        <v>77693</v>
      </c>
      <c r="AC269" s="48">
        <v>14482</v>
      </c>
      <c r="AD269" s="36"/>
      <c r="AE269" s="54"/>
      <c r="AF269" s="3" t="str">
        <f t="shared" si="61"/>
        <v>A</v>
      </c>
      <c r="AG269" s="48">
        <v>0</v>
      </c>
      <c r="AH269" s="48">
        <v>0</v>
      </c>
      <c r="AI269" s="39"/>
      <c r="AJ269" s="79" t="s">
        <v>1801</v>
      </c>
      <c r="AK269" s="39"/>
      <c r="AL269" s="4">
        <f t="shared" si="55"/>
        <v>316489.59999999998</v>
      </c>
      <c r="AM269" s="4">
        <f t="shared" si="55"/>
        <v>66031.41</v>
      </c>
      <c r="AN269" s="4">
        <f t="shared" si="62"/>
        <v>382521.01</v>
      </c>
      <c r="AO269" s="39"/>
      <c r="AP269" s="8">
        <f t="shared" si="56"/>
        <v>0</v>
      </c>
      <c r="AQ269" s="8">
        <f t="shared" si="56"/>
        <v>0</v>
      </c>
      <c r="AR269" s="8">
        <f t="shared" si="63"/>
        <v>0</v>
      </c>
      <c r="AS269" s="42"/>
      <c r="AT269" s="48">
        <v>316489.59999999998</v>
      </c>
      <c r="AU269" s="48">
        <v>66031.41</v>
      </c>
      <c r="AV269" s="4">
        <f t="shared" si="64"/>
        <v>382521.01</v>
      </c>
      <c r="AW269" s="50" t="str">
        <f t="shared" si="65"/>
        <v/>
      </c>
      <c r="AX269" s="1" t="s">
        <v>1639</v>
      </c>
      <c r="AY269" s="2" t="s">
        <v>1640</v>
      </c>
      <c r="AZ269" s="2">
        <v>112083.2</v>
      </c>
      <c r="BA269" s="73">
        <v>98072.8</v>
      </c>
      <c r="BB269" s="73">
        <v>98072.8</v>
      </c>
      <c r="BC269" s="73">
        <v>112083.2</v>
      </c>
      <c r="BD269" s="73"/>
      <c r="BE269" s="66">
        <v>0</v>
      </c>
      <c r="BF269" s="66">
        <v>0.02</v>
      </c>
      <c r="BG269" s="63">
        <v>45620</v>
      </c>
      <c r="BH269" s="74">
        <v>44145</v>
      </c>
      <c r="BI269" s="74">
        <v>44175</v>
      </c>
      <c r="BJ269" s="2"/>
      <c r="BK269" s="2"/>
      <c r="BL269" s="1" t="s">
        <v>56</v>
      </c>
    </row>
    <row r="270" spans="1:64" x14ac:dyDescent="0.25">
      <c r="A270" s="56" t="s">
        <v>488</v>
      </c>
      <c r="B270" s="54" t="s">
        <v>488</v>
      </c>
      <c r="C270" s="56" t="s">
        <v>489</v>
      </c>
      <c r="D270" s="16">
        <v>41991</v>
      </c>
      <c r="E270" s="17"/>
      <c r="F270" s="2" t="s">
        <v>109</v>
      </c>
      <c r="G270" s="2" t="s">
        <v>111</v>
      </c>
      <c r="H270" s="10" t="s">
        <v>98</v>
      </c>
      <c r="I270" s="11" t="s">
        <v>110</v>
      </c>
      <c r="J270" s="11" t="s">
        <v>286</v>
      </c>
      <c r="K270" s="61" t="s">
        <v>287</v>
      </c>
      <c r="L270" s="11" t="s">
        <v>67</v>
      </c>
      <c r="M270" s="25"/>
      <c r="N270" s="54"/>
      <c r="O270" s="3" t="str">
        <f t="shared" si="58"/>
        <v>A</v>
      </c>
      <c r="P270" s="48">
        <v>131276.25</v>
      </c>
      <c r="Q270" s="48">
        <v>17022</v>
      </c>
      <c r="R270" s="32"/>
      <c r="S270" s="3" t="str">
        <f t="shared" si="57"/>
        <v>A</v>
      </c>
      <c r="T270" s="48">
        <v>113521</v>
      </c>
      <c r="U270" s="48">
        <v>15269</v>
      </c>
      <c r="V270" s="32"/>
      <c r="W270" s="3" t="str">
        <f t="shared" si="59"/>
        <v>A</v>
      </c>
      <c r="X270" s="48">
        <v>100026</v>
      </c>
      <c r="Y270" s="48">
        <v>11308</v>
      </c>
      <c r="Z270" s="32"/>
      <c r="AA270" s="3" t="str">
        <f t="shared" si="60"/>
        <v>A</v>
      </c>
      <c r="AB270" s="48">
        <v>96850.85</v>
      </c>
      <c r="AC270" s="48">
        <v>10408</v>
      </c>
      <c r="AD270" s="36"/>
      <c r="AE270" s="54"/>
      <c r="AF270" s="3" t="str">
        <f t="shared" si="61"/>
        <v>A</v>
      </c>
      <c r="AG270" s="48">
        <v>0</v>
      </c>
      <c r="AH270" s="48">
        <v>0</v>
      </c>
      <c r="AI270" s="39"/>
      <c r="AJ270" s="79" t="s">
        <v>1801</v>
      </c>
      <c r="AK270" s="39"/>
      <c r="AL270" s="4">
        <f t="shared" si="55"/>
        <v>441674.1</v>
      </c>
      <c r="AM270" s="4">
        <f t="shared" si="55"/>
        <v>54007</v>
      </c>
      <c r="AN270" s="4">
        <f t="shared" si="62"/>
        <v>495681.1</v>
      </c>
      <c r="AO270" s="39"/>
      <c r="AP270" s="8">
        <f t="shared" si="56"/>
        <v>0</v>
      </c>
      <c r="AQ270" s="8">
        <f t="shared" si="56"/>
        <v>0</v>
      </c>
      <c r="AR270" s="8">
        <f t="shared" si="63"/>
        <v>0</v>
      </c>
      <c r="AS270" s="42"/>
      <c r="AT270" s="48">
        <v>441674.1</v>
      </c>
      <c r="AU270" s="48">
        <v>54007</v>
      </c>
      <c r="AV270" s="4">
        <f t="shared" si="64"/>
        <v>495681.1</v>
      </c>
      <c r="AW270" s="50" t="str">
        <f t="shared" si="65"/>
        <v/>
      </c>
      <c r="AX270" s="1" t="s">
        <v>1647</v>
      </c>
      <c r="AY270" s="2" t="s">
        <v>1640</v>
      </c>
      <c r="AZ270" s="2">
        <v>102501.52</v>
      </c>
      <c r="BA270" s="73">
        <v>89688.83</v>
      </c>
      <c r="BB270" s="73">
        <v>89688.83</v>
      </c>
      <c r="BC270" s="73">
        <v>102501.52</v>
      </c>
      <c r="BD270" s="73"/>
      <c r="BE270" s="66">
        <v>0</v>
      </c>
      <c r="BF270" s="66">
        <v>0.02</v>
      </c>
      <c r="BG270" s="63">
        <v>45607</v>
      </c>
      <c r="BH270" s="74">
        <v>43920</v>
      </c>
      <c r="BI270" s="74">
        <v>43922</v>
      </c>
      <c r="BJ270" s="2"/>
      <c r="BK270" s="2"/>
      <c r="BL270" s="1" t="s">
        <v>237</v>
      </c>
    </row>
    <row r="271" spans="1:64" x14ac:dyDescent="0.25">
      <c r="A271" s="56" t="s">
        <v>490</v>
      </c>
      <c r="B271" s="54" t="s">
        <v>490</v>
      </c>
      <c r="C271" s="56" t="s">
        <v>491</v>
      </c>
      <c r="D271" s="16">
        <v>41994</v>
      </c>
      <c r="E271" s="17"/>
      <c r="F271" s="2" t="s">
        <v>492</v>
      </c>
      <c r="G271" s="2" t="s">
        <v>493</v>
      </c>
      <c r="H271" s="10" t="s">
        <v>57</v>
      </c>
      <c r="I271" s="11" t="s">
        <v>53</v>
      </c>
      <c r="J271" s="11" t="s">
        <v>387</v>
      </c>
      <c r="K271" s="61"/>
      <c r="L271" s="11" t="s">
        <v>67</v>
      </c>
      <c r="M271" s="25"/>
      <c r="N271" s="54"/>
      <c r="O271" s="3" t="str">
        <f t="shared" si="58"/>
        <v>A</v>
      </c>
      <c r="P271" s="48">
        <v>249252</v>
      </c>
      <c r="Q271" s="48">
        <v>39400</v>
      </c>
      <c r="R271" s="32"/>
      <c r="S271" s="3" t="str">
        <f t="shared" si="57"/>
        <v>A</v>
      </c>
      <c r="T271" s="48">
        <v>227610</v>
      </c>
      <c r="U271" s="48">
        <v>26930</v>
      </c>
      <c r="V271" s="32"/>
      <c r="W271" s="3" t="str">
        <f t="shared" si="59"/>
        <v>A</v>
      </c>
      <c r="X271" s="48">
        <v>215137</v>
      </c>
      <c r="Y271" s="48">
        <v>25951</v>
      </c>
      <c r="Z271" s="32"/>
      <c r="AA271" s="3" t="str">
        <f t="shared" si="60"/>
        <v>A</v>
      </c>
      <c r="AB271" s="48">
        <v>229479</v>
      </c>
      <c r="AC271" s="48">
        <v>29510</v>
      </c>
      <c r="AD271" s="36"/>
      <c r="AE271" s="54"/>
      <c r="AF271" s="3" t="str">
        <f t="shared" si="61"/>
        <v>A</v>
      </c>
      <c r="AG271" s="48">
        <v>0</v>
      </c>
      <c r="AH271" s="48">
        <v>0</v>
      </c>
      <c r="AI271" s="39"/>
      <c r="AJ271" s="79" t="s">
        <v>1801</v>
      </c>
      <c r="AK271" s="39"/>
      <c r="AL271" s="4">
        <f t="shared" si="55"/>
        <v>921478</v>
      </c>
      <c r="AM271" s="4">
        <f t="shared" si="55"/>
        <v>121791</v>
      </c>
      <c r="AN271" s="4">
        <f t="shared" si="62"/>
        <v>1043269</v>
      </c>
      <c r="AO271" s="39"/>
      <c r="AP271" s="8">
        <f t="shared" si="56"/>
        <v>0</v>
      </c>
      <c r="AQ271" s="8">
        <f t="shared" si="56"/>
        <v>0</v>
      </c>
      <c r="AR271" s="8">
        <f t="shared" si="63"/>
        <v>0</v>
      </c>
      <c r="AS271" s="42"/>
      <c r="AT271" s="48">
        <v>921478</v>
      </c>
      <c r="AU271" s="48">
        <v>121791</v>
      </c>
      <c r="AV271" s="4">
        <f t="shared" si="64"/>
        <v>1043269</v>
      </c>
      <c r="AW271" s="50" t="str">
        <f t="shared" si="65"/>
        <v/>
      </c>
      <c r="AX271" s="1" t="s">
        <v>1713</v>
      </c>
      <c r="AY271" s="2" t="s">
        <v>1714</v>
      </c>
      <c r="AZ271" s="2">
        <v>243416.64</v>
      </c>
      <c r="BA271" s="73">
        <v>212989.56</v>
      </c>
      <c r="BB271" s="73">
        <v>212989.56</v>
      </c>
      <c r="BC271" s="73">
        <v>243416.64</v>
      </c>
      <c r="BD271" s="73"/>
      <c r="BE271" s="66">
        <v>3.5000000000000003E-2</v>
      </c>
      <c r="BF271" s="66">
        <v>0.05</v>
      </c>
      <c r="BG271" s="63">
        <v>45567</v>
      </c>
      <c r="BH271" s="2"/>
      <c r="BI271" s="2"/>
      <c r="BJ271" s="2"/>
      <c r="BK271" s="2"/>
      <c r="BL271" s="1" t="s">
        <v>56</v>
      </c>
    </row>
    <row r="272" spans="1:64" x14ac:dyDescent="0.25">
      <c r="A272" s="56" t="s">
        <v>494</v>
      </c>
      <c r="B272" s="54" t="s">
        <v>494</v>
      </c>
      <c r="C272" s="56" t="s">
        <v>495</v>
      </c>
      <c r="D272" s="16">
        <v>42129</v>
      </c>
      <c r="E272" s="17"/>
      <c r="F272" s="2" t="s">
        <v>243</v>
      </c>
      <c r="G272" s="2" t="s">
        <v>245</v>
      </c>
      <c r="H272" s="10" t="s">
        <v>57</v>
      </c>
      <c r="I272" s="11" t="s">
        <v>244</v>
      </c>
      <c r="J272" s="11" t="s">
        <v>478</v>
      </c>
      <c r="K272" s="61" t="s">
        <v>479</v>
      </c>
      <c r="L272" s="11" t="s">
        <v>67</v>
      </c>
      <c r="M272" s="25"/>
      <c r="N272" s="54"/>
      <c r="O272" s="3" t="str">
        <f t="shared" si="58"/>
        <v>A</v>
      </c>
      <c r="P272" s="48">
        <v>88016</v>
      </c>
      <c r="Q272" s="48">
        <v>25479</v>
      </c>
      <c r="R272" s="32"/>
      <c r="S272" s="3" t="str">
        <f t="shared" si="57"/>
        <v>A</v>
      </c>
      <c r="T272" s="48">
        <v>104865</v>
      </c>
      <c r="U272" s="48">
        <v>26316</v>
      </c>
      <c r="V272" s="32"/>
      <c r="W272" s="3" t="str">
        <f t="shared" si="59"/>
        <v>A</v>
      </c>
      <c r="X272" s="48">
        <v>94463.92</v>
      </c>
      <c r="Y272" s="48">
        <v>18835.09</v>
      </c>
      <c r="Z272" s="32"/>
      <c r="AA272" s="3" t="str">
        <f t="shared" si="60"/>
        <v>A</v>
      </c>
      <c r="AB272" s="48">
        <v>114502</v>
      </c>
      <c r="AC272" s="48">
        <v>17060</v>
      </c>
      <c r="AD272" s="36"/>
      <c r="AE272" s="54"/>
      <c r="AF272" s="3" t="str">
        <f t="shared" si="61"/>
        <v>A</v>
      </c>
      <c r="AG272" s="48">
        <v>0</v>
      </c>
      <c r="AH272" s="48">
        <v>0</v>
      </c>
      <c r="AI272" s="39"/>
      <c r="AJ272" s="79" t="s">
        <v>1801</v>
      </c>
      <c r="AK272" s="39"/>
      <c r="AL272" s="4">
        <f t="shared" si="55"/>
        <v>401846.92</v>
      </c>
      <c r="AM272" s="4">
        <f t="shared" si="55"/>
        <v>87690.09</v>
      </c>
      <c r="AN272" s="4">
        <f t="shared" si="62"/>
        <v>489537.01</v>
      </c>
      <c r="AO272" s="39"/>
      <c r="AP272" s="8">
        <f t="shared" si="56"/>
        <v>0</v>
      </c>
      <c r="AQ272" s="8">
        <f t="shared" si="56"/>
        <v>0</v>
      </c>
      <c r="AR272" s="8">
        <f t="shared" si="63"/>
        <v>0</v>
      </c>
      <c r="AS272" s="42"/>
      <c r="AT272" s="48">
        <v>401846.92</v>
      </c>
      <c r="AU272" s="48">
        <v>87690.09</v>
      </c>
      <c r="AV272" s="4">
        <f t="shared" si="64"/>
        <v>489537.01</v>
      </c>
      <c r="AW272" s="50" t="str">
        <f t="shared" si="65"/>
        <v/>
      </c>
      <c r="AX272" s="1" t="s">
        <v>1639</v>
      </c>
      <c r="AY272" s="2" t="s">
        <v>1640</v>
      </c>
      <c r="AZ272" s="2">
        <v>89569.44</v>
      </c>
      <c r="BA272" s="73">
        <v>78373.259999999995</v>
      </c>
      <c r="BB272" s="73">
        <v>78373.259999999995</v>
      </c>
      <c r="BC272" s="73">
        <v>89569.44</v>
      </c>
      <c r="BD272" s="73"/>
      <c r="BE272" s="66">
        <v>0</v>
      </c>
      <c r="BF272" s="66">
        <v>0.02</v>
      </c>
      <c r="BG272" s="63">
        <v>45683</v>
      </c>
      <c r="BH272" s="2"/>
      <c r="BI272" s="2"/>
      <c r="BJ272" s="2"/>
      <c r="BK272" s="2"/>
      <c r="BL272" s="1" t="s">
        <v>396</v>
      </c>
    </row>
    <row r="273" spans="1:64" x14ac:dyDescent="0.25">
      <c r="A273" s="56" t="s">
        <v>496</v>
      </c>
      <c r="B273" s="54" t="s">
        <v>496</v>
      </c>
      <c r="C273" s="56" t="s">
        <v>497</v>
      </c>
      <c r="D273" s="16">
        <v>41981</v>
      </c>
      <c r="E273" s="17"/>
      <c r="F273" s="2" t="s">
        <v>410</v>
      </c>
      <c r="G273" s="2" t="s">
        <v>411</v>
      </c>
      <c r="H273" s="10" t="s">
        <v>98</v>
      </c>
      <c r="I273" s="11" t="s">
        <v>53</v>
      </c>
      <c r="J273" s="11" t="s">
        <v>224</v>
      </c>
      <c r="K273" s="61"/>
      <c r="L273" s="11" t="s">
        <v>67</v>
      </c>
      <c r="M273" s="25"/>
      <c r="N273" s="54"/>
      <c r="O273" s="3" t="str">
        <f t="shared" si="58"/>
        <v>A</v>
      </c>
      <c r="P273" s="48">
        <v>150067</v>
      </c>
      <c r="Q273" s="48">
        <v>3740</v>
      </c>
      <c r="R273" s="32"/>
      <c r="S273" s="3" t="str">
        <f t="shared" si="57"/>
        <v>A</v>
      </c>
      <c r="T273" s="48">
        <v>132570</v>
      </c>
      <c r="U273" s="48">
        <v>4268</v>
      </c>
      <c r="V273" s="32"/>
      <c r="W273" s="3" t="str">
        <f t="shared" si="59"/>
        <v>A</v>
      </c>
      <c r="X273" s="48">
        <v>125276</v>
      </c>
      <c r="Y273" s="48">
        <v>4246</v>
      </c>
      <c r="Z273" s="32"/>
      <c r="AA273" s="3" t="str">
        <f t="shared" si="60"/>
        <v>A</v>
      </c>
      <c r="AB273" s="48">
        <v>135532</v>
      </c>
      <c r="AC273" s="48">
        <v>3740</v>
      </c>
      <c r="AD273" s="36"/>
      <c r="AE273" s="54"/>
      <c r="AF273" s="3" t="str">
        <f t="shared" si="61"/>
        <v>A</v>
      </c>
      <c r="AG273" s="48">
        <v>0</v>
      </c>
      <c r="AH273" s="48">
        <v>0</v>
      </c>
      <c r="AI273" s="39"/>
      <c r="AJ273" s="79" t="s">
        <v>1801</v>
      </c>
      <c r="AK273" s="39"/>
      <c r="AL273" s="4">
        <f t="shared" si="55"/>
        <v>543445</v>
      </c>
      <c r="AM273" s="4">
        <f t="shared" si="55"/>
        <v>15994</v>
      </c>
      <c r="AN273" s="4">
        <f t="shared" si="62"/>
        <v>559439</v>
      </c>
      <c r="AO273" s="39"/>
      <c r="AP273" s="8">
        <f t="shared" si="56"/>
        <v>0</v>
      </c>
      <c r="AQ273" s="8">
        <f t="shared" si="56"/>
        <v>0</v>
      </c>
      <c r="AR273" s="8">
        <f t="shared" si="63"/>
        <v>0</v>
      </c>
      <c r="AS273" s="42"/>
      <c r="AT273" s="48">
        <v>543445</v>
      </c>
      <c r="AU273" s="48">
        <v>15994</v>
      </c>
      <c r="AV273" s="4">
        <f t="shared" si="64"/>
        <v>559439</v>
      </c>
      <c r="AW273" s="50" t="str">
        <f t="shared" si="65"/>
        <v/>
      </c>
      <c r="AX273" s="1" t="s">
        <v>1702</v>
      </c>
      <c r="AY273" s="2" t="s">
        <v>1675</v>
      </c>
      <c r="AZ273" s="2">
        <v>107684.8</v>
      </c>
      <c r="BA273" s="73">
        <v>94224.2</v>
      </c>
      <c r="BB273" s="73">
        <v>94224.2</v>
      </c>
      <c r="BC273" s="73">
        <v>107684.8</v>
      </c>
      <c r="BD273" s="73"/>
      <c r="BE273" s="66">
        <v>3.5000000000000003E-2</v>
      </c>
      <c r="BF273" s="66">
        <v>0.05</v>
      </c>
      <c r="BG273" s="63">
        <v>45719</v>
      </c>
      <c r="BH273" s="74">
        <v>43912</v>
      </c>
      <c r="BI273" s="74">
        <v>43933</v>
      </c>
      <c r="BJ273" s="2"/>
      <c r="BK273" s="2"/>
      <c r="BL273" s="1" t="s">
        <v>97</v>
      </c>
    </row>
    <row r="274" spans="1:64" x14ac:dyDescent="0.25">
      <c r="A274" s="56" t="s">
        <v>496</v>
      </c>
      <c r="B274" s="54" t="s">
        <v>1189</v>
      </c>
      <c r="C274" s="56" t="s">
        <v>1190</v>
      </c>
      <c r="D274" s="16">
        <v>42853</v>
      </c>
      <c r="E274" s="17"/>
      <c r="F274" s="2" t="s">
        <v>410</v>
      </c>
      <c r="G274" s="2" t="s">
        <v>411</v>
      </c>
      <c r="H274" s="10" t="s">
        <v>98</v>
      </c>
      <c r="I274" s="11" t="s">
        <v>53</v>
      </c>
      <c r="J274" s="11" t="s">
        <v>224</v>
      </c>
      <c r="K274" s="61"/>
      <c r="L274" s="11" t="s">
        <v>67</v>
      </c>
      <c r="M274" s="25"/>
      <c r="N274" s="54"/>
      <c r="O274" s="3" t="str">
        <f t="shared" si="58"/>
        <v>A</v>
      </c>
      <c r="P274" s="48">
        <v>36608</v>
      </c>
      <c r="Q274" s="48">
        <v>0</v>
      </c>
      <c r="R274" s="32"/>
      <c r="S274" s="3" t="str">
        <f t="shared" si="57"/>
        <v>A</v>
      </c>
      <c r="T274" s="48">
        <v>38305</v>
      </c>
      <c r="U274" s="48"/>
      <c r="V274" s="32"/>
      <c r="W274" s="3" t="str">
        <f t="shared" si="59"/>
        <v>A</v>
      </c>
      <c r="X274" s="48">
        <v>36655</v>
      </c>
      <c r="Y274" s="48"/>
      <c r="Z274" s="32"/>
      <c r="AA274" s="3" t="str">
        <f t="shared" si="60"/>
        <v>A</v>
      </c>
      <c r="AB274" s="48">
        <v>40999</v>
      </c>
      <c r="AC274" s="48"/>
      <c r="AD274" s="36"/>
      <c r="AE274" s="54"/>
      <c r="AF274" s="3" t="str">
        <f t="shared" si="61"/>
        <v>A</v>
      </c>
      <c r="AG274" s="48">
        <v>0</v>
      </c>
      <c r="AH274" s="48">
        <v>0</v>
      </c>
      <c r="AI274" s="39"/>
      <c r="AJ274" s="79" t="s">
        <v>1801</v>
      </c>
      <c r="AK274" s="39"/>
      <c r="AL274" s="4">
        <f t="shared" si="55"/>
        <v>152567</v>
      </c>
      <c r="AM274" s="4">
        <f t="shared" si="55"/>
        <v>0</v>
      </c>
      <c r="AN274" s="4">
        <f t="shared" si="62"/>
        <v>152567</v>
      </c>
      <c r="AO274" s="39"/>
      <c r="AP274" s="8">
        <f t="shared" si="56"/>
        <v>0</v>
      </c>
      <c r="AQ274" s="8">
        <f t="shared" si="56"/>
        <v>0</v>
      </c>
      <c r="AR274" s="8">
        <f t="shared" si="63"/>
        <v>0</v>
      </c>
      <c r="AS274" s="42"/>
      <c r="AT274" s="48">
        <v>152567</v>
      </c>
      <c r="AU274" s="48"/>
      <c r="AV274" s="4">
        <f t="shared" si="64"/>
        <v>152567</v>
      </c>
      <c r="AW274" s="50" t="str">
        <f t="shared" si="65"/>
        <v/>
      </c>
      <c r="AX274" s="1" t="s">
        <v>1702</v>
      </c>
      <c r="AY274" s="2" t="s">
        <v>1675</v>
      </c>
      <c r="AZ274" s="2">
        <v>49043.519999999997</v>
      </c>
      <c r="BA274" s="73">
        <v>42913.08</v>
      </c>
      <c r="BB274" s="73">
        <v>42913.08</v>
      </c>
      <c r="BC274" s="73">
        <v>49043.519999999997</v>
      </c>
      <c r="BD274" s="73"/>
      <c r="BE274" s="66">
        <v>0</v>
      </c>
      <c r="BF274" s="66">
        <v>0.05</v>
      </c>
      <c r="BG274" s="63">
        <v>45719</v>
      </c>
      <c r="BH274" s="2"/>
      <c r="BI274" s="2"/>
      <c r="BJ274" s="2">
        <v>184961.25</v>
      </c>
      <c r="BK274" s="2">
        <v>3699.23</v>
      </c>
      <c r="BL274" s="1" t="s">
        <v>97</v>
      </c>
    </row>
    <row r="275" spans="1:64" x14ac:dyDescent="0.25">
      <c r="A275" s="56" t="s">
        <v>496</v>
      </c>
      <c r="B275" s="54" t="s">
        <v>1533</v>
      </c>
      <c r="C275" s="56" t="s">
        <v>1534</v>
      </c>
      <c r="D275" s="16">
        <v>42293</v>
      </c>
      <c r="E275" s="17"/>
      <c r="F275" s="2" t="s">
        <v>410</v>
      </c>
      <c r="G275" s="2" t="s">
        <v>411</v>
      </c>
      <c r="H275" s="10" t="s">
        <v>98</v>
      </c>
      <c r="I275" s="11" t="s">
        <v>53</v>
      </c>
      <c r="J275" s="11" t="s">
        <v>99</v>
      </c>
      <c r="K275" s="61"/>
      <c r="L275" s="11" t="s">
        <v>67</v>
      </c>
      <c r="M275" s="25"/>
      <c r="N275" s="54"/>
      <c r="O275" s="3" t="str">
        <f>IF($A275="","",IF(P275=AZ275,"E","A"))</f>
        <v>A</v>
      </c>
      <c r="P275" s="48">
        <v>54405</v>
      </c>
      <c r="Q275" s="48">
        <v>1980</v>
      </c>
      <c r="R275" s="32"/>
      <c r="S275" s="3" t="str">
        <f>IF($A275="","",IF(T275=BA275,"E","A"))</f>
        <v>A</v>
      </c>
      <c r="T275" s="48">
        <v>56693</v>
      </c>
      <c r="U275" s="48">
        <v>2354</v>
      </c>
      <c r="V275" s="32"/>
      <c r="W275" s="3" t="str">
        <f t="shared" si="59"/>
        <v>A</v>
      </c>
      <c r="X275" s="48">
        <v>50104</v>
      </c>
      <c r="Y275" s="48">
        <v>2310</v>
      </c>
      <c r="Z275" s="32"/>
      <c r="AA275" s="3" t="str">
        <f t="shared" si="60"/>
        <v>A</v>
      </c>
      <c r="AB275" s="48">
        <v>60743</v>
      </c>
      <c r="AC275" s="48">
        <v>2640</v>
      </c>
      <c r="AD275" s="36"/>
      <c r="AE275" s="54"/>
      <c r="AF275" s="3" t="str">
        <f t="shared" si="61"/>
        <v>A</v>
      </c>
      <c r="AG275" s="48">
        <v>0</v>
      </c>
      <c r="AH275" s="48">
        <v>0</v>
      </c>
      <c r="AI275" s="39"/>
      <c r="AJ275" s="79" t="s">
        <v>1801</v>
      </c>
      <c r="AK275" s="39"/>
      <c r="AL275" s="4">
        <f t="shared" si="55"/>
        <v>221945</v>
      </c>
      <c r="AM275" s="4">
        <f t="shared" si="55"/>
        <v>9284</v>
      </c>
      <c r="AN275" s="4">
        <f t="shared" si="62"/>
        <v>231229</v>
      </c>
      <c r="AO275" s="39"/>
      <c r="AP275" s="8">
        <f t="shared" si="56"/>
        <v>0</v>
      </c>
      <c r="AQ275" s="8">
        <f t="shared" si="56"/>
        <v>0</v>
      </c>
      <c r="AR275" s="8">
        <f t="shared" si="63"/>
        <v>0</v>
      </c>
      <c r="AS275" s="42"/>
      <c r="AT275" s="48">
        <v>221945</v>
      </c>
      <c r="AU275" s="48">
        <v>9284</v>
      </c>
      <c r="AV275" s="4">
        <f t="shared" si="64"/>
        <v>231229</v>
      </c>
      <c r="AW275" s="50" t="str">
        <f t="shared" si="65"/>
        <v/>
      </c>
      <c r="AX275" s="1" t="s">
        <v>1702</v>
      </c>
      <c r="AY275" s="2" t="s">
        <v>1675</v>
      </c>
      <c r="AZ275" s="2">
        <v>25013.119999999999</v>
      </c>
      <c r="BA275" s="73">
        <v>21886.48</v>
      </c>
      <c r="BB275" s="73">
        <v>21886.48</v>
      </c>
      <c r="BC275" s="73">
        <v>25013.119999999999</v>
      </c>
      <c r="BD275" s="73"/>
      <c r="BE275" s="66">
        <v>0</v>
      </c>
      <c r="BF275" s="66">
        <v>0.05</v>
      </c>
      <c r="BG275" s="63">
        <v>45719</v>
      </c>
      <c r="BH275" s="2"/>
      <c r="BI275" s="2"/>
      <c r="BJ275" s="2">
        <v>157221</v>
      </c>
      <c r="BK275" s="2">
        <v>8254.1</v>
      </c>
      <c r="BL275" s="1" t="s">
        <v>97</v>
      </c>
    </row>
    <row r="276" spans="1:64" x14ac:dyDescent="0.25">
      <c r="A276" s="56" t="s">
        <v>498</v>
      </c>
      <c r="B276" s="54" t="s">
        <v>498</v>
      </c>
      <c r="C276" s="56" t="s">
        <v>499</v>
      </c>
      <c r="D276" s="16">
        <v>42050</v>
      </c>
      <c r="E276" s="17"/>
      <c r="F276" s="2" t="s">
        <v>109</v>
      </c>
      <c r="G276" s="2" t="s">
        <v>111</v>
      </c>
      <c r="H276" s="10" t="s">
        <v>98</v>
      </c>
      <c r="I276" s="11" t="s">
        <v>110</v>
      </c>
      <c r="J276" s="11" t="s">
        <v>286</v>
      </c>
      <c r="K276" s="61" t="s">
        <v>287</v>
      </c>
      <c r="L276" s="11" t="s">
        <v>67</v>
      </c>
      <c r="M276" s="25"/>
      <c r="N276" s="54"/>
      <c r="O276" s="3" t="str">
        <f t="shared" ref="O276:O283" si="66">IF($A276="","",IF(P276=0,"A",IF(P276=AZ276,"E","A")))</f>
        <v>A</v>
      </c>
      <c r="P276" s="48">
        <v>81123</v>
      </c>
      <c r="Q276" s="48">
        <v>6242</v>
      </c>
      <c r="R276" s="32"/>
      <c r="S276" s="3" t="str">
        <f t="shared" ref="S276:S297" si="67">IF($A276="","",IF(T276=0,"A",IF(T276=BA276,"E","A")))</f>
        <v>A</v>
      </c>
      <c r="T276" s="48">
        <v>82097</v>
      </c>
      <c r="U276" s="48">
        <v>8319</v>
      </c>
      <c r="V276" s="32"/>
      <c r="W276" s="3" t="str">
        <f t="shared" si="59"/>
        <v>A</v>
      </c>
      <c r="X276" s="48">
        <v>81780.5</v>
      </c>
      <c r="Y276" s="48">
        <v>6059</v>
      </c>
      <c r="Z276" s="32"/>
      <c r="AA276" s="3" t="str">
        <f t="shared" si="60"/>
        <v>A</v>
      </c>
      <c r="AB276" s="48">
        <v>87414.5</v>
      </c>
      <c r="AC276" s="48">
        <v>6868</v>
      </c>
      <c r="AD276" s="36"/>
      <c r="AE276" s="54"/>
      <c r="AF276" s="3" t="str">
        <f t="shared" si="61"/>
        <v>A</v>
      </c>
      <c r="AG276" s="48">
        <v>0</v>
      </c>
      <c r="AH276" s="48">
        <v>0</v>
      </c>
      <c r="AI276" s="39"/>
      <c r="AJ276" s="79" t="s">
        <v>1801</v>
      </c>
      <c r="AK276" s="39"/>
      <c r="AL276" s="4">
        <f t="shared" si="55"/>
        <v>332415</v>
      </c>
      <c r="AM276" s="4">
        <f t="shared" si="55"/>
        <v>27488</v>
      </c>
      <c r="AN276" s="4">
        <f t="shared" si="62"/>
        <v>359903</v>
      </c>
      <c r="AO276" s="39"/>
      <c r="AP276" s="8">
        <f t="shared" si="56"/>
        <v>0</v>
      </c>
      <c r="AQ276" s="8">
        <f t="shared" si="56"/>
        <v>0</v>
      </c>
      <c r="AR276" s="8">
        <f t="shared" si="63"/>
        <v>0</v>
      </c>
      <c r="AS276" s="42"/>
      <c r="AT276" s="48">
        <v>332415</v>
      </c>
      <c r="AU276" s="48">
        <v>27488</v>
      </c>
      <c r="AV276" s="4">
        <f t="shared" si="64"/>
        <v>359903</v>
      </c>
      <c r="AW276" s="50" t="str">
        <f t="shared" si="65"/>
        <v/>
      </c>
      <c r="AX276" s="1" t="s">
        <v>1647</v>
      </c>
      <c r="AY276" s="2" t="s">
        <v>1640</v>
      </c>
      <c r="AZ276" s="2">
        <v>116258</v>
      </c>
      <c r="BA276" s="73">
        <v>101725.75</v>
      </c>
      <c r="BB276" s="73">
        <v>101725.75</v>
      </c>
      <c r="BC276" s="73">
        <v>116258</v>
      </c>
      <c r="BD276" s="73"/>
      <c r="BE276" s="66">
        <v>0</v>
      </c>
      <c r="BF276" s="66">
        <v>0.02</v>
      </c>
      <c r="BG276" s="63">
        <v>45575</v>
      </c>
      <c r="BH276" s="2"/>
      <c r="BI276" s="2"/>
      <c r="BJ276" s="2"/>
      <c r="BK276" s="2"/>
      <c r="BL276" s="1" t="s">
        <v>237</v>
      </c>
    </row>
    <row r="277" spans="1:64" x14ac:dyDescent="0.25">
      <c r="A277" s="56" t="s">
        <v>500</v>
      </c>
      <c r="B277" s="54" t="s">
        <v>500</v>
      </c>
      <c r="C277" s="56" t="s">
        <v>501</v>
      </c>
      <c r="D277" s="16">
        <v>39059</v>
      </c>
      <c r="E277" s="17"/>
      <c r="F277" s="2" t="s">
        <v>502</v>
      </c>
      <c r="G277" s="2" t="s">
        <v>503</v>
      </c>
      <c r="H277" s="10" t="s">
        <v>105</v>
      </c>
      <c r="I277" s="11" t="s">
        <v>53</v>
      </c>
      <c r="J277" s="11" t="s">
        <v>258</v>
      </c>
      <c r="K277" s="61"/>
      <c r="L277" s="11" t="s">
        <v>67</v>
      </c>
      <c r="M277" s="25"/>
      <c r="N277" s="54"/>
      <c r="O277" s="3" t="str">
        <f t="shared" si="66"/>
        <v>E</v>
      </c>
      <c r="P277" s="48">
        <v>104095.67999999999</v>
      </c>
      <c r="Q277" s="48">
        <v>28602.639999999999</v>
      </c>
      <c r="R277" s="32"/>
      <c r="S277" s="3" t="str">
        <f t="shared" si="67"/>
        <v>E</v>
      </c>
      <c r="T277" s="48">
        <v>91083.72</v>
      </c>
      <c r="U277" s="48">
        <v>25027.31</v>
      </c>
      <c r="V277" s="32"/>
      <c r="W277" s="3" t="str">
        <f t="shared" si="59"/>
        <v>E</v>
      </c>
      <c r="X277" s="48">
        <v>91083.72</v>
      </c>
      <c r="Y277" s="48">
        <v>25027.31</v>
      </c>
      <c r="Z277" s="32"/>
      <c r="AA277" s="3" t="str">
        <f t="shared" si="60"/>
        <v>E</v>
      </c>
      <c r="AB277" s="48">
        <v>104095.67999999999</v>
      </c>
      <c r="AC277" s="48">
        <v>28602.639999999999</v>
      </c>
      <c r="AD277" s="36"/>
      <c r="AE277" s="54"/>
      <c r="AF277" s="3" t="str">
        <f t="shared" si="61"/>
        <v>A</v>
      </c>
      <c r="AG277" s="48"/>
      <c r="AH277" s="48"/>
      <c r="AI277" s="39"/>
      <c r="AJ277" s="79" t="s">
        <v>38</v>
      </c>
      <c r="AK277" s="39"/>
      <c r="AL277" s="4">
        <f t="shared" si="55"/>
        <v>0</v>
      </c>
      <c r="AM277" s="4">
        <f t="shared" si="55"/>
        <v>0</v>
      </c>
      <c r="AN277" s="4">
        <f t="shared" si="62"/>
        <v>0</v>
      </c>
      <c r="AO277" s="39"/>
      <c r="AP277" s="8">
        <f t="shared" si="56"/>
        <v>390358.8</v>
      </c>
      <c r="AQ277" s="8">
        <f t="shared" si="56"/>
        <v>107259.9</v>
      </c>
      <c r="AR277" s="8">
        <f t="shared" si="63"/>
        <v>497618.69999999995</v>
      </c>
      <c r="AS277" s="42"/>
      <c r="AT277" s="48"/>
      <c r="AU277" s="48"/>
      <c r="AV277" s="4">
        <f t="shared" si="64"/>
        <v>0</v>
      </c>
      <c r="AW277" s="50" t="str">
        <f t="shared" si="65"/>
        <v/>
      </c>
      <c r="AX277" s="1" t="s">
        <v>1715</v>
      </c>
      <c r="AY277" s="2" t="s">
        <v>1716</v>
      </c>
      <c r="AZ277" s="2">
        <v>104095.67999999999</v>
      </c>
      <c r="BA277" s="73">
        <v>91083.72</v>
      </c>
      <c r="BB277" s="73">
        <v>91083.72</v>
      </c>
      <c r="BC277" s="73">
        <v>104095.67999999999</v>
      </c>
      <c r="BD277" s="73"/>
      <c r="BE277" s="66">
        <v>3.5000000000000003E-2</v>
      </c>
      <c r="BF277" s="66">
        <v>0.05</v>
      </c>
      <c r="BG277" s="63">
        <v>44538</v>
      </c>
      <c r="BH277" s="2"/>
      <c r="BI277" s="2"/>
      <c r="BJ277" s="2"/>
      <c r="BK277" s="2"/>
      <c r="BL277" s="1" t="s">
        <v>104</v>
      </c>
    </row>
    <row r="278" spans="1:64" x14ac:dyDescent="0.25">
      <c r="A278" s="56" t="s">
        <v>504</v>
      </c>
      <c r="B278" s="54" t="s">
        <v>504</v>
      </c>
      <c r="C278" s="56" t="s">
        <v>505</v>
      </c>
      <c r="D278" s="16">
        <v>42014</v>
      </c>
      <c r="E278" s="17"/>
      <c r="F278" s="2" t="s">
        <v>235</v>
      </c>
      <c r="G278" s="2" t="s">
        <v>236</v>
      </c>
      <c r="H278" s="10" t="s">
        <v>98</v>
      </c>
      <c r="I278" s="11" t="s">
        <v>53</v>
      </c>
      <c r="J278" s="11" t="s">
        <v>238</v>
      </c>
      <c r="K278" s="61"/>
      <c r="L278" s="11" t="s">
        <v>67</v>
      </c>
      <c r="M278" s="25"/>
      <c r="N278" s="54"/>
      <c r="O278" s="3" t="str">
        <f t="shared" si="66"/>
        <v>A</v>
      </c>
      <c r="P278" s="48">
        <v>558881</v>
      </c>
      <c r="Q278" s="48">
        <v>19223</v>
      </c>
      <c r="R278" s="32"/>
      <c r="S278" s="3" t="str">
        <f t="shared" si="67"/>
        <v>A</v>
      </c>
      <c r="T278" s="48">
        <v>518436</v>
      </c>
      <c r="U278" s="48">
        <v>24719</v>
      </c>
      <c r="V278" s="32"/>
      <c r="W278" s="3" t="str">
        <f t="shared" si="59"/>
        <v>A</v>
      </c>
      <c r="X278" s="48">
        <v>437568</v>
      </c>
      <c r="Y278" s="48">
        <v>18815</v>
      </c>
      <c r="Z278" s="32"/>
      <c r="AA278" s="3" t="str">
        <f t="shared" si="60"/>
        <v>A</v>
      </c>
      <c r="AB278" s="48">
        <v>493893</v>
      </c>
      <c r="AC278" s="48">
        <v>18689</v>
      </c>
      <c r="AD278" s="36"/>
      <c r="AE278" s="54"/>
      <c r="AF278" s="3" t="str">
        <f t="shared" si="61"/>
        <v>A</v>
      </c>
      <c r="AG278" s="48">
        <v>0</v>
      </c>
      <c r="AH278" s="48">
        <v>0</v>
      </c>
      <c r="AI278" s="39"/>
      <c r="AJ278" s="79" t="s">
        <v>1801</v>
      </c>
      <c r="AK278" s="39"/>
      <c r="AL278" s="4">
        <f t="shared" si="55"/>
        <v>2008778</v>
      </c>
      <c r="AM278" s="4">
        <f t="shared" si="55"/>
        <v>81446</v>
      </c>
      <c r="AN278" s="4">
        <f t="shared" si="62"/>
        <v>2090224</v>
      </c>
      <c r="AO278" s="39"/>
      <c r="AP278" s="8">
        <f t="shared" si="56"/>
        <v>0</v>
      </c>
      <c r="AQ278" s="8">
        <f t="shared" si="56"/>
        <v>0</v>
      </c>
      <c r="AR278" s="8">
        <f t="shared" si="63"/>
        <v>0</v>
      </c>
      <c r="AS278" s="42"/>
      <c r="AT278" s="48">
        <v>2008778</v>
      </c>
      <c r="AU278" s="48">
        <v>81446</v>
      </c>
      <c r="AV278" s="4">
        <f t="shared" si="64"/>
        <v>2090224</v>
      </c>
      <c r="AW278" s="50" t="str">
        <f t="shared" si="65"/>
        <v/>
      </c>
      <c r="AX278" s="1" t="s">
        <v>1662</v>
      </c>
      <c r="AY278" s="2" t="s">
        <v>1663</v>
      </c>
      <c r="AZ278" s="2">
        <v>288264.56</v>
      </c>
      <c r="BA278" s="73">
        <v>252231.49</v>
      </c>
      <c r="BB278" s="73">
        <v>252231.49</v>
      </c>
      <c r="BC278" s="73">
        <v>288264.56</v>
      </c>
      <c r="BD278" s="73"/>
      <c r="BE278" s="66">
        <v>3.5000000000000003E-2</v>
      </c>
      <c r="BF278" s="66">
        <v>0.05</v>
      </c>
      <c r="BG278" s="63">
        <v>45667</v>
      </c>
      <c r="BH278" s="74">
        <v>43914</v>
      </c>
      <c r="BI278" s="74">
        <v>43927</v>
      </c>
      <c r="BJ278" s="2"/>
      <c r="BK278" s="2"/>
      <c r="BL278" s="1" t="s">
        <v>237</v>
      </c>
    </row>
    <row r="279" spans="1:64" x14ac:dyDescent="0.25">
      <c r="A279" s="56" t="s">
        <v>506</v>
      </c>
      <c r="B279" s="54" t="s">
        <v>506</v>
      </c>
      <c r="C279" s="56" t="s">
        <v>507</v>
      </c>
      <c r="D279" s="16">
        <v>42234</v>
      </c>
      <c r="E279" s="17"/>
      <c r="F279" s="2" t="s">
        <v>243</v>
      </c>
      <c r="G279" s="2" t="s">
        <v>245</v>
      </c>
      <c r="H279" s="10" t="s">
        <v>57</v>
      </c>
      <c r="I279" s="11" t="s">
        <v>244</v>
      </c>
      <c r="J279" s="11" t="s">
        <v>478</v>
      </c>
      <c r="K279" s="61" t="s">
        <v>479</v>
      </c>
      <c r="L279" s="11" t="s">
        <v>67</v>
      </c>
      <c r="M279" s="25"/>
      <c r="N279" s="54"/>
      <c r="O279" s="3" t="str">
        <f t="shared" si="66"/>
        <v>A</v>
      </c>
      <c r="P279" s="48">
        <v>115814</v>
      </c>
      <c r="Q279" s="48">
        <v>14631</v>
      </c>
      <c r="R279" s="32"/>
      <c r="S279" s="3" t="str">
        <f t="shared" si="67"/>
        <v>A</v>
      </c>
      <c r="T279" s="48">
        <v>123087</v>
      </c>
      <c r="U279" s="48">
        <v>37662</v>
      </c>
      <c r="V279" s="32"/>
      <c r="W279" s="3" t="str">
        <f t="shared" si="59"/>
        <v>A</v>
      </c>
      <c r="X279" s="48">
        <v>95490.240000000005</v>
      </c>
      <c r="Y279" s="48">
        <v>18391.900000000001</v>
      </c>
      <c r="Z279" s="32"/>
      <c r="AA279" s="3" t="str">
        <f t="shared" si="60"/>
        <v>A</v>
      </c>
      <c r="AB279" s="48">
        <v>103723.7</v>
      </c>
      <c r="AC279" s="48">
        <v>14986</v>
      </c>
      <c r="AD279" s="36"/>
      <c r="AE279" s="54"/>
      <c r="AF279" s="3" t="str">
        <f t="shared" si="61"/>
        <v>A</v>
      </c>
      <c r="AG279" s="48">
        <v>0</v>
      </c>
      <c r="AH279" s="48">
        <v>0</v>
      </c>
      <c r="AI279" s="39"/>
      <c r="AJ279" s="79" t="s">
        <v>1801</v>
      </c>
      <c r="AK279" s="39"/>
      <c r="AL279" s="4">
        <f t="shared" si="55"/>
        <v>438114.94</v>
      </c>
      <c r="AM279" s="4">
        <f t="shared" si="55"/>
        <v>85670.9</v>
      </c>
      <c r="AN279" s="4">
        <f t="shared" si="62"/>
        <v>523785.83999999997</v>
      </c>
      <c r="AO279" s="39"/>
      <c r="AP279" s="8">
        <f t="shared" si="56"/>
        <v>0</v>
      </c>
      <c r="AQ279" s="8">
        <f t="shared" si="56"/>
        <v>0</v>
      </c>
      <c r="AR279" s="8">
        <f t="shared" si="63"/>
        <v>0</v>
      </c>
      <c r="AS279" s="42"/>
      <c r="AT279" s="48">
        <v>438114.94000000006</v>
      </c>
      <c r="AU279" s="48">
        <v>85670.9</v>
      </c>
      <c r="AV279" s="4">
        <f t="shared" si="64"/>
        <v>523785.84000000008</v>
      </c>
      <c r="AW279" s="50" t="str">
        <f t="shared" si="65"/>
        <v/>
      </c>
      <c r="AX279" s="1" t="s">
        <v>1639</v>
      </c>
      <c r="AY279" s="2" t="s">
        <v>1640</v>
      </c>
      <c r="AZ279" s="2">
        <v>163140.07999999999</v>
      </c>
      <c r="BA279" s="73">
        <v>142747.57</v>
      </c>
      <c r="BB279" s="73">
        <v>142747.57</v>
      </c>
      <c r="BC279" s="73">
        <v>163140.07999999999</v>
      </c>
      <c r="BD279" s="73"/>
      <c r="BE279" s="66">
        <v>0</v>
      </c>
      <c r="BF279" s="66">
        <v>0.02</v>
      </c>
      <c r="BG279" s="63">
        <v>44013</v>
      </c>
      <c r="BH279" s="2"/>
      <c r="BI279" s="2"/>
      <c r="BJ279" s="2"/>
      <c r="BK279" s="2"/>
      <c r="BL279" s="1" t="s">
        <v>396</v>
      </c>
    </row>
    <row r="280" spans="1:64" x14ac:dyDescent="0.25">
      <c r="A280" s="56" t="s">
        <v>508</v>
      </c>
      <c r="B280" s="54" t="s">
        <v>508</v>
      </c>
      <c r="C280" s="56" t="s">
        <v>509</v>
      </c>
      <c r="D280" s="16">
        <v>42260</v>
      </c>
      <c r="E280" s="17"/>
      <c r="F280" s="2" t="s">
        <v>243</v>
      </c>
      <c r="G280" s="2" t="s">
        <v>245</v>
      </c>
      <c r="H280" s="10" t="s">
        <v>98</v>
      </c>
      <c r="I280" s="11" t="s">
        <v>244</v>
      </c>
      <c r="J280" s="11" t="s">
        <v>278</v>
      </c>
      <c r="K280" s="61" t="s">
        <v>279</v>
      </c>
      <c r="L280" s="11" t="s">
        <v>67</v>
      </c>
      <c r="M280" s="25"/>
      <c r="N280" s="54"/>
      <c r="O280" s="3" t="str">
        <f t="shared" si="66"/>
        <v>A</v>
      </c>
      <c r="P280" s="48">
        <v>82149</v>
      </c>
      <c r="Q280" s="48">
        <v>19765</v>
      </c>
      <c r="R280" s="32"/>
      <c r="S280" s="3" t="str">
        <f t="shared" si="67"/>
        <v>A</v>
      </c>
      <c r="T280" s="48">
        <v>70008</v>
      </c>
      <c r="U280" s="48">
        <v>15323</v>
      </c>
      <c r="V280" s="32"/>
      <c r="W280" s="3" t="str">
        <f t="shared" si="59"/>
        <v>A</v>
      </c>
      <c r="X280" s="48">
        <v>61251</v>
      </c>
      <c r="Y280" s="48">
        <v>15782</v>
      </c>
      <c r="Z280" s="32"/>
      <c r="AA280" s="3" t="str">
        <f t="shared" si="60"/>
        <v>A</v>
      </c>
      <c r="AB280" s="48">
        <v>70232</v>
      </c>
      <c r="AC280" s="48">
        <v>16511</v>
      </c>
      <c r="AD280" s="36"/>
      <c r="AE280" s="54"/>
      <c r="AF280" s="3" t="str">
        <f t="shared" si="61"/>
        <v>A</v>
      </c>
      <c r="AG280" s="48">
        <v>0</v>
      </c>
      <c r="AH280" s="48">
        <v>0</v>
      </c>
      <c r="AI280" s="39"/>
      <c r="AJ280" s="79" t="s">
        <v>1801</v>
      </c>
      <c r="AK280" s="39"/>
      <c r="AL280" s="4">
        <f t="shared" ref="AL280:AM343" si="68">IF($O280="A",P280,0)+IF($S280="A",T280,0)+IF($W280="A",X280,0)+IF($AA280="A",AB280,0)+IF($AF280="A",AG280,0)</f>
        <v>283640</v>
      </c>
      <c r="AM280" s="4">
        <f t="shared" si="68"/>
        <v>67381</v>
      </c>
      <c r="AN280" s="4">
        <f t="shared" si="62"/>
        <v>351021</v>
      </c>
      <c r="AO280" s="39"/>
      <c r="AP280" s="8">
        <f t="shared" ref="AP280:AQ343" si="69">IF($O280="E",P280,0)+IF($S280="E",T280,0)+IF($W280="E",X280,0)+IF($AA280="E",AB280,0)+IF($AF280="E",AG280,0)</f>
        <v>0</v>
      </c>
      <c r="AQ280" s="8">
        <f t="shared" si="69"/>
        <v>0</v>
      </c>
      <c r="AR280" s="8">
        <f t="shared" si="63"/>
        <v>0</v>
      </c>
      <c r="AS280" s="42"/>
      <c r="AT280" s="48">
        <v>283640</v>
      </c>
      <c r="AU280" s="48">
        <v>67381</v>
      </c>
      <c r="AV280" s="4">
        <f t="shared" si="64"/>
        <v>351021</v>
      </c>
      <c r="AW280" s="50" t="str">
        <f t="shared" si="65"/>
        <v/>
      </c>
      <c r="AX280" s="1" t="s">
        <v>1639</v>
      </c>
      <c r="AY280" s="2" t="s">
        <v>1640</v>
      </c>
      <c r="AZ280" s="2">
        <v>70523.44</v>
      </c>
      <c r="BA280" s="73">
        <v>61708.01</v>
      </c>
      <c r="BB280" s="73">
        <v>61708.01</v>
      </c>
      <c r="BC280" s="73">
        <v>70523.44</v>
      </c>
      <c r="BD280" s="73"/>
      <c r="BE280" s="66">
        <v>3.5000000000000003E-2</v>
      </c>
      <c r="BF280" s="66">
        <v>0.02</v>
      </c>
      <c r="BG280" s="63">
        <v>45837</v>
      </c>
      <c r="BH280" s="74">
        <v>43911</v>
      </c>
      <c r="BI280" s="74">
        <v>43924</v>
      </c>
      <c r="BJ280" s="2"/>
      <c r="BK280" s="2"/>
      <c r="BL280" s="1" t="s">
        <v>97</v>
      </c>
    </row>
    <row r="281" spans="1:64" x14ac:dyDescent="0.25">
      <c r="A281" s="56" t="s">
        <v>508</v>
      </c>
      <c r="B281" s="54" t="s">
        <v>788</v>
      </c>
      <c r="C281" s="56" t="s">
        <v>789</v>
      </c>
      <c r="D281" s="16">
        <v>42458</v>
      </c>
      <c r="E281" s="17"/>
      <c r="F281" s="2" t="s">
        <v>243</v>
      </c>
      <c r="G281" s="2" t="s">
        <v>245</v>
      </c>
      <c r="H281" s="10" t="s">
        <v>98</v>
      </c>
      <c r="I281" s="11" t="s">
        <v>244</v>
      </c>
      <c r="J281" s="11" t="s">
        <v>278</v>
      </c>
      <c r="K281" s="61" t="s">
        <v>279</v>
      </c>
      <c r="L281" s="11" t="s">
        <v>67</v>
      </c>
      <c r="M281" s="25"/>
      <c r="N281" s="54"/>
      <c r="O281" s="3" t="str">
        <f t="shared" si="66"/>
        <v>A</v>
      </c>
      <c r="P281" s="48">
        <v>44851</v>
      </c>
      <c r="Q281" s="48">
        <v>10854</v>
      </c>
      <c r="R281" s="32"/>
      <c r="S281" s="3" t="str">
        <f t="shared" si="67"/>
        <v>A</v>
      </c>
      <c r="T281" s="48">
        <v>38922</v>
      </c>
      <c r="U281" s="48">
        <v>9885</v>
      </c>
      <c r="V281" s="32"/>
      <c r="W281" s="3" t="str">
        <f t="shared" si="59"/>
        <v>A</v>
      </c>
      <c r="X281" s="48">
        <v>37639</v>
      </c>
      <c r="Y281" s="48">
        <v>8305</v>
      </c>
      <c r="Z281" s="32"/>
      <c r="AA281" s="3" t="str">
        <f t="shared" si="60"/>
        <v>A</v>
      </c>
      <c r="AB281" s="48">
        <v>49240</v>
      </c>
      <c r="AC281" s="48">
        <v>11124</v>
      </c>
      <c r="AD281" s="36"/>
      <c r="AE281" s="54"/>
      <c r="AF281" s="3" t="str">
        <f t="shared" si="61"/>
        <v>A</v>
      </c>
      <c r="AG281" s="48">
        <v>0</v>
      </c>
      <c r="AH281" s="48">
        <v>0</v>
      </c>
      <c r="AI281" s="39"/>
      <c r="AJ281" s="79" t="s">
        <v>1801</v>
      </c>
      <c r="AK281" s="39"/>
      <c r="AL281" s="4">
        <f t="shared" si="68"/>
        <v>170652</v>
      </c>
      <c r="AM281" s="4">
        <f t="shared" si="68"/>
        <v>40168</v>
      </c>
      <c r="AN281" s="4">
        <f t="shared" si="62"/>
        <v>210820</v>
      </c>
      <c r="AO281" s="39"/>
      <c r="AP281" s="8">
        <f t="shared" si="69"/>
        <v>0</v>
      </c>
      <c r="AQ281" s="8">
        <f t="shared" si="69"/>
        <v>0</v>
      </c>
      <c r="AR281" s="8">
        <f t="shared" si="63"/>
        <v>0</v>
      </c>
      <c r="AS281" s="42"/>
      <c r="AT281" s="48">
        <v>170652</v>
      </c>
      <c r="AU281" s="48">
        <v>40168</v>
      </c>
      <c r="AV281" s="4">
        <f t="shared" si="64"/>
        <v>210820</v>
      </c>
      <c r="AW281" s="50" t="str">
        <f t="shared" si="65"/>
        <v/>
      </c>
      <c r="AX281" s="1" t="s">
        <v>1639</v>
      </c>
      <c r="AY281" s="2" t="s">
        <v>1640</v>
      </c>
      <c r="AZ281" s="2">
        <v>26160.959999999999</v>
      </c>
      <c r="BA281" s="73">
        <v>22890.84</v>
      </c>
      <c r="BB281" s="73">
        <v>22890.84</v>
      </c>
      <c r="BC281" s="73">
        <v>26160.959999999999</v>
      </c>
      <c r="BD281" s="73"/>
      <c r="BE281" s="66">
        <v>3.5000000000000003E-2</v>
      </c>
      <c r="BF281" s="66">
        <v>0.02</v>
      </c>
      <c r="BG281" s="63">
        <v>45837</v>
      </c>
      <c r="BH281" s="74">
        <v>43908</v>
      </c>
      <c r="BI281" s="74">
        <v>43971</v>
      </c>
      <c r="BJ281" s="2"/>
      <c r="BK281" s="2"/>
      <c r="BL281" s="1" t="s">
        <v>97</v>
      </c>
    </row>
    <row r="282" spans="1:64" x14ac:dyDescent="0.25">
      <c r="A282" s="56" t="s">
        <v>508</v>
      </c>
      <c r="B282" s="54" t="s">
        <v>1047</v>
      </c>
      <c r="C282" s="56" t="s">
        <v>1048</v>
      </c>
      <c r="D282" s="16">
        <v>0</v>
      </c>
      <c r="E282" s="17"/>
      <c r="F282" s="2" t="s">
        <v>243</v>
      </c>
      <c r="G282" s="2" t="s">
        <v>245</v>
      </c>
      <c r="H282" s="10" t="s">
        <v>98</v>
      </c>
      <c r="I282" s="11" t="s">
        <v>244</v>
      </c>
      <c r="J282" s="11" t="s">
        <v>278</v>
      </c>
      <c r="K282" s="61" t="s">
        <v>279</v>
      </c>
      <c r="L282" s="11" t="s">
        <v>67</v>
      </c>
      <c r="M282" s="25"/>
      <c r="N282" s="54"/>
      <c r="O282" s="3" t="str">
        <f t="shared" si="66"/>
        <v>A</v>
      </c>
      <c r="P282" s="48">
        <v>33480</v>
      </c>
      <c r="Q282" s="48">
        <v>2866</v>
      </c>
      <c r="R282" s="32"/>
      <c r="S282" s="3" t="str">
        <f t="shared" si="67"/>
        <v>A</v>
      </c>
      <c r="T282" s="48">
        <v>32316</v>
      </c>
      <c r="U282" s="48">
        <v>2966</v>
      </c>
      <c r="V282" s="32"/>
      <c r="W282" s="3" t="str">
        <f t="shared" si="59"/>
        <v>A</v>
      </c>
      <c r="X282" s="48">
        <v>21943</v>
      </c>
      <c r="Y282" s="48">
        <v>2685</v>
      </c>
      <c r="Z282" s="32"/>
      <c r="AA282" s="3" t="str">
        <f t="shared" si="60"/>
        <v>A</v>
      </c>
      <c r="AB282" s="48">
        <v>32253</v>
      </c>
      <c r="AC282" s="48">
        <v>4310</v>
      </c>
      <c r="AD282" s="36"/>
      <c r="AE282" s="54"/>
      <c r="AF282" s="3" t="str">
        <f t="shared" si="61"/>
        <v>A</v>
      </c>
      <c r="AG282" s="48">
        <v>0</v>
      </c>
      <c r="AH282" s="48">
        <v>0</v>
      </c>
      <c r="AI282" s="39"/>
      <c r="AJ282" s="79" t="s">
        <v>1801</v>
      </c>
      <c r="AK282" s="39"/>
      <c r="AL282" s="4">
        <f t="shared" si="68"/>
        <v>119992</v>
      </c>
      <c r="AM282" s="4">
        <f t="shared" si="68"/>
        <v>12827</v>
      </c>
      <c r="AN282" s="4">
        <f t="shared" si="62"/>
        <v>132819</v>
      </c>
      <c r="AO282" s="39"/>
      <c r="AP282" s="8">
        <f t="shared" si="69"/>
        <v>0</v>
      </c>
      <c r="AQ282" s="8">
        <f t="shared" si="69"/>
        <v>0</v>
      </c>
      <c r="AR282" s="8">
        <f t="shared" si="63"/>
        <v>0</v>
      </c>
      <c r="AS282" s="42"/>
      <c r="AT282" s="48">
        <v>119992</v>
      </c>
      <c r="AU282" s="48">
        <v>12827</v>
      </c>
      <c r="AV282" s="4">
        <f t="shared" si="64"/>
        <v>132819</v>
      </c>
      <c r="AW282" s="50" t="str">
        <f t="shared" si="65"/>
        <v/>
      </c>
      <c r="AX282" s="1" t="s">
        <v>1639</v>
      </c>
      <c r="AY282" s="2" t="s">
        <v>1640</v>
      </c>
      <c r="AZ282" s="2">
        <v>105740.32</v>
      </c>
      <c r="BA282" s="73">
        <v>92522.78</v>
      </c>
      <c r="BB282" s="73">
        <v>92522.78</v>
      </c>
      <c r="BC282" s="73">
        <v>105740.32</v>
      </c>
      <c r="BD282" s="73"/>
      <c r="BE282" s="66">
        <v>0</v>
      </c>
      <c r="BF282" s="66">
        <v>0.02</v>
      </c>
      <c r="BG282" s="63">
        <v>45837</v>
      </c>
      <c r="BH282" s="2"/>
      <c r="BI282" s="2"/>
      <c r="BJ282" s="2">
        <v>385136.78</v>
      </c>
      <c r="BK282" s="2">
        <v>41769</v>
      </c>
      <c r="BL282" s="1" t="s">
        <v>97</v>
      </c>
    </row>
    <row r="283" spans="1:64" x14ac:dyDescent="0.25">
      <c r="A283" s="56" t="s">
        <v>508</v>
      </c>
      <c r="B283" s="54" t="s">
        <v>1085</v>
      </c>
      <c r="C283" s="56" t="s">
        <v>1086</v>
      </c>
      <c r="D283" s="16">
        <v>0</v>
      </c>
      <c r="E283" s="17"/>
      <c r="F283" s="2" t="s">
        <v>243</v>
      </c>
      <c r="G283" s="2" t="s">
        <v>245</v>
      </c>
      <c r="H283" s="10" t="s">
        <v>98</v>
      </c>
      <c r="I283" s="11" t="s">
        <v>244</v>
      </c>
      <c r="J283" s="11" t="s">
        <v>278</v>
      </c>
      <c r="K283" s="61" t="s">
        <v>279</v>
      </c>
      <c r="L283" s="11" t="s">
        <v>67</v>
      </c>
      <c r="M283" s="25"/>
      <c r="N283" s="54"/>
      <c r="O283" s="3" t="str">
        <f t="shared" si="66"/>
        <v>A</v>
      </c>
      <c r="P283" s="48">
        <v>57015</v>
      </c>
      <c r="Q283" s="48">
        <v>1546</v>
      </c>
      <c r="R283" s="32"/>
      <c r="S283" s="3" t="str">
        <f t="shared" si="67"/>
        <v>A</v>
      </c>
      <c r="T283" s="48">
        <v>49523</v>
      </c>
      <c r="U283" s="48">
        <v>1283</v>
      </c>
      <c r="V283" s="32"/>
      <c r="W283" s="3" t="str">
        <f t="shared" si="59"/>
        <v>A</v>
      </c>
      <c r="X283" s="48">
        <v>43654</v>
      </c>
      <c r="Y283" s="48">
        <v>1334</v>
      </c>
      <c r="Z283" s="32"/>
      <c r="AA283" s="3" t="str">
        <f t="shared" si="60"/>
        <v>A</v>
      </c>
      <c r="AB283" s="48">
        <v>58776</v>
      </c>
      <c r="AC283" s="48">
        <v>1342</v>
      </c>
      <c r="AD283" s="36"/>
      <c r="AE283" s="54"/>
      <c r="AF283" s="3" t="str">
        <f t="shared" si="61"/>
        <v>A</v>
      </c>
      <c r="AG283" s="48">
        <v>0</v>
      </c>
      <c r="AH283" s="48">
        <v>0</v>
      </c>
      <c r="AI283" s="39"/>
      <c r="AJ283" s="79" t="s">
        <v>1801</v>
      </c>
      <c r="AK283" s="39"/>
      <c r="AL283" s="4">
        <f t="shared" si="68"/>
        <v>208968</v>
      </c>
      <c r="AM283" s="4">
        <f t="shared" si="68"/>
        <v>5505</v>
      </c>
      <c r="AN283" s="4">
        <f t="shared" si="62"/>
        <v>214473</v>
      </c>
      <c r="AO283" s="39"/>
      <c r="AP283" s="8">
        <f t="shared" si="69"/>
        <v>0</v>
      </c>
      <c r="AQ283" s="8">
        <f t="shared" si="69"/>
        <v>0</v>
      </c>
      <c r="AR283" s="8">
        <f t="shared" si="63"/>
        <v>0</v>
      </c>
      <c r="AS283" s="42"/>
      <c r="AT283" s="48">
        <v>208968</v>
      </c>
      <c r="AU283" s="48">
        <v>5505</v>
      </c>
      <c r="AV283" s="4">
        <f t="shared" si="64"/>
        <v>214473</v>
      </c>
      <c r="AW283" s="50" t="str">
        <f t="shared" si="65"/>
        <v/>
      </c>
      <c r="AX283" s="1" t="s">
        <v>1639</v>
      </c>
      <c r="AY283" s="2" t="s">
        <v>1640</v>
      </c>
      <c r="AZ283" s="2">
        <v>40382</v>
      </c>
      <c r="BA283" s="73">
        <v>35334.25</v>
      </c>
      <c r="BB283" s="73">
        <v>35334.25</v>
      </c>
      <c r="BC283" s="73">
        <v>40382</v>
      </c>
      <c r="BD283" s="73"/>
      <c r="BE283" s="66">
        <v>0</v>
      </c>
      <c r="BF283" s="66">
        <v>0.02</v>
      </c>
      <c r="BG283" s="63">
        <v>45837</v>
      </c>
      <c r="BH283" s="2"/>
      <c r="BI283" s="2"/>
      <c r="BJ283" s="2">
        <v>146124</v>
      </c>
      <c r="BK283" s="2">
        <v>18265.5</v>
      </c>
      <c r="BL283" s="1" t="s">
        <v>97</v>
      </c>
    </row>
    <row r="284" spans="1:64" x14ac:dyDescent="0.25">
      <c r="A284" s="56" t="s">
        <v>508</v>
      </c>
      <c r="B284" s="54" t="s">
        <v>1358</v>
      </c>
      <c r="C284" s="56" t="s">
        <v>1359</v>
      </c>
      <c r="D284" s="16">
        <v>0</v>
      </c>
      <c r="E284" s="17"/>
      <c r="F284" s="2" t="s">
        <v>243</v>
      </c>
      <c r="G284" s="2" t="s">
        <v>245</v>
      </c>
      <c r="H284" s="10" t="s">
        <v>98</v>
      </c>
      <c r="I284" s="11" t="s">
        <v>244</v>
      </c>
      <c r="J284" s="11" t="s">
        <v>278</v>
      </c>
      <c r="K284" s="61" t="s">
        <v>279</v>
      </c>
      <c r="L284" s="11" t="s">
        <v>67</v>
      </c>
      <c r="M284" s="25"/>
      <c r="N284" s="54"/>
      <c r="O284" s="3" t="str">
        <f>IF($A284="","",IF(P284=AZ284,"E","A"))</f>
        <v>A</v>
      </c>
      <c r="P284" s="48">
        <v>32131</v>
      </c>
      <c r="Q284" s="48">
        <v>3548</v>
      </c>
      <c r="R284" s="32"/>
      <c r="S284" s="3" t="str">
        <f t="shared" si="67"/>
        <v>A</v>
      </c>
      <c r="T284" s="48">
        <v>26353</v>
      </c>
      <c r="U284" s="48">
        <v>4142</v>
      </c>
      <c r="V284" s="32"/>
      <c r="W284" s="3" t="str">
        <f t="shared" si="59"/>
        <v>A</v>
      </c>
      <c r="X284" s="48">
        <v>22270</v>
      </c>
      <c r="Y284" s="48">
        <v>2552</v>
      </c>
      <c r="Z284" s="32"/>
      <c r="AA284" s="3" t="str">
        <f t="shared" si="60"/>
        <v>A</v>
      </c>
      <c r="AB284" s="48">
        <v>31047</v>
      </c>
      <c r="AC284" s="48">
        <v>2960</v>
      </c>
      <c r="AD284" s="36"/>
      <c r="AE284" s="54"/>
      <c r="AF284" s="3" t="str">
        <f t="shared" si="61"/>
        <v>A</v>
      </c>
      <c r="AG284" s="48">
        <v>0</v>
      </c>
      <c r="AH284" s="48">
        <v>0</v>
      </c>
      <c r="AI284" s="39"/>
      <c r="AJ284" s="79" t="s">
        <v>1801</v>
      </c>
      <c r="AK284" s="39"/>
      <c r="AL284" s="4">
        <f t="shared" si="68"/>
        <v>111801</v>
      </c>
      <c r="AM284" s="4">
        <f t="shared" si="68"/>
        <v>13202</v>
      </c>
      <c r="AN284" s="4">
        <f t="shared" si="62"/>
        <v>125003</v>
      </c>
      <c r="AO284" s="39"/>
      <c r="AP284" s="8">
        <f t="shared" si="69"/>
        <v>0</v>
      </c>
      <c r="AQ284" s="8">
        <f t="shared" si="69"/>
        <v>0</v>
      </c>
      <c r="AR284" s="8">
        <f t="shared" si="63"/>
        <v>0</v>
      </c>
      <c r="AS284" s="42"/>
      <c r="AT284" s="48">
        <v>111801</v>
      </c>
      <c r="AU284" s="48">
        <v>13202</v>
      </c>
      <c r="AV284" s="4">
        <f t="shared" si="64"/>
        <v>125003</v>
      </c>
      <c r="AW284" s="50" t="str">
        <f t="shared" si="65"/>
        <v/>
      </c>
      <c r="AX284" s="1" t="s">
        <v>1639</v>
      </c>
      <c r="AY284" s="2" t="s">
        <v>1640</v>
      </c>
      <c r="AZ284" s="2">
        <v>81558.399999999994</v>
      </c>
      <c r="BA284" s="73">
        <v>71363.600000000006</v>
      </c>
      <c r="BB284" s="73">
        <v>71363.600000000006</v>
      </c>
      <c r="BC284" s="73">
        <v>81558.399999999994</v>
      </c>
      <c r="BD284" s="73"/>
      <c r="BE284" s="66">
        <v>0</v>
      </c>
      <c r="BF284" s="66">
        <v>0.02</v>
      </c>
      <c r="BG284" s="63">
        <v>45837</v>
      </c>
      <c r="BH284" s="2"/>
      <c r="BI284" s="2"/>
      <c r="BJ284" s="2">
        <v>312111</v>
      </c>
      <c r="BK284" s="2">
        <v>16385.830000000002</v>
      </c>
      <c r="BL284" s="1" t="s">
        <v>97</v>
      </c>
    </row>
    <row r="285" spans="1:64" x14ac:dyDescent="0.25">
      <c r="A285" s="56" t="s">
        <v>510</v>
      </c>
      <c r="B285" s="54" t="s">
        <v>510</v>
      </c>
      <c r="C285" s="56" t="s">
        <v>511</v>
      </c>
      <c r="D285" s="16">
        <v>42145</v>
      </c>
      <c r="E285" s="17"/>
      <c r="F285" s="2" t="s">
        <v>52</v>
      </c>
      <c r="G285" s="2" t="s">
        <v>55</v>
      </c>
      <c r="H285" s="10" t="s">
        <v>57</v>
      </c>
      <c r="I285" s="11" t="s">
        <v>54</v>
      </c>
      <c r="J285" s="11" t="s">
        <v>72</v>
      </c>
      <c r="K285" s="61" t="s">
        <v>73</v>
      </c>
      <c r="L285" s="11" t="s">
        <v>67</v>
      </c>
      <c r="M285" s="25"/>
      <c r="N285" s="54"/>
      <c r="O285" s="3" t="str">
        <f t="shared" ref="O285:O295" si="70">IF($A285="","",IF(P285=0,"A",IF(P285=AZ285,"E","A")))</f>
        <v>A</v>
      </c>
      <c r="P285" s="48">
        <v>87966.950000000012</v>
      </c>
      <c r="Q285" s="48">
        <v>28476</v>
      </c>
      <c r="R285" s="32"/>
      <c r="S285" s="3" t="str">
        <f t="shared" si="67"/>
        <v>A</v>
      </c>
      <c r="T285" s="48">
        <v>81542.149999999994</v>
      </c>
      <c r="U285" s="48">
        <v>25590</v>
      </c>
      <c r="V285" s="32"/>
      <c r="W285" s="3" t="str">
        <f t="shared" si="59"/>
        <v>A</v>
      </c>
      <c r="X285" s="48">
        <v>74610.75</v>
      </c>
      <c r="Y285" s="48">
        <v>23819</v>
      </c>
      <c r="Z285" s="32"/>
      <c r="AA285" s="3" t="str">
        <f t="shared" si="60"/>
        <v>A</v>
      </c>
      <c r="AB285" s="48">
        <v>79328.55</v>
      </c>
      <c r="AC285" s="48">
        <v>25278</v>
      </c>
      <c r="AD285" s="36"/>
      <c r="AE285" s="54"/>
      <c r="AF285" s="3" t="str">
        <f t="shared" si="61"/>
        <v>A</v>
      </c>
      <c r="AG285" s="48">
        <v>0</v>
      </c>
      <c r="AH285" s="48">
        <v>0</v>
      </c>
      <c r="AI285" s="39"/>
      <c r="AJ285" s="79" t="s">
        <v>1801</v>
      </c>
      <c r="AK285" s="39"/>
      <c r="AL285" s="4">
        <f t="shared" si="68"/>
        <v>323448.40000000002</v>
      </c>
      <c r="AM285" s="4">
        <f t="shared" si="68"/>
        <v>103163</v>
      </c>
      <c r="AN285" s="4">
        <f t="shared" si="62"/>
        <v>426611.4</v>
      </c>
      <c r="AO285" s="39"/>
      <c r="AP285" s="8">
        <f t="shared" si="69"/>
        <v>0</v>
      </c>
      <c r="AQ285" s="8">
        <f t="shared" si="69"/>
        <v>0</v>
      </c>
      <c r="AR285" s="8">
        <f t="shared" si="63"/>
        <v>0</v>
      </c>
      <c r="AS285" s="42"/>
      <c r="AT285" s="48">
        <v>323448.40000000002</v>
      </c>
      <c r="AU285" s="48">
        <v>103163</v>
      </c>
      <c r="AV285" s="4">
        <f t="shared" si="64"/>
        <v>426611.4</v>
      </c>
      <c r="AW285" s="50" t="str">
        <f t="shared" si="65"/>
        <v/>
      </c>
      <c r="AX285" s="1" t="s">
        <v>1639</v>
      </c>
      <c r="AY285" s="2" t="s">
        <v>1640</v>
      </c>
      <c r="AZ285" s="2">
        <v>111147.92</v>
      </c>
      <c r="BA285" s="73">
        <v>97254.43</v>
      </c>
      <c r="BB285" s="73">
        <v>97254.43</v>
      </c>
      <c r="BC285" s="73">
        <v>111147.92</v>
      </c>
      <c r="BD285" s="73"/>
      <c r="BE285" s="66">
        <v>0</v>
      </c>
      <c r="BF285" s="66">
        <v>0.02</v>
      </c>
      <c r="BG285" s="63">
        <v>45777</v>
      </c>
      <c r="BH285" s="2"/>
      <c r="BI285" s="2"/>
      <c r="BJ285" s="2"/>
      <c r="BK285" s="2"/>
      <c r="BL285" s="1" t="s">
        <v>56</v>
      </c>
    </row>
    <row r="286" spans="1:64" x14ac:dyDescent="0.25">
      <c r="A286" s="56" t="s">
        <v>512</v>
      </c>
      <c r="B286" s="54" t="s">
        <v>512</v>
      </c>
      <c r="C286" s="56" t="s">
        <v>513</v>
      </c>
      <c r="D286" s="16">
        <v>42692</v>
      </c>
      <c r="E286" s="17"/>
      <c r="F286" s="2" t="s">
        <v>423</v>
      </c>
      <c r="G286" s="2" t="s">
        <v>424</v>
      </c>
      <c r="H286" s="10" t="s">
        <v>105</v>
      </c>
      <c r="I286" s="11" t="s">
        <v>53</v>
      </c>
      <c r="J286" s="11" t="s">
        <v>312</v>
      </c>
      <c r="K286" s="61"/>
      <c r="L286" s="11" t="s">
        <v>67</v>
      </c>
      <c r="M286" s="25"/>
      <c r="N286" s="54"/>
      <c r="O286" s="3" t="str">
        <f t="shared" si="70"/>
        <v>A</v>
      </c>
      <c r="P286" s="48">
        <v>53550</v>
      </c>
      <c r="Q286" s="48">
        <v>14710</v>
      </c>
      <c r="R286" s="32"/>
      <c r="S286" s="3" t="str">
        <f t="shared" si="67"/>
        <v>A</v>
      </c>
      <c r="T286" s="48">
        <v>46787</v>
      </c>
      <c r="U286" s="48">
        <v>12805</v>
      </c>
      <c r="V286" s="32"/>
      <c r="W286" s="3" t="str">
        <f t="shared" si="59"/>
        <v>A</v>
      </c>
      <c r="X286" s="48">
        <v>45008</v>
      </c>
      <c r="Y286" s="48">
        <v>8505</v>
      </c>
      <c r="Z286" s="32"/>
      <c r="AA286" s="3" t="str">
        <f t="shared" si="60"/>
        <v>A</v>
      </c>
      <c r="AB286" s="48">
        <v>47112</v>
      </c>
      <c r="AC286" s="48">
        <v>7055</v>
      </c>
      <c r="AD286" s="36"/>
      <c r="AE286" s="54"/>
      <c r="AF286" s="3" t="str">
        <f t="shared" si="61"/>
        <v>A</v>
      </c>
      <c r="AG286" s="48">
        <v>0</v>
      </c>
      <c r="AH286" s="48">
        <v>0</v>
      </c>
      <c r="AI286" s="39"/>
      <c r="AJ286" s="79" t="s">
        <v>1801</v>
      </c>
      <c r="AK286" s="39"/>
      <c r="AL286" s="4">
        <f t="shared" si="68"/>
        <v>192457</v>
      </c>
      <c r="AM286" s="4">
        <f t="shared" si="68"/>
        <v>43075</v>
      </c>
      <c r="AN286" s="4">
        <f t="shared" si="62"/>
        <v>235532</v>
      </c>
      <c r="AO286" s="39"/>
      <c r="AP286" s="8">
        <f t="shared" si="69"/>
        <v>0</v>
      </c>
      <c r="AQ286" s="8">
        <f t="shared" si="69"/>
        <v>0</v>
      </c>
      <c r="AR286" s="8">
        <f t="shared" si="63"/>
        <v>0</v>
      </c>
      <c r="AS286" s="42"/>
      <c r="AT286" s="48">
        <v>192457</v>
      </c>
      <c r="AU286" s="48">
        <v>43075</v>
      </c>
      <c r="AV286" s="4">
        <f t="shared" si="64"/>
        <v>235532</v>
      </c>
      <c r="AW286" s="50" t="str">
        <f t="shared" si="65"/>
        <v/>
      </c>
      <c r="AX286" s="1" t="s">
        <v>1705</v>
      </c>
      <c r="AY286" s="2" t="s">
        <v>1706</v>
      </c>
      <c r="AZ286" s="2">
        <v>127689.36</v>
      </c>
      <c r="BA286" s="73">
        <v>111728.19</v>
      </c>
      <c r="BB286" s="73">
        <v>111728.19</v>
      </c>
      <c r="BC286" s="73">
        <v>127689.36</v>
      </c>
      <c r="BD286" s="73"/>
      <c r="BE286" s="66">
        <v>3.5000000000000003E-2</v>
      </c>
      <c r="BF286" s="66">
        <v>0.05</v>
      </c>
      <c r="BG286" s="63">
        <v>44482</v>
      </c>
      <c r="BH286" s="2"/>
      <c r="BI286" s="2"/>
      <c r="BJ286" s="2"/>
      <c r="BK286" s="2"/>
      <c r="BL286" s="1" t="s">
        <v>104</v>
      </c>
    </row>
    <row r="287" spans="1:64" x14ac:dyDescent="0.25">
      <c r="A287" s="56" t="s">
        <v>514</v>
      </c>
      <c r="B287" s="54" t="s">
        <v>514</v>
      </c>
      <c r="C287" s="56" t="s">
        <v>515</v>
      </c>
      <c r="D287" s="16">
        <v>42334</v>
      </c>
      <c r="E287" s="17"/>
      <c r="F287" s="2" t="s">
        <v>516</v>
      </c>
      <c r="G287" s="2" t="s">
        <v>517</v>
      </c>
      <c r="H287" s="10" t="s">
        <v>57</v>
      </c>
      <c r="I287" s="11" t="s">
        <v>53</v>
      </c>
      <c r="J287" s="11" t="s">
        <v>156</v>
      </c>
      <c r="K287" s="61"/>
      <c r="L287" s="11" t="s">
        <v>67</v>
      </c>
      <c r="M287" s="25"/>
      <c r="N287" s="54"/>
      <c r="O287" s="3" t="str">
        <f t="shared" si="70"/>
        <v>E</v>
      </c>
      <c r="P287" s="48">
        <v>78890.559999999998</v>
      </c>
      <c r="Q287" s="48">
        <v>22469.599999999999</v>
      </c>
      <c r="R287" s="32"/>
      <c r="S287" s="3" t="str">
        <f t="shared" si="67"/>
        <v>E</v>
      </c>
      <c r="T287" s="48">
        <v>69029.240000000005</v>
      </c>
      <c r="U287" s="48">
        <v>19660.900000000001</v>
      </c>
      <c r="V287" s="32"/>
      <c r="W287" s="3" t="str">
        <f t="shared" si="59"/>
        <v>E</v>
      </c>
      <c r="X287" s="48">
        <v>69029.240000000005</v>
      </c>
      <c r="Y287" s="48">
        <v>19660.900000000001</v>
      </c>
      <c r="Z287" s="32"/>
      <c r="AA287" s="3" t="str">
        <f t="shared" si="60"/>
        <v>E</v>
      </c>
      <c r="AB287" s="48">
        <v>78890.559999999998</v>
      </c>
      <c r="AC287" s="48">
        <v>22469.599999999999</v>
      </c>
      <c r="AD287" s="36"/>
      <c r="AE287" s="54"/>
      <c r="AF287" s="3" t="str">
        <f t="shared" si="61"/>
        <v>A</v>
      </c>
      <c r="AG287" s="48"/>
      <c r="AH287" s="48"/>
      <c r="AI287" s="39"/>
      <c r="AJ287" s="79" t="s">
        <v>38</v>
      </c>
      <c r="AK287" s="39"/>
      <c r="AL287" s="4">
        <f t="shared" si="68"/>
        <v>0</v>
      </c>
      <c r="AM287" s="4">
        <f t="shared" si="68"/>
        <v>0</v>
      </c>
      <c r="AN287" s="4">
        <f t="shared" si="62"/>
        <v>0</v>
      </c>
      <c r="AO287" s="39"/>
      <c r="AP287" s="8">
        <f t="shared" si="69"/>
        <v>295839.59999999998</v>
      </c>
      <c r="AQ287" s="8">
        <f t="shared" si="69"/>
        <v>84261</v>
      </c>
      <c r="AR287" s="8">
        <f t="shared" si="63"/>
        <v>380100.6</v>
      </c>
      <c r="AS287" s="42"/>
      <c r="AT287" s="48"/>
      <c r="AU287" s="48"/>
      <c r="AV287" s="4">
        <f t="shared" si="64"/>
        <v>0</v>
      </c>
      <c r="AW287" s="50" t="str">
        <f t="shared" si="65"/>
        <v/>
      </c>
      <c r="AX287" s="1" t="s">
        <v>1717</v>
      </c>
      <c r="AY287" s="2" t="s">
        <v>1718</v>
      </c>
      <c r="AZ287" s="2">
        <v>78890.559999999998</v>
      </c>
      <c r="BA287" s="73">
        <v>69029.240000000005</v>
      </c>
      <c r="BB287" s="73">
        <v>69029.240000000005</v>
      </c>
      <c r="BC287" s="73">
        <v>78890.559999999998</v>
      </c>
      <c r="BD287" s="73"/>
      <c r="BE287" s="66">
        <v>3.5000000000000003E-2</v>
      </c>
      <c r="BF287" s="66">
        <v>0.05</v>
      </c>
      <c r="BG287" s="63">
        <v>44044</v>
      </c>
      <c r="BH287" s="2"/>
      <c r="BI287" s="2"/>
      <c r="BJ287" s="2"/>
      <c r="BK287" s="2"/>
      <c r="BL287" s="1" t="s">
        <v>56</v>
      </c>
    </row>
    <row r="288" spans="1:64" x14ac:dyDescent="0.25">
      <c r="A288" s="56" t="s">
        <v>514</v>
      </c>
      <c r="B288" s="54" t="s">
        <v>792</v>
      </c>
      <c r="C288" s="56" t="s">
        <v>793</v>
      </c>
      <c r="D288" s="16">
        <v>42916</v>
      </c>
      <c r="E288" s="17"/>
      <c r="F288" s="2" t="s">
        <v>516</v>
      </c>
      <c r="G288" s="2" t="s">
        <v>517</v>
      </c>
      <c r="H288" s="10" t="s">
        <v>57</v>
      </c>
      <c r="I288" s="11" t="s">
        <v>53</v>
      </c>
      <c r="J288" s="11" t="s">
        <v>156</v>
      </c>
      <c r="K288" s="61"/>
      <c r="L288" s="11" t="s">
        <v>67</v>
      </c>
      <c r="M288" s="25"/>
      <c r="N288" s="54"/>
      <c r="O288" s="3" t="str">
        <f t="shared" si="70"/>
        <v>E</v>
      </c>
      <c r="P288" s="48">
        <v>48418.879999999997</v>
      </c>
      <c r="Q288" s="48">
        <v>11815.68</v>
      </c>
      <c r="R288" s="32"/>
      <c r="S288" s="3" t="str">
        <f t="shared" si="67"/>
        <v>E</v>
      </c>
      <c r="T288" s="48">
        <v>42366.52</v>
      </c>
      <c r="U288" s="48">
        <v>10338.719999999999</v>
      </c>
      <c r="V288" s="32"/>
      <c r="W288" s="3" t="str">
        <f t="shared" si="59"/>
        <v>E</v>
      </c>
      <c r="X288" s="48">
        <v>42366.52</v>
      </c>
      <c r="Y288" s="48">
        <v>10338.719999999999</v>
      </c>
      <c r="Z288" s="32"/>
      <c r="AA288" s="3" t="str">
        <f t="shared" si="60"/>
        <v>E</v>
      </c>
      <c r="AB288" s="48">
        <v>48418.879999999997</v>
      </c>
      <c r="AC288" s="48">
        <v>11815.68</v>
      </c>
      <c r="AD288" s="36"/>
      <c r="AE288" s="54"/>
      <c r="AF288" s="3" t="str">
        <f t="shared" si="61"/>
        <v>A</v>
      </c>
      <c r="AG288" s="48"/>
      <c r="AH288" s="48"/>
      <c r="AI288" s="39"/>
      <c r="AJ288" s="79" t="s">
        <v>38</v>
      </c>
      <c r="AK288" s="39"/>
      <c r="AL288" s="4">
        <f t="shared" si="68"/>
        <v>0</v>
      </c>
      <c r="AM288" s="4">
        <f t="shared" si="68"/>
        <v>0</v>
      </c>
      <c r="AN288" s="4">
        <f t="shared" si="62"/>
        <v>0</v>
      </c>
      <c r="AO288" s="39"/>
      <c r="AP288" s="8">
        <f t="shared" si="69"/>
        <v>181570.8</v>
      </c>
      <c r="AQ288" s="8">
        <f t="shared" si="69"/>
        <v>44308.800000000003</v>
      </c>
      <c r="AR288" s="8">
        <f t="shared" si="63"/>
        <v>225879.59999999998</v>
      </c>
      <c r="AS288" s="42"/>
      <c r="AT288" s="48"/>
      <c r="AU288" s="48"/>
      <c r="AV288" s="4">
        <f t="shared" si="64"/>
        <v>0</v>
      </c>
      <c r="AW288" s="50" t="str">
        <f t="shared" si="65"/>
        <v/>
      </c>
      <c r="AX288" s="1" t="s">
        <v>1717</v>
      </c>
      <c r="AY288" s="2" t="s">
        <v>1718</v>
      </c>
      <c r="AZ288" s="2">
        <v>48418.879999999997</v>
      </c>
      <c r="BA288" s="73">
        <v>42366.52</v>
      </c>
      <c r="BB288" s="73">
        <v>42366.52</v>
      </c>
      <c r="BC288" s="73">
        <v>48418.879999999997</v>
      </c>
      <c r="BD288" s="73"/>
      <c r="BE288" s="66">
        <v>0.04</v>
      </c>
      <c r="BF288" s="66">
        <v>0.05</v>
      </c>
      <c r="BG288" s="63">
        <v>44044</v>
      </c>
      <c r="BH288" s="2"/>
      <c r="BI288" s="2"/>
      <c r="BJ288" s="2"/>
      <c r="BK288" s="2"/>
      <c r="BL288" s="1" t="s">
        <v>56</v>
      </c>
    </row>
    <row r="289" spans="1:64" x14ac:dyDescent="0.25">
      <c r="A289" s="56" t="s">
        <v>518</v>
      </c>
      <c r="B289" s="54" t="s">
        <v>518</v>
      </c>
      <c r="C289" s="56" t="s">
        <v>519</v>
      </c>
      <c r="D289" s="16">
        <v>42318</v>
      </c>
      <c r="E289" s="17">
        <v>45838</v>
      </c>
      <c r="F289" s="2" t="s">
        <v>431</v>
      </c>
      <c r="G289" s="2" t="s">
        <v>432</v>
      </c>
      <c r="H289" s="10" t="s">
        <v>57</v>
      </c>
      <c r="I289" s="11" t="s">
        <v>53</v>
      </c>
      <c r="J289" s="11" t="s">
        <v>397</v>
      </c>
      <c r="K289" s="61"/>
      <c r="L289" s="11" t="s">
        <v>67</v>
      </c>
      <c r="M289" s="25"/>
      <c r="N289" s="54"/>
      <c r="O289" s="3" t="str">
        <f t="shared" si="70"/>
        <v>A</v>
      </c>
      <c r="P289" s="48"/>
      <c r="Q289" s="48"/>
      <c r="R289" s="32"/>
      <c r="S289" s="3" t="str">
        <f t="shared" si="67"/>
        <v>A</v>
      </c>
      <c r="T289" s="48"/>
      <c r="U289" s="48"/>
      <c r="V289" s="32"/>
      <c r="W289" s="3" t="str">
        <f t="shared" si="59"/>
        <v>A</v>
      </c>
      <c r="X289" s="48"/>
      <c r="Y289" s="48"/>
      <c r="Z289" s="32"/>
      <c r="AA289" s="3" t="str">
        <f t="shared" si="60"/>
        <v>A</v>
      </c>
      <c r="AB289" s="48"/>
      <c r="AC289" s="48"/>
      <c r="AD289" s="36"/>
      <c r="AE289" s="54"/>
      <c r="AF289" s="3" t="str">
        <f t="shared" si="61"/>
        <v>A</v>
      </c>
      <c r="AG289" s="48"/>
      <c r="AH289" s="48"/>
      <c r="AI289" s="39"/>
      <c r="AJ289" s="79" t="s">
        <v>1801</v>
      </c>
      <c r="AK289" s="39"/>
      <c r="AL289" s="4">
        <f t="shared" si="68"/>
        <v>0</v>
      </c>
      <c r="AM289" s="4">
        <f t="shared" si="68"/>
        <v>0</v>
      </c>
      <c r="AN289" s="4">
        <f t="shared" si="62"/>
        <v>0</v>
      </c>
      <c r="AO289" s="39"/>
      <c r="AP289" s="8">
        <f t="shared" si="69"/>
        <v>0</v>
      </c>
      <c r="AQ289" s="8">
        <f t="shared" si="69"/>
        <v>0</v>
      </c>
      <c r="AR289" s="8">
        <f t="shared" si="63"/>
        <v>0</v>
      </c>
      <c r="AS289" s="42"/>
      <c r="AT289" s="48"/>
      <c r="AU289" s="48"/>
      <c r="AV289" s="4">
        <f t="shared" si="64"/>
        <v>0</v>
      </c>
      <c r="AW289" s="50" t="str">
        <f t="shared" si="65"/>
        <v/>
      </c>
      <c r="AX289" s="1" t="s">
        <v>1707</v>
      </c>
      <c r="AY289" s="2" t="s">
        <v>1708</v>
      </c>
      <c r="AZ289" s="2"/>
      <c r="BA289" s="73"/>
      <c r="BB289" s="73"/>
      <c r="BC289" s="73"/>
      <c r="BD289" s="73"/>
      <c r="BE289" s="66">
        <v>3.5000000000000003E-2</v>
      </c>
      <c r="BF289" s="66">
        <v>0.05</v>
      </c>
      <c r="BG289" s="63">
        <v>44130</v>
      </c>
      <c r="BH289" s="74">
        <v>45292</v>
      </c>
      <c r="BI289" s="2"/>
      <c r="BJ289" s="2"/>
      <c r="BK289" s="2"/>
      <c r="BL289" s="1" t="s">
        <v>396</v>
      </c>
    </row>
    <row r="290" spans="1:64" x14ac:dyDescent="0.25">
      <c r="A290" s="56" t="s">
        <v>520</v>
      </c>
      <c r="B290" s="54" t="s">
        <v>520</v>
      </c>
      <c r="C290" s="56" t="s">
        <v>521</v>
      </c>
      <c r="D290" s="16">
        <v>42346</v>
      </c>
      <c r="E290" s="17"/>
      <c r="F290" s="2" t="s">
        <v>522</v>
      </c>
      <c r="G290" s="2" t="s">
        <v>523</v>
      </c>
      <c r="H290" s="10" t="s">
        <v>105</v>
      </c>
      <c r="I290" s="11" t="s">
        <v>53</v>
      </c>
      <c r="J290" s="11" t="s">
        <v>145</v>
      </c>
      <c r="K290" s="61"/>
      <c r="L290" s="11" t="s">
        <v>67</v>
      </c>
      <c r="M290" s="25"/>
      <c r="N290" s="54"/>
      <c r="O290" s="3" t="str">
        <f t="shared" si="70"/>
        <v>A</v>
      </c>
      <c r="P290" s="48">
        <v>85057</v>
      </c>
      <c r="Q290" s="48">
        <v>8940</v>
      </c>
      <c r="R290" s="32"/>
      <c r="S290" s="3" t="str">
        <f t="shared" si="67"/>
        <v>A</v>
      </c>
      <c r="T290" s="48">
        <v>97346</v>
      </c>
      <c r="U290" s="48">
        <v>6470</v>
      </c>
      <c r="V290" s="32"/>
      <c r="W290" s="3" t="str">
        <f t="shared" si="59"/>
        <v>A</v>
      </c>
      <c r="X290" s="48">
        <v>96812</v>
      </c>
      <c r="Y290" s="48">
        <v>7554</v>
      </c>
      <c r="Z290" s="32"/>
      <c r="AA290" s="3" t="str">
        <f t="shared" si="60"/>
        <v>A</v>
      </c>
      <c r="AB290" s="48">
        <v>97801</v>
      </c>
      <c r="AC290" s="48">
        <v>8337</v>
      </c>
      <c r="AD290" s="36"/>
      <c r="AE290" s="54"/>
      <c r="AF290" s="3" t="str">
        <f t="shared" si="61"/>
        <v>A</v>
      </c>
      <c r="AG290" s="48">
        <v>0</v>
      </c>
      <c r="AH290" s="48">
        <v>0</v>
      </c>
      <c r="AI290" s="39"/>
      <c r="AJ290" s="79" t="s">
        <v>1801</v>
      </c>
      <c r="AK290" s="39"/>
      <c r="AL290" s="4">
        <f t="shared" si="68"/>
        <v>377016</v>
      </c>
      <c r="AM290" s="4">
        <f t="shared" si="68"/>
        <v>31301</v>
      </c>
      <c r="AN290" s="4">
        <f t="shared" si="62"/>
        <v>408317</v>
      </c>
      <c r="AO290" s="39"/>
      <c r="AP290" s="8">
        <f t="shared" si="69"/>
        <v>0</v>
      </c>
      <c r="AQ290" s="8">
        <f t="shared" si="69"/>
        <v>0</v>
      </c>
      <c r="AR290" s="8">
        <f t="shared" si="63"/>
        <v>0</v>
      </c>
      <c r="AS290" s="42"/>
      <c r="AT290" s="48">
        <v>377016</v>
      </c>
      <c r="AU290" s="48">
        <v>31301</v>
      </c>
      <c r="AV290" s="4">
        <f t="shared" si="64"/>
        <v>408317</v>
      </c>
      <c r="AW290" s="50" t="str">
        <f t="shared" si="65"/>
        <v/>
      </c>
      <c r="AX290" s="1" t="s">
        <v>1719</v>
      </c>
      <c r="AY290" s="2" t="s">
        <v>1720</v>
      </c>
      <c r="AZ290" s="2">
        <v>125548.4</v>
      </c>
      <c r="BA290" s="73">
        <v>109854.85</v>
      </c>
      <c r="BB290" s="73">
        <v>109854.85</v>
      </c>
      <c r="BC290" s="73">
        <v>125548.4</v>
      </c>
      <c r="BD290" s="73"/>
      <c r="BE290" s="66">
        <v>3.5000000000000003E-2</v>
      </c>
      <c r="BF290" s="66">
        <v>0.05</v>
      </c>
      <c r="BG290" s="63">
        <v>44113</v>
      </c>
      <c r="BH290" s="74">
        <v>42878</v>
      </c>
      <c r="BI290" s="74">
        <v>43054</v>
      </c>
      <c r="BJ290" s="2"/>
      <c r="BK290" s="2"/>
      <c r="BL290" s="1" t="s">
        <v>104</v>
      </c>
    </row>
    <row r="291" spans="1:64" x14ac:dyDescent="0.25">
      <c r="A291" s="56" t="s">
        <v>520</v>
      </c>
      <c r="B291" s="54" t="s">
        <v>794</v>
      </c>
      <c r="C291" s="56" t="s">
        <v>795</v>
      </c>
      <c r="D291" s="16">
        <v>43508</v>
      </c>
      <c r="E291" s="17"/>
      <c r="F291" s="2" t="s">
        <v>522</v>
      </c>
      <c r="G291" s="2" t="s">
        <v>523</v>
      </c>
      <c r="H291" s="10" t="s">
        <v>105</v>
      </c>
      <c r="I291" s="11" t="s">
        <v>53</v>
      </c>
      <c r="J291" s="11" t="s">
        <v>145</v>
      </c>
      <c r="K291" s="61"/>
      <c r="L291" s="11" t="s">
        <v>67</v>
      </c>
      <c r="M291" s="25"/>
      <c r="N291" s="54"/>
      <c r="O291" s="3" t="str">
        <f t="shared" si="70"/>
        <v>A</v>
      </c>
      <c r="P291" s="48">
        <v>162409</v>
      </c>
      <c r="Q291" s="48">
        <v>8625</v>
      </c>
      <c r="R291" s="32"/>
      <c r="S291" s="3" t="str">
        <f t="shared" si="67"/>
        <v>A</v>
      </c>
      <c r="T291" s="48">
        <v>184039</v>
      </c>
      <c r="U291" s="48">
        <v>6630</v>
      </c>
      <c r="V291" s="32"/>
      <c r="W291" s="3" t="str">
        <f t="shared" si="59"/>
        <v>A</v>
      </c>
      <c r="X291" s="48">
        <v>175608</v>
      </c>
      <c r="Y291" s="48">
        <v>8045</v>
      </c>
      <c r="Z291" s="32"/>
      <c r="AA291" s="3" t="str">
        <f t="shared" si="60"/>
        <v>A</v>
      </c>
      <c r="AB291" s="48">
        <v>211050</v>
      </c>
      <c r="AC291" s="48">
        <v>7070</v>
      </c>
      <c r="AD291" s="36"/>
      <c r="AE291" s="54"/>
      <c r="AF291" s="3" t="str">
        <f t="shared" si="61"/>
        <v>A</v>
      </c>
      <c r="AG291" s="48">
        <v>0</v>
      </c>
      <c r="AH291" s="48">
        <v>0</v>
      </c>
      <c r="AI291" s="39"/>
      <c r="AJ291" s="79" t="s">
        <v>1801</v>
      </c>
      <c r="AK291" s="39"/>
      <c r="AL291" s="4">
        <f t="shared" si="68"/>
        <v>733106</v>
      </c>
      <c r="AM291" s="4">
        <f t="shared" si="68"/>
        <v>30370</v>
      </c>
      <c r="AN291" s="4">
        <f t="shared" si="62"/>
        <v>763476</v>
      </c>
      <c r="AO291" s="39"/>
      <c r="AP291" s="8">
        <f t="shared" si="69"/>
        <v>0</v>
      </c>
      <c r="AQ291" s="8">
        <f t="shared" si="69"/>
        <v>0</v>
      </c>
      <c r="AR291" s="8">
        <f t="shared" si="63"/>
        <v>0</v>
      </c>
      <c r="AS291" s="42"/>
      <c r="AT291" s="48">
        <v>733106</v>
      </c>
      <c r="AU291" s="48">
        <v>30370</v>
      </c>
      <c r="AV291" s="4">
        <f t="shared" si="64"/>
        <v>763476</v>
      </c>
      <c r="AW291" s="50" t="str">
        <f t="shared" si="65"/>
        <v/>
      </c>
      <c r="AX291" s="1" t="s">
        <v>1719</v>
      </c>
      <c r="AY291" s="2" t="s">
        <v>1720</v>
      </c>
      <c r="AZ291" s="2">
        <v>173071.52</v>
      </c>
      <c r="BA291" s="73">
        <v>151437.57999999999</v>
      </c>
      <c r="BB291" s="73">
        <v>151437.57999999999</v>
      </c>
      <c r="BC291" s="73">
        <v>173071.52</v>
      </c>
      <c r="BD291" s="73"/>
      <c r="BE291" s="66">
        <v>4.4999999999999998E-2</v>
      </c>
      <c r="BF291" s="66">
        <v>0.05</v>
      </c>
      <c r="BG291" s="63">
        <v>44113</v>
      </c>
      <c r="BH291" s="2"/>
      <c r="BI291" s="2"/>
      <c r="BJ291" s="2"/>
      <c r="BK291" s="2"/>
      <c r="BL291" s="1" t="s">
        <v>104</v>
      </c>
    </row>
    <row r="292" spans="1:64" x14ac:dyDescent="0.25">
      <c r="A292" s="56" t="s">
        <v>524</v>
      </c>
      <c r="B292" s="54" t="s">
        <v>524</v>
      </c>
      <c r="C292" s="56" t="s">
        <v>525</v>
      </c>
      <c r="D292" s="16">
        <v>42465</v>
      </c>
      <c r="E292" s="17"/>
      <c r="F292" s="2" t="s">
        <v>526</v>
      </c>
      <c r="G292" s="2" t="s">
        <v>527</v>
      </c>
      <c r="H292" s="10" t="s">
        <v>57</v>
      </c>
      <c r="I292" s="11" t="s">
        <v>53</v>
      </c>
      <c r="J292" s="11" t="s">
        <v>64</v>
      </c>
      <c r="K292" s="61"/>
      <c r="L292" s="11" t="s">
        <v>67</v>
      </c>
      <c r="M292" s="25"/>
      <c r="N292" s="54"/>
      <c r="O292" s="3" t="str">
        <f t="shared" si="70"/>
        <v>A</v>
      </c>
      <c r="P292" s="48">
        <v>215939</v>
      </c>
      <c r="Q292" s="48">
        <v>22258</v>
      </c>
      <c r="R292" s="32"/>
      <c r="S292" s="3" t="str">
        <f t="shared" si="67"/>
        <v>A</v>
      </c>
      <c r="T292" s="48">
        <v>198313</v>
      </c>
      <c r="U292" s="48">
        <v>21446</v>
      </c>
      <c r="V292" s="32"/>
      <c r="W292" s="3" t="str">
        <f t="shared" si="59"/>
        <v>A</v>
      </c>
      <c r="X292" s="48">
        <v>189368</v>
      </c>
      <c r="Y292" s="48">
        <v>22199</v>
      </c>
      <c r="Z292" s="32"/>
      <c r="AA292" s="3" t="str">
        <f t="shared" si="60"/>
        <v>A</v>
      </c>
      <c r="AB292" s="48">
        <v>210121</v>
      </c>
      <c r="AC292" s="48">
        <v>19964</v>
      </c>
      <c r="AD292" s="36"/>
      <c r="AE292" s="54"/>
      <c r="AF292" s="3" t="str">
        <f t="shared" si="61"/>
        <v>A</v>
      </c>
      <c r="AG292" s="48">
        <v>0</v>
      </c>
      <c r="AH292" s="48">
        <v>0</v>
      </c>
      <c r="AI292" s="39"/>
      <c r="AJ292" s="79" t="s">
        <v>1801</v>
      </c>
      <c r="AK292" s="39"/>
      <c r="AL292" s="4">
        <f t="shared" si="68"/>
        <v>813741</v>
      </c>
      <c r="AM292" s="4">
        <f t="shared" si="68"/>
        <v>85867</v>
      </c>
      <c r="AN292" s="4">
        <f t="shared" si="62"/>
        <v>899608</v>
      </c>
      <c r="AO292" s="39"/>
      <c r="AP292" s="8">
        <f t="shared" si="69"/>
        <v>0</v>
      </c>
      <c r="AQ292" s="8">
        <f t="shared" si="69"/>
        <v>0</v>
      </c>
      <c r="AR292" s="8">
        <f t="shared" si="63"/>
        <v>0</v>
      </c>
      <c r="AS292" s="42"/>
      <c r="AT292" s="48">
        <v>813741</v>
      </c>
      <c r="AU292" s="48">
        <v>85867</v>
      </c>
      <c r="AV292" s="4">
        <f t="shared" si="64"/>
        <v>899608</v>
      </c>
      <c r="AW292" s="50" t="str">
        <f t="shared" si="65"/>
        <v/>
      </c>
      <c r="AX292" s="1" t="s">
        <v>1721</v>
      </c>
      <c r="AY292" s="2" t="s">
        <v>1722</v>
      </c>
      <c r="AZ292" s="2">
        <v>135224.56</v>
      </c>
      <c r="BA292" s="73">
        <v>118321.49</v>
      </c>
      <c r="BB292" s="73">
        <v>118321.49</v>
      </c>
      <c r="BC292" s="73">
        <v>135224.56</v>
      </c>
      <c r="BD292" s="73"/>
      <c r="BE292" s="66">
        <v>0.04</v>
      </c>
      <c r="BF292" s="66">
        <v>0.05</v>
      </c>
      <c r="BG292" s="63">
        <v>44232</v>
      </c>
      <c r="BH292" s="74">
        <v>44007</v>
      </c>
      <c r="BI292" s="74">
        <v>44018</v>
      </c>
      <c r="BJ292" s="2"/>
      <c r="BK292" s="2"/>
      <c r="BL292" s="1" t="s">
        <v>56</v>
      </c>
    </row>
    <row r="293" spans="1:64" x14ac:dyDescent="0.25">
      <c r="A293" s="56" t="s">
        <v>528</v>
      </c>
      <c r="B293" s="54" t="s">
        <v>528</v>
      </c>
      <c r="C293" s="56" t="s">
        <v>529</v>
      </c>
      <c r="D293" s="16">
        <v>42553</v>
      </c>
      <c r="E293" s="17"/>
      <c r="F293" s="2" t="s">
        <v>423</v>
      </c>
      <c r="G293" s="2" t="s">
        <v>424</v>
      </c>
      <c r="H293" s="10" t="s">
        <v>105</v>
      </c>
      <c r="I293" s="11" t="s">
        <v>53</v>
      </c>
      <c r="J293" s="11" t="s">
        <v>312</v>
      </c>
      <c r="K293" s="61"/>
      <c r="L293" s="11" t="s">
        <v>67</v>
      </c>
      <c r="M293" s="25"/>
      <c r="N293" s="54"/>
      <c r="O293" s="3" t="str">
        <f t="shared" si="70"/>
        <v>A</v>
      </c>
      <c r="P293" s="48">
        <v>162494</v>
      </c>
      <c r="Q293" s="48">
        <v>28090</v>
      </c>
      <c r="R293" s="32"/>
      <c r="S293" s="3" t="str">
        <f t="shared" si="67"/>
        <v>A</v>
      </c>
      <c r="T293" s="48">
        <v>129188</v>
      </c>
      <c r="U293" s="48">
        <v>19585</v>
      </c>
      <c r="V293" s="32"/>
      <c r="W293" s="3" t="str">
        <f t="shared" si="59"/>
        <v>A</v>
      </c>
      <c r="X293" s="48">
        <v>113320</v>
      </c>
      <c r="Y293" s="48">
        <v>15885</v>
      </c>
      <c r="Z293" s="32"/>
      <c r="AA293" s="3" t="str">
        <f t="shared" si="60"/>
        <v>A</v>
      </c>
      <c r="AB293" s="48">
        <v>138843</v>
      </c>
      <c r="AC293" s="48">
        <v>20460</v>
      </c>
      <c r="AD293" s="36"/>
      <c r="AE293" s="54"/>
      <c r="AF293" s="3" t="str">
        <f t="shared" si="61"/>
        <v>A</v>
      </c>
      <c r="AG293" s="48">
        <v>0</v>
      </c>
      <c r="AH293" s="48">
        <v>0</v>
      </c>
      <c r="AI293" s="39"/>
      <c r="AJ293" s="79" t="s">
        <v>1801</v>
      </c>
      <c r="AK293" s="39"/>
      <c r="AL293" s="4">
        <f t="shared" si="68"/>
        <v>543845</v>
      </c>
      <c r="AM293" s="4">
        <f t="shared" si="68"/>
        <v>84020</v>
      </c>
      <c r="AN293" s="4">
        <f t="shared" si="62"/>
        <v>627865</v>
      </c>
      <c r="AO293" s="39"/>
      <c r="AP293" s="8">
        <f t="shared" si="69"/>
        <v>0</v>
      </c>
      <c r="AQ293" s="8">
        <f t="shared" si="69"/>
        <v>0</v>
      </c>
      <c r="AR293" s="8">
        <f t="shared" si="63"/>
        <v>0</v>
      </c>
      <c r="AS293" s="42"/>
      <c r="AT293" s="48">
        <v>543845</v>
      </c>
      <c r="AU293" s="48">
        <v>84020</v>
      </c>
      <c r="AV293" s="4">
        <f t="shared" si="64"/>
        <v>627865</v>
      </c>
      <c r="AW293" s="50" t="str">
        <f t="shared" si="65"/>
        <v/>
      </c>
      <c r="AX293" s="1" t="s">
        <v>1705</v>
      </c>
      <c r="AY293" s="2" t="s">
        <v>1706</v>
      </c>
      <c r="AZ293" s="2">
        <v>146185.28</v>
      </c>
      <c r="BA293" s="73">
        <v>127912.12</v>
      </c>
      <c r="BB293" s="73">
        <v>127912.12</v>
      </c>
      <c r="BC293" s="73">
        <v>146185.28</v>
      </c>
      <c r="BD293" s="73"/>
      <c r="BE293" s="66">
        <v>3.5000000000000003E-2</v>
      </c>
      <c r="BF293" s="66">
        <v>0.05</v>
      </c>
      <c r="BG293" s="63">
        <v>44328</v>
      </c>
      <c r="BH293" s="2"/>
      <c r="BI293" s="2"/>
      <c r="BJ293" s="2"/>
      <c r="BK293" s="2"/>
      <c r="BL293" s="1" t="s">
        <v>104</v>
      </c>
    </row>
    <row r="294" spans="1:64" x14ac:dyDescent="0.25">
      <c r="A294" s="56" t="s">
        <v>530</v>
      </c>
      <c r="B294" s="54" t="s">
        <v>530</v>
      </c>
      <c r="C294" s="56" t="s">
        <v>531</v>
      </c>
      <c r="D294" s="16">
        <v>42590</v>
      </c>
      <c r="E294" s="17"/>
      <c r="F294" s="2" t="s">
        <v>532</v>
      </c>
      <c r="G294" s="2" t="s">
        <v>533</v>
      </c>
      <c r="H294" s="10" t="s">
        <v>57</v>
      </c>
      <c r="I294" s="11" t="s">
        <v>53</v>
      </c>
      <c r="J294" s="11" t="s">
        <v>384</v>
      </c>
      <c r="K294" s="61"/>
      <c r="L294" s="11" t="s">
        <v>67</v>
      </c>
      <c r="M294" s="25"/>
      <c r="N294" s="54"/>
      <c r="O294" s="3" t="str">
        <f t="shared" si="70"/>
        <v>A</v>
      </c>
      <c r="P294" s="48">
        <v>227819</v>
      </c>
      <c r="Q294" s="48">
        <v>14177</v>
      </c>
      <c r="R294" s="32"/>
      <c r="S294" s="3" t="str">
        <f t="shared" si="67"/>
        <v>A</v>
      </c>
      <c r="T294" s="48">
        <v>234183</v>
      </c>
      <c r="U294" s="48">
        <v>8146</v>
      </c>
      <c r="V294" s="32"/>
      <c r="W294" s="3" t="str">
        <f t="shared" si="59"/>
        <v>A</v>
      </c>
      <c r="X294" s="48">
        <v>214426</v>
      </c>
      <c r="Y294" s="48">
        <v>9665</v>
      </c>
      <c r="Z294" s="32"/>
      <c r="AA294" s="3" t="str">
        <f t="shared" si="60"/>
        <v>A</v>
      </c>
      <c r="AB294" s="48">
        <v>270604</v>
      </c>
      <c r="AC294" s="48">
        <v>9899</v>
      </c>
      <c r="AD294" s="36"/>
      <c r="AE294" s="54"/>
      <c r="AF294" s="3" t="str">
        <f t="shared" si="61"/>
        <v>A</v>
      </c>
      <c r="AG294" s="48">
        <v>0</v>
      </c>
      <c r="AH294" s="48">
        <v>0</v>
      </c>
      <c r="AI294" s="39"/>
      <c r="AJ294" s="79" t="s">
        <v>1801</v>
      </c>
      <c r="AK294" s="39"/>
      <c r="AL294" s="4">
        <f t="shared" si="68"/>
        <v>947032</v>
      </c>
      <c r="AM294" s="4">
        <f t="shared" si="68"/>
        <v>41887</v>
      </c>
      <c r="AN294" s="4">
        <f t="shared" si="62"/>
        <v>988919</v>
      </c>
      <c r="AO294" s="39"/>
      <c r="AP294" s="8">
        <f t="shared" si="69"/>
        <v>0</v>
      </c>
      <c r="AQ294" s="8">
        <f t="shared" si="69"/>
        <v>0</v>
      </c>
      <c r="AR294" s="8">
        <f t="shared" si="63"/>
        <v>0</v>
      </c>
      <c r="AS294" s="42"/>
      <c r="AT294" s="48">
        <v>947032</v>
      </c>
      <c r="AU294" s="48">
        <v>41887</v>
      </c>
      <c r="AV294" s="4">
        <f t="shared" si="64"/>
        <v>988919</v>
      </c>
      <c r="AW294" s="50" t="str">
        <f t="shared" si="65"/>
        <v/>
      </c>
      <c r="AX294" s="1" t="s">
        <v>1723</v>
      </c>
      <c r="AY294" s="2" t="s">
        <v>1724</v>
      </c>
      <c r="AZ294" s="2">
        <v>159627.20000000001</v>
      </c>
      <c r="BA294" s="73">
        <v>139673.79999999999</v>
      </c>
      <c r="BB294" s="73">
        <v>139673.79999999999</v>
      </c>
      <c r="BC294" s="73">
        <v>159627.20000000001</v>
      </c>
      <c r="BD294" s="73"/>
      <c r="BE294" s="66">
        <v>0.04</v>
      </c>
      <c r="BF294" s="66">
        <v>0.05</v>
      </c>
      <c r="BG294" s="63">
        <v>44313</v>
      </c>
      <c r="BH294" s="2"/>
      <c r="BI294" s="2"/>
      <c r="BJ294" s="2"/>
      <c r="BK294" s="2"/>
      <c r="BL294" s="1" t="s">
        <v>56</v>
      </c>
    </row>
    <row r="295" spans="1:64" x14ac:dyDescent="0.25">
      <c r="A295" s="56" t="s">
        <v>530</v>
      </c>
      <c r="B295" s="54" t="s">
        <v>796</v>
      </c>
      <c r="C295" s="56" t="s">
        <v>797</v>
      </c>
      <c r="D295" s="16">
        <v>43140</v>
      </c>
      <c r="E295" s="17"/>
      <c r="F295" s="2" t="s">
        <v>532</v>
      </c>
      <c r="G295" s="2" t="s">
        <v>533</v>
      </c>
      <c r="H295" s="10" t="s">
        <v>57</v>
      </c>
      <c r="I295" s="11" t="s">
        <v>53</v>
      </c>
      <c r="J295" s="11" t="s">
        <v>384</v>
      </c>
      <c r="K295" s="61"/>
      <c r="L295" s="11" t="s">
        <v>67</v>
      </c>
      <c r="M295" s="25"/>
      <c r="N295" s="54"/>
      <c r="O295" s="3" t="str">
        <f t="shared" si="70"/>
        <v>A</v>
      </c>
      <c r="P295" s="48">
        <v>138676</v>
      </c>
      <c r="Q295" s="48">
        <v>12146</v>
      </c>
      <c r="R295" s="32"/>
      <c r="S295" s="3" t="str">
        <f t="shared" si="67"/>
        <v>A</v>
      </c>
      <c r="T295" s="48">
        <v>106335</v>
      </c>
      <c r="U295" s="48">
        <v>9018</v>
      </c>
      <c r="V295" s="32"/>
      <c r="W295" s="3" t="str">
        <f t="shared" si="59"/>
        <v>A</v>
      </c>
      <c r="X295" s="48">
        <v>114380</v>
      </c>
      <c r="Y295" s="48">
        <v>8617</v>
      </c>
      <c r="Z295" s="32"/>
      <c r="AA295" s="3" t="str">
        <f t="shared" si="60"/>
        <v>A</v>
      </c>
      <c r="AB295" s="48">
        <v>134666.4</v>
      </c>
      <c r="AC295" s="48">
        <v>8841</v>
      </c>
      <c r="AD295" s="36"/>
      <c r="AE295" s="54"/>
      <c r="AF295" s="3" t="str">
        <f t="shared" si="61"/>
        <v>A</v>
      </c>
      <c r="AG295" s="48">
        <v>0</v>
      </c>
      <c r="AH295" s="48">
        <v>0</v>
      </c>
      <c r="AI295" s="39"/>
      <c r="AJ295" s="79" t="s">
        <v>1801</v>
      </c>
      <c r="AK295" s="39"/>
      <c r="AL295" s="4">
        <f t="shared" si="68"/>
        <v>494057.4</v>
      </c>
      <c r="AM295" s="4">
        <f t="shared" si="68"/>
        <v>38622</v>
      </c>
      <c r="AN295" s="4">
        <f t="shared" si="62"/>
        <v>532679.4</v>
      </c>
      <c r="AO295" s="39"/>
      <c r="AP295" s="8">
        <f t="shared" si="69"/>
        <v>0</v>
      </c>
      <c r="AQ295" s="8">
        <f t="shared" si="69"/>
        <v>0</v>
      </c>
      <c r="AR295" s="8">
        <f t="shared" si="63"/>
        <v>0</v>
      </c>
      <c r="AS295" s="42"/>
      <c r="AT295" s="48">
        <v>494057.4</v>
      </c>
      <c r="AU295" s="48">
        <v>38622</v>
      </c>
      <c r="AV295" s="4">
        <f t="shared" si="64"/>
        <v>532679.4</v>
      </c>
      <c r="AW295" s="50" t="str">
        <f t="shared" si="65"/>
        <v/>
      </c>
      <c r="AX295" s="1" t="s">
        <v>1723</v>
      </c>
      <c r="AY295" s="2" t="s">
        <v>1724</v>
      </c>
      <c r="AZ295" s="2">
        <v>66524.240000000005</v>
      </c>
      <c r="BA295" s="73">
        <v>58208.71</v>
      </c>
      <c r="BB295" s="73">
        <v>58208.71</v>
      </c>
      <c r="BC295" s="73">
        <v>66524.240000000005</v>
      </c>
      <c r="BD295" s="73"/>
      <c r="BE295" s="66">
        <v>0.04</v>
      </c>
      <c r="BF295" s="66">
        <v>0.05</v>
      </c>
      <c r="BG295" s="63">
        <v>44313</v>
      </c>
      <c r="BH295" s="2"/>
      <c r="BI295" s="2"/>
      <c r="BJ295" s="2"/>
      <c r="BK295" s="2"/>
      <c r="BL295" s="1" t="s">
        <v>56</v>
      </c>
    </row>
    <row r="296" spans="1:64" x14ac:dyDescent="0.25">
      <c r="A296" s="56" t="s">
        <v>530</v>
      </c>
      <c r="B296" s="54" t="s">
        <v>1292</v>
      </c>
      <c r="C296" s="56" t="s">
        <v>1293</v>
      </c>
      <c r="D296" s="16">
        <v>0</v>
      </c>
      <c r="E296" s="17"/>
      <c r="F296" s="2" t="s">
        <v>532</v>
      </c>
      <c r="G296" s="2" t="s">
        <v>533</v>
      </c>
      <c r="H296" s="10" t="s">
        <v>57</v>
      </c>
      <c r="I296" s="11" t="s">
        <v>53</v>
      </c>
      <c r="J296" s="11" t="s">
        <v>384</v>
      </c>
      <c r="K296" s="61"/>
      <c r="L296" s="11" t="s">
        <v>67</v>
      </c>
      <c r="M296" s="25"/>
      <c r="N296" s="54"/>
      <c r="O296" s="3" t="str">
        <f t="shared" ref="O296:O303" si="71">IF($A296="","",IF(P296=AZ296,"E","A"))</f>
        <v>A</v>
      </c>
      <c r="P296" s="48">
        <v>24688</v>
      </c>
      <c r="Q296" s="48">
        <v>2355</v>
      </c>
      <c r="R296" s="32"/>
      <c r="S296" s="3" t="str">
        <f t="shared" si="67"/>
        <v>A</v>
      </c>
      <c r="T296" s="48">
        <v>20003</v>
      </c>
      <c r="U296" s="48">
        <v>2745</v>
      </c>
      <c r="V296" s="32"/>
      <c r="W296" s="3" t="str">
        <f t="shared" si="59"/>
        <v>A</v>
      </c>
      <c r="X296" s="48">
        <v>18648</v>
      </c>
      <c r="Y296" s="48">
        <v>1770</v>
      </c>
      <c r="Z296" s="32"/>
      <c r="AA296" s="3" t="str">
        <f t="shared" si="60"/>
        <v>A</v>
      </c>
      <c r="AB296" s="48">
        <v>21283</v>
      </c>
      <c r="AC296" s="48">
        <v>2285</v>
      </c>
      <c r="AD296" s="36"/>
      <c r="AE296" s="54"/>
      <c r="AF296" s="3" t="str">
        <f t="shared" si="61"/>
        <v>A</v>
      </c>
      <c r="AG296" s="48">
        <v>0</v>
      </c>
      <c r="AH296" s="48">
        <v>0</v>
      </c>
      <c r="AI296" s="39"/>
      <c r="AJ296" s="79" t="s">
        <v>1801</v>
      </c>
      <c r="AK296" s="39"/>
      <c r="AL296" s="4">
        <f t="shared" si="68"/>
        <v>84622</v>
      </c>
      <c r="AM296" s="4">
        <f t="shared" si="68"/>
        <v>9155</v>
      </c>
      <c r="AN296" s="4">
        <f t="shared" si="62"/>
        <v>93777</v>
      </c>
      <c r="AO296" s="39"/>
      <c r="AP296" s="8">
        <f t="shared" si="69"/>
        <v>0</v>
      </c>
      <c r="AQ296" s="8">
        <f t="shared" si="69"/>
        <v>0</v>
      </c>
      <c r="AR296" s="8">
        <f t="shared" si="63"/>
        <v>0</v>
      </c>
      <c r="AS296" s="42"/>
      <c r="AT296" s="48">
        <v>84622</v>
      </c>
      <c r="AU296" s="48">
        <v>9155</v>
      </c>
      <c r="AV296" s="4">
        <f t="shared" si="64"/>
        <v>93777</v>
      </c>
      <c r="AW296" s="50" t="str">
        <f t="shared" si="65"/>
        <v/>
      </c>
      <c r="AX296" s="1" t="s">
        <v>1723</v>
      </c>
      <c r="AY296" s="2" t="s">
        <v>1724</v>
      </c>
      <c r="AZ296" s="2">
        <v>67956</v>
      </c>
      <c r="BA296" s="73">
        <v>59461.5</v>
      </c>
      <c r="BB296" s="73">
        <v>59461.5</v>
      </c>
      <c r="BC296" s="73">
        <v>67956</v>
      </c>
      <c r="BD296" s="73"/>
      <c r="BE296" s="66">
        <v>0</v>
      </c>
      <c r="BF296" s="66">
        <v>0.05</v>
      </c>
      <c r="BG296" s="63">
        <v>45047</v>
      </c>
      <c r="BH296" s="2"/>
      <c r="BI296" s="2"/>
      <c r="BJ296" s="2">
        <v>248580</v>
      </c>
      <c r="BK296" s="2">
        <v>27620</v>
      </c>
      <c r="BL296" s="1" t="s">
        <v>56</v>
      </c>
    </row>
    <row r="297" spans="1:64" x14ac:dyDescent="0.25">
      <c r="A297" s="56" t="s">
        <v>530</v>
      </c>
      <c r="B297" s="54" t="s">
        <v>1294</v>
      </c>
      <c r="C297" s="56" t="s">
        <v>1295</v>
      </c>
      <c r="D297" s="16">
        <v>0</v>
      </c>
      <c r="E297" s="17"/>
      <c r="F297" s="2" t="s">
        <v>532</v>
      </c>
      <c r="G297" s="2" t="s">
        <v>533</v>
      </c>
      <c r="H297" s="10" t="s">
        <v>57</v>
      </c>
      <c r="I297" s="11" t="s">
        <v>53</v>
      </c>
      <c r="J297" s="11" t="s">
        <v>384</v>
      </c>
      <c r="K297" s="61"/>
      <c r="L297" s="11" t="s">
        <v>67</v>
      </c>
      <c r="M297" s="25"/>
      <c r="N297" s="54"/>
      <c r="O297" s="3" t="str">
        <f t="shared" si="71"/>
        <v>A</v>
      </c>
      <c r="P297" s="48">
        <v>30038</v>
      </c>
      <c r="Q297" s="48">
        <v>5455</v>
      </c>
      <c r="R297" s="32"/>
      <c r="S297" s="3" t="str">
        <f t="shared" si="67"/>
        <v>A</v>
      </c>
      <c r="T297" s="48">
        <v>26877</v>
      </c>
      <c r="U297" s="48">
        <v>4800</v>
      </c>
      <c r="V297" s="32"/>
      <c r="W297" s="3" t="str">
        <f t="shared" si="59"/>
        <v>A</v>
      </c>
      <c r="X297" s="48">
        <v>24643</v>
      </c>
      <c r="Y297" s="48">
        <v>4525</v>
      </c>
      <c r="Z297" s="32"/>
      <c r="AA297" s="3" t="str">
        <f t="shared" si="60"/>
        <v>A</v>
      </c>
      <c r="AB297" s="48">
        <v>27763</v>
      </c>
      <c r="AC297" s="48">
        <v>5365</v>
      </c>
      <c r="AD297" s="36"/>
      <c r="AE297" s="54"/>
      <c r="AF297" s="3" t="str">
        <f t="shared" si="61"/>
        <v>A</v>
      </c>
      <c r="AG297" s="48">
        <v>0</v>
      </c>
      <c r="AH297" s="48">
        <v>0</v>
      </c>
      <c r="AI297" s="39"/>
      <c r="AJ297" s="79" t="s">
        <v>1801</v>
      </c>
      <c r="AK297" s="39"/>
      <c r="AL297" s="4">
        <f t="shared" si="68"/>
        <v>109321</v>
      </c>
      <c r="AM297" s="4">
        <f t="shared" si="68"/>
        <v>20145</v>
      </c>
      <c r="AN297" s="4">
        <f t="shared" si="62"/>
        <v>129466</v>
      </c>
      <c r="AO297" s="39"/>
      <c r="AP297" s="8">
        <f t="shared" si="69"/>
        <v>0</v>
      </c>
      <c r="AQ297" s="8">
        <f t="shared" si="69"/>
        <v>0</v>
      </c>
      <c r="AR297" s="8">
        <f t="shared" si="63"/>
        <v>0</v>
      </c>
      <c r="AS297" s="42"/>
      <c r="AT297" s="48">
        <v>109321</v>
      </c>
      <c r="AU297" s="48">
        <v>20145</v>
      </c>
      <c r="AV297" s="4">
        <f t="shared" si="64"/>
        <v>129466</v>
      </c>
      <c r="AW297" s="50" t="str">
        <f t="shared" si="65"/>
        <v/>
      </c>
      <c r="AX297" s="1" t="s">
        <v>1723</v>
      </c>
      <c r="AY297" s="2" t="s">
        <v>1724</v>
      </c>
      <c r="AZ297" s="2">
        <v>74580.72</v>
      </c>
      <c r="BA297" s="73">
        <v>65258.13</v>
      </c>
      <c r="BB297" s="73">
        <v>65258.13</v>
      </c>
      <c r="BC297" s="73">
        <v>74580.72</v>
      </c>
      <c r="BD297" s="73"/>
      <c r="BE297" s="66">
        <v>0</v>
      </c>
      <c r="BF297" s="66">
        <v>0.05</v>
      </c>
      <c r="BG297" s="63">
        <v>45047</v>
      </c>
      <c r="BH297" s="2"/>
      <c r="BI297" s="2"/>
      <c r="BJ297" s="2">
        <v>272812.5</v>
      </c>
      <c r="BK297" s="2">
        <v>30312.5</v>
      </c>
      <c r="BL297" s="1" t="s">
        <v>56</v>
      </c>
    </row>
    <row r="298" spans="1:64" x14ac:dyDescent="0.25">
      <c r="A298" s="56" t="s">
        <v>530</v>
      </c>
      <c r="B298" s="54" t="s">
        <v>1389</v>
      </c>
      <c r="C298" s="56" t="s">
        <v>1390</v>
      </c>
      <c r="D298" s="16">
        <v>0</v>
      </c>
      <c r="E298" s="17"/>
      <c r="F298" s="2" t="s">
        <v>532</v>
      </c>
      <c r="G298" s="2" t="s">
        <v>533</v>
      </c>
      <c r="H298" s="10" t="s">
        <v>57</v>
      </c>
      <c r="I298" s="11" t="s">
        <v>53</v>
      </c>
      <c r="J298" s="11" t="s">
        <v>384</v>
      </c>
      <c r="K298" s="61"/>
      <c r="L298" s="11" t="s">
        <v>67</v>
      </c>
      <c r="M298" s="25"/>
      <c r="N298" s="54"/>
      <c r="O298" s="3" t="str">
        <f t="shared" si="71"/>
        <v>A</v>
      </c>
      <c r="P298" s="48">
        <v>35920</v>
      </c>
      <c r="Q298" s="48">
        <v>7327</v>
      </c>
      <c r="R298" s="32"/>
      <c r="S298" s="3" t="str">
        <f t="shared" ref="S298:S303" si="72">IF($A298="","",IF(T298=BA298,"E","A"))</f>
        <v>A</v>
      </c>
      <c r="T298" s="48">
        <v>31492</v>
      </c>
      <c r="U298" s="48">
        <v>6710</v>
      </c>
      <c r="V298" s="32"/>
      <c r="W298" s="3" t="str">
        <f t="shared" si="59"/>
        <v>A</v>
      </c>
      <c r="X298" s="48">
        <v>31066</v>
      </c>
      <c r="Y298" s="48">
        <v>7388</v>
      </c>
      <c r="Z298" s="32"/>
      <c r="AA298" s="3" t="str">
        <f t="shared" si="60"/>
        <v>A</v>
      </c>
      <c r="AB298" s="48">
        <v>33269</v>
      </c>
      <c r="AC298" s="48">
        <v>8197</v>
      </c>
      <c r="AD298" s="36"/>
      <c r="AE298" s="54"/>
      <c r="AF298" s="3" t="str">
        <f t="shared" si="61"/>
        <v>A</v>
      </c>
      <c r="AG298" s="48">
        <v>0</v>
      </c>
      <c r="AH298" s="48">
        <v>0</v>
      </c>
      <c r="AI298" s="39"/>
      <c r="AJ298" s="79" t="s">
        <v>1801</v>
      </c>
      <c r="AK298" s="39"/>
      <c r="AL298" s="4">
        <f t="shared" si="68"/>
        <v>131747</v>
      </c>
      <c r="AM298" s="4">
        <f t="shared" si="68"/>
        <v>29622</v>
      </c>
      <c r="AN298" s="4">
        <f t="shared" si="62"/>
        <v>161369</v>
      </c>
      <c r="AO298" s="39"/>
      <c r="AP298" s="8">
        <f t="shared" si="69"/>
        <v>0</v>
      </c>
      <c r="AQ298" s="8">
        <f t="shared" si="69"/>
        <v>0</v>
      </c>
      <c r="AR298" s="8">
        <f t="shared" si="63"/>
        <v>0</v>
      </c>
      <c r="AS298" s="42"/>
      <c r="AT298" s="48">
        <v>131747</v>
      </c>
      <c r="AU298" s="48">
        <v>29622</v>
      </c>
      <c r="AV298" s="4">
        <f t="shared" si="64"/>
        <v>161369</v>
      </c>
      <c r="AW298" s="50" t="str">
        <f t="shared" si="65"/>
        <v/>
      </c>
      <c r="AX298" s="1" t="s">
        <v>1723</v>
      </c>
      <c r="AY298" s="2" t="s">
        <v>1724</v>
      </c>
      <c r="AZ298" s="2">
        <v>62580.72</v>
      </c>
      <c r="BA298" s="73">
        <v>54758.13</v>
      </c>
      <c r="BB298" s="73">
        <v>54758.13</v>
      </c>
      <c r="BC298" s="73">
        <v>62580.72</v>
      </c>
      <c r="BD298" s="73"/>
      <c r="BE298" s="66">
        <v>0</v>
      </c>
      <c r="BF298" s="66">
        <v>0.05</v>
      </c>
      <c r="BG298" s="63">
        <v>45275</v>
      </c>
      <c r="BH298" s="2"/>
      <c r="BI298" s="2"/>
      <c r="BJ298" s="2">
        <v>238061.25</v>
      </c>
      <c r="BK298" s="2">
        <v>26451.25</v>
      </c>
      <c r="BL298" s="1" t="s">
        <v>56</v>
      </c>
    </row>
    <row r="299" spans="1:64" x14ac:dyDescent="0.25">
      <c r="A299" s="56" t="s">
        <v>530</v>
      </c>
      <c r="B299" s="54" t="s">
        <v>1391</v>
      </c>
      <c r="C299" s="56" t="s">
        <v>1392</v>
      </c>
      <c r="D299" s="16">
        <v>0</v>
      </c>
      <c r="E299" s="17"/>
      <c r="F299" s="2" t="s">
        <v>532</v>
      </c>
      <c r="G299" s="2" t="s">
        <v>533</v>
      </c>
      <c r="H299" s="10" t="s">
        <v>57</v>
      </c>
      <c r="I299" s="11" t="s">
        <v>53</v>
      </c>
      <c r="J299" s="11" t="s">
        <v>384</v>
      </c>
      <c r="K299" s="61"/>
      <c r="L299" s="11" t="s">
        <v>67</v>
      </c>
      <c r="M299" s="25"/>
      <c r="N299" s="54"/>
      <c r="O299" s="3" t="str">
        <f t="shared" si="71"/>
        <v>A</v>
      </c>
      <c r="P299" s="48">
        <v>46999</v>
      </c>
      <c r="Q299" s="48">
        <v>8127</v>
      </c>
      <c r="R299" s="32"/>
      <c r="S299" s="3" t="str">
        <f t="shared" si="72"/>
        <v>A</v>
      </c>
      <c r="T299" s="48">
        <v>48121</v>
      </c>
      <c r="U299" s="48">
        <v>5781</v>
      </c>
      <c r="V299" s="32"/>
      <c r="W299" s="3" t="str">
        <f t="shared" si="59"/>
        <v>A</v>
      </c>
      <c r="X299" s="48">
        <v>39383</v>
      </c>
      <c r="Y299" s="48">
        <v>7268</v>
      </c>
      <c r="Z299" s="32"/>
      <c r="AA299" s="3" t="str">
        <f t="shared" si="60"/>
        <v>A</v>
      </c>
      <c r="AB299" s="48">
        <v>49999</v>
      </c>
      <c r="AC299" s="48">
        <v>7962</v>
      </c>
      <c r="AD299" s="36"/>
      <c r="AE299" s="54"/>
      <c r="AF299" s="3" t="str">
        <f t="shared" si="61"/>
        <v>A</v>
      </c>
      <c r="AG299" s="48">
        <v>0</v>
      </c>
      <c r="AH299" s="48">
        <v>0</v>
      </c>
      <c r="AI299" s="39"/>
      <c r="AJ299" s="79" t="s">
        <v>1801</v>
      </c>
      <c r="AK299" s="39"/>
      <c r="AL299" s="4">
        <f t="shared" si="68"/>
        <v>184502</v>
      </c>
      <c r="AM299" s="4">
        <f t="shared" si="68"/>
        <v>29138</v>
      </c>
      <c r="AN299" s="4">
        <f t="shared" si="62"/>
        <v>213640</v>
      </c>
      <c r="AO299" s="39"/>
      <c r="AP299" s="8">
        <f t="shared" si="69"/>
        <v>0</v>
      </c>
      <c r="AQ299" s="8">
        <f t="shared" si="69"/>
        <v>0</v>
      </c>
      <c r="AR299" s="8">
        <f t="shared" si="63"/>
        <v>0</v>
      </c>
      <c r="AS299" s="42"/>
      <c r="AT299" s="48">
        <v>184502</v>
      </c>
      <c r="AU299" s="48">
        <v>29138</v>
      </c>
      <c r="AV299" s="4">
        <f t="shared" si="64"/>
        <v>213640</v>
      </c>
      <c r="AW299" s="50" t="str">
        <f t="shared" si="65"/>
        <v/>
      </c>
      <c r="AX299" s="1" t="s">
        <v>1723</v>
      </c>
      <c r="AY299" s="2" t="s">
        <v>1724</v>
      </c>
      <c r="AZ299" s="2">
        <v>43519.199999999997</v>
      </c>
      <c r="BA299" s="73">
        <v>38079.300000000003</v>
      </c>
      <c r="BB299" s="73">
        <v>38079.300000000003</v>
      </c>
      <c r="BC299" s="73">
        <v>43519.199999999997</v>
      </c>
      <c r="BD299" s="73"/>
      <c r="BE299" s="66">
        <v>0</v>
      </c>
      <c r="BF299" s="66">
        <v>0.05</v>
      </c>
      <c r="BG299" s="63">
        <v>45383</v>
      </c>
      <c r="BH299" s="2"/>
      <c r="BI299" s="2"/>
      <c r="BJ299" s="2">
        <v>158492.25</v>
      </c>
      <c r="BK299" s="2">
        <v>17610.25</v>
      </c>
      <c r="BL299" s="1" t="s">
        <v>56</v>
      </c>
    </row>
    <row r="300" spans="1:64" x14ac:dyDescent="0.25">
      <c r="A300" s="56" t="s">
        <v>530</v>
      </c>
      <c r="B300" s="54" t="s">
        <v>1556</v>
      </c>
      <c r="C300" s="56" t="s">
        <v>1557</v>
      </c>
      <c r="D300" s="16">
        <v>0</v>
      </c>
      <c r="E300" s="17"/>
      <c r="F300" s="2" t="s">
        <v>532</v>
      </c>
      <c r="G300" s="2" t="s">
        <v>533</v>
      </c>
      <c r="H300" s="10" t="s">
        <v>57</v>
      </c>
      <c r="I300" s="11" t="s">
        <v>53</v>
      </c>
      <c r="J300" s="11" t="s">
        <v>384</v>
      </c>
      <c r="K300" s="61"/>
      <c r="L300" s="11" t="s">
        <v>67</v>
      </c>
      <c r="M300" s="25"/>
      <c r="N300" s="54"/>
      <c r="O300" s="3" t="str">
        <f t="shared" si="71"/>
        <v>A</v>
      </c>
      <c r="P300" s="48">
        <v>28183</v>
      </c>
      <c r="Q300" s="48">
        <v>7493</v>
      </c>
      <c r="R300" s="32"/>
      <c r="S300" s="3" t="str">
        <f t="shared" si="72"/>
        <v>A</v>
      </c>
      <c r="T300" s="48">
        <v>25697</v>
      </c>
      <c r="U300" s="48">
        <v>5949</v>
      </c>
      <c r="V300" s="32"/>
      <c r="W300" s="3" t="str">
        <f t="shared" si="59"/>
        <v>A</v>
      </c>
      <c r="X300" s="48">
        <v>23858</v>
      </c>
      <c r="Y300" s="48">
        <v>7143</v>
      </c>
      <c r="Z300" s="32"/>
      <c r="AA300" s="3" t="str">
        <f t="shared" si="60"/>
        <v>A</v>
      </c>
      <c r="AB300" s="48">
        <v>24951</v>
      </c>
      <c r="AC300" s="48">
        <v>8062</v>
      </c>
      <c r="AD300" s="36"/>
      <c r="AE300" s="54"/>
      <c r="AF300" s="3" t="str">
        <f t="shared" si="61"/>
        <v>A</v>
      </c>
      <c r="AG300" s="48">
        <v>0</v>
      </c>
      <c r="AH300" s="48">
        <v>0</v>
      </c>
      <c r="AI300" s="39"/>
      <c r="AJ300" s="79" t="s">
        <v>1801</v>
      </c>
      <c r="AK300" s="39"/>
      <c r="AL300" s="4">
        <f t="shared" si="68"/>
        <v>102689</v>
      </c>
      <c r="AM300" s="4">
        <f t="shared" si="68"/>
        <v>28647</v>
      </c>
      <c r="AN300" s="4">
        <f t="shared" si="62"/>
        <v>131336</v>
      </c>
      <c r="AO300" s="39"/>
      <c r="AP300" s="8">
        <f t="shared" si="69"/>
        <v>0</v>
      </c>
      <c r="AQ300" s="8">
        <f t="shared" si="69"/>
        <v>0</v>
      </c>
      <c r="AR300" s="8">
        <f t="shared" si="63"/>
        <v>0</v>
      </c>
      <c r="AS300" s="42"/>
      <c r="AT300" s="48">
        <v>102689</v>
      </c>
      <c r="AU300" s="48">
        <v>28647</v>
      </c>
      <c r="AV300" s="4">
        <f t="shared" si="64"/>
        <v>131336</v>
      </c>
      <c r="AW300" s="50" t="str">
        <f t="shared" si="65"/>
        <v/>
      </c>
      <c r="AX300" s="1" t="s">
        <v>1723</v>
      </c>
      <c r="AY300" s="2" t="s">
        <v>1724</v>
      </c>
      <c r="AZ300" s="2">
        <v>118538.24000000001</v>
      </c>
      <c r="BA300" s="73">
        <v>103720.96000000001</v>
      </c>
      <c r="BB300" s="73">
        <v>103720.96000000001</v>
      </c>
      <c r="BC300" s="73">
        <v>118538.24000000001</v>
      </c>
      <c r="BD300" s="73"/>
      <c r="BE300" s="66">
        <v>0</v>
      </c>
      <c r="BF300" s="66">
        <v>0.05</v>
      </c>
      <c r="BG300" s="63">
        <v>45656</v>
      </c>
      <c r="BH300" s="2"/>
      <c r="BI300" s="2"/>
      <c r="BJ300" s="2">
        <v>454836.23</v>
      </c>
      <c r="BK300" s="2">
        <v>45483.63</v>
      </c>
      <c r="BL300" s="1" t="s">
        <v>56</v>
      </c>
    </row>
    <row r="301" spans="1:64" x14ac:dyDescent="0.25">
      <c r="A301" s="56" t="s">
        <v>530</v>
      </c>
      <c r="B301" s="54" t="s">
        <v>1572</v>
      </c>
      <c r="C301" s="56" t="s">
        <v>1573</v>
      </c>
      <c r="D301" s="16">
        <v>0</v>
      </c>
      <c r="E301" s="17"/>
      <c r="F301" s="2" t="s">
        <v>532</v>
      </c>
      <c r="G301" s="2" t="s">
        <v>533</v>
      </c>
      <c r="H301" s="10" t="s">
        <v>57</v>
      </c>
      <c r="I301" s="11" t="s">
        <v>53</v>
      </c>
      <c r="J301" s="11" t="s">
        <v>384</v>
      </c>
      <c r="K301" s="61"/>
      <c r="L301" s="11" t="s">
        <v>67</v>
      </c>
      <c r="M301" s="25"/>
      <c r="N301" s="54"/>
      <c r="O301" s="3" t="str">
        <f t="shared" si="71"/>
        <v>A</v>
      </c>
      <c r="P301" s="48">
        <v>44749</v>
      </c>
      <c r="Q301" s="48">
        <v>7742</v>
      </c>
      <c r="R301" s="32"/>
      <c r="S301" s="3" t="str">
        <f t="shared" si="72"/>
        <v>A</v>
      </c>
      <c r="T301" s="48">
        <v>46134</v>
      </c>
      <c r="U301" s="48">
        <v>6768</v>
      </c>
      <c r="V301" s="32"/>
      <c r="W301" s="3" t="str">
        <f t="shared" si="59"/>
        <v>A</v>
      </c>
      <c r="X301" s="48">
        <v>36875</v>
      </c>
      <c r="Y301" s="48">
        <v>7238</v>
      </c>
      <c r="Z301" s="32"/>
      <c r="AA301" s="3" t="str">
        <f t="shared" si="60"/>
        <v>A</v>
      </c>
      <c r="AB301" s="48">
        <v>46817</v>
      </c>
      <c r="AC301" s="48">
        <v>8232</v>
      </c>
      <c r="AD301" s="36"/>
      <c r="AE301" s="54"/>
      <c r="AF301" s="3" t="str">
        <f t="shared" si="61"/>
        <v>A</v>
      </c>
      <c r="AG301" s="48">
        <v>0</v>
      </c>
      <c r="AH301" s="48">
        <v>0</v>
      </c>
      <c r="AI301" s="39"/>
      <c r="AJ301" s="79" t="s">
        <v>1801</v>
      </c>
      <c r="AK301" s="39"/>
      <c r="AL301" s="4">
        <f t="shared" si="68"/>
        <v>174575</v>
      </c>
      <c r="AM301" s="4">
        <f t="shared" si="68"/>
        <v>29980</v>
      </c>
      <c r="AN301" s="4">
        <f t="shared" si="62"/>
        <v>204555</v>
      </c>
      <c r="AO301" s="39"/>
      <c r="AP301" s="8">
        <f t="shared" si="69"/>
        <v>0</v>
      </c>
      <c r="AQ301" s="8">
        <f t="shared" si="69"/>
        <v>0</v>
      </c>
      <c r="AR301" s="8">
        <f t="shared" si="63"/>
        <v>0</v>
      </c>
      <c r="AS301" s="42"/>
      <c r="AT301" s="48">
        <v>174575</v>
      </c>
      <c r="AU301" s="48">
        <v>29980</v>
      </c>
      <c r="AV301" s="4">
        <f t="shared" si="64"/>
        <v>204555</v>
      </c>
      <c r="AW301" s="50" t="str">
        <f t="shared" si="65"/>
        <v/>
      </c>
      <c r="AX301" s="1" t="s">
        <v>1723</v>
      </c>
      <c r="AY301" s="2" t="s">
        <v>1724</v>
      </c>
      <c r="AZ301" s="2">
        <v>107483.36</v>
      </c>
      <c r="BA301" s="73">
        <v>94047.94</v>
      </c>
      <c r="BB301" s="73">
        <v>94047.94</v>
      </c>
      <c r="BC301" s="73">
        <v>107483.36</v>
      </c>
      <c r="BD301" s="73"/>
      <c r="BE301" s="66">
        <v>0</v>
      </c>
      <c r="BF301" s="66">
        <v>0.05</v>
      </c>
      <c r="BG301" s="63">
        <v>45710</v>
      </c>
      <c r="BH301" s="2"/>
      <c r="BI301" s="2"/>
      <c r="BJ301" s="2">
        <v>391500</v>
      </c>
      <c r="BK301" s="2">
        <v>43500</v>
      </c>
      <c r="BL301" s="1" t="s">
        <v>56</v>
      </c>
    </row>
    <row r="302" spans="1:64" x14ac:dyDescent="0.25">
      <c r="A302" s="56" t="s">
        <v>530</v>
      </c>
      <c r="B302" s="54" t="s">
        <v>1596</v>
      </c>
      <c r="C302" s="56" t="s">
        <v>1597</v>
      </c>
      <c r="D302" s="16">
        <v>54788</v>
      </c>
      <c r="E302" s="17"/>
      <c r="F302" s="2" t="s">
        <v>532</v>
      </c>
      <c r="G302" s="2" t="s">
        <v>533</v>
      </c>
      <c r="H302" s="10" t="s">
        <v>57</v>
      </c>
      <c r="I302" s="11" t="s">
        <v>53</v>
      </c>
      <c r="J302" s="11" t="s">
        <v>384</v>
      </c>
      <c r="K302" s="61"/>
      <c r="L302" s="11" t="s">
        <v>67</v>
      </c>
      <c r="M302" s="25"/>
      <c r="N302" s="54"/>
      <c r="O302" s="3" t="str">
        <f t="shared" si="71"/>
        <v>E</v>
      </c>
      <c r="P302" s="48"/>
      <c r="Q302" s="48"/>
      <c r="R302" s="32"/>
      <c r="S302" s="3" t="str">
        <f t="shared" si="72"/>
        <v>E</v>
      </c>
      <c r="T302" s="48"/>
      <c r="U302" s="48"/>
      <c r="V302" s="32"/>
      <c r="W302" s="3" t="str">
        <f t="shared" si="59"/>
        <v>A</v>
      </c>
      <c r="X302" s="48"/>
      <c r="Y302" s="48"/>
      <c r="Z302" s="32"/>
      <c r="AA302" s="3" t="str">
        <f t="shared" si="60"/>
        <v>A</v>
      </c>
      <c r="AB302" s="48"/>
      <c r="AC302" s="48"/>
      <c r="AD302" s="36"/>
      <c r="AE302" s="54"/>
      <c r="AF302" s="3" t="str">
        <f t="shared" si="61"/>
        <v>A</v>
      </c>
      <c r="AG302" s="48"/>
      <c r="AH302" s="48"/>
      <c r="AI302" s="39"/>
      <c r="AJ302" s="79" t="s">
        <v>38</v>
      </c>
      <c r="AK302" s="39"/>
      <c r="AL302" s="4">
        <f t="shared" si="68"/>
        <v>0</v>
      </c>
      <c r="AM302" s="4">
        <f t="shared" si="68"/>
        <v>0</v>
      </c>
      <c r="AN302" s="4">
        <f t="shared" si="62"/>
        <v>0</v>
      </c>
      <c r="AO302" s="39"/>
      <c r="AP302" s="8">
        <f t="shared" si="69"/>
        <v>0</v>
      </c>
      <c r="AQ302" s="8">
        <f t="shared" si="69"/>
        <v>0</v>
      </c>
      <c r="AR302" s="8">
        <f t="shared" si="63"/>
        <v>0</v>
      </c>
      <c r="AS302" s="42"/>
      <c r="AT302" s="48"/>
      <c r="AU302" s="48"/>
      <c r="AV302" s="4">
        <f t="shared" si="64"/>
        <v>0</v>
      </c>
      <c r="AW302" s="50" t="str">
        <f t="shared" si="65"/>
        <v/>
      </c>
      <c r="AX302" s="1" t="s">
        <v>1723</v>
      </c>
      <c r="AY302" s="2" t="s">
        <v>1724</v>
      </c>
      <c r="AZ302" s="2"/>
      <c r="BA302" s="73"/>
      <c r="BB302" s="73"/>
      <c r="BC302" s="73"/>
      <c r="BD302" s="73"/>
      <c r="BE302" s="66">
        <v>0</v>
      </c>
      <c r="BF302" s="66">
        <v>0.05</v>
      </c>
      <c r="BG302" s="63">
        <v>0</v>
      </c>
      <c r="BH302" s="2"/>
      <c r="BI302" s="2"/>
      <c r="BJ302" s="2">
        <v>523437</v>
      </c>
      <c r="BK302" s="2"/>
      <c r="BL302" s="1" t="s">
        <v>56</v>
      </c>
    </row>
    <row r="303" spans="1:64" x14ac:dyDescent="0.25">
      <c r="A303" s="56" t="s">
        <v>530</v>
      </c>
      <c r="B303" s="54" t="s">
        <v>1598</v>
      </c>
      <c r="C303" s="56" t="s">
        <v>1599</v>
      </c>
      <c r="D303" s="16">
        <v>0</v>
      </c>
      <c r="E303" s="17"/>
      <c r="F303" s="2" t="s">
        <v>532</v>
      </c>
      <c r="G303" s="2" t="s">
        <v>533</v>
      </c>
      <c r="H303" s="10" t="s">
        <v>57</v>
      </c>
      <c r="I303" s="11" t="s">
        <v>53</v>
      </c>
      <c r="J303" s="11" t="s">
        <v>384</v>
      </c>
      <c r="K303" s="61"/>
      <c r="L303" s="11" t="s">
        <v>67</v>
      </c>
      <c r="M303" s="25"/>
      <c r="N303" s="54"/>
      <c r="O303" s="3" t="str">
        <f t="shared" si="71"/>
        <v>A</v>
      </c>
      <c r="P303" s="48">
        <v>23303</v>
      </c>
      <c r="Q303" s="48">
        <v>6810</v>
      </c>
      <c r="R303" s="32"/>
      <c r="S303" s="3" t="str">
        <f t="shared" si="72"/>
        <v>A</v>
      </c>
      <c r="T303" s="48">
        <v>18657</v>
      </c>
      <c r="U303" s="48">
        <v>6640</v>
      </c>
      <c r="V303" s="32"/>
      <c r="W303" s="3" t="str">
        <f t="shared" si="59"/>
        <v>A</v>
      </c>
      <c r="X303" s="48">
        <v>22111</v>
      </c>
      <c r="Y303" s="48">
        <v>6240</v>
      </c>
      <c r="Z303" s="32"/>
      <c r="AA303" s="3" t="str">
        <f t="shared" si="60"/>
        <v>A</v>
      </c>
      <c r="AB303" s="48">
        <v>19335.599999999999</v>
      </c>
      <c r="AC303" s="48">
        <v>8160</v>
      </c>
      <c r="AD303" s="36"/>
      <c r="AE303" s="54"/>
      <c r="AF303" s="3" t="str">
        <f t="shared" si="61"/>
        <v>A</v>
      </c>
      <c r="AG303" s="48">
        <v>0</v>
      </c>
      <c r="AH303" s="48">
        <v>0</v>
      </c>
      <c r="AI303" s="39"/>
      <c r="AJ303" s="79" t="s">
        <v>1801</v>
      </c>
      <c r="AK303" s="39"/>
      <c r="AL303" s="4">
        <f t="shared" si="68"/>
        <v>83406.600000000006</v>
      </c>
      <c r="AM303" s="4">
        <f t="shared" si="68"/>
        <v>27850</v>
      </c>
      <c r="AN303" s="4">
        <f t="shared" si="62"/>
        <v>111256.6</v>
      </c>
      <c r="AO303" s="39"/>
      <c r="AP303" s="8">
        <f t="shared" si="69"/>
        <v>0</v>
      </c>
      <c r="AQ303" s="8">
        <f t="shared" si="69"/>
        <v>0</v>
      </c>
      <c r="AR303" s="8">
        <f t="shared" si="63"/>
        <v>0</v>
      </c>
      <c r="AS303" s="42"/>
      <c r="AT303" s="48">
        <v>83406.600000000006</v>
      </c>
      <c r="AU303" s="48">
        <v>27850</v>
      </c>
      <c r="AV303" s="4">
        <f t="shared" si="64"/>
        <v>111256.6</v>
      </c>
      <c r="AW303" s="50" t="str">
        <f t="shared" si="65"/>
        <v/>
      </c>
      <c r="AX303" s="1" t="s">
        <v>1723</v>
      </c>
      <c r="AY303" s="2" t="s">
        <v>1724</v>
      </c>
      <c r="AZ303" s="2">
        <v>101748.48</v>
      </c>
      <c r="BA303" s="73">
        <v>89029.92</v>
      </c>
      <c r="BB303" s="73">
        <v>89029.92</v>
      </c>
      <c r="BC303" s="73">
        <v>101748.48</v>
      </c>
      <c r="BD303" s="73"/>
      <c r="BE303" s="66">
        <v>0</v>
      </c>
      <c r="BF303" s="66">
        <v>0.05</v>
      </c>
      <c r="BG303" s="63">
        <v>45743</v>
      </c>
      <c r="BH303" s="2"/>
      <c r="BI303" s="2"/>
      <c r="BJ303" s="2">
        <v>377390</v>
      </c>
      <c r="BK303" s="2"/>
      <c r="BL303" s="1" t="s">
        <v>56</v>
      </c>
    </row>
    <row r="304" spans="1:64" x14ac:dyDescent="0.25">
      <c r="A304" s="56" t="s">
        <v>534</v>
      </c>
      <c r="B304" s="54" t="s">
        <v>534</v>
      </c>
      <c r="C304" s="56" t="s">
        <v>535</v>
      </c>
      <c r="D304" s="16">
        <v>42567</v>
      </c>
      <c r="E304" s="17"/>
      <c r="F304" s="2" t="s">
        <v>52</v>
      </c>
      <c r="G304" s="2" t="s">
        <v>55</v>
      </c>
      <c r="H304" s="10" t="s">
        <v>57</v>
      </c>
      <c r="I304" s="11" t="s">
        <v>54</v>
      </c>
      <c r="J304" s="11" t="s">
        <v>68</v>
      </c>
      <c r="K304" s="61" t="s">
        <v>69</v>
      </c>
      <c r="L304" s="11" t="s">
        <v>67</v>
      </c>
      <c r="M304" s="25"/>
      <c r="N304" s="54"/>
      <c r="O304" s="3" t="str">
        <f t="shared" ref="O304:O309" si="73">IF($A304="","",IF(P304=0,"A",IF(P304=AZ304,"E","A")))</f>
        <v>A</v>
      </c>
      <c r="P304" s="48">
        <v>64215.1</v>
      </c>
      <c r="Q304" s="48">
        <v>14903.75</v>
      </c>
      <c r="R304" s="32"/>
      <c r="S304" s="3" t="str">
        <f t="shared" ref="S304:S309" si="74">IF($A304="","",IF(T304=0,"A",IF(T304=BA304,"E","A")))</f>
        <v>A</v>
      </c>
      <c r="T304" s="48">
        <v>59649.599999999999</v>
      </c>
      <c r="U304" s="48">
        <v>15029</v>
      </c>
      <c r="V304" s="32"/>
      <c r="W304" s="3" t="str">
        <f t="shared" si="59"/>
        <v>A</v>
      </c>
      <c r="X304" s="48">
        <v>57973.1</v>
      </c>
      <c r="Y304" s="48">
        <v>15228.65</v>
      </c>
      <c r="Z304" s="32"/>
      <c r="AA304" s="3" t="str">
        <f t="shared" si="60"/>
        <v>A</v>
      </c>
      <c r="AB304" s="48">
        <v>72970.349999999991</v>
      </c>
      <c r="AC304" s="48">
        <v>18135.25</v>
      </c>
      <c r="AD304" s="36"/>
      <c r="AE304" s="54"/>
      <c r="AF304" s="3" t="str">
        <f t="shared" si="61"/>
        <v>A</v>
      </c>
      <c r="AG304" s="48">
        <v>0</v>
      </c>
      <c r="AH304" s="48">
        <v>0</v>
      </c>
      <c r="AI304" s="39"/>
      <c r="AJ304" s="79" t="s">
        <v>1801</v>
      </c>
      <c r="AK304" s="39"/>
      <c r="AL304" s="4">
        <f t="shared" si="68"/>
        <v>254808.14999999997</v>
      </c>
      <c r="AM304" s="4">
        <f t="shared" si="68"/>
        <v>63296.65</v>
      </c>
      <c r="AN304" s="4">
        <f t="shared" si="62"/>
        <v>318104.8</v>
      </c>
      <c r="AO304" s="39"/>
      <c r="AP304" s="8">
        <f t="shared" si="69"/>
        <v>0</v>
      </c>
      <c r="AQ304" s="8">
        <f t="shared" si="69"/>
        <v>0</v>
      </c>
      <c r="AR304" s="8">
        <f t="shared" si="63"/>
        <v>0</v>
      </c>
      <c r="AS304" s="42"/>
      <c r="AT304" s="48">
        <v>254808.15</v>
      </c>
      <c r="AU304" s="48">
        <v>63296.65</v>
      </c>
      <c r="AV304" s="4">
        <f t="shared" si="64"/>
        <v>318104.8</v>
      </c>
      <c r="AW304" s="50" t="str">
        <f t="shared" si="65"/>
        <v/>
      </c>
      <c r="AX304" s="1" t="s">
        <v>1639</v>
      </c>
      <c r="AY304" s="2" t="s">
        <v>1640</v>
      </c>
      <c r="AZ304" s="2">
        <v>83656.320000000007</v>
      </c>
      <c r="BA304" s="73">
        <v>73199.28</v>
      </c>
      <c r="BB304" s="73">
        <v>73199.28</v>
      </c>
      <c r="BC304" s="73">
        <v>83656.320000000007</v>
      </c>
      <c r="BD304" s="73"/>
      <c r="BE304" s="66">
        <v>0</v>
      </c>
      <c r="BF304" s="66">
        <v>0.02</v>
      </c>
      <c r="BG304" s="63">
        <v>45835</v>
      </c>
      <c r="BH304" s="2"/>
      <c r="BI304" s="2"/>
      <c r="BJ304" s="2"/>
      <c r="BK304" s="2"/>
      <c r="BL304" s="1" t="s">
        <v>56</v>
      </c>
    </row>
    <row r="305" spans="1:64" x14ac:dyDescent="0.25">
      <c r="A305" s="56" t="s">
        <v>536</v>
      </c>
      <c r="B305" s="54" t="s">
        <v>536</v>
      </c>
      <c r="C305" s="56" t="s">
        <v>537</v>
      </c>
      <c r="D305" s="16">
        <v>39611</v>
      </c>
      <c r="E305" s="17"/>
      <c r="F305" s="2" t="s">
        <v>52</v>
      </c>
      <c r="G305" s="2" t="s">
        <v>55</v>
      </c>
      <c r="H305" s="10" t="s">
        <v>57</v>
      </c>
      <c r="I305" s="11" t="s">
        <v>54</v>
      </c>
      <c r="J305" s="11" t="s">
        <v>83</v>
      </c>
      <c r="K305" s="61" t="s">
        <v>84</v>
      </c>
      <c r="L305" s="11" t="s">
        <v>67</v>
      </c>
      <c r="M305" s="25"/>
      <c r="N305" s="54"/>
      <c r="O305" s="3" t="str">
        <f t="shared" si="73"/>
        <v>A</v>
      </c>
      <c r="P305" s="48">
        <v>90128.319999999992</v>
      </c>
      <c r="Q305" s="48">
        <v>25978.870000000003</v>
      </c>
      <c r="R305" s="32"/>
      <c r="S305" s="3" t="str">
        <f t="shared" si="74"/>
        <v>A</v>
      </c>
      <c r="T305" s="48">
        <v>77259.25</v>
      </c>
      <c r="U305" s="48">
        <v>20323.29</v>
      </c>
      <c r="V305" s="32"/>
      <c r="W305" s="3" t="str">
        <f t="shared" si="59"/>
        <v>A</v>
      </c>
      <c r="X305" s="48">
        <v>82790.090000000011</v>
      </c>
      <c r="Y305" s="48">
        <v>20585.900000000001</v>
      </c>
      <c r="Z305" s="32"/>
      <c r="AA305" s="3" t="str">
        <f t="shared" si="60"/>
        <v>A</v>
      </c>
      <c r="AB305" s="48">
        <v>93432.9</v>
      </c>
      <c r="AC305" s="48">
        <v>23569.600000000002</v>
      </c>
      <c r="AD305" s="36"/>
      <c r="AE305" s="54"/>
      <c r="AF305" s="3" t="str">
        <f t="shared" si="61"/>
        <v>A</v>
      </c>
      <c r="AG305" s="48">
        <v>0</v>
      </c>
      <c r="AH305" s="48">
        <v>0</v>
      </c>
      <c r="AI305" s="39"/>
      <c r="AJ305" s="79" t="s">
        <v>1801</v>
      </c>
      <c r="AK305" s="39"/>
      <c r="AL305" s="4">
        <f t="shared" si="68"/>
        <v>343610.56000000006</v>
      </c>
      <c r="AM305" s="4">
        <f t="shared" si="68"/>
        <v>90457.66</v>
      </c>
      <c r="AN305" s="4">
        <f t="shared" si="62"/>
        <v>434068.22000000009</v>
      </c>
      <c r="AO305" s="39"/>
      <c r="AP305" s="8">
        <f t="shared" si="69"/>
        <v>0</v>
      </c>
      <c r="AQ305" s="8">
        <f t="shared" si="69"/>
        <v>0</v>
      </c>
      <c r="AR305" s="8">
        <f t="shared" si="63"/>
        <v>0</v>
      </c>
      <c r="AS305" s="42"/>
      <c r="AT305" s="48">
        <v>343610.55999999994</v>
      </c>
      <c r="AU305" s="48">
        <v>90457.660000000018</v>
      </c>
      <c r="AV305" s="4">
        <f t="shared" si="64"/>
        <v>434068.22</v>
      </c>
      <c r="AW305" s="50" t="str">
        <f t="shared" si="65"/>
        <v/>
      </c>
      <c r="AX305" s="1" t="s">
        <v>1639</v>
      </c>
      <c r="AY305" s="2" t="s">
        <v>1640</v>
      </c>
      <c r="AZ305" s="2">
        <v>99643.199999999997</v>
      </c>
      <c r="BA305" s="73">
        <v>87187.8</v>
      </c>
      <c r="BB305" s="73">
        <v>87187.8</v>
      </c>
      <c r="BC305" s="73">
        <v>99643.199999999997</v>
      </c>
      <c r="BD305" s="73"/>
      <c r="BE305" s="66">
        <v>3.5000000000000003E-2</v>
      </c>
      <c r="BF305" s="66">
        <v>0.02</v>
      </c>
      <c r="BG305" s="63">
        <v>45083</v>
      </c>
      <c r="BH305" s="2"/>
      <c r="BI305" s="74">
        <v>42731</v>
      </c>
      <c r="BJ305" s="2"/>
      <c r="BK305" s="2"/>
      <c r="BL305" s="1" t="s">
        <v>56</v>
      </c>
    </row>
    <row r="306" spans="1:64" x14ac:dyDescent="0.25">
      <c r="A306" s="56" t="s">
        <v>538</v>
      </c>
      <c r="B306" s="54" t="s">
        <v>538</v>
      </c>
      <c r="C306" s="56" t="s">
        <v>539</v>
      </c>
      <c r="D306" s="16">
        <v>0</v>
      </c>
      <c r="E306" s="17"/>
      <c r="F306" s="2" t="s">
        <v>76</v>
      </c>
      <c r="G306" s="2" t="s">
        <v>78</v>
      </c>
      <c r="H306" s="10" t="s">
        <v>57</v>
      </c>
      <c r="I306" s="11" t="s">
        <v>77</v>
      </c>
      <c r="J306" s="11" t="s">
        <v>87</v>
      </c>
      <c r="K306" s="61" t="s">
        <v>88</v>
      </c>
      <c r="L306" s="11" t="s">
        <v>67</v>
      </c>
      <c r="M306" s="25"/>
      <c r="N306" s="54"/>
      <c r="O306" s="3" t="str">
        <f t="shared" si="73"/>
        <v>A</v>
      </c>
      <c r="P306" s="48">
        <v>236842.02000000002</v>
      </c>
      <c r="Q306" s="48">
        <v>44367</v>
      </c>
      <c r="R306" s="32"/>
      <c r="S306" s="3" t="str">
        <f t="shared" si="74"/>
        <v>A</v>
      </c>
      <c r="T306" s="48">
        <v>198656.02000000002</v>
      </c>
      <c r="U306" s="48">
        <v>41656.979999999996</v>
      </c>
      <c r="V306" s="32"/>
      <c r="W306" s="3" t="str">
        <f t="shared" si="59"/>
        <v>A</v>
      </c>
      <c r="X306" s="48">
        <v>186714</v>
      </c>
      <c r="Y306" s="48">
        <v>27540</v>
      </c>
      <c r="Z306" s="32"/>
      <c r="AA306" s="3" t="str">
        <f t="shared" si="60"/>
        <v>A</v>
      </c>
      <c r="AB306" s="48">
        <v>210866.02</v>
      </c>
      <c r="AC306" s="48">
        <v>33655</v>
      </c>
      <c r="AD306" s="36"/>
      <c r="AE306" s="54"/>
      <c r="AF306" s="3" t="str">
        <f t="shared" si="61"/>
        <v>A</v>
      </c>
      <c r="AG306" s="48">
        <v>0</v>
      </c>
      <c r="AH306" s="48">
        <v>0</v>
      </c>
      <c r="AI306" s="39"/>
      <c r="AJ306" s="79" t="s">
        <v>1801</v>
      </c>
      <c r="AK306" s="39"/>
      <c r="AL306" s="4">
        <f t="shared" si="68"/>
        <v>833078.06</v>
      </c>
      <c r="AM306" s="4">
        <f t="shared" si="68"/>
        <v>147218.97999999998</v>
      </c>
      <c r="AN306" s="4">
        <f t="shared" si="62"/>
        <v>980297.04</v>
      </c>
      <c r="AO306" s="39"/>
      <c r="AP306" s="8">
        <f t="shared" si="69"/>
        <v>0</v>
      </c>
      <c r="AQ306" s="8">
        <f t="shared" si="69"/>
        <v>0</v>
      </c>
      <c r="AR306" s="8">
        <f t="shared" si="63"/>
        <v>0</v>
      </c>
      <c r="AS306" s="42"/>
      <c r="AT306" s="48">
        <v>833078.06</v>
      </c>
      <c r="AU306" s="48">
        <v>147218.97999999998</v>
      </c>
      <c r="AV306" s="4">
        <f t="shared" si="64"/>
        <v>980297.04</v>
      </c>
      <c r="AW306" s="50" t="str">
        <f t="shared" si="65"/>
        <v/>
      </c>
      <c r="AX306" s="1" t="s">
        <v>1639</v>
      </c>
      <c r="AY306" s="2" t="s">
        <v>1640</v>
      </c>
      <c r="AZ306" s="2">
        <v>204391.44</v>
      </c>
      <c r="BA306" s="73">
        <v>178842.51</v>
      </c>
      <c r="BB306" s="73">
        <v>178842.51</v>
      </c>
      <c r="BC306" s="73">
        <v>204391.44</v>
      </c>
      <c r="BD306" s="73"/>
      <c r="BE306" s="66">
        <v>0</v>
      </c>
      <c r="BF306" s="66">
        <v>0.02</v>
      </c>
      <c r="BG306" s="63">
        <v>44216</v>
      </c>
      <c r="BH306" s="2"/>
      <c r="BI306" s="2"/>
      <c r="BJ306" s="2"/>
      <c r="BK306" s="2"/>
      <c r="BL306" s="1" t="s">
        <v>56</v>
      </c>
    </row>
    <row r="307" spans="1:64" x14ac:dyDescent="0.25">
      <c r="A307" s="56" t="s">
        <v>538</v>
      </c>
      <c r="B307" s="54" t="s">
        <v>877</v>
      </c>
      <c r="C307" s="56" t="s">
        <v>878</v>
      </c>
      <c r="D307" s="16">
        <v>0</v>
      </c>
      <c r="E307" s="17"/>
      <c r="F307" s="2" t="s">
        <v>76</v>
      </c>
      <c r="G307" s="2" t="s">
        <v>78</v>
      </c>
      <c r="H307" s="10" t="s">
        <v>57</v>
      </c>
      <c r="I307" s="11" t="s">
        <v>77</v>
      </c>
      <c r="J307" s="11" t="s">
        <v>87</v>
      </c>
      <c r="K307" s="61" t="s">
        <v>88</v>
      </c>
      <c r="L307" s="11" t="s">
        <v>67</v>
      </c>
      <c r="M307" s="25"/>
      <c r="N307" s="54"/>
      <c r="O307" s="3" t="str">
        <f t="shared" si="73"/>
        <v>A</v>
      </c>
      <c r="P307" s="48">
        <v>22301</v>
      </c>
      <c r="Q307" s="48">
        <v>5384</v>
      </c>
      <c r="R307" s="32"/>
      <c r="S307" s="3" t="str">
        <f t="shared" si="74"/>
        <v>A</v>
      </c>
      <c r="T307" s="48">
        <v>16157</v>
      </c>
      <c r="U307" s="48">
        <v>2623</v>
      </c>
      <c r="V307" s="32"/>
      <c r="W307" s="3" t="str">
        <f t="shared" si="59"/>
        <v>A</v>
      </c>
      <c r="X307" s="48">
        <v>16240</v>
      </c>
      <c r="Y307" s="48">
        <v>3592</v>
      </c>
      <c r="Z307" s="32"/>
      <c r="AA307" s="3" t="str">
        <f t="shared" si="60"/>
        <v>A</v>
      </c>
      <c r="AB307" s="48">
        <v>16399</v>
      </c>
      <c r="AC307" s="48">
        <v>4172</v>
      </c>
      <c r="AD307" s="36"/>
      <c r="AE307" s="54"/>
      <c r="AF307" s="3" t="str">
        <f t="shared" si="61"/>
        <v>A</v>
      </c>
      <c r="AG307" s="48">
        <v>0</v>
      </c>
      <c r="AH307" s="48">
        <v>0</v>
      </c>
      <c r="AI307" s="39"/>
      <c r="AJ307" s="79" t="s">
        <v>1801</v>
      </c>
      <c r="AK307" s="39"/>
      <c r="AL307" s="4">
        <f t="shared" si="68"/>
        <v>71097</v>
      </c>
      <c r="AM307" s="4">
        <f t="shared" si="68"/>
        <v>15771</v>
      </c>
      <c r="AN307" s="4">
        <f t="shared" si="62"/>
        <v>86868</v>
      </c>
      <c r="AO307" s="39"/>
      <c r="AP307" s="8">
        <f t="shared" si="69"/>
        <v>0</v>
      </c>
      <c r="AQ307" s="8">
        <f t="shared" si="69"/>
        <v>0</v>
      </c>
      <c r="AR307" s="8">
        <f t="shared" si="63"/>
        <v>0</v>
      </c>
      <c r="AS307" s="42"/>
      <c r="AT307" s="48">
        <v>71097</v>
      </c>
      <c r="AU307" s="48">
        <v>15771</v>
      </c>
      <c r="AV307" s="4">
        <f t="shared" si="64"/>
        <v>86868</v>
      </c>
      <c r="AW307" s="50" t="str">
        <f t="shared" si="65"/>
        <v/>
      </c>
      <c r="AX307" s="1" t="s">
        <v>1639</v>
      </c>
      <c r="AY307" s="2" t="s">
        <v>1640</v>
      </c>
      <c r="AZ307" s="2">
        <v>34700.239999999998</v>
      </c>
      <c r="BA307" s="73">
        <v>30362.71</v>
      </c>
      <c r="BB307" s="73">
        <v>30362.71</v>
      </c>
      <c r="BC307" s="73">
        <v>34700.239999999998</v>
      </c>
      <c r="BD307" s="73"/>
      <c r="BE307" s="66">
        <v>0</v>
      </c>
      <c r="BF307" s="66">
        <v>0.02</v>
      </c>
      <c r="BG307" s="63">
        <v>44216</v>
      </c>
      <c r="BH307" s="2"/>
      <c r="BI307" s="2"/>
      <c r="BJ307" s="2"/>
      <c r="BK307" s="2"/>
      <c r="BL307" s="1" t="s">
        <v>56</v>
      </c>
    </row>
    <row r="308" spans="1:64" x14ac:dyDescent="0.25">
      <c r="A308" s="56" t="s">
        <v>540</v>
      </c>
      <c r="B308" s="54" t="s">
        <v>540</v>
      </c>
      <c r="C308" s="56" t="s">
        <v>541</v>
      </c>
      <c r="D308" s="16">
        <v>40628</v>
      </c>
      <c r="E308" s="17"/>
      <c r="F308" s="2" t="s">
        <v>76</v>
      </c>
      <c r="G308" s="2" t="s">
        <v>78</v>
      </c>
      <c r="H308" s="10" t="s">
        <v>57</v>
      </c>
      <c r="I308" s="11" t="s">
        <v>77</v>
      </c>
      <c r="J308" s="11" t="s">
        <v>87</v>
      </c>
      <c r="K308" s="61" t="s">
        <v>88</v>
      </c>
      <c r="L308" s="11" t="s">
        <v>67</v>
      </c>
      <c r="M308" s="25"/>
      <c r="N308" s="54"/>
      <c r="O308" s="3" t="str">
        <f t="shared" si="73"/>
        <v>A</v>
      </c>
      <c r="P308" s="48">
        <v>212702.75</v>
      </c>
      <c r="Q308" s="48">
        <v>51209.65</v>
      </c>
      <c r="R308" s="32"/>
      <c r="S308" s="3" t="str">
        <f t="shared" si="74"/>
        <v>A</v>
      </c>
      <c r="T308" s="48">
        <v>188617.60000000001</v>
      </c>
      <c r="U308" s="48">
        <v>47598</v>
      </c>
      <c r="V308" s="32"/>
      <c r="W308" s="3" t="str">
        <f t="shared" si="59"/>
        <v>A</v>
      </c>
      <c r="X308" s="48">
        <v>162951.6</v>
      </c>
      <c r="Y308" s="48">
        <v>43078</v>
      </c>
      <c r="Z308" s="32"/>
      <c r="AA308" s="3" t="str">
        <f t="shared" si="60"/>
        <v>A</v>
      </c>
      <c r="AB308" s="48">
        <v>181614.80000000002</v>
      </c>
      <c r="AC308" s="48">
        <v>45201</v>
      </c>
      <c r="AD308" s="36"/>
      <c r="AE308" s="54"/>
      <c r="AF308" s="3" t="str">
        <f t="shared" si="61"/>
        <v>A</v>
      </c>
      <c r="AG308" s="48">
        <v>0</v>
      </c>
      <c r="AH308" s="48">
        <v>0</v>
      </c>
      <c r="AI308" s="39"/>
      <c r="AJ308" s="79" t="s">
        <v>1801</v>
      </c>
      <c r="AK308" s="39"/>
      <c r="AL308" s="4">
        <f t="shared" si="68"/>
        <v>745886.75</v>
      </c>
      <c r="AM308" s="4">
        <f t="shared" si="68"/>
        <v>187086.65</v>
      </c>
      <c r="AN308" s="4">
        <f t="shared" si="62"/>
        <v>932973.4</v>
      </c>
      <c r="AO308" s="39"/>
      <c r="AP308" s="8">
        <f t="shared" si="69"/>
        <v>0</v>
      </c>
      <c r="AQ308" s="8">
        <f t="shared" si="69"/>
        <v>0</v>
      </c>
      <c r="AR308" s="8">
        <f t="shared" si="63"/>
        <v>0</v>
      </c>
      <c r="AS308" s="42"/>
      <c r="AT308" s="48">
        <v>745886.75</v>
      </c>
      <c r="AU308" s="48">
        <v>187086.65</v>
      </c>
      <c r="AV308" s="4">
        <f t="shared" si="64"/>
        <v>932973.4</v>
      </c>
      <c r="AW308" s="50" t="str">
        <f t="shared" si="65"/>
        <v/>
      </c>
      <c r="AX308" s="1" t="s">
        <v>1639</v>
      </c>
      <c r="AY308" s="2" t="s">
        <v>1640</v>
      </c>
      <c r="AZ308" s="2">
        <v>169168.64000000001</v>
      </c>
      <c r="BA308" s="73">
        <v>148022.56</v>
      </c>
      <c r="BB308" s="73">
        <v>148022.56</v>
      </c>
      <c r="BC308" s="73">
        <v>169168.64000000001</v>
      </c>
      <c r="BD308" s="73"/>
      <c r="BE308" s="66">
        <v>0</v>
      </c>
      <c r="BF308" s="66">
        <v>0.02</v>
      </c>
      <c r="BG308" s="63">
        <v>45657</v>
      </c>
      <c r="BH308" s="2"/>
      <c r="BI308" s="2"/>
      <c r="BJ308" s="2"/>
      <c r="BK308" s="2"/>
      <c r="BL308" s="1" t="s">
        <v>56</v>
      </c>
    </row>
    <row r="309" spans="1:64" x14ac:dyDescent="0.25">
      <c r="A309" s="56" t="s">
        <v>542</v>
      </c>
      <c r="B309" s="54" t="s">
        <v>542</v>
      </c>
      <c r="C309" s="56" t="s">
        <v>543</v>
      </c>
      <c r="D309" s="16">
        <v>42688</v>
      </c>
      <c r="E309" s="17"/>
      <c r="F309" s="2" t="s">
        <v>109</v>
      </c>
      <c r="G309" s="2" t="s">
        <v>111</v>
      </c>
      <c r="H309" s="10" t="s">
        <v>105</v>
      </c>
      <c r="I309" s="11" t="s">
        <v>110</v>
      </c>
      <c r="J309" s="11" t="s">
        <v>544</v>
      </c>
      <c r="K309" s="61" t="s">
        <v>230</v>
      </c>
      <c r="L309" s="11" t="s">
        <v>67</v>
      </c>
      <c r="M309" s="25"/>
      <c r="N309" s="54"/>
      <c r="O309" s="3" t="str">
        <f t="shared" si="73"/>
        <v>A</v>
      </c>
      <c r="P309" s="48">
        <v>97641.05</v>
      </c>
      <c r="Q309" s="48">
        <v>10017.43</v>
      </c>
      <c r="R309" s="32"/>
      <c r="S309" s="3" t="str">
        <f t="shared" si="74"/>
        <v>A</v>
      </c>
      <c r="T309" s="48">
        <v>87071.08</v>
      </c>
      <c r="U309" s="48">
        <v>10357.58</v>
      </c>
      <c r="V309" s="32"/>
      <c r="W309" s="3" t="str">
        <f t="shared" si="59"/>
        <v>A</v>
      </c>
      <c r="X309" s="48">
        <v>80596.69</v>
      </c>
      <c r="Y309" s="48">
        <v>9793.77</v>
      </c>
      <c r="Z309" s="32"/>
      <c r="AA309" s="3" t="str">
        <f t="shared" si="60"/>
        <v>A</v>
      </c>
      <c r="AB309" s="48">
        <v>84121.73000000001</v>
      </c>
      <c r="AC309" s="48">
        <v>8839.27</v>
      </c>
      <c r="AD309" s="36"/>
      <c r="AE309" s="54"/>
      <c r="AF309" s="3" t="str">
        <f t="shared" si="61"/>
        <v>A</v>
      </c>
      <c r="AG309" s="48">
        <v>0</v>
      </c>
      <c r="AH309" s="48">
        <v>0</v>
      </c>
      <c r="AI309" s="39"/>
      <c r="AJ309" s="79" t="s">
        <v>1801</v>
      </c>
      <c r="AK309" s="39"/>
      <c r="AL309" s="4">
        <f t="shared" si="68"/>
        <v>349430.55000000005</v>
      </c>
      <c r="AM309" s="4">
        <f t="shared" si="68"/>
        <v>39008.050000000003</v>
      </c>
      <c r="AN309" s="4">
        <f t="shared" si="62"/>
        <v>388438.60000000003</v>
      </c>
      <c r="AO309" s="39"/>
      <c r="AP309" s="8">
        <f t="shared" si="69"/>
        <v>0</v>
      </c>
      <c r="AQ309" s="8">
        <f t="shared" si="69"/>
        <v>0</v>
      </c>
      <c r="AR309" s="8">
        <f t="shared" si="63"/>
        <v>0</v>
      </c>
      <c r="AS309" s="42"/>
      <c r="AT309" s="48">
        <v>349430.55</v>
      </c>
      <c r="AU309" s="48">
        <v>39008.050000000003</v>
      </c>
      <c r="AV309" s="4">
        <f t="shared" si="64"/>
        <v>388438.6</v>
      </c>
      <c r="AW309" s="50" t="str">
        <f t="shared" si="65"/>
        <v/>
      </c>
      <c r="AX309" s="1" t="s">
        <v>1647</v>
      </c>
      <c r="AY309" s="2" t="s">
        <v>1640</v>
      </c>
      <c r="AZ309" s="2">
        <v>151416.64000000001</v>
      </c>
      <c r="BA309" s="73">
        <v>132489.56</v>
      </c>
      <c r="BB309" s="73">
        <v>132489.56</v>
      </c>
      <c r="BC309" s="73">
        <v>151416.64000000001</v>
      </c>
      <c r="BD309" s="73"/>
      <c r="BE309" s="66">
        <v>0</v>
      </c>
      <c r="BF309" s="66">
        <v>0.02</v>
      </c>
      <c r="BG309" s="63">
        <v>44511</v>
      </c>
      <c r="BH309" s="2"/>
      <c r="BI309" s="2"/>
      <c r="BJ309" s="2"/>
      <c r="BK309" s="2"/>
      <c r="BL309" s="1" t="s">
        <v>219</v>
      </c>
    </row>
    <row r="310" spans="1:64" x14ac:dyDescent="0.25">
      <c r="A310" s="56" t="s">
        <v>542</v>
      </c>
      <c r="B310" s="54" t="s">
        <v>1433</v>
      </c>
      <c r="C310" s="56" t="s">
        <v>1434</v>
      </c>
      <c r="D310" s="16">
        <v>45268</v>
      </c>
      <c r="E310" s="17"/>
      <c r="F310" s="2" t="s">
        <v>109</v>
      </c>
      <c r="G310" s="2" t="s">
        <v>111</v>
      </c>
      <c r="H310" s="10" t="s">
        <v>105</v>
      </c>
      <c r="I310" s="11" t="s">
        <v>110</v>
      </c>
      <c r="J310" s="11" t="s">
        <v>544</v>
      </c>
      <c r="K310" s="61" t="s">
        <v>230</v>
      </c>
      <c r="L310" s="11" t="s">
        <v>67</v>
      </c>
      <c r="M310" s="25"/>
      <c r="N310" s="54"/>
      <c r="O310" s="3" t="str">
        <f>IF($A310="","",IF(P310=AZ310,"E","A"))</f>
        <v>A</v>
      </c>
      <c r="P310" s="48">
        <v>115881</v>
      </c>
      <c r="Q310" s="48">
        <v>2695</v>
      </c>
      <c r="R310" s="32"/>
      <c r="S310" s="3" t="str">
        <f>IF($A310="","",IF(T310=BA310,"E","A"))</f>
        <v>A</v>
      </c>
      <c r="T310" s="48">
        <v>98080</v>
      </c>
      <c r="U310" s="48">
        <v>1945</v>
      </c>
      <c r="V310" s="32"/>
      <c r="W310" s="3" t="str">
        <f t="shared" si="59"/>
        <v>A</v>
      </c>
      <c r="X310" s="48">
        <v>86405</v>
      </c>
      <c r="Y310" s="48">
        <v>1950</v>
      </c>
      <c r="Z310" s="32"/>
      <c r="AA310" s="3" t="str">
        <f t="shared" si="60"/>
        <v>A</v>
      </c>
      <c r="AB310" s="48">
        <v>93167</v>
      </c>
      <c r="AC310" s="48">
        <v>2150</v>
      </c>
      <c r="AD310" s="36"/>
      <c r="AE310" s="54"/>
      <c r="AF310" s="3" t="str">
        <f t="shared" si="61"/>
        <v>A</v>
      </c>
      <c r="AG310" s="48">
        <v>0</v>
      </c>
      <c r="AH310" s="48">
        <v>0</v>
      </c>
      <c r="AI310" s="39"/>
      <c r="AJ310" s="79" t="s">
        <v>1801</v>
      </c>
      <c r="AK310" s="39"/>
      <c r="AL310" s="4">
        <f t="shared" si="68"/>
        <v>393533</v>
      </c>
      <c r="AM310" s="4">
        <f t="shared" si="68"/>
        <v>8740</v>
      </c>
      <c r="AN310" s="4">
        <f t="shared" si="62"/>
        <v>402273</v>
      </c>
      <c r="AO310" s="39"/>
      <c r="AP310" s="8">
        <f t="shared" si="69"/>
        <v>0</v>
      </c>
      <c r="AQ310" s="8">
        <f t="shared" si="69"/>
        <v>0</v>
      </c>
      <c r="AR310" s="8">
        <f t="shared" si="63"/>
        <v>0</v>
      </c>
      <c r="AS310" s="42"/>
      <c r="AT310" s="48">
        <v>393533</v>
      </c>
      <c r="AU310" s="48">
        <v>8740</v>
      </c>
      <c r="AV310" s="4">
        <f t="shared" si="64"/>
        <v>402273</v>
      </c>
      <c r="AW310" s="50" t="str">
        <f t="shared" si="65"/>
        <v/>
      </c>
      <c r="AX310" s="1" t="s">
        <v>1647</v>
      </c>
      <c r="AY310" s="2" t="s">
        <v>1640</v>
      </c>
      <c r="AZ310" s="2">
        <v>52380.800000000003</v>
      </c>
      <c r="BA310" s="73">
        <v>45833.2</v>
      </c>
      <c r="BB310" s="73">
        <v>45833.2</v>
      </c>
      <c r="BC310" s="73">
        <v>52380.800000000003</v>
      </c>
      <c r="BD310" s="73"/>
      <c r="BE310" s="66">
        <v>0</v>
      </c>
      <c r="BF310" s="66">
        <v>0.02</v>
      </c>
      <c r="BG310" s="63">
        <v>45268</v>
      </c>
      <c r="BH310" s="2"/>
      <c r="BI310" s="2"/>
      <c r="BJ310" s="2">
        <v>199260</v>
      </c>
      <c r="BK310" s="2"/>
      <c r="BL310" s="1" t="s">
        <v>219</v>
      </c>
    </row>
    <row r="311" spans="1:64" x14ac:dyDescent="0.25">
      <c r="A311" s="56" t="s">
        <v>545</v>
      </c>
      <c r="B311" s="54" t="s">
        <v>545</v>
      </c>
      <c r="C311" s="56" t="s">
        <v>546</v>
      </c>
      <c r="D311" s="16">
        <v>42998</v>
      </c>
      <c r="E311" s="17"/>
      <c r="F311" s="2" t="s">
        <v>52</v>
      </c>
      <c r="G311" s="2" t="s">
        <v>55</v>
      </c>
      <c r="H311" s="10" t="s">
        <v>57</v>
      </c>
      <c r="I311" s="11" t="s">
        <v>54</v>
      </c>
      <c r="J311" s="11" t="s">
        <v>72</v>
      </c>
      <c r="K311" s="61" t="s">
        <v>73</v>
      </c>
      <c r="L311" s="11" t="s">
        <v>67</v>
      </c>
      <c r="M311" s="25"/>
      <c r="N311" s="54"/>
      <c r="O311" s="3" t="str">
        <f t="shared" ref="O311:O320" si="75">IF($A311="","",IF(P311=0,"A",IF(P311=AZ311,"E","A")))</f>
        <v>A</v>
      </c>
      <c r="P311" s="48">
        <v>114579</v>
      </c>
      <c r="Q311" s="48">
        <v>32967</v>
      </c>
      <c r="R311" s="32"/>
      <c r="S311" s="3" t="str">
        <f t="shared" ref="S311:S374" si="76">IF($A311="","",IF(T311=0,"A",IF(T311=BA311,"E","A")))</f>
        <v>A</v>
      </c>
      <c r="T311" s="48">
        <v>111779.25</v>
      </c>
      <c r="U311" s="48">
        <v>29065</v>
      </c>
      <c r="V311" s="32"/>
      <c r="W311" s="3" t="str">
        <f t="shared" si="59"/>
        <v>A</v>
      </c>
      <c r="X311" s="48">
        <v>95715</v>
      </c>
      <c r="Y311" s="48">
        <v>27910</v>
      </c>
      <c r="Z311" s="32"/>
      <c r="AA311" s="3" t="str">
        <f t="shared" si="60"/>
        <v>A</v>
      </c>
      <c r="AB311" s="48">
        <v>118218</v>
      </c>
      <c r="AC311" s="48">
        <v>30172</v>
      </c>
      <c r="AD311" s="36"/>
      <c r="AE311" s="54"/>
      <c r="AF311" s="3" t="str">
        <f t="shared" si="61"/>
        <v>A</v>
      </c>
      <c r="AG311" s="48">
        <v>0</v>
      </c>
      <c r="AH311" s="48">
        <v>0</v>
      </c>
      <c r="AI311" s="39"/>
      <c r="AJ311" s="79" t="s">
        <v>1801</v>
      </c>
      <c r="AK311" s="39"/>
      <c r="AL311" s="4">
        <f t="shared" si="68"/>
        <v>440291.25</v>
      </c>
      <c r="AM311" s="4">
        <f t="shared" si="68"/>
        <v>120114</v>
      </c>
      <c r="AN311" s="4">
        <f t="shared" si="62"/>
        <v>560405.25</v>
      </c>
      <c r="AO311" s="39"/>
      <c r="AP311" s="8">
        <f t="shared" si="69"/>
        <v>0</v>
      </c>
      <c r="AQ311" s="8">
        <f t="shared" si="69"/>
        <v>0</v>
      </c>
      <c r="AR311" s="8">
        <f t="shared" si="63"/>
        <v>0</v>
      </c>
      <c r="AS311" s="42"/>
      <c r="AT311" s="48">
        <v>440291.25</v>
      </c>
      <c r="AU311" s="48">
        <v>120114</v>
      </c>
      <c r="AV311" s="4">
        <f t="shared" si="64"/>
        <v>560405.25</v>
      </c>
      <c r="AW311" s="50" t="str">
        <f t="shared" si="65"/>
        <v/>
      </c>
      <c r="AX311" s="1" t="s">
        <v>1639</v>
      </c>
      <c r="AY311" s="2" t="s">
        <v>1640</v>
      </c>
      <c r="AZ311" s="2">
        <v>187217.44</v>
      </c>
      <c r="BA311" s="73">
        <v>163815.26</v>
      </c>
      <c r="BB311" s="73">
        <v>163815.26</v>
      </c>
      <c r="BC311" s="73">
        <v>187217.44</v>
      </c>
      <c r="BD311" s="73"/>
      <c r="BE311" s="66">
        <v>0</v>
      </c>
      <c r="BF311" s="66">
        <v>0.02</v>
      </c>
      <c r="BG311" s="63">
        <v>44612</v>
      </c>
      <c r="BH311" s="2"/>
      <c r="BI311" s="2"/>
      <c r="BJ311" s="2"/>
      <c r="BK311" s="2"/>
      <c r="BL311" s="1" t="s">
        <v>56</v>
      </c>
    </row>
    <row r="312" spans="1:64" x14ac:dyDescent="0.25">
      <c r="A312" s="56" t="s">
        <v>549</v>
      </c>
      <c r="B312" s="54" t="s">
        <v>549</v>
      </c>
      <c r="C312" s="56" t="s">
        <v>550</v>
      </c>
      <c r="D312" s="16">
        <v>34742</v>
      </c>
      <c r="E312" s="17"/>
      <c r="F312" s="2" t="s">
        <v>551</v>
      </c>
      <c r="G312" s="2" t="s">
        <v>552</v>
      </c>
      <c r="H312" s="10" t="s">
        <v>105</v>
      </c>
      <c r="I312" s="11" t="s">
        <v>53</v>
      </c>
      <c r="J312" s="11" t="s">
        <v>106</v>
      </c>
      <c r="K312" s="61"/>
      <c r="L312" s="11" t="s">
        <v>67</v>
      </c>
      <c r="M312" s="25"/>
      <c r="N312" s="54"/>
      <c r="O312" s="3" t="str">
        <f t="shared" si="75"/>
        <v>A</v>
      </c>
      <c r="P312" s="48">
        <v>167450</v>
      </c>
      <c r="Q312" s="48">
        <v>18730</v>
      </c>
      <c r="R312" s="32"/>
      <c r="S312" s="3" t="str">
        <f t="shared" si="76"/>
        <v>A</v>
      </c>
      <c r="T312" s="48">
        <v>132801</v>
      </c>
      <c r="U312" s="48">
        <v>18566</v>
      </c>
      <c r="V312" s="32"/>
      <c r="W312" s="3" t="str">
        <f t="shared" si="59"/>
        <v>A</v>
      </c>
      <c r="X312" s="48">
        <v>123900</v>
      </c>
      <c r="Y312" s="48">
        <v>15321</v>
      </c>
      <c r="Z312" s="32"/>
      <c r="AA312" s="3" t="str">
        <f t="shared" si="60"/>
        <v>A</v>
      </c>
      <c r="AB312" s="48">
        <v>145966</v>
      </c>
      <c r="AC312" s="48">
        <v>15258</v>
      </c>
      <c r="AD312" s="36"/>
      <c r="AE312" s="54"/>
      <c r="AF312" s="3" t="str">
        <f t="shared" si="61"/>
        <v>A</v>
      </c>
      <c r="AG312" s="48">
        <v>0</v>
      </c>
      <c r="AH312" s="48">
        <v>0</v>
      </c>
      <c r="AI312" s="39"/>
      <c r="AJ312" s="79" t="s">
        <v>1801</v>
      </c>
      <c r="AK312" s="39"/>
      <c r="AL312" s="4">
        <f t="shared" si="68"/>
        <v>570117</v>
      </c>
      <c r="AM312" s="4">
        <f t="shared" si="68"/>
        <v>67875</v>
      </c>
      <c r="AN312" s="4">
        <f t="shared" si="62"/>
        <v>637992</v>
      </c>
      <c r="AO312" s="39"/>
      <c r="AP312" s="8">
        <f t="shared" si="69"/>
        <v>0</v>
      </c>
      <c r="AQ312" s="8">
        <f t="shared" si="69"/>
        <v>0</v>
      </c>
      <c r="AR312" s="8">
        <f t="shared" si="63"/>
        <v>0</v>
      </c>
      <c r="AS312" s="42"/>
      <c r="AT312" s="48">
        <v>570117</v>
      </c>
      <c r="AU312" s="48">
        <v>67875</v>
      </c>
      <c r="AV312" s="4">
        <f t="shared" si="64"/>
        <v>637992</v>
      </c>
      <c r="AW312" s="50" t="str">
        <f t="shared" si="65"/>
        <v/>
      </c>
      <c r="AX312" s="1" t="s">
        <v>1725</v>
      </c>
      <c r="AY312" s="2" t="s">
        <v>1659</v>
      </c>
      <c r="AZ312" s="2">
        <v>148784.95999999999</v>
      </c>
      <c r="BA312" s="73">
        <v>130186.84</v>
      </c>
      <c r="BB312" s="73">
        <v>130186.84</v>
      </c>
      <c r="BC312" s="73">
        <v>148784.95999999999</v>
      </c>
      <c r="BD312" s="73"/>
      <c r="BE312" s="66">
        <v>3.5000000000000003E-2</v>
      </c>
      <c r="BF312" s="66">
        <v>0.05</v>
      </c>
      <c r="BG312" s="63">
        <v>45608</v>
      </c>
      <c r="BH312" s="2"/>
      <c r="BI312" s="2"/>
      <c r="BJ312" s="2"/>
      <c r="BK312" s="2"/>
      <c r="BL312" s="1" t="s">
        <v>104</v>
      </c>
    </row>
    <row r="313" spans="1:64" x14ac:dyDescent="0.25">
      <c r="A313" s="56" t="s">
        <v>549</v>
      </c>
      <c r="B313" s="54" t="s">
        <v>805</v>
      </c>
      <c r="C313" s="56" t="s">
        <v>806</v>
      </c>
      <c r="D313" s="16">
        <v>38301</v>
      </c>
      <c r="E313" s="17"/>
      <c r="F313" s="2" t="s">
        <v>551</v>
      </c>
      <c r="G313" s="2" t="s">
        <v>552</v>
      </c>
      <c r="H313" s="10" t="s">
        <v>105</v>
      </c>
      <c r="I313" s="11" t="s">
        <v>53</v>
      </c>
      <c r="J313" s="11" t="s">
        <v>106</v>
      </c>
      <c r="K313" s="61"/>
      <c r="L313" s="11" t="s">
        <v>67</v>
      </c>
      <c r="M313" s="25"/>
      <c r="N313" s="54"/>
      <c r="O313" s="3" t="str">
        <f t="shared" si="75"/>
        <v>A</v>
      </c>
      <c r="P313" s="48">
        <v>128345</v>
      </c>
      <c r="Q313" s="48">
        <v>20135</v>
      </c>
      <c r="R313" s="32"/>
      <c r="S313" s="3" t="str">
        <f t="shared" si="76"/>
        <v>A</v>
      </c>
      <c r="T313" s="48">
        <v>109857</v>
      </c>
      <c r="U313" s="48">
        <v>22185</v>
      </c>
      <c r="V313" s="32"/>
      <c r="W313" s="3" t="str">
        <f t="shared" si="59"/>
        <v>A</v>
      </c>
      <c r="X313" s="48">
        <v>105767</v>
      </c>
      <c r="Y313" s="48">
        <v>18836</v>
      </c>
      <c r="Z313" s="32"/>
      <c r="AA313" s="3" t="str">
        <f t="shared" si="60"/>
        <v>A</v>
      </c>
      <c r="AB313" s="48">
        <v>105304</v>
      </c>
      <c r="AC313" s="48">
        <v>14829</v>
      </c>
      <c r="AD313" s="36"/>
      <c r="AE313" s="54"/>
      <c r="AF313" s="3" t="str">
        <f t="shared" si="61"/>
        <v>A</v>
      </c>
      <c r="AG313" s="48">
        <v>0</v>
      </c>
      <c r="AH313" s="48">
        <v>0</v>
      </c>
      <c r="AI313" s="39"/>
      <c r="AJ313" s="79" t="s">
        <v>1801</v>
      </c>
      <c r="AK313" s="39"/>
      <c r="AL313" s="4">
        <f t="shared" si="68"/>
        <v>449273</v>
      </c>
      <c r="AM313" s="4">
        <f t="shared" si="68"/>
        <v>75985</v>
      </c>
      <c r="AN313" s="4">
        <f t="shared" si="62"/>
        <v>525258</v>
      </c>
      <c r="AO313" s="39"/>
      <c r="AP313" s="8">
        <f t="shared" si="69"/>
        <v>0</v>
      </c>
      <c r="AQ313" s="8">
        <f t="shared" si="69"/>
        <v>0</v>
      </c>
      <c r="AR313" s="8">
        <f t="shared" si="63"/>
        <v>0</v>
      </c>
      <c r="AS313" s="42"/>
      <c r="AT313" s="48">
        <v>449273</v>
      </c>
      <c r="AU313" s="48">
        <v>75985</v>
      </c>
      <c r="AV313" s="4">
        <f t="shared" si="64"/>
        <v>525258</v>
      </c>
      <c r="AW313" s="50" t="str">
        <f t="shared" si="65"/>
        <v/>
      </c>
      <c r="AX313" s="1" t="s">
        <v>1725</v>
      </c>
      <c r="AY313" s="2" t="s">
        <v>1659</v>
      </c>
      <c r="AZ313" s="2">
        <v>25795.040000000001</v>
      </c>
      <c r="BA313" s="73">
        <v>22570.66</v>
      </c>
      <c r="BB313" s="73">
        <v>22570.66</v>
      </c>
      <c r="BC313" s="73">
        <v>25795.040000000001</v>
      </c>
      <c r="BD313" s="73"/>
      <c r="BE313" s="66">
        <v>3.5000000000000003E-2</v>
      </c>
      <c r="BF313" s="66">
        <v>0.05</v>
      </c>
      <c r="BG313" s="63">
        <v>45608</v>
      </c>
      <c r="BH313" s="2"/>
      <c r="BI313" s="2"/>
      <c r="BJ313" s="2"/>
      <c r="BK313" s="2"/>
      <c r="BL313" s="1" t="s">
        <v>104</v>
      </c>
    </row>
    <row r="314" spans="1:64" x14ac:dyDescent="0.25">
      <c r="A314" s="56" t="s">
        <v>549</v>
      </c>
      <c r="B314" s="54" t="s">
        <v>919</v>
      </c>
      <c r="C314" s="56" t="s">
        <v>920</v>
      </c>
      <c r="D314" s="16">
        <v>0</v>
      </c>
      <c r="E314" s="17"/>
      <c r="F314" s="2" t="s">
        <v>551</v>
      </c>
      <c r="G314" s="2" t="s">
        <v>552</v>
      </c>
      <c r="H314" s="10" t="s">
        <v>105</v>
      </c>
      <c r="I314" s="11" t="s">
        <v>53</v>
      </c>
      <c r="J314" s="11" t="s">
        <v>106</v>
      </c>
      <c r="K314" s="61"/>
      <c r="L314" s="11" t="s">
        <v>67</v>
      </c>
      <c r="M314" s="25"/>
      <c r="N314" s="54"/>
      <c r="O314" s="3" t="str">
        <f t="shared" si="75"/>
        <v>A</v>
      </c>
      <c r="P314" s="48">
        <v>189060</v>
      </c>
      <c r="Q314" s="48">
        <v>7645</v>
      </c>
      <c r="R314" s="32"/>
      <c r="S314" s="3" t="str">
        <f t="shared" si="76"/>
        <v>A</v>
      </c>
      <c r="T314" s="48">
        <v>167310</v>
      </c>
      <c r="U314" s="48">
        <v>7494</v>
      </c>
      <c r="V314" s="32"/>
      <c r="W314" s="3" t="str">
        <f t="shared" si="59"/>
        <v>A</v>
      </c>
      <c r="X314" s="48">
        <v>143447</v>
      </c>
      <c r="Y314" s="48">
        <v>6835</v>
      </c>
      <c r="Z314" s="32"/>
      <c r="AA314" s="3" t="str">
        <f t="shared" si="60"/>
        <v>A</v>
      </c>
      <c r="AB314" s="48">
        <v>134797</v>
      </c>
      <c r="AC314" s="48">
        <v>6716</v>
      </c>
      <c r="AD314" s="36"/>
      <c r="AE314" s="54"/>
      <c r="AF314" s="3" t="str">
        <f t="shared" si="61"/>
        <v>A</v>
      </c>
      <c r="AG314" s="48">
        <v>0</v>
      </c>
      <c r="AH314" s="48">
        <v>0</v>
      </c>
      <c r="AI314" s="39"/>
      <c r="AJ314" s="79" t="s">
        <v>1801</v>
      </c>
      <c r="AK314" s="39"/>
      <c r="AL314" s="4">
        <f t="shared" si="68"/>
        <v>634614</v>
      </c>
      <c r="AM314" s="4">
        <f t="shared" si="68"/>
        <v>28690</v>
      </c>
      <c r="AN314" s="4">
        <f t="shared" si="62"/>
        <v>663304</v>
      </c>
      <c r="AO314" s="39"/>
      <c r="AP314" s="8">
        <f t="shared" si="69"/>
        <v>0</v>
      </c>
      <c r="AQ314" s="8">
        <f t="shared" si="69"/>
        <v>0</v>
      </c>
      <c r="AR314" s="8">
        <f t="shared" si="63"/>
        <v>0</v>
      </c>
      <c r="AS314" s="42"/>
      <c r="AT314" s="48">
        <v>634614</v>
      </c>
      <c r="AU314" s="48">
        <v>28690</v>
      </c>
      <c r="AV314" s="4">
        <f t="shared" si="64"/>
        <v>663304</v>
      </c>
      <c r="AW314" s="50" t="str">
        <f t="shared" si="65"/>
        <v/>
      </c>
      <c r="AX314" s="1" t="s">
        <v>1725</v>
      </c>
      <c r="AY314" s="2" t="s">
        <v>1659</v>
      </c>
      <c r="AZ314" s="2">
        <v>109403.84</v>
      </c>
      <c r="BA314" s="73">
        <v>95728.36</v>
      </c>
      <c r="BB314" s="73">
        <v>95728.36</v>
      </c>
      <c r="BC314" s="73">
        <v>109403.84</v>
      </c>
      <c r="BD314" s="73"/>
      <c r="BE314" s="66">
        <v>0</v>
      </c>
      <c r="BF314" s="66">
        <v>0.05</v>
      </c>
      <c r="BG314" s="63">
        <v>45608</v>
      </c>
      <c r="BH314" s="2"/>
      <c r="BI314" s="2"/>
      <c r="BJ314" s="2">
        <v>396981</v>
      </c>
      <c r="BK314" s="2">
        <v>44109</v>
      </c>
      <c r="BL314" s="1" t="s">
        <v>104</v>
      </c>
    </row>
    <row r="315" spans="1:64" x14ac:dyDescent="0.25">
      <c r="A315" s="56" t="s">
        <v>553</v>
      </c>
      <c r="B315" s="54" t="s">
        <v>553</v>
      </c>
      <c r="C315" s="56" t="s">
        <v>554</v>
      </c>
      <c r="D315" s="16">
        <v>42853</v>
      </c>
      <c r="E315" s="17"/>
      <c r="F315" s="2" t="s">
        <v>187</v>
      </c>
      <c r="G315" s="2" t="s">
        <v>189</v>
      </c>
      <c r="H315" s="10" t="s">
        <v>57</v>
      </c>
      <c r="I315" s="11" t="s">
        <v>188</v>
      </c>
      <c r="J315" s="11" t="s">
        <v>338</v>
      </c>
      <c r="K315" s="61" t="s">
        <v>339</v>
      </c>
      <c r="L315" s="11" t="s">
        <v>67</v>
      </c>
      <c r="M315" s="25"/>
      <c r="N315" s="54"/>
      <c r="O315" s="3" t="str">
        <f t="shared" si="75"/>
        <v>A</v>
      </c>
      <c r="P315" s="48">
        <v>227974.5</v>
      </c>
      <c r="Q315" s="48">
        <v>45368</v>
      </c>
      <c r="R315" s="32"/>
      <c r="S315" s="3" t="str">
        <f t="shared" si="76"/>
        <v>A</v>
      </c>
      <c r="T315" s="48">
        <v>197030.1</v>
      </c>
      <c r="U315" s="48">
        <v>37235</v>
      </c>
      <c r="V315" s="32"/>
      <c r="W315" s="3" t="str">
        <f t="shared" si="59"/>
        <v>A</v>
      </c>
      <c r="X315" s="48">
        <v>175125.41</v>
      </c>
      <c r="Y315" s="48">
        <v>32524.940000000002</v>
      </c>
      <c r="Z315" s="32"/>
      <c r="AA315" s="3" t="str">
        <f t="shared" si="60"/>
        <v>A</v>
      </c>
      <c r="AB315" s="48">
        <v>194892.95</v>
      </c>
      <c r="AC315" s="48">
        <v>36437</v>
      </c>
      <c r="AD315" s="36"/>
      <c r="AE315" s="54"/>
      <c r="AF315" s="3" t="str">
        <f t="shared" si="61"/>
        <v>A</v>
      </c>
      <c r="AG315" s="48">
        <v>0</v>
      </c>
      <c r="AH315" s="48">
        <v>0</v>
      </c>
      <c r="AI315" s="39"/>
      <c r="AJ315" s="79" t="s">
        <v>1801</v>
      </c>
      <c r="AK315" s="39"/>
      <c r="AL315" s="4">
        <f t="shared" si="68"/>
        <v>795022.96</v>
      </c>
      <c r="AM315" s="4">
        <f t="shared" si="68"/>
        <v>151564.94</v>
      </c>
      <c r="AN315" s="4">
        <f t="shared" si="62"/>
        <v>946587.89999999991</v>
      </c>
      <c r="AO315" s="39"/>
      <c r="AP315" s="8">
        <f t="shared" si="69"/>
        <v>0</v>
      </c>
      <c r="AQ315" s="8">
        <f t="shared" si="69"/>
        <v>0</v>
      </c>
      <c r="AR315" s="8">
        <f t="shared" si="63"/>
        <v>0</v>
      </c>
      <c r="AS315" s="42"/>
      <c r="AT315" s="48">
        <v>795022.96</v>
      </c>
      <c r="AU315" s="48">
        <v>151564.94</v>
      </c>
      <c r="AV315" s="4">
        <f t="shared" si="64"/>
        <v>946587.89999999991</v>
      </c>
      <c r="AW315" s="50" t="str">
        <f t="shared" si="65"/>
        <v/>
      </c>
      <c r="AX315" s="1" t="s">
        <v>1639</v>
      </c>
      <c r="AY315" s="2" t="s">
        <v>1640</v>
      </c>
      <c r="AZ315" s="2">
        <v>159404.24</v>
      </c>
      <c r="BA315" s="73">
        <v>139478.71</v>
      </c>
      <c r="BB315" s="73">
        <v>139478.71</v>
      </c>
      <c r="BC315" s="73">
        <v>159404.24</v>
      </c>
      <c r="BD315" s="73"/>
      <c r="BE315" s="66">
        <v>0</v>
      </c>
      <c r="BF315" s="66">
        <v>0.02</v>
      </c>
      <c r="BG315" s="63">
        <v>44612</v>
      </c>
      <c r="BH315" s="2"/>
      <c r="BI315" s="2"/>
      <c r="BJ315" s="2"/>
      <c r="BK315" s="2"/>
      <c r="BL315" s="1" t="s">
        <v>56</v>
      </c>
    </row>
    <row r="316" spans="1:64" x14ac:dyDescent="0.25">
      <c r="A316" s="56" t="s">
        <v>555</v>
      </c>
      <c r="B316" s="54" t="s">
        <v>555</v>
      </c>
      <c r="C316" s="56" t="s">
        <v>556</v>
      </c>
      <c r="D316" s="16">
        <v>36699</v>
      </c>
      <c r="E316" s="17"/>
      <c r="F316" s="2" t="s">
        <v>52</v>
      </c>
      <c r="G316" s="2" t="s">
        <v>55</v>
      </c>
      <c r="H316" s="10" t="s">
        <v>57</v>
      </c>
      <c r="I316" s="11" t="s">
        <v>54</v>
      </c>
      <c r="J316" s="11" t="s">
        <v>68</v>
      </c>
      <c r="K316" s="61" t="s">
        <v>69</v>
      </c>
      <c r="L316" s="11" t="s">
        <v>67</v>
      </c>
      <c r="M316" s="25"/>
      <c r="N316" s="54"/>
      <c r="O316" s="3" t="str">
        <f t="shared" si="75"/>
        <v>A</v>
      </c>
      <c r="P316" s="48">
        <v>293571.29000000004</v>
      </c>
      <c r="Q316" s="48">
        <v>59307.79</v>
      </c>
      <c r="R316" s="32"/>
      <c r="S316" s="3" t="str">
        <f t="shared" si="76"/>
        <v>A</v>
      </c>
      <c r="T316" s="48">
        <v>263365.90999999997</v>
      </c>
      <c r="U316" s="48">
        <v>45856.75</v>
      </c>
      <c r="V316" s="32"/>
      <c r="W316" s="3" t="str">
        <f t="shared" si="59"/>
        <v>A</v>
      </c>
      <c r="X316" s="48">
        <v>223712.97000000003</v>
      </c>
      <c r="Y316" s="48">
        <v>42034.5</v>
      </c>
      <c r="Z316" s="32"/>
      <c r="AA316" s="3" t="str">
        <f t="shared" si="60"/>
        <v>A</v>
      </c>
      <c r="AB316" s="48">
        <v>252114.80000000002</v>
      </c>
      <c r="AC316" s="48">
        <v>47038.3</v>
      </c>
      <c r="AD316" s="36"/>
      <c r="AE316" s="54"/>
      <c r="AF316" s="3" t="str">
        <f t="shared" si="61"/>
        <v>A</v>
      </c>
      <c r="AG316" s="48">
        <v>0</v>
      </c>
      <c r="AH316" s="48">
        <v>0</v>
      </c>
      <c r="AI316" s="39"/>
      <c r="AJ316" s="79" t="s">
        <v>1801</v>
      </c>
      <c r="AK316" s="39"/>
      <c r="AL316" s="4">
        <f t="shared" si="68"/>
        <v>1032764.97</v>
      </c>
      <c r="AM316" s="4">
        <f t="shared" si="68"/>
        <v>194237.34000000003</v>
      </c>
      <c r="AN316" s="4">
        <f t="shared" si="62"/>
        <v>1227002.31</v>
      </c>
      <c r="AO316" s="39"/>
      <c r="AP316" s="8">
        <f t="shared" si="69"/>
        <v>0</v>
      </c>
      <c r="AQ316" s="8">
        <f t="shared" si="69"/>
        <v>0</v>
      </c>
      <c r="AR316" s="8">
        <f t="shared" si="63"/>
        <v>0</v>
      </c>
      <c r="AS316" s="42"/>
      <c r="AT316" s="48">
        <v>1032764.97</v>
      </c>
      <c r="AU316" s="48">
        <v>194237.34</v>
      </c>
      <c r="AV316" s="4">
        <f t="shared" si="64"/>
        <v>1227002.31</v>
      </c>
      <c r="AW316" s="50" t="str">
        <f t="shared" si="65"/>
        <v/>
      </c>
      <c r="AX316" s="1" t="s">
        <v>1639</v>
      </c>
      <c r="AY316" s="2" t="s">
        <v>1640</v>
      </c>
      <c r="AZ316" s="2">
        <v>298381.68</v>
      </c>
      <c r="BA316" s="73">
        <v>261083.97</v>
      </c>
      <c r="BB316" s="73">
        <v>261083.97</v>
      </c>
      <c r="BC316" s="73">
        <v>298381.68</v>
      </c>
      <c r="BD316" s="73"/>
      <c r="BE316" s="66">
        <v>3.5000000000000003E-2</v>
      </c>
      <c r="BF316" s="66">
        <v>0.02</v>
      </c>
      <c r="BG316" s="63">
        <v>45003</v>
      </c>
      <c r="BH316" s="2"/>
      <c r="BI316" s="2"/>
      <c r="BJ316" s="2"/>
      <c r="BK316" s="2"/>
      <c r="BL316" s="1" t="s">
        <v>56</v>
      </c>
    </row>
    <row r="317" spans="1:64" x14ac:dyDescent="0.25">
      <c r="A317" s="56" t="s">
        <v>557</v>
      </c>
      <c r="B317" s="54" t="s">
        <v>557</v>
      </c>
      <c r="C317" s="56" t="s">
        <v>558</v>
      </c>
      <c r="D317" s="16">
        <v>40992</v>
      </c>
      <c r="E317" s="17"/>
      <c r="F317" s="2" t="s">
        <v>414</v>
      </c>
      <c r="G317" s="2" t="s">
        <v>415</v>
      </c>
      <c r="H317" s="10" t="s">
        <v>105</v>
      </c>
      <c r="I317" s="11" t="s">
        <v>53</v>
      </c>
      <c r="J317" s="11" t="s">
        <v>312</v>
      </c>
      <c r="K317" s="61"/>
      <c r="L317" s="11" t="s">
        <v>67</v>
      </c>
      <c r="M317" s="25"/>
      <c r="N317" s="54"/>
      <c r="O317" s="3" t="str">
        <f t="shared" si="75"/>
        <v>E</v>
      </c>
      <c r="P317" s="48">
        <v>240793.68</v>
      </c>
      <c r="Q317" s="48">
        <v>63311.6</v>
      </c>
      <c r="R317" s="32"/>
      <c r="S317" s="3" t="str">
        <f t="shared" si="76"/>
        <v>E</v>
      </c>
      <c r="T317" s="48">
        <v>210694.47</v>
      </c>
      <c r="U317" s="48">
        <v>55397.65</v>
      </c>
      <c r="V317" s="32"/>
      <c r="W317" s="3" t="str">
        <f t="shared" si="59"/>
        <v>E</v>
      </c>
      <c r="X317" s="48">
        <v>210694.47</v>
      </c>
      <c r="Y317" s="48">
        <v>55397.65</v>
      </c>
      <c r="Z317" s="32"/>
      <c r="AA317" s="3" t="str">
        <f t="shared" si="60"/>
        <v>E</v>
      </c>
      <c r="AB317" s="48">
        <v>240793.68</v>
      </c>
      <c r="AC317" s="48">
        <v>63311.6</v>
      </c>
      <c r="AD317" s="36"/>
      <c r="AE317" s="54"/>
      <c r="AF317" s="3" t="str">
        <f t="shared" si="61"/>
        <v>A</v>
      </c>
      <c r="AG317" s="48"/>
      <c r="AH317" s="48"/>
      <c r="AI317" s="39"/>
      <c r="AJ317" s="79" t="s">
        <v>38</v>
      </c>
      <c r="AK317" s="39"/>
      <c r="AL317" s="4">
        <f t="shared" si="68"/>
        <v>0</v>
      </c>
      <c r="AM317" s="4">
        <f t="shared" si="68"/>
        <v>0</v>
      </c>
      <c r="AN317" s="4">
        <f t="shared" si="62"/>
        <v>0</v>
      </c>
      <c r="AO317" s="39"/>
      <c r="AP317" s="8">
        <f t="shared" si="69"/>
        <v>902976.3</v>
      </c>
      <c r="AQ317" s="8">
        <f t="shared" si="69"/>
        <v>237418.5</v>
      </c>
      <c r="AR317" s="8">
        <f t="shared" si="63"/>
        <v>1140394.8</v>
      </c>
      <c r="AS317" s="42"/>
      <c r="AT317" s="48"/>
      <c r="AU317" s="48"/>
      <c r="AV317" s="4">
        <f t="shared" si="64"/>
        <v>0</v>
      </c>
      <c r="AW317" s="50" t="str">
        <f t="shared" si="65"/>
        <v/>
      </c>
      <c r="AX317" s="1" t="s">
        <v>1703</v>
      </c>
      <c r="AY317" s="2" t="s">
        <v>1704</v>
      </c>
      <c r="AZ317" s="2">
        <v>240793.68</v>
      </c>
      <c r="BA317" s="73">
        <v>210694.47</v>
      </c>
      <c r="BB317" s="73">
        <v>210694.47</v>
      </c>
      <c r="BC317" s="73">
        <v>240793.68</v>
      </c>
      <c r="BD317" s="73"/>
      <c r="BE317" s="66">
        <v>3.5000000000000003E-2</v>
      </c>
      <c r="BF317" s="66">
        <v>0.05</v>
      </c>
      <c r="BG317" s="63">
        <v>44644</v>
      </c>
      <c r="BH317" s="2"/>
      <c r="BI317" s="2"/>
      <c r="BJ317" s="2"/>
      <c r="BK317" s="2"/>
      <c r="BL317" s="1" t="s">
        <v>104</v>
      </c>
    </row>
    <row r="318" spans="1:64" x14ac:dyDescent="0.25">
      <c r="A318" s="56" t="s">
        <v>557</v>
      </c>
      <c r="B318" s="54" t="s">
        <v>933</v>
      </c>
      <c r="C318" s="56" t="s">
        <v>934</v>
      </c>
      <c r="D318" s="16">
        <v>0</v>
      </c>
      <c r="E318" s="17"/>
      <c r="F318" s="2" t="s">
        <v>414</v>
      </c>
      <c r="G318" s="2" t="s">
        <v>415</v>
      </c>
      <c r="H318" s="10" t="s">
        <v>105</v>
      </c>
      <c r="I318" s="11" t="s">
        <v>53</v>
      </c>
      <c r="J318" s="11" t="s">
        <v>312</v>
      </c>
      <c r="K318" s="61"/>
      <c r="L318" s="11" t="s">
        <v>67</v>
      </c>
      <c r="M318" s="25"/>
      <c r="N318" s="54"/>
      <c r="O318" s="3" t="str">
        <f t="shared" si="75"/>
        <v>E</v>
      </c>
      <c r="P318" s="48">
        <v>74519.92</v>
      </c>
      <c r="Q318" s="48">
        <v>8820.4</v>
      </c>
      <c r="R318" s="32"/>
      <c r="S318" s="3" t="str">
        <f t="shared" si="76"/>
        <v>E</v>
      </c>
      <c r="T318" s="48">
        <v>65204.93</v>
      </c>
      <c r="U318" s="48">
        <v>7717.85</v>
      </c>
      <c r="V318" s="32"/>
      <c r="W318" s="3" t="str">
        <f t="shared" si="59"/>
        <v>E</v>
      </c>
      <c r="X318" s="48">
        <v>65204.93</v>
      </c>
      <c r="Y318" s="48">
        <v>7717.85</v>
      </c>
      <c r="Z318" s="32"/>
      <c r="AA318" s="3" t="str">
        <f t="shared" si="60"/>
        <v>E</v>
      </c>
      <c r="AB318" s="48">
        <v>74519.92</v>
      </c>
      <c r="AC318" s="48">
        <v>8820.4</v>
      </c>
      <c r="AD318" s="36"/>
      <c r="AE318" s="54"/>
      <c r="AF318" s="3" t="str">
        <f t="shared" si="61"/>
        <v>A</v>
      </c>
      <c r="AG318" s="48"/>
      <c r="AH318" s="48"/>
      <c r="AI318" s="39"/>
      <c r="AJ318" s="79" t="s">
        <v>38</v>
      </c>
      <c r="AK318" s="39"/>
      <c r="AL318" s="4">
        <f t="shared" si="68"/>
        <v>0</v>
      </c>
      <c r="AM318" s="4">
        <f t="shared" si="68"/>
        <v>0</v>
      </c>
      <c r="AN318" s="4">
        <f t="shared" si="62"/>
        <v>0</v>
      </c>
      <c r="AO318" s="39"/>
      <c r="AP318" s="8">
        <f t="shared" si="69"/>
        <v>279449.7</v>
      </c>
      <c r="AQ318" s="8">
        <f t="shared" si="69"/>
        <v>33076.5</v>
      </c>
      <c r="AR318" s="8">
        <f t="shared" si="63"/>
        <v>312526.2</v>
      </c>
      <c r="AS318" s="42"/>
      <c r="AT318" s="48"/>
      <c r="AU318" s="48"/>
      <c r="AV318" s="4">
        <f t="shared" si="64"/>
        <v>0</v>
      </c>
      <c r="AW318" s="50" t="str">
        <f t="shared" si="65"/>
        <v/>
      </c>
      <c r="AX318" s="1" t="s">
        <v>1703</v>
      </c>
      <c r="AY318" s="2" t="s">
        <v>1704</v>
      </c>
      <c r="AZ318" s="2">
        <v>74519.92</v>
      </c>
      <c r="BA318" s="73">
        <v>65204.93</v>
      </c>
      <c r="BB318" s="73">
        <v>65204.93</v>
      </c>
      <c r="BC318" s="73">
        <v>74519.92</v>
      </c>
      <c r="BD318" s="73"/>
      <c r="BE318" s="66">
        <v>0</v>
      </c>
      <c r="BF318" s="66">
        <v>0.05</v>
      </c>
      <c r="BG318" s="63">
        <v>44644</v>
      </c>
      <c r="BH318" s="2"/>
      <c r="BI318" s="2"/>
      <c r="BJ318" s="2">
        <v>299990.25</v>
      </c>
      <c r="BK318" s="2">
        <v>33332.26</v>
      </c>
      <c r="BL318" s="1" t="s">
        <v>311</v>
      </c>
    </row>
    <row r="319" spans="1:64" x14ac:dyDescent="0.25">
      <c r="A319" s="56" t="s">
        <v>557</v>
      </c>
      <c r="B319" s="54" t="s">
        <v>1169</v>
      </c>
      <c r="C319" s="56" t="s">
        <v>1170</v>
      </c>
      <c r="D319" s="16">
        <v>43037</v>
      </c>
      <c r="E319" s="17">
        <v>45689</v>
      </c>
      <c r="F319" s="2" t="s">
        <v>414</v>
      </c>
      <c r="G319" s="2" t="s">
        <v>415</v>
      </c>
      <c r="H319" s="10" t="s">
        <v>105</v>
      </c>
      <c r="I319" s="11" t="s">
        <v>53</v>
      </c>
      <c r="J319" s="11" t="s">
        <v>312</v>
      </c>
      <c r="K319" s="61"/>
      <c r="L319" s="11" t="s">
        <v>67</v>
      </c>
      <c r="M319" s="25"/>
      <c r="N319" s="54"/>
      <c r="O319" s="3" t="str">
        <f t="shared" si="75"/>
        <v>A</v>
      </c>
      <c r="P319" s="48"/>
      <c r="Q319" s="48"/>
      <c r="R319" s="32"/>
      <c r="S319" s="3" t="str">
        <f t="shared" si="76"/>
        <v>A</v>
      </c>
      <c r="T319" s="48"/>
      <c r="U319" s="48"/>
      <c r="V319" s="32"/>
      <c r="W319" s="3" t="str">
        <f t="shared" si="59"/>
        <v>A</v>
      </c>
      <c r="X319" s="48"/>
      <c r="Y319" s="48"/>
      <c r="Z319" s="32"/>
      <c r="AA319" s="3" t="str">
        <f t="shared" si="60"/>
        <v>A</v>
      </c>
      <c r="AB319" s="48"/>
      <c r="AC319" s="48"/>
      <c r="AD319" s="36"/>
      <c r="AE319" s="54"/>
      <c r="AF319" s="3" t="str">
        <f t="shared" si="61"/>
        <v>A</v>
      </c>
      <c r="AG319" s="48"/>
      <c r="AH319" s="48"/>
      <c r="AI319" s="39"/>
      <c r="AJ319" s="79" t="s">
        <v>1801</v>
      </c>
      <c r="AK319" s="39"/>
      <c r="AL319" s="4">
        <f t="shared" si="68"/>
        <v>0</v>
      </c>
      <c r="AM319" s="4">
        <f t="shared" si="68"/>
        <v>0</v>
      </c>
      <c r="AN319" s="4">
        <f t="shared" si="62"/>
        <v>0</v>
      </c>
      <c r="AO319" s="39"/>
      <c r="AP319" s="8">
        <f t="shared" si="69"/>
        <v>0</v>
      </c>
      <c r="AQ319" s="8">
        <f t="shared" si="69"/>
        <v>0</v>
      </c>
      <c r="AR319" s="8">
        <f t="shared" si="63"/>
        <v>0</v>
      </c>
      <c r="AS319" s="42"/>
      <c r="AT319" s="48"/>
      <c r="AU319" s="48"/>
      <c r="AV319" s="4">
        <f t="shared" si="64"/>
        <v>0</v>
      </c>
      <c r="AW319" s="50" t="str">
        <f t="shared" si="65"/>
        <v/>
      </c>
      <c r="AX319" s="1" t="s">
        <v>1703</v>
      </c>
      <c r="AY319" s="2" t="s">
        <v>1704</v>
      </c>
      <c r="AZ319" s="2"/>
      <c r="BA319" s="73"/>
      <c r="BB319" s="73"/>
      <c r="BC319" s="73"/>
      <c r="BD319" s="73"/>
      <c r="BE319" s="66">
        <v>0.04</v>
      </c>
      <c r="BF319" s="66">
        <v>0.05</v>
      </c>
      <c r="BG319" s="63">
        <v>44544</v>
      </c>
      <c r="BH319" s="74">
        <v>45689</v>
      </c>
      <c r="BI319" s="2"/>
      <c r="BJ319" s="2">
        <v>455900.4</v>
      </c>
      <c r="BK319" s="2">
        <v>50655.6</v>
      </c>
      <c r="BL319" s="1" t="s">
        <v>311</v>
      </c>
    </row>
    <row r="320" spans="1:64" x14ac:dyDescent="0.25">
      <c r="A320" s="56" t="s">
        <v>559</v>
      </c>
      <c r="B320" s="54" t="s">
        <v>559</v>
      </c>
      <c r="C320" s="56" t="s">
        <v>560</v>
      </c>
      <c r="D320" s="16">
        <v>43054</v>
      </c>
      <c r="E320" s="17"/>
      <c r="F320" s="2" t="s">
        <v>187</v>
      </c>
      <c r="G320" s="2" t="s">
        <v>189</v>
      </c>
      <c r="H320" s="10" t="s">
        <v>57</v>
      </c>
      <c r="I320" s="11" t="s">
        <v>188</v>
      </c>
      <c r="J320" s="11" t="s">
        <v>190</v>
      </c>
      <c r="K320" s="61" t="s">
        <v>191</v>
      </c>
      <c r="L320" s="11" t="s">
        <v>67</v>
      </c>
      <c r="M320" s="25"/>
      <c r="N320" s="54"/>
      <c r="O320" s="3" t="str">
        <f t="shared" si="75"/>
        <v>A</v>
      </c>
      <c r="P320" s="48">
        <v>247729.21</v>
      </c>
      <c r="Q320" s="48">
        <v>39785</v>
      </c>
      <c r="R320" s="32"/>
      <c r="S320" s="3" t="str">
        <f t="shared" si="76"/>
        <v>A</v>
      </c>
      <c r="T320" s="48">
        <v>193449.74999999997</v>
      </c>
      <c r="U320" s="48">
        <v>43137</v>
      </c>
      <c r="V320" s="32"/>
      <c r="W320" s="3" t="str">
        <f t="shared" si="59"/>
        <v>A</v>
      </c>
      <c r="X320" s="48">
        <v>166366.79999999999</v>
      </c>
      <c r="Y320" s="48">
        <v>36258</v>
      </c>
      <c r="Z320" s="32"/>
      <c r="AA320" s="3" t="str">
        <f t="shared" si="60"/>
        <v>A</v>
      </c>
      <c r="AB320" s="48">
        <v>179005.03999999998</v>
      </c>
      <c r="AC320" s="48">
        <v>29818</v>
      </c>
      <c r="AD320" s="36"/>
      <c r="AE320" s="54"/>
      <c r="AF320" s="3" t="str">
        <f t="shared" si="61"/>
        <v>A</v>
      </c>
      <c r="AG320" s="48">
        <v>0</v>
      </c>
      <c r="AH320" s="48">
        <v>0</v>
      </c>
      <c r="AI320" s="39"/>
      <c r="AJ320" s="79" t="s">
        <v>1801</v>
      </c>
      <c r="AK320" s="39"/>
      <c r="AL320" s="4">
        <f t="shared" si="68"/>
        <v>786550.8</v>
      </c>
      <c r="AM320" s="4">
        <f t="shared" si="68"/>
        <v>148998</v>
      </c>
      <c r="AN320" s="4">
        <f t="shared" si="62"/>
        <v>935548.8</v>
      </c>
      <c r="AO320" s="39"/>
      <c r="AP320" s="8">
        <f t="shared" si="69"/>
        <v>0</v>
      </c>
      <c r="AQ320" s="8">
        <f t="shared" si="69"/>
        <v>0</v>
      </c>
      <c r="AR320" s="8">
        <f t="shared" si="63"/>
        <v>0</v>
      </c>
      <c r="AS320" s="42"/>
      <c r="AT320" s="48">
        <v>786550.8</v>
      </c>
      <c r="AU320" s="48">
        <v>148998</v>
      </c>
      <c r="AV320" s="4">
        <f t="shared" si="64"/>
        <v>935548.8</v>
      </c>
      <c r="AW320" s="50" t="str">
        <f t="shared" si="65"/>
        <v/>
      </c>
      <c r="AX320" s="1" t="s">
        <v>1639</v>
      </c>
      <c r="AY320" s="2" t="s">
        <v>1640</v>
      </c>
      <c r="AZ320" s="2">
        <v>133448.95999999999</v>
      </c>
      <c r="BA320" s="73">
        <v>116767.84</v>
      </c>
      <c r="BB320" s="73">
        <v>116767.84</v>
      </c>
      <c r="BC320" s="73">
        <v>133448.95999999999</v>
      </c>
      <c r="BD320" s="73"/>
      <c r="BE320" s="66">
        <v>0</v>
      </c>
      <c r="BF320" s="66">
        <v>0.02</v>
      </c>
      <c r="BG320" s="63">
        <v>44768</v>
      </c>
      <c r="BH320" s="2"/>
      <c r="BI320" s="2"/>
      <c r="BJ320" s="2"/>
      <c r="BK320" s="2"/>
      <c r="BL320" s="1" t="s">
        <v>56</v>
      </c>
    </row>
    <row r="321" spans="1:64" x14ac:dyDescent="0.25">
      <c r="A321" s="56" t="s">
        <v>559</v>
      </c>
      <c r="B321" s="54" t="s">
        <v>1286</v>
      </c>
      <c r="C321" s="56" t="s">
        <v>1287</v>
      </c>
      <c r="D321" s="16">
        <v>0</v>
      </c>
      <c r="E321" s="17"/>
      <c r="F321" s="2" t="s">
        <v>187</v>
      </c>
      <c r="G321" s="2" t="s">
        <v>189</v>
      </c>
      <c r="H321" s="10" t="s">
        <v>57</v>
      </c>
      <c r="I321" s="11" t="s">
        <v>188</v>
      </c>
      <c r="J321" s="11" t="s">
        <v>190</v>
      </c>
      <c r="K321" s="61" t="s">
        <v>191</v>
      </c>
      <c r="L321" s="11" t="s">
        <v>67</v>
      </c>
      <c r="M321" s="25"/>
      <c r="N321" s="54"/>
      <c r="O321" s="3" t="str">
        <f>IF($A321="","",IF(P321=AZ321,"E","A"))</f>
        <v>A</v>
      </c>
      <c r="P321" s="48">
        <v>122954</v>
      </c>
      <c r="Q321" s="48">
        <v>13038</v>
      </c>
      <c r="R321" s="32"/>
      <c r="S321" s="3" t="str">
        <f t="shared" si="76"/>
        <v>A</v>
      </c>
      <c r="T321" s="48">
        <v>98307</v>
      </c>
      <c r="U321" s="48">
        <v>13805</v>
      </c>
      <c r="V321" s="32"/>
      <c r="W321" s="3" t="str">
        <f t="shared" si="59"/>
        <v>A</v>
      </c>
      <c r="X321" s="48">
        <v>81755</v>
      </c>
      <c r="Y321" s="48">
        <v>8454</v>
      </c>
      <c r="Z321" s="32"/>
      <c r="AA321" s="3" t="str">
        <f t="shared" si="60"/>
        <v>A</v>
      </c>
      <c r="AB321" s="48">
        <v>93987</v>
      </c>
      <c r="AC321" s="48">
        <v>12453</v>
      </c>
      <c r="AD321" s="36"/>
      <c r="AE321" s="54"/>
      <c r="AF321" s="3" t="str">
        <f t="shared" si="61"/>
        <v>A</v>
      </c>
      <c r="AG321" s="48">
        <v>0</v>
      </c>
      <c r="AH321" s="48">
        <v>0</v>
      </c>
      <c r="AI321" s="39"/>
      <c r="AJ321" s="79" t="s">
        <v>1801</v>
      </c>
      <c r="AK321" s="39"/>
      <c r="AL321" s="4">
        <f t="shared" si="68"/>
        <v>397003</v>
      </c>
      <c r="AM321" s="4">
        <f t="shared" si="68"/>
        <v>47750</v>
      </c>
      <c r="AN321" s="4">
        <f t="shared" si="62"/>
        <v>444753</v>
      </c>
      <c r="AO321" s="39"/>
      <c r="AP321" s="8">
        <f t="shared" si="69"/>
        <v>0</v>
      </c>
      <c r="AQ321" s="8">
        <f t="shared" si="69"/>
        <v>0</v>
      </c>
      <c r="AR321" s="8">
        <f t="shared" si="63"/>
        <v>0</v>
      </c>
      <c r="AS321" s="42"/>
      <c r="AT321" s="48">
        <v>397003</v>
      </c>
      <c r="AU321" s="48">
        <v>47750</v>
      </c>
      <c r="AV321" s="4">
        <f t="shared" si="64"/>
        <v>444753</v>
      </c>
      <c r="AW321" s="50" t="str">
        <f t="shared" si="65"/>
        <v/>
      </c>
      <c r="AX321" s="1" t="s">
        <v>1639</v>
      </c>
      <c r="AY321" s="2" t="s">
        <v>1640</v>
      </c>
      <c r="AZ321" s="2">
        <v>152619.6</v>
      </c>
      <c r="BA321" s="73">
        <v>133542.15</v>
      </c>
      <c r="BB321" s="73">
        <v>133542.15</v>
      </c>
      <c r="BC321" s="73">
        <v>152619.6</v>
      </c>
      <c r="BD321" s="73"/>
      <c r="BE321" s="66">
        <v>0</v>
      </c>
      <c r="BF321" s="66">
        <v>0.02</v>
      </c>
      <c r="BG321" s="63">
        <v>45377</v>
      </c>
      <c r="BH321" s="2"/>
      <c r="BI321" s="2"/>
      <c r="BJ321" s="2">
        <v>553476.85</v>
      </c>
      <c r="BK321" s="2">
        <v>102056.93</v>
      </c>
      <c r="BL321" s="1" t="s">
        <v>56</v>
      </c>
    </row>
    <row r="322" spans="1:64" x14ac:dyDescent="0.25">
      <c r="A322" s="56" t="s">
        <v>561</v>
      </c>
      <c r="B322" s="54" t="s">
        <v>561</v>
      </c>
      <c r="C322" s="56" t="s">
        <v>562</v>
      </c>
      <c r="D322" s="16">
        <v>43001</v>
      </c>
      <c r="E322" s="17"/>
      <c r="F322" s="2" t="s">
        <v>76</v>
      </c>
      <c r="G322" s="2" t="s">
        <v>78</v>
      </c>
      <c r="H322" s="10" t="s">
        <v>57</v>
      </c>
      <c r="I322" s="11" t="s">
        <v>77</v>
      </c>
      <c r="J322" s="11" t="s">
        <v>79</v>
      </c>
      <c r="K322" s="61" t="s">
        <v>80</v>
      </c>
      <c r="L322" s="11" t="s">
        <v>67</v>
      </c>
      <c r="M322" s="25"/>
      <c r="N322" s="54"/>
      <c r="O322" s="3" t="str">
        <f t="shared" ref="O322:O385" si="77">IF($A322="","",IF(P322=0,"A",IF(P322=AZ322,"E","A")))</f>
        <v>A</v>
      </c>
      <c r="P322" s="48">
        <v>63129.799999999996</v>
      </c>
      <c r="Q322" s="48">
        <v>16545</v>
      </c>
      <c r="R322" s="32"/>
      <c r="S322" s="3" t="str">
        <f t="shared" si="76"/>
        <v>A</v>
      </c>
      <c r="T322" s="48">
        <v>55284</v>
      </c>
      <c r="U322" s="48">
        <v>13841</v>
      </c>
      <c r="V322" s="32"/>
      <c r="W322" s="3" t="str">
        <f t="shared" si="59"/>
        <v>A</v>
      </c>
      <c r="X322" s="48">
        <v>48195</v>
      </c>
      <c r="Y322" s="48">
        <v>10921</v>
      </c>
      <c r="Z322" s="32"/>
      <c r="AA322" s="3" t="str">
        <f t="shared" si="60"/>
        <v>A</v>
      </c>
      <c r="AB322" s="48">
        <v>57275.229999999996</v>
      </c>
      <c r="AC322" s="48">
        <v>15321.779999999999</v>
      </c>
      <c r="AD322" s="36"/>
      <c r="AE322" s="54"/>
      <c r="AF322" s="3" t="str">
        <f t="shared" si="61"/>
        <v>A</v>
      </c>
      <c r="AG322" s="48">
        <v>0</v>
      </c>
      <c r="AH322" s="48">
        <v>0</v>
      </c>
      <c r="AI322" s="39"/>
      <c r="AJ322" s="79" t="s">
        <v>1801</v>
      </c>
      <c r="AK322" s="39"/>
      <c r="AL322" s="4">
        <f t="shared" si="68"/>
        <v>223884.02999999997</v>
      </c>
      <c r="AM322" s="4">
        <f t="shared" si="68"/>
        <v>56628.78</v>
      </c>
      <c r="AN322" s="4">
        <f t="shared" si="62"/>
        <v>280512.80999999994</v>
      </c>
      <c r="AO322" s="39"/>
      <c r="AP322" s="8">
        <f t="shared" si="69"/>
        <v>0</v>
      </c>
      <c r="AQ322" s="8">
        <f t="shared" si="69"/>
        <v>0</v>
      </c>
      <c r="AR322" s="8">
        <f t="shared" si="63"/>
        <v>0</v>
      </c>
      <c r="AS322" s="42"/>
      <c r="AT322" s="48">
        <v>223884.03</v>
      </c>
      <c r="AU322" s="48">
        <v>56628.78</v>
      </c>
      <c r="AV322" s="4">
        <f t="shared" si="64"/>
        <v>280512.81</v>
      </c>
      <c r="AW322" s="50" t="str">
        <f t="shared" si="65"/>
        <v/>
      </c>
      <c r="AX322" s="1" t="s">
        <v>1639</v>
      </c>
      <c r="AY322" s="2" t="s">
        <v>1640</v>
      </c>
      <c r="AZ322" s="2">
        <v>90992.88</v>
      </c>
      <c r="BA322" s="73">
        <v>79618.77</v>
      </c>
      <c r="BB322" s="73">
        <v>79618.77</v>
      </c>
      <c r="BC322" s="73">
        <v>90992.88</v>
      </c>
      <c r="BD322" s="73"/>
      <c r="BE322" s="66">
        <v>0</v>
      </c>
      <c r="BF322" s="66">
        <v>0.02</v>
      </c>
      <c r="BG322" s="63">
        <v>44812</v>
      </c>
      <c r="BH322" s="2"/>
      <c r="BI322" s="2"/>
      <c r="BJ322" s="2"/>
      <c r="BK322" s="2"/>
      <c r="BL322" s="1" t="s">
        <v>56</v>
      </c>
    </row>
    <row r="323" spans="1:64" x14ac:dyDescent="0.25">
      <c r="A323" s="56" t="s">
        <v>561</v>
      </c>
      <c r="B323" s="54" t="s">
        <v>807</v>
      </c>
      <c r="C323" s="56" t="s">
        <v>808</v>
      </c>
      <c r="D323" s="16">
        <v>43085</v>
      </c>
      <c r="E323" s="17"/>
      <c r="F323" s="2" t="s">
        <v>76</v>
      </c>
      <c r="G323" s="2" t="s">
        <v>78</v>
      </c>
      <c r="H323" s="10" t="s">
        <v>57</v>
      </c>
      <c r="I323" s="11" t="s">
        <v>77</v>
      </c>
      <c r="J323" s="11" t="s">
        <v>79</v>
      </c>
      <c r="K323" s="61" t="s">
        <v>80</v>
      </c>
      <c r="L323" s="11" t="s">
        <v>67</v>
      </c>
      <c r="M323" s="25"/>
      <c r="N323" s="54"/>
      <c r="O323" s="3" t="str">
        <f t="shared" si="77"/>
        <v>A</v>
      </c>
      <c r="P323" s="48">
        <v>75859</v>
      </c>
      <c r="Q323" s="48">
        <v>26190</v>
      </c>
      <c r="R323" s="32"/>
      <c r="S323" s="3" t="str">
        <f t="shared" si="76"/>
        <v>A</v>
      </c>
      <c r="T323" s="48">
        <v>64333</v>
      </c>
      <c r="U323" s="48">
        <v>19847</v>
      </c>
      <c r="V323" s="32"/>
      <c r="W323" s="3" t="str">
        <f t="shared" si="59"/>
        <v>A</v>
      </c>
      <c r="X323" s="48">
        <v>59067</v>
      </c>
      <c r="Y323" s="48">
        <v>21149</v>
      </c>
      <c r="Z323" s="32"/>
      <c r="AA323" s="3" t="str">
        <f t="shared" si="60"/>
        <v>A</v>
      </c>
      <c r="AB323" s="48">
        <v>63124</v>
      </c>
      <c r="AC323" s="48">
        <v>23772</v>
      </c>
      <c r="AD323" s="36"/>
      <c r="AE323" s="54"/>
      <c r="AF323" s="3" t="str">
        <f t="shared" si="61"/>
        <v>A</v>
      </c>
      <c r="AG323" s="48">
        <v>0</v>
      </c>
      <c r="AH323" s="48">
        <v>0</v>
      </c>
      <c r="AI323" s="39"/>
      <c r="AJ323" s="79" t="s">
        <v>1801</v>
      </c>
      <c r="AK323" s="39"/>
      <c r="AL323" s="4">
        <f t="shared" si="68"/>
        <v>262383</v>
      </c>
      <c r="AM323" s="4">
        <f t="shared" si="68"/>
        <v>90958</v>
      </c>
      <c r="AN323" s="4">
        <f t="shared" si="62"/>
        <v>353341</v>
      </c>
      <c r="AO323" s="39"/>
      <c r="AP323" s="8">
        <f t="shared" si="69"/>
        <v>0</v>
      </c>
      <c r="AQ323" s="8">
        <f t="shared" si="69"/>
        <v>0</v>
      </c>
      <c r="AR323" s="8">
        <f t="shared" si="63"/>
        <v>0</v>
      </c>
      <c r="AS323" s="42"/>
      <c r="AT323" s="48">
        <v>262383</v>
      </c>
      <c r="AU323" s="48">
        <v>90958</v>
      </c>
      <c r="AV323" s="4">
        <f t="shared" si="64"/>
        <v>353341</v>
      </c>
      <c r="AW323" s="50" t="str">
        <f t="shared" si="65"/>
        <v/>
      </c>
      <c r="AX323" s="1" t="s">
        <v>1639</v>
      </c>
      <c r="AY323" s="2" t="s">
        <v>1640</v>
      </c>
      <c r="AZ323" s="2">
        <v>72580.320000000007</v>
      </c>
      <c r="BA323" s="73">
        <v>63507.78</v>
      </c>
      <c r="BB323" s="73">
        <v>63507.78</v>
      </c>
      <c r="BC323" s="73">
        <v>72580.320000000007</v>
      </c>
      <c r="BD323" s="73"/>
      <c r="BE323" s="66">
        <v>0</v>
      </c>
      <c r="BF323" s="66">
        <v>0.02</v>
      </c>
      <c r="BG323" s="63">
        <v>44812</v>
      </c>
      <c r="BH323" s="2"/>
      <c r="BI323" s="2"/>
      <c r="BJ323" s="2"/>
      <c r="BK323" s="2"/>
      <c r="BL323" s="1" t="s">
        <v>56</v>
      </c>
    </row>
    <row r="324" spans="1:64" x14ac:dyDescent="0.25">
      <c r="A324" s="56" t="s">
        <v>563</v>
      </c>
      <c r="B324" s="54" t="s">
        <v>563</v>
      </c>
      <c r="C324" s="56" t="s">
        <v>564</v>
      </c>
      <c r="D324" s="16">
        <v>42985</v>
      </c>
      <c r="E324" s="17"/>
      <c r="F324" s="2" t="s">
        <v>243</v>
      </c>
      <c r="G324" s="2" t="s">
        <v>245</v>
      </c>
      <c r="H324" s="10" t="s">
        <v>57</v>
      </c>
      <c r="I324" s="11" t="s">
        <v>244</v>
      </c>
      <c r="J324" s="11" t="s">
        <v>478</v>
      </c>
      <c r="K324" s="61" t="s">
        <v>479</v>
      </c>
      <c r="L324" s="11" t="s">
        <v>67</v>
      </c>
      <c r="M324" s="25"/>
      <c r="N324" s="54"/>
      <c r="O324" s="3" t="str">
        <f t="shared" si="77"/>
        <v>A</v>
      </c>
      <c r="P324" s="48">
        <v>99515</v>
      </c>
      <c r="Q324" s="48">
        <v>16291</v>
      </c>
      <c r="R324" s="32"/>
      <c r="S324" s="3" t="str">
        <f t="shared" si="76"/>
        <v>A</v>
      </c>
      <c r="T324" s="48">
        <v>97756</v>
      </c>
      <c r="U324" s="48">
        <v>15702</v>
      </c>
      <c r="V324" s="32"/>
      <c r="W324" s="3" t="str">
        <f t="shared" si="59"/>
        <v>A</v>
      </c>
      <c r="X324" s="48">
        <v>81982</v>
      </c>
      <c r="Y324" s="48">
        <v>8074</v>
      </c>
      <c r="Z324" s="32"/>
      <c r="AA324" s="3" t="str">
        <f t="shared" si="60"/>
        <v>A</v>
      </c>
      <c r="AB324" s="48">
        <v>88108</v>
      </c>
      <c r="AC324" s="48">
        <v>11093</v>
      </c>
      <c r="AD324" s="36"/>
      <c r="AE324" s="54"/>
      <c r="AF324" s="3" t="str">
        <f t="shared" si="61"/>
        <v>A</v>
      </c>
      <c r="AG324" s="48">
        <v>0</v>
      </c>
      <c r="AH324" s="48">
        <v>0</v>
      </c>
      <c r="AI324" s="39"/>
      <c r="AJ324" s="79" t="s">
        <v>1801</v>
      </c>
      <c r="AK324" s="39"/>
      <c r="AL324" s="4">
        <f t="shared" si="68"/>
        <v>367361</v>
      </c>
      <c r="AM324" s="4">
        <f t="shared" si="68"/>
        <v>51160</v>
      </c>
      <c r="AN324" s="4">
        <f t="shared" si="62"/>
        <v>418521</v>
      </c>
      <c r="AO324" s="39"/>
      <c r="AP324" s="8">
        <f t="shared" si="69"/>
        <v>0</v>
      </c>
      <c r="AQ324" s="8">
        <f t="shared" si="69"/>
        <v>0</v>
      </c>
      <c r="AR324" s="8">
        <f t="shared" si="63"/>
        <v>0</v>
      </c>
      <c r="AS324" s="42"/>
      <c r="AT324" s="48">
        <v>367361</v>
      </c>
      <c r="AU324" s="48">
        <v>51160</v>
      </c>
      <c r="AV324" s="4">
        <f t="shared" si="64"/>
        <v>418521</v>
      </c>
      <c r="AW324" s="50" t="str">
        <f t="shared" si="65"/>
        <v/>
      </c>
      <c r="AX324" s="1" t="s">
        <v>1639</v>
      </c>
      <c r="AY324" s="2" t="s">
        <v>1640</v>
      </c>
      <c r="AZ324" s="2">
        <v>123668.96</v>
      </c>
      <c r="BA324" s="73">
        <v>108210.34</v>
      </c>
      <c r="BB324" s="73">
        <v>108210.34</v>
      </c>
      <c r="BC324" s="73">
        <v>123668.96</v>
      </c>
      <c r="BD324" s="73"/>
      <c r="BE324" s="66">
        <v>0</v>
      </c>
      <c r="BF324" s="66">
        <v>0.02</v>
      </c>
      <c r="BG324" s="63">
        <v>44647</v>
      </c>
      <c r="BH324" s="74">
        <v>44739</v>
      </c>
      <c r="BI324" s="74">
        <v>45556</v>
      </c>
      <c r="BJ324" s="2"/>
      <c r="BK324" s="2"/>
      <c r="BL324" s="1" t="s">
        <v>396</v>
      </c>
    </row>
    <row r="325" spans="1:64" x14ac:dyDescent="0.25">
      <c r="A325" s="56" t="s">
        <v>563</v>
      </c>
      <c r="B325" s="54" t="s">
        <v>898</v>
      </c>
      <c r="C325" s="56" t="s">
        <v>899</v>
      </c>
      <c r="D325" s="16">
        <v>0</v>
      </c>
      <c r="E325" s="17"/>
      <c r="F325" s="2" t="s">
        <v>243</v>
      </c>
      <c r="G325" s="2" t="s">
        <v>245</v>
      </c>
      <c r="H325" s="10" t="s">
        <v>57</v>
      </c>
      <c r="I325" s="11" t="s">
        <v>244</v>
      </c>
      <c r="J325" s="11" t="s">
        <v>478</v>
      </c>
      <c r="K325" s="61" t="s">
        <v>479</v>
      </c>
      <c r="L325" s="11" t="s">
        <v>67</v>
      </c>
      <c r="M325" s="25"/>
      <c r="N325" s="54"/>
      <c r="O325" s="3" t="str">
        <f t="shared" si="77"/>
        <v>A</v>
      </c>
      <c r="P325" s="48">
        <v>56704</v>
      </c>
      <c r="Q325" s="48">
        <v>17143</v>
      </c>
      <c r="R325" s="32"/>
      <c r="S325" s="3" t="str">
        <f t="shared" si="76"/>
        <v>A</v>
      </c>
      <c r="T325" s="48">
        <v>54062</v>
      </c>
      <c r="U325" s="48">
        <v>16362</v>
      </c>
      <c r="V325" s="32"/>
      <c r="W325" s="3" t="str">
        <f t="shared" si="59"/>
        <v>A</v>
      </c>
      <c r="X325" s="48">
        <v>47352</v>
      </c>
      <c r="Y325" s="48">
        <v>11520</v>
      </c>
      <c r="Z325" s="32"/>
      <c r="AA325" s="3" t="str">
        <f t="shared" si="60"/>
        <v>A</v>
      </c>
      <c r="AB325" s="48">
        <v>54716</v>
      </c>
      <c r="AC325" s="48">
        <v>12230</v>
      </c>
      <c r="AD325" s="36"/>
      <c r="AE325" s="54"/>
      <c r="AF325" s="3" t="str">
        <f t="shared" si="61"/>
        <v>A</v>
      </c>
      <c r="AG325" s="48">
        <v>0</v>
      </c>
      <c r="AH325" s="48">
        <v>0</v>
      </c>
      <c r="AI325" s="39"/>
      <c r="AJ325" s="79" t="s">
        <v>1801</v>
      </c>
      <c r="AK325" s="39"/>
      <c r="AL325" s="4">
        <f t="shared" si="68"/>
        <v>212834</v>
      </c>
      <c r="AM325" s="4">
        <f t="shared" si="68"/>
        <v>57255</v>
      </c>
      <c r="AN325" s="4">
        <f t="shared" si="62"/>
        <v>270089</v>
      </c>
      <c r="AO325" s="39"/>
      <c r="AP325" s="8">
        <f t="shared" si="69"/>
        <v>0</v>
      </c>
      <c r="AQ325" s="8">
        <f t="shared" si="69"/>
        <v>0</v>
      </c>
      <c r="AR325" s="8">
        <f t="shared" si="63"/>
        <v>0</v>
      </c>
      <c r="AS325" s="42"/>
      <c r="AT325" s="48">
        <v>212834</v>
      </c>
      <c r="AU325" s="48">
        <v>57255</v>
      </c>
      <c r="AV325" s="4">
        <f t="shared" si="64"/>
        <v>270089</v>
      </c>
      <c r="AW325" s="50" t="str">
        <f t="shared" si="65"/>
        <v/>
      </c>
      <c r="AX325" s="1" t="s">
        <v>1639</v>
      </c>
      <c r="AY325" s="2" t="s">
        <v>1640</v>
      </c>
      <c r="AZ325" s="2">
        <v>72312.240000000005</v>
      </c>
      <c r="BA325" s="73">
        <v>63273.21</v>
      </c>
      <c r="BB325" s="73">
        <v>63273.21</v>
      </c>
      <c r="BC325" s="73">
        <v>72312.240000000005</v>
      </c>
      <c r="BD325" s="73"/>
      <c r="BE325" s="66">
        <v>0</v>
      </c>
      <c r="BF325" s="66">
        <v>0.02</v>
      </c>
      <c r="BG325" s="63">
        <v>44647</v>
      </c>
      <c r="BH325" s="2"/>
      <c r="BI325" s="2"/>
      <c r="BJ325" s="2"/>
      <c r="BK325" s="2"/>
      <c r="BL325" s="1" t="s">
        <v>396</v>
      </c>
    </row>
    <row r="326" spans="1:64" x14ac:dyDescent="0.25">
      <c r="A326" s="56" t="s">
        <v>565</v>
      </c>
      <c r="B326" s="54" t="s">
        <v>565</v>
      </c>
      <c r="C326" s="56" t="s">
        <v>566</v>
      </c>
      <c r="D326" s="16">
        <v>42915</v>
      </c>
      <c r="E326" s="17"/>
      <c r="F326" s="2" t="s">
        <v>235</v>
      </c>
      <c r="G326" s="2" t="s">
        <v>236</v>
      </c>
      <c r="H326" s="10" t="s">
        <v>98</v>
      </c>
      <c r="I326" s="11" t="s">
        <v>53</v>
      </c>
      <c r="J326" s="11" t="s">
        <v>238</v>
      </c>
      <c r="K326" s="61"/>
      <c r="L326" s="11" t="s">
        <v>67</v>
      </c>
      <c r="M326" s="25"/>
      <c r="N326" s="54"/>
      <c r="O326" s="3" t="str">
        <f t="shared" si="77"/>
        <v>A</v>
      </c>
      <c r="P326" s="48">
        <v>222560</v>
      </c>
      <c r="Q326" s="48">
        <v>11496</v>
      </c>
      <c r="R326" s="32"/>
      <c r="S326" s="3" t="str">
        <f t="shared" si="76"/>
        <v>A</v>
      </c>
      <c r="T326" s="48">
        <v>198075</v>
      </c>
      <c r="U326" s="48">
        <v>13153</v>
      </c>
      <c r="V326" s="32"/>
      <c r="W326" s="3" t="str">
        <f t="shared" si="59"/>
        <v>A</v>
      </c>
      <c r="X326" s="48">
        <v>206283</v>
      </c>
      <c r="Y326" s="48">
        <v>12327</v>
      </c>
      <c r="Z326" s="32"/>
      <c r="AA326" s="3" t="str">
        <f t="shared" si="60"/>
        <v>A</v>
      </c>
      <c r="AB326" s="48">
        <v>249402</v>
      </c>
      <c r="AC326" s="48">
        <v>13864</v>
      </c>
      <c r="AD326" s="36"/>
      <c r="AE326" s="54"/>
      <c r="AF326" s="3" t="str">
        <f t="shared" si="61"/>
        <v>A</v>
      </c>
      <c r="AG326" s="48">
        <v>0</v>
      </c>
      <c r="AH326" s="48">
        <v>0</v>
      </c>
      <c r="AI326" s="39"/>
      <c r="AJ326" s="79" t="s">
        <v>1801</v>
      </c>
      <c r="AK326" s="39"/>
      <c r="AL326" s="4">
        <f t="shared" si="68"/>
        <v>876320</v>
      </c>
      <c r="AM326" s="4">
        <f t="shared" si="68"/>
        <v>50840</v>
      </c>
      <c r="AN326" s="4">
        <f t="shared" si="62"/>
        <v>927160</v>
      </c>
      <c r="AO326" s="39"/>
      <c r="AP326" s="8">
        <f t="shared" si="69"/>
        <v>0</v>
      </c>
      <c r="AQ326" s="8">
        <f t="shared" si="69"/>
        <v>0</v>
      </c>
      <c r="AR326" s="8">
        <f t="shared" si="63"/>
        <v>0</v>
      </c>
      <c r="AS326" s="42"/>
      <c r="AT326" s="48">
        <v>876320</v>
      </c>
      <c r="AU326" s="48">
        <v>50840</v>
      </c>
      <c r="AV326" s="4">
        <f t="shared" si="64"/>
        <v>927160</v>
      </c>
      <c r="AW326" s="50" t="str">
        <f t="shared" si="65"/>
        <v/>
      </c>
      <c r="AX326" s="1" t="s">
        <v>1662</v>
      </c>
      <c r="AY326" s="2" t="s">
        <v>1663</v>
      </c>
      <c r="AZ326" s="2">
        <v>154866.23999999999</v>
      </c>
      <c r="BA326" s="73">
        <v>135507.96</v>
      </c>
      <c r="BB326" s="73">
        <v>135507.96</v>
      </c>
      <c r="BC326" s="73">
        <v>154866.23999999999</v>
      </c>
      <c r="BD326" s="73"/>
      <c r="BE326" s="66">
        <v>0.04</v>
      </c>
      <c r="BF326" s="66">
        <v>0.05</v>
      </c>
      <c r="BG326" s="63">
        <v>44734</v>
      </c>
      <c r="BH326" s="74">
        <v>43906</v>
      </c>
      <c r="BI326" s="74">
        <v>43928</v>
      </c>
      <c r="BJ326" s="2"/>
      <c r="BK326" s="2"/>
      <c r="BL326" s="1" t="s">
        <v>237</v>
      </c>
    </row>
    <row r="327" spans="1:64" x14ac:dyDescent="0.25">
      <c r="A327" s="56" t="s">
        <v>567</v>
      </c>
      <c r="B327" s="54" t="s">
        <v>567</v>
      </c>
      <c r="C327" s="56" t="s">
        <v>568</v>
      </c>
      <c r="D327" s="16">
        <v>41754</v>
      </c>
      <c r="E327" s="17"/>
      <c r="F327" s="2" t="s">
        <v>187</v>
      </c>
      <c r="G327" s="2" t="s">
        <v>189</v>
      </c>
      <c r="H327" s="10" t="s">
        <v>57</v>
      </c>
      <c r="I327" s="11" t="s">
        <v>188</v>
      </c>
      <c r="J327" s="11" t="s">
        <v>190</v>
      </c>
      <c r="K327" s="61" t="s">
        <v>191</v>
      </c>
      <c r="L327" s="11" t="s">
        <v>67</v>
      </c>
      <c r="M327" s="25"/>
      <c r="N327" s="54"/>
      <c r="O327" s="3" t="str">
        <f t="shared" si="77"/>
        <v>A</v>
      </c>
      <c r="P327" s="48">
        <v>100614.57</v>
      </c>
      <c r="Q327" s="48">
        <v>24352.02</v>
      </c>
      <c r="R327" s="32"/>
      <c r="S327" s="3" t="str">
        <f t="shared" si="76"/>
        <v>A</v>
      </c>
      <c r="T327" s="48">
        <v>87516.81</v>
      </c>
      <c r="U327" s="48">
        <v>19334.18</v>
      </c>
      <c r="V327" s="32"/>
      <c r="W327" s="3" t="str">
        <f t="shared" si="59"/>
        <v>A</v>
      </c>
      <c r="X327" s="48">
        <v>80103.61</v>
      </c>
      <c r="Y327" s="48">
        <v>19966</v>
      </c>
      <c r="Z327" s="32"/>
      <c r="AA327" s="3" t="str">
        <f t="shared" si="60"/>
        <v>A</v>
      </c>
      <c r="AB327" s="48">
        <v>94753.25</v>
      </c>
      <c r="AC327" s="48">
        <v>21417.95</v>
      </c>
      <c r="AD327" s="36"/>
      <c r="AE327" s="54"/>
      <c r="AF327" s="3" t="str">
        <f t="shared" si="61"/>
        <v>A</v>
      </c>
      <c r="AG327" s="48">
        <v>0</v>
      </c>
      <c r="AH327" s="48">
        <v>0</v>
      </c>
      <c r="AI327" s="39"/>
      <c r="AJ327" s="79" t="s">
        <v>1801</v>
      </c>
      <c r="AK327" s="39"/>
      <c r="AL327" s="4">
        <f t="shared" si="68"/>
        <v>362988.24</v>
      </c>
      <c r="AM327" s="4">
        <f t="shared" si="68"/>
        <v>85070.15</v>
      </c>
      <c r="AN327" s="4">
        <f t="shared" si="62"/>
        <v>448058.39</v>
      </c>
      <c r="AO327" s="39"/>
      <c r="AP327" s="8">
        <f t="shared" si="69"/>
        <v>0</v>
      </c>
      <c r="AQ327" s="8">
        <f t="shared" si="69"/>
        <v>0</v>
      </c>
      <c r="AR327" s="8">
        <f t="shared" si="63"/>
        <v>0</v>
      </c>
      <c r="AS327" s="42"/>
      <c r="AT327" s="48">
        <v>362988.24000000005</v>
      </c>
      <c r="AU327" s="48">
        <v>85070.150000000009</v>
      </c>
      <c r="AV327" s="4">
        <f t="shared" si="64"/>
        <v>448058.39000000007</v>
      </c>
      <c r="AW327" s="50" t="str">
        <f t="shared" si="65"/>
        <v/>
      </c>
      <c r="AX327" s="1" t="s">
        <v>1639</v>
      </c>
      <c r="AY327" s="2" t="s">
        <v>1640</v>
      </c>
      <c r="AZ327" s="2">
        <v>83455.199999999997</v>
      </c>
      <c r="BA327" s="73">
        <v>73023.3</v>
      </c>
      <c r="BB327" s="73">
        <v>73023.3</v>
      </c>
      <c r="BC327" s="73">
        <v>83455.199999999997</v>
      </c>
      <c r="BD327" s="73"/>
      <c r="BE327" s="66">
        <v>3.5000000000000003E-2</v>
      </c>
      <c r="BF327" s="66">
        <v>0.02</v>
      </c>
      <c r="BG327" s="63">
        <v>45003</v>
      </c>
      <c r="BH327" s="2"/>
      <c r="BI327" s="2"/>
      <c r="BJ327" s="2"/>
      <c r="BK327" s="2"/>
      <c r="BL327" s="1" t="s">
        <v>56</v>
      </c>
    </row>
    <row r="328" spans="1:64" x14ac:dyDescent="0.25">
      <c r="A328" s="56" t="s">
        <v>567</v>
      </c>
      <c r="B328" s="54" t="s">
        <v>843</v>
      </c>
      <c r="C328" s="56" t="s">
        <v>844</v>
      </c>
      <c r="D328" s="16">
        <v>43637</v>
      </c>
      <c r="E328" s="17"/>
      <c r="F328" s="2" t="s">
        <v>187</v>
      </c>
      <c r="G328" s="2" t="s">
        <v>189</v>
      </c>
      <c r="H328" s="10" t="s">
        <v>57</v>
      </c>
      <c r="I328" s="11" t="s">
        <v>188</v>
      </c>
      <c r="J328" s="11" t="s">
        <v>190</v>
      </c>
      <c r="K328" s="61" t="s">
        <v>191</v>
      </c>
      <c r="L328" s="11" t="s">
        <v>67</v>
      </c>
      <c r="M328" s="25"/>
      <c r="N328" s="54"/>
      <c r="O328" s="3" t="str">
        <f t="shared" si="77"/>
        <v>A</v>
      </c>
      <c r="P328" s="48">
        <v>16057</v>
      </c>
      <c r="Q328" s="48">
        <v>12637</v>
      </c>
      <c r="R328" s="32"/>
      <c r="S328" s="3" t="str">
        <f t="shared" si="76"/>
        <v>A</v>
      </c>
      <c r="T328" s="48">
        <v>16178</v>
      </c>
      <c r="U328" s="48">
        <v>11591</v>
      </c>
      <c r="V328" s="32"/>
      <c r="W328" s="3" t="str">
        <f t="shared" ref="W328:W391" si="78">IF($A328="","",IF(X328=0,"A",IF(X328=BB328,"E","A")))</f>
        <v>A</v>
      </c>
      <c r="X328" s="48">
        <v>14009</v>
      </c>
      <c r="Y328" s="48">
        <v>11388</v>
      </c>
      <c r="Z328" s="32"/>
      <c r="AA328" s="3" t="str">
        <f t="shared" ref="AA328:AA391" si="79">IF($A328="","",IF(AB328=0,"A",IF(AB328=BC328,"E","A")))</f>
        <v>A</v>
      </c>
      <c r="AB328" s="48">
        <v>17606</v>
      </c>
      <c r="AC328" s="48">
        <v>10281</v>
      </c>
      <c r="AD328" s="36"/>
      <c r="AE328" s="54"/>
      <c r="AF328" s="3" t="str">
        <f t="shared" ref="AF328:AF391" si="80">IF($A328="","",IF(AG328=0,"A",IF(AG328=BD328,"E","A")))</f>
        <v>A</v>
      </c>
      <c r="AG328" s="48">
        <v>0</v>
      </c>
      <c r="AH328" s="48">
        <v>0</v>
      </c>
      <c r="AI328" s="39"/>
      <c r="AJ328" s="79" t="s">
        <v>1801</v>
      </c>
      <c r="AK328" s="39"/>
      <c r="AL328" s="4">
        <f t="shared" si="68"/>
        <v>63850</v>
      </c>
      <c r="AM328" s="4">
        <f t="shared" si="68"/>
        <v>45897</v>
      </c>
      <c r="AN328" s="4">
        <f t="shared" ref="AN328:AN391" si="81">SUM(AL328:AM328)</f>
        <v>109747</v>
      </c>
      <c r="AO328" s="39"/>
      <c r="AP328" s="8">
        <f t="shared" si="69"/>
        <v>0</v>
      </c>
      <c r="AQ328" s="8">
        <f t="shared" si="69"/>
        <v>0</v>
      </c>
      <c r="AR328" s="8">
        <f t="shared" ref="AR328:AR391" si="82">SUM(AP328:AQ328)</f>
        <v>0</v>
      </c>
      <c r="AS328" s="42"/>
      <c r="AT328" s="48">
        <v>63850</v>
      </c>
      <c r="AU328" s="48">
        <v>45897</v>
      </c>
      <c r="AV328" s="4">
        <f t="shared" ref="AV328:AV391" si="83">SUM(AT328:AU328)</f>
        <v>109747</v>
      </c>
      <c r="AW328" s="50" t="str">
        <f t="shared" ref="AW328:AW391" si="84">IF(AV328=0,"",IF(AN328=AV328,"","W"))</f>
        <v/>
      </c>
      <c r="AX328" s="1" t="s">
        <v>1639</v>
      </c>
      <c r="AY328" s="2" t="s">
        <v>1640</v>
      </c>
      <c r="AZ328" s="2">
        <v>7250.4</v>
      </c>
      <c r="BA328" s="73">
        <v>6344.1</v>
      </c>
      <c r="BB328" s="73">
        <v>6344.1</v>
      </c>
      <c r="BC328" s="73">
        <v>7250.4</v>
      </c>
      <c r="BD328" s="73"/>
      <c r="BE328" s="66">
        <v>0</v>
      </c>
      <c r="BF328" s="66">
        <v>0.02</v>
      </c>
      <c r="BG328" s="63">
        <v>45003</v>
      </c>
      <c r="BH328" s="74">
        <v>43893</v>
      </c>
      <c r="BI328" s="74">
        <v>43983</v>
      </c>
      <c r="BJ328" s="2"/>
      <c r="BK328" s="2"/>
      <c r="BL328" s="1" t="s">
        <v>56</v>
      </c>
    </row>
    <row r="329" spans="1:64" x14ac:dyDescent="0.25">
      <c r="A329" s="56" t="s">
        <v>569</v>
      </c>
      <c r="B329" s="54" t="s">
        <v>569</v>
      </c>
      <c r="C329" s="56" t="s">
        <v>570</v>
      </c>
      <c r="D329" s="16">
        <v>43108</v>
      </c>
      <c r="E329" s="17"/>
      <c r="F329" s="2" t="s">
        <v>522</v>
      </c>
      <c r="G329" s="2" t="s">
        <v>523</v>
      </c>
      <c r="H329" s="10" t="s">
        <v>105</v>
      </c>
      <c r="I329" s="11" t="s">
        <v>53</v>
      </c>
      <c r="J329" s="11" t="s">
        <v>312</v>
      </c>
      <c r="K329" s="61"/>
      <c r="L329" s="11" t="s">
        <v>67</v>
      </c>
      <c r="M329" s="25"/>
      <c r="N329" s="54"/>
      <c r="O329" s="3" t="str">
        <f t="shared" si="77"/>
        <v>A</v>
      </c>
      <c r="P329" s="48">
        <v>195991.97</v>
      </c>
      <c r="Q329" s="48">
        <v>18191</v>
      </c>
      <c r="R329" s="32"/>
      <c r="S329" s="3" t="str">
        <f t="shared" si="76"/>
        <v>A</v>
      </c>
      <c r="T329" s="48">
        <v>173446</v>
      </c>
      <c r="U329" s="48">
        <v>22613</v>
      </c>
      <c r="V329" s="32"/>
      <c r="W329" s="3" t="str">
        <f t="shared" si="78"/>
        <v>A</v>
      </c>
      <c r="X329" s="48">
        <v>149826</v>
      </c>
      <c r="Y329" s="48">
        <v>14474</v>
      </c>
      <c r="Z329" s="32"/>
      <c r="AA329" s="3" t="str">
        <f t="shared" si="79"/>
        <v>A</v>
      </c>
      <c r="AB329" s="48">
        <v>192420</v>
      </c>
      <c r="AC329" s="48">
        <v>17914</v>
      </c>
      <c r="AD329" s="36"/>
      <c r="AE329" s="54"/>
      <c r="AF329" s="3" t="str">
        <f t="shared" si="80"/>
        <v>A</v>
      </c>
      <c r="AG329" s="48">
        <v>0</v>
      </c>
      <c r="AH329" s="48">
        <v>0</v>
      </c>
      <c r="AI329" s="39"/>
      <c r="AJ329" s="79" t="s">
        <v>1801</v>
      </c>
      <c r="AK329" s="39"/>
      <c r="AL329" s="4">
        <f t="shared" si="68"/>
        <v>711683.97</v>
      </c>
      <c r="AM329" s="4">
        <f t="shared" si="68"/>
        <v>73192</v>
      </c>
      <c r="AN329" s="4">
        <f t="shared" si="81"/>
        <v>784875.97</v>
      </c>
      <c r="AO329" s="39"/>
      <c r="AP329" s="8">
        <f t="shared" si="69"/>
        <v>0</v>
      </c>
      <c r="AQ329" s="8">
        <f t="shared" si="69"/>
        <v>0</v>
      </c>
      <c r="AR329" s="8">
        <f t="shared" si="82"/>
        <v>0</v>
      </c>
      <c r="AS329" s="42"/>
      <c r="AT329" s="48">
        <v>711683.97</v>
      </c>
      <c r="AU329" s="48">
        <v>73192</v>
      </c>
      <c r="AV329" s="4">
        <f t="shared" si="83"/>
        <v>784875.97</v>
      </c>
      <c r="AW329" s="50" t="str">
        <f t="shared" si="84"/>
        <v/>
      </c>
      <c r="AX329" s="1" t="s">
        <v>1719</v>
      </c>
      <c r="AY329" s="2" t="s">
        <v>1720</v>
      </c>
      <c r="AZ329" s="2">
        <v>135201.28</v>
      </c>
      <c r="BA329" s="73">
        <v>118301.12</v>
      </c>
      <c r="BB329" s="73">
        <v>118301.12</v>
      </c>
      <c r="BC329" s="73">
        <v>135201.28</v>
      </c>
      <c r="BD329" s="73"/>
      <c r="BE329" s="66">
        <v>0.04</v>
      </c>
      <c r="BF329" s="66">
        <v>0.05</v>
      </c>
      <c r="BG329" s="63">
        <v>44913</v>
      </c>
      <c r="BH329" s="2"/>
      <c r="BI329" s="2"/>
      <c r="BJ329" s="2"/>
      <c r="BK329" s="2"/>
      <c r="BL329" s="1" t="s">
        <v>311</v>
      </c>
    </row>
    <row r="330" spans="1:64" x14ac:dyDescent="0.25">
      <c r="A330" s="56" t="s">
        <v>569</v>
      </c>
      <c r="B330" s="54" t="s">
        <v>1094</v>
      </c>
      <c r="C330" s="56" t="s">
        <v>1095</v>
      </c>
      <c r="D330" s="16">
        <v>44841</v>
      </c>
      <c r="E330" s="17"/>
      <c r="F330" s="2" t="s">
        <v>522</v>
      </c>
      <c r="G330" s="2" t="s">
        <v>523</v>
      </c>
      <c r="H330" s="10" t="s">
        <v>105</v>
      </c>
      <c r="I330" s="11" t="s">
        <v>53</v>
      </c>
      <c r="J330" s="11" t="s">
        <v>312</v>
      </c>
      <c r="K330" s="61"/>
      <c r="L330" s="11" t="s">
        <v>67</v>
      </c>
      <c r="M330" s="25"/>
      <c r="N330" s="54"/>
      <c r="O330" s="3" t="str">
        <f t="shared" si="77"/>
        <v>A</v>
      </c>
      <c r="P330" s="48">
        <v>150233</v>
      </c>
      <c r="Q330" s="48">
        <v>14532</v>
      </c>
      <c r="R330" s="32"/>
      <c r="S330" s="3" t="str">
        <f t="shared" si="76"/>
        <v>A</v>
      </c>
      <c r="T330" s="48">
        <v>142393</v>
      </c>
      <c r="U330" s="48">
        <v>19674</v>
      </c>
      <c r="V330" s="32"/>
      <c r="W330" s="3" t="str">
        <f t="shared" si="78"/>
        <v>A</v>
      </c>
      <c r="X330" s="48">
        <v>120972</v>
      </c>
      <c r="Y330" s="48">
        <v>12906</v>
      </c>
      <c r="Z330" s="32"/>
      <c r="AA330" s="3" t="str">
        <f t="shared" si="79"/>
        <v>A</v>
      </c>
      <c r="AB330" s="48">
        <v>147792</v>
      </c>
      <c r="AC330" s="48">
        <v>16139</v>
      </c>
      <c r="AD330" s="36"/>
      <c r="AE330" s="54"/>
      <c r="AF330" s="3" t="str">
        <f t="shared" si="80"/>
        <v>A</v>
      </c>
      <c r="AG330" s="48">
        <v>0</v>
      </c>
      <c r="AH330" s="48">
        <v>0</v>
      </c>
      <c r="AI330" s="39"/>
      <c r="AJ330" s="79" t="s">
        <v>1801</v>
      </c>
      <c r="AK330" s="39"/>
      <c r="AL330" s="4">
        <f t="shared" si="68"/>
        <v>561390</v>
      </c>
      <c r="AM330" s="4">
        <f t="shared" si="68"/>
        <v>63251</v>
      </c>
      <c r="AN330" s="4">
        <f t="shared" si="81"/>
        <v>624641</v>
      </c>
      <c r="AO330" s="39"/>
      <c r="AP330" s="8">
        <f t="shared" si="69"/>
        <v>0</v>
      </c>
      <c r="AQ330" s="8">
        <f t="shared" si="69"/>
        <v>0</v>
      </c>
      <c r="AR330" s="8">
        <f t="shared" si="82"/>
        <v>0</v>
      </c>
      <c r="AS330" s="42"/>
      <c r="AT330" s="48">
        <v>561390</v>
      </c>
      <c r="AU330" s="48">
        <v>63251</v>
      </c>
      <c r="AV330" s="4">
        <f t="shared" si="83"/>
        <v>624641</v>
      </c>
      <c r="AW330" s="50" t="str">
        <f t="shared" si="84"/>
        <v/>
      </c>
      <c r="AX330" s="1" t="s">
        <v>1719</v>
      </c>
      <c r="AY330" s="2" t="s">
        <v>1720</v>
      </c>
      <c r="AZ330" s="2">
        <v>109832.56</v>
      </c>
      <c r="BA330" s="73">
        <v>96103.49</v>
      </c>
      <c r="BB330" s="73">
        <v>96103.49</v>
      </c>
      <c r="BC330" s="73">
        <v>109832.56</v>
      </c>
      <c r="BD330" s="73"/>
      <c r="BE330" s="66">
        <v>0</v>
      </c>
      <c r="BF330" s="66">
        <v>0.05</v>
      </c>
      <c r="BG330" s="63">
        <v>44913</v>
      </c>
      <c r="BH330" s="2"/>
      <c r="BI330" s="2"/>
      <c r="BJ330" s="2">
        <v>399492</v>
      </c>
      <c r="BK330" s="2">
        <v>44388</v>
      </c>
      <c r="BL330" s="1" t="s">
        <v>311</v>
      </c>
    </row>
    <row r="331" spans="1:64" x14ac:dyDescent="0.25">
      <c r="A331" s="56" t="s">
        <v>571</v>
      </c>
      <c r="B331" s="54" t="s">
        <v>571</v>
      </c>
      <c r="C331" s="56" t="s">
        <v>572</v>
      </c>
      <c r="D331" s="16">
        <v>42986</v>
      </c>
      <c r="E331" s="17"/>
      <c r="F331" s="2" t="s">
        <v>243</v>
      </c>
      <c r="G331" s="2" t="s">
        <v>245</v>
      </c>
      <c r="H331" s="10" t="s">
        <v>105</v>
      </c>
      <c r="I331" s="11" t="s">
        <v>244</v>
      </c>
      <c r="J331" s="11" t="s">
        <v>573</v>
      </c>
      <c r="K331" s="61" t="s">
        <v>335</v>
      </c>
      <c r="L331" s="11" t="s">
        <v>67</v>
      </c>
      <c r="M331" s="25"/>
      <c r="N331" s="54"/>
      <c r="O331" s="3" t="str">
        <f t="shared" si="77"/>
        <v>A</v>
      </c>
      <c r="P331" s="48">
        <v>53453</v>
      </c>
      <c r="Q331" s="48">
        <v>10136</v>
      </c>
      <c r="R331" s="32"/>
      <c r="S331" s="3" t="str">
        <f t="shared" si="76"/>
        <v>A</v>
      </c>
      <c r="T331" s="48">
        <v>39078</v>
      </c>
      <c r="U331" s="48">
        <v>7073</v>
      </c>
      <c r="V331" s="32"/>
      <c r="W331" s="3" t="str">
        <f t="shared" si="78"/>
        <v>A</v>
      </c>
      <c r="X331" s="48">
        <v>41629</v>
      </c>
      <c r="Y331" s="48">
        <v>6140</v>
      </c>
      <c r="Z331" s="32"/>
      <c r="AA331" s="3" t="str">
        <f t="shared" si="79"/>
        <v>A</v>
      </c>
      <c r="AB331" s="48">
        <v>41688</v>
      </c>
      <c r="AC331" s="48">
        <v>3147</v>
      </c>
      <c r="AD331" s="36"/>
      <c r="AE331" s="54"/>
      <c r="AF331" s="3" t="str">
        <f t="shared" si="80"/>
        <v>A</v>
      </c>
      <c r="AG331" s="48">
        <v>0</v>
      </c>
      <c r="AH331" s="48">
        <v>0</v>
      </c>
      <c r="AI331" s="39"/>
      <c r="AJ331" s="79" t="s">
        <v>1801</v>
      </c>
      <c r="AK331" s="39"/>
      <c r="AL331" s="4">
        <f t="shared" si="68"/>
        <v>175848</v>
      </c>
      <c r="AM331" s="4">
        <f t="shared" si="68"/>
        <v>26496</v>
      </c>
      <c r="AN331" s="4">
        <f t="shared" si="81"/>
        <v>202344</v>
      </c>
      <c r="AO331" s="39"/>
      <c r="AP331" s="8">
        <f t="shared" si="69"/>
        <v>0</v>
      </c>
      <c r="AQ331" s="8">
        <f t="shared" si="69"/>
        <v>0</v>
      </c>
      <c r="AR331" s="8">
        <f t="shared" si="82"/>
        <v>0</v>
      </c>
      <c r="AS331" s="42"/>
      <c r="AT331" s="48">
        <v>175848</v>
      </c>
      <c r="AU331" s="48">
        <v>26496</v>
      </c>
      <c r="AV331" s="4">
        <f t="shared" si="83"/>
        <v>202344</v>
      </c>
      <c r="AW331" s="50" t="str">
        <f t="shared" si="84"/>
        <v/>
      </c>
      <c r="AX331" s="1" t="s">
        <v>1639</v>
      </c>
      <c r="AY331" s="2" t="s">
        <v>1640</v>
      </c>
      <c r="AZ331" s="2">
        <v>75188.88</v>
      </c>
      <c r="BA331" s="73">
        <v>65790.27</v>
      </c>
      <c r="BB331" s="73">
        <v>65790.27</v>
      </c>
      <c r="BC331" s="73">
        <v>75188.88</v>
      </c>
      <c r="BD331" s="73"/>
      <c r="BE331" s="66">
        <v>0</v>
      </c>
      <c r="BF331" s="66">
        <v>0.02</v>
      </c>
      <c r="BG331" s="63">
        <v>44804</v>
      </c>
      <c r="BH331" s="2"/>
      <c r="BI331" s="2"/>
      <c r="BJ331" s="2"/>
      <c r="BK331" s="2"/>
      <c r="BL331" s="1" t="s">
        <v>219</v>
      </c>
    </row>
    <row r="332" spans="1:64" x14ac:dyDescent="0.25">
      <c r="A332" s="56" t="s">
        <v>571</v>
      </c>
      <c r="B332" s="54" t="s">
        <v>837</v>
      </c>
      <c r="C332" s="56" t="s">
        <v>838</v>
      </c>
      <c r="D332" s="16">
        <v>0</v>
      </c>
      <c r="E332" s="17"/>
      <c r="F332" s="2" t="s">
        <v>243</v>
      </c>
      <c r="G332" s="2" t="s">
        <v>245</v>
      </c>
      <c r="H332" s="10" t="s">
        <v>105</v>
      </c>
      <c r="I332" s="11" t="s">
        <v>244</v>
      </c>
      <c r="J332" s="11" t="s">
        <v>573</v>
      </c>
      <c r="K332" s="61" t="s">
        <v>335</v>
      </c>
      <c r="L332" s="11" t="s">
        <v>67</v>
      </c>
      <c r="M332" s="25"/>
      <c r="N332" s="54"/>
      <c r="O332" s="3" t="str">
        <f t="shared" si="77"/>
        <v>A</v>
      </c>
      <c r="P332" s="48">
        <v>29521</v>
      </c>
      <c r="Q332" s="48">
        <v>9900</v>
      </c>
      <c r="R332" s="32"/>
      <c r="S332" s="3" t="str">
        <f t="shared" si="76"/>
        <v>A</v>
      </c>
      <c r="T332" s="48">
        <v>25725</v>
      </c>
      <c r="U332" s="48">
        <v>9475</v>
      </c>
      <c r="V332" s="32"/>
      <c r="W332" s="3" t="str">
        <f t="shared" si="78"/>
        <v>A</v>
      </c>
      <c r="X332" s="48">
        <v>29735</v>
      </c>
      <c r="Y332" s="48">
        <v>7581</v>
      </c>
      <c r="Z332" s="32"/>
      <c r="AA332" s="3" t="str">
        <f t="shared" si="79"/>
        <v>A</v>
      </c>
      <c r="AB332" s="48">
        <v>28401</v>
      </c>
      <c r="AC332" s="48">
        <v>10237</v>
      </c>
      <c r="AD332" s="36"/>
      <c r="AE332" s="54"/>
      <c r="AF332" s="3" t="str">
        <f t="shared" si="80"/>
        <v>A</v>
      </c>
      <c r="AG332" s="48">
        <v>0</v>
      </c>
      <c r="AH332" s="48">
        <v>0</v>
      </c>
      <c r="AI332" s="39"/>
      <c r="AJ332" s="79" t="s">
        <v>1801</v>
      </c>
      <c r="AK332" s="39"/>
      <c r="AL332" s="4">
        <f t="shared" si="68"/>
        <v>113382</v>
      </c>
      <c r="AM332" s="4">
        <f t="shared" si="68"/>
        <v>37193</v>
      </c>
      <c r="AN332" s="4">
        <f t="shared" si="81"/>
        <v>150575</v>
      </c>
      <c r="AO332" s="39"/>
      <c r="AP332" s="8">
        <f t="shared" si="69"/>
        <v>0</v>
      </c>
      <c r="AQ332" s="8">
        <f t="shared" si="69"/>
        <v>0</v>
      </c>
      <c r="AR332" s="8">
        <f t="shared" si="82"/>
        <v>0</v>
      </c>
      <c r="AS332" s="42"/>
      <c r="AT332" s="48">
        <v>113382</v>
      </c>
      <c r="AU332" s="48">
        <v>37193</v>
      </c>
      <c r="AV332" s="4">
        <f t="shared" si="83"/>
        <v>150575</v>
      </c>
      <c r="AW332" s="50" t="str">
        <f t="shared" si="84"/>
        <v/>
      </c>
      <c r="AX332" s="1" t="s">
        <v>1639</v>
      </c>
      <c r="AY332" s="2" t="s">
        <v>1640</v>
      </c>
      <c r="AZ332" s="2">
        <v>117347.12</v>
      </c>
      <c r="BA332" s="73">
        <v>102678.73</v>
      </c>
      <c r="BB332" s="73">
        <v>102678.73</v>
      </c>
      <c r="BC332" s="73">
        <v>117347.12</v>
      </c>
      <c r="BD332" s="73"/>
      <c r="BE332" s="66">
        <v>0</v>
      </c>
      <c r="BF332" s="66">
        <v>0.02</v>
      </c>
      <c r="BG332" s="63">
        <v>45565</v>
      </c>
      <c r="BH332" s="2"/>
      <c r="BI332" s="2"/>
      <c r="BJ332" s="2"/>
      <c r="BK332" s="2"/>
      <c r="BL332" s="1" t="s">
        <v>219</v>
      </c>
    </row>
    <row r="333" spans="1:64" x14ac:dyDescent="0.25">
      <c r="A333" s="56" t="s">
        <v>574</v>
      </c>
      <c r="B333" s="54" t="s">
        <v>574</v>
      </c>
      <c r="C333" s="56" t="s">
        <v>575</v>
      </c>
      <c r="D333" s="16">
        <v>43059</v>
      </c>
      <c r="E333" s="17"/>
      <c r="F333" s="2" t="s">
        <v>76</v>
      </c>
      <c r="G333" s="2" t="s">
        <v>78</v>
      </c>
      <c r="H333" s="10" t="s">
        <v>57</v>
      </c>
      <c r="I333" s="11" t="s">
        <v>77</v>
      </c>
      <c r="J333" s="11" t="s">
        <v>79</v>
      </c>
      <c r="K333" s="61" t="s">
        <v>80</v>
      </c>
      <c r="L333" s="11" t="s">
        <v>67</v>
      </c>
      <c r="M333" s="25"/>
      <c r="N333" s="54"/>
      <c r="O333" s="3" t="str">
        <f t="shared" si="77"/>
        <v>A</v>
      </c>
      <c r="P333" s="48">
        <v>131093</v>
      </c>
      <c r="Q333" s="48">
        <v>38590</v>
      </c>
      <c r="R333" s="32"/>
      <c r="S333" s="3" t="str">
        <f t="shared" si="76"/>
        <v>A</v>
      </c>
      <c r="T333" s="48">
        <v>116666</v>
      </c>
      <c r="U333" s="48">
        <v>34852</v>
      </c>
      <c r="V333" s="32"/>
      <c r="W333" s="3" t="str">
        <f t="shared" si="78"/>
        <v>A</v>
      </c>
      <c r="X333" s="48">
        <v>89609</v>
      </c>
      <c r="Y333" s="48">
        <v>26021</v>
      </c>
      <c r="Z333" s="32"/>
      <c r="AA333" s="3" t="str">
        <f t="shared" si="79"/>
        <v>A</v>
      </c>
      <c r="AB333" s="48">
        <v>104475</v>
      </c>
      <c r="AC333" s="48">
        <v>33015</v>
      </c>
      <c r="AD333" s="36"/>
      <c r="AE333" s="54"/>
      <c r="AF333" s="3" t="str">
        <f t="shared" si="80"/>
        <v>A</v>
      </c>
      <c r="AG333" s="48">
        <v>0</v>
      </c>
      <c r="AH333" s="48">
        <v>0</v>
      </c>
      <c r="AI333" s="39"/>
      <c r="AJ333" s="79" t="s">
        <v>1801</v>
      </c>
      <c r="AK333" s="39"/>
      <c r="AL333" s="4">
        <f t="shared" si="68"/>
        <v>441843</v>
      </c>
      <c r="AM333" s="4">
        <f t="shared" si="68"/>
        <v>132478</v>
      </c>
      <c r="AN333" s="4">
        <f t="shared" si="81"/>
        <v>574321</v>
      </c>
      <c r="AO333" s="39"/>
      <c r="AP333" s="8">
        <f t="shared" si="69"/>
        <v>0</v>
      </c>
      <c r="AQ333" s="8">
        <f t="shared" si="69"/>
        <v>0</v>
      </c>
      <c r="AR333" s="8">
        <f t="shared" si="82"/>
        <v>0</v>
      </c>
      <c r="AS333" s="42"/>
      <c r="AT333" s="48">
        <v>441843</v>
      </c>
      <c r="AU333" s="48">
        <v>132478</v>
      </c>
      <c r="AV333" s="4">
        <f t="shared" si="83"/>
        <v>574321</v>
      </c>
      <c r="AW333" s="50" t="str">
        <f t="shared" si="84"/>
        <v/>
      </c>
      <c r="AX333" s="1" t="s">
        <v>1639</v>
      </c>
      <c r="AY333" s="2" t="s">
        <v>1640</v>
      </c>
      <c r="AZ333" s="2">
        <v>116997.6</v>
      </c>
      <c r="BA333" s="73">
        <v>102372.9</v>
      </c>
      <c r="BB333" s="73">
        <v>102372.9</v>
      </c>
      <c r="BC333" s="73">
        <v>116997.6</v>
      </c>
      <c r="BD333" s="73"/>
      <c r="BE333" s="66">
        <v>0</v>
      </c>
      <c r="BF333" s="66">
        <v>0.02</v>
      </c>
      <c r="BG333" s="63">
        <v>44766</v>
      </c>
      <c r="BH333" s="2"/>
      <c r="BI333" s="2"/>
      <c r="BJ333" s="2"/>
      <c r="BK333" s="2"/>
      <c r="BL333" s="1" t="s">
        <v>56</v>
      </c>
    </row>
    <row r="334" spans="1:64" x14ac:dyDescent="0.25">
      <c r="A334" s="56" t="s">
        <v>574</v>
      </c>
      <c r="B334" s="54" t="s">
        <v>917</v>
      </c>
      <c r="C334" s="56" t="s">
        <v>918</v>
      </c>
      <c r="D334" s="16">
        <v>0</v>
      </c>
      <c r="E334" s="17"/>
      <c r="F334" s="2" t="s">
        <v>76</v>
      </c>
      <c r="G334" s="2" t="s">
        <v>78</v>
      </c>
      <c r="H334" s="10" t="s">
        <v>57</v>
      </c>
      <c r="I334" s="11" t="s">
        <v>77</v>
      </c>
      <c r="J334" s="11" t="s">
        <v>79</v>
      </c>
      <c r="K334" s="61" t="s">
        <v>80</v>
      </c>
      <c r="L334" s="11" t="s">
        <v>67</v>
      </c>
      <c r="M334" s="25"/>
      <c r="N334" s="54"/>
      <c r="O334" s="3" t="str">
        <f t="shared" si="77"/>
        <v>A</v>
      </c>
      <c r="P334" s="48">
        <v>7831</v>
      </c>
      <c r="Q334" s="48">
        <v>3336</v>
      </c>
      <c r="R334" s="32"/>
      <c r="S334" s="3" t="str">
        <f t="shared" si="76"/>
        <v>A</v>
      </c>
      <c r="T334" s="48">
        <v>6744</v>
      </c>
      <c r="U334" s="48">
        <v>3701</v>
      </c>
      <c r="V334" s="32"/>
      <c r="W334" s="3" t="str">
        <f t="shared" si="78"/>
        <v>A</v>
      </c>
      <c r="X334" s="48">
        <v>5540</v>
      </c>
      <c r="Y334" s="48">
        <v>2715</v>
      </c>
      <c r="Z334" s="32"/>
      <c r="AA334" s="3" t="str">
        <f t="shared" si="79"/>
        <v>A</v>
      </c>
      <c r="AB334" s="48">
        <v>6193</v>
      </c>
      <c r="AC334" s="48">
        <v>3218</v>
      </c>
      <c r="AD334" s="36"/>
      <c r="AE334" s="54"/>
      <c r="AF334" s="3" t="str">
        <f t="shared" si="80"/>
        <v>A</v>
      </c>
      <c r="AG334" s="48">
        <v>0</v>
      </c>
      <c r="AH334" s="48">
        <v>0</v>
      </c>
      <c r="AI334" s="39"/>
      <c r="AJ334" s="79" t="s">
        <v>1801</v>
      </c>
      <c r="AK334" s="39"/>
      <c r="AL334" s="4">
        <f t="shared" si="68"/>
        <v>26308</v>
      </c>
      <c r="AM334" s="4">
        <f t="shared" si="68"/>
        <v>12970</v>
      </c>
      <c r="AN334" s="4">
        <f t="shared" si="81"/>
        <v>39278</v>
      </c>
      <c r="AO334" s="39"/>
      <c r="AP334" s="8">
        <f t="shared" si="69"/>
        <v>0</v>
      </c>
      <c r="AQ334" s="8">
        <f t="shared" si="69"/>
        <v>0</v>
      </c>
      <c r="AR334" s="8">
        <f t="shared" si="82"/>
        <v>0</v>
      </c>
      <c r="AS334" s="42"/>
      <c r="AT334" s="48">
        <v>26308</v>
      </c>
      <c r="AU334" s="48">
        <v>12970</v>
      </c>
      <c r="AV334" s="4">
        <f t="shared" si="83"/>
        <v>39278</v>
      </c>
      <c r="AW334" s="50" t="str">
        <f t="shared" si="84"/>
        <v/>
      </c>
      <c r="AX334" s="1" t="s">
        <v>1639</v>
      </c>
      <c r="AY334" s="2" t="s">
        <v>1640</v>
      </c>
      <c r="AZ334" s="2">
        <v>0</v>
      </c>
      <c r="BA334" s="73">
        <v>0</v>
      </c>
      <c r="BB334" s="73">
        <v>0</v>
      </c>
      <c r="BC334" s="73">
        <v>0</v>
      </c>
      <c r="BD334" s="73"/>
      <c r="BE334" s="66">
        <v>0</v>
      </c>
      <c r="BF334" s="66">
        <v>0.02</v>
      </c>
      <c r="BG334" s="63">
        <v>44766</v>
      </c>
      <c r="BH334" s="2"/>
      <c r="BI334" s="2"/>
      <c r="BJ334" s="2"/>
      <c r="BK334" s="2"/>
      <c r="BL334" s="1" t="s">
        <v>56</v>
      </c>
    </row>
    <row r="335" spans="1:64" x14ac:dyDescent="0.25">
      <c r="A335" s="56" t="s">
        <v>576</v>
      </c>
      <c r="B335" s="54" t="s">
        <v>576</v>
      </c>
      <c r="C335" s="56" t="s">
        <v>577</v>
      </c>
      <c r="D335" s="16">
        <v>43125</v>
      </c>
      <c r="E335" s="17"/>
      <c r="F335" s="2" t="s">
        <v>109</v>
      </c>
      <c r="G335" s="2" t="s">
        <v>111</v>
      </c>
      <c r="H335" s="10" t="s">
        <v>98</v>
      </c>
      <c r="I335" s="11" t="s">
        <v>110</v>
      </c>
      <c r="J335" s="11" t="s">
        <v>286</v>
      </c>
      <c r="K335" s="61" t="s">
        <v>287</v>
      </c>
      <c r="L335" s="11" t="s">
        <v>67</v>
      </c>
      <c r="M335" s="25"/>
      <c r="N335" s="54"/>
      <c r="O335" s="3" t="str">
        <f t="shared" si="77"/>
        <v>A</v>
      </c>
      <c r="P335" s="48">
        <v>174080.5</v>
      </c>
      <c r="Q335" s="48">
        <v>18844</v>
      </c>
      <c r="R335" s="32"/>
      <c r="S335" s="3" t="str">
        <f t="shared" si="76"/>
        <v>A</v>
      </c>
      <c r="T335" s="48">
        <v>134810.09</v>
      </c>
      <c r="U335" s="48">
        <v>14062.92</v>
      </c>
      <c r="V335" s="32"/>
      <c r="W335" s="3" t="str">
        <f t="shared" si="78"/>
        <v>A</v>
      </c>
      <c r="X335" s="48">
        <v>125826.51</v>
      </c>
      <c r="Y335" s="48">
        <v>12731</v>
      </c>
      <c r="Z335" s="32"/>
      <c r="AA335" s="3" t="str">
        <f t="shared" si="79"/>
        <v>A</v>
      </c>
      <c r="AB335" s="48">
        <v>140853</v>
      </c>
      <c r="AC335" s="48">
        <v>13704</v>
      </c>
      <c r="AD335" s="36"/>
      <c r="AE335" s="54"/>
      <c r="AF335" s="3" t="str">
        <f t="shared" si="80"/>
        <v>A</v>
      </c>
      <c r="AG335" s="48">
        <v>0</v>
      </c>
      <c r="AH335" s="48">
        <v>0</v>
      </c>
      <c r="AI335" s="39"/>
      <c r="AJ335" s="79" t="s">
        <v>1801</v>
      </c>
      <c r="AK335" s="39"/>
      <c r="AL335" s="4">
        <f t="shared" si="68"/>
        <v>575570.1</v>
      </c>
      <c r="AM335" s="4">
        <f t="shared" si="68"/>
        <v>59341.919999999998</v>
      </c>
      <c r="AN335" s="4">
        <f t="shared" si="81"/>
        <v>634912.02</v>
      </c>
      <c r="AO335" s="39"/>
      <c r="AP335" s="8">
        <f t="shared" si="69"/>
        <v>0</v>
      </c>
      <c r="AQ335" s="8">
        <f t="shared" si="69"/>
        <v>0</v>
      </c>
      <c r="AR335" s="8">
        <f t="shared" si="82"/>
        <v>0</v>
      </c>
      <c r="AS335" s="42"/>
      <c r="AT335" s="48">
        <v>575570.1</v>
      </c>
      <c r="AU335" s="48">
        <v>59341.919999999998</v>
      </c>
      <c r="AV335" s="4">
        <f t="shared" si="83"/>
        <v>634912.02</v>
      </c>
      <c r="AW335" s="50" t="str">
        <f t="shared" si="84"/>
        <v/>
      </c>
      <c r="AX335" s="1" t="s">
        <v>1647</v>
      </c>
      <c r="AY335" s="2" t="s">
        <v>1640</v>
      </c>
      <c r="AZ335" s="2">
        <v>179607.36</v>
      </c>
      <c r="BA335" s="73">
        <v>157156.44</v>
      </c>
      <c r="BB335" s="73">
        <v>157156.44</v>
      </c>
      <c r="BC335" s="73">
        <v>179607.36</v>
      </c>
      <c r="BD335" s="73"/>
      <c r="BE335" s="66">
        <v>0</v>
      </c>
      <c r="BF335" s="66">
        <v>0.02</v>
      </c>
      <c r="BG335" s="63">
        <v>44831</v>
      </c>
      <c r="BH335" s="2"/>
      <c r="BI335" s="2"/>
      <c r="BJ335" s="2"/>
      <c r="BK335" s="2"/>
      <c r="BL335" s="1" t="s">
        <v>237</v>
      </c>
    </row>
    <row r="336" spans="1:64" x14ac:dyDescent="0.25">
      <c r="A336" s="56" t="s">
        <v>578</v>
      </c>
      <c r="B336" s="54" t="s">
        <v>578</v>
      </c>
      <c r="C336" s="56" t="s">
        <v>579</v>
      </c>
      <c r="D336" s="16">
        <v>43057</v>
      </c>
      <c r="E336" s="17"/>
      <c r="F336" s="2" t="s">
        <v>526</v>
      </c>
      <c r="G336" s="2" t="s">
        <v>527</v>
      </c>
      <c r="H336" s="10" t="s">
        <v>57</v>
      </c>
      <c r="I336" s="11" t="s">
        <v>53</v>
      </c>
      <c r="J336" s="11" t="s">
        <v>387</v>
      </c>
      <c r="K336" s="61"/>
      <c r="L336" s="11" t="s">
        <v>67</v>
      </c>
      <c r="M336" s="25"/>
      <c r="N336" s="54"/>
      <c r="O336" s="3" t="str">
        <f t="shared" si="77"/>
        <v>A</v>
      </c>
      <c r="P336" s="48">
        <v>122508</v>
      </c>
      <c r="Q336" s="48">
        <v>12385</v>
      </c>
      <c r="R336" s="32"/>
      <c r="S336" s="3" t="str">
        <f t="shared" si="76"/>
        <v>A</v>
      </c>
      <c r="T336" s="48">
        <v>103633</v>
      </c>
      <c r="U336" s="48">
        <v>9626</v>
      </c>
      <c r="V336" s="32"/>
      <c r="W336" s="3" t="str">
        <f t="shared" si="78"/>
        <v>A</v>
      </c>
      <c r="X336" s="48">
        <v>95262</v>
      </c>
      <c r="Y336" s="48">
        <v>10362</v>
      </c>
      <c r="Z336" s="32"/>
      <c r="AA336" s="3" t="str">
        <f t="shared" si="79"/>
        <v>A</v>
      </c>
      <c r="AB336" s="48">
        <v>103480</v>
      </c>
      <c r="AC336" s="48">
        <v>11197</v>
      </c>
      <c r="AD336" s="36"/>
      <c r="AE336" s="54"/>
      <c r="AF336" s="3" t="str">
        <f t="shared" si="80"/>
        <v>A</v>
      </c>
      <c r="AG336" s="48">
        <v>0</v>
      </c>
      <c r="AH336" s="48">
        <v>0</v>
      </c>
      <c r="AI336" s="39"/>
      <c r="AJ336" s="79" t="s">
        <v>1801</v>
      </c>
      <c r="AK336" s="39"/>
      <c r="AL336" s="4">
        <f t="shared" si="68"/>
        <v>424883</v>
      </c>
      <c r="AM336" s="4">
        <f t="shared" si="68"/>
        <v>43570</v>
      </c>
      <c r="AN336" s="4">
        <f t="shared" si="81"/>
        <v>468453</v>
      </c>
      <c r="AO336" s="39"/>
      <c r="AP336" s="8">
        <f t="shared" si="69"/>
        <v>0</v>
      </c>
      <c r="AQ336" s="8">
        <f t="shared" si="69"/>
        <v>0</v>
      </c>
      <c r="AR336" s="8">
        <f t="shared" si="82"/>
        <v>0</v>
      </c>
      <c r="AS336" s="42"/>
      <c r="AT336" s="48">
        <v>424883</v>
      </c>
      <c r="AU336" s="48">
        <v>43570</v>
      </c>
      <c r="AV336" s="4">
        <f t="shared" si="83"/>
        <v>468453</v>
      </c>
      <c r="AW336" s="50" t="str">
        <f t="shared" si="84"/>
        <v/>
      </c>
      <c r="AX336" s="1" t="s">
        <v>1721</v>
      </c>
      <c r="AY336" s="2" t="s">
        <v>1722</v>
      </c>
      <c r="AZ336" s="2">
        <v>110006</v>
      </c>
      <c r="BA336" s="73">
        <v>96255.25</v>
      </c>
      <c r="BB336" s="73">
        <v>96255.25</v>
      </c>
      <c r="BC336" s="73">
        <v>110006</v>
      </c>
      <c r="BD336" s="73"/>
      <c r="BE336" s="66">
        <v>0.04</v>
      </c>
      <c r="BF336" s="66">
        <v>0.05</v>
      </c>
      <c r="BG336" s="63">
        <v>44876</v>
      </c>
      <c r="BH336" s="74">
        <v>43918</v>
      </c>
      <c r="BI336" s="74">
        <v>43984</v>
      </c>
      <c r="BJ336" s="2"/>
      <c r="BK336" s="2"/>
      <c r="BL336" s="1" t="s">
        <v>56</v>
      </c>
    </row>
    <row r="337" spans="1:64" x14ac:dyDescent="0.25">
      <c r="A337" s="56" t="s">
        <v>580</v>
      </c>
      <c r="B337" s="54" t="s">
        <v>580</v>
      </c>
      <c r="C337" s="56" t="s">
        <v>581</v>
      </c>
      <c r="D337" s="16">
        <v>43084</v>
      </c>
      <c r="E337" s="17"/>
      <c r="F337" s="2" t="s">
        <v>582</v>
      </c>
      <c r="G337" s="2" t="s">
        <v>583</v>
      </c>
      <c r="H337" s="10" t="s">
        <v>98</v>
      </c>
      <c r="I337" s="11" t="s">
        <v>53</v>
      </c>
      <c r="J337" s="11" t="s">
        <v>224</v>
      </c>
      <c r="K337" s="61"/>
      <c r="L337" s="11" t="s">
        <v>67</v>
      </c>
      <c r="M337" s="25"/>
      <c r="N337" s="54"/>
      <c r="O337" s="3" t="str">
        <f t="shared" si="77"/>
        <v>A</v>
      </c>
      <c r="P337" s="48">
        <v>15538</v>
      </c>
      <c r="Q337" s="48">
        <v>1693</v>
      </c>
      <c r="R337" s="32"/>
      <c r="S337" s="3" t="str">
        <f t="shared" si="76"/>
        <v>E</v>
      </c>
      <c r="T337" s="48">
        <v>68671.960000000006</v>
      </c>
      <c r="U337" s="48">
        <v>5522.16</v>
      </c>
      <c r="V337" s="32"/>
      <c r="W337" s="3" t="str">
        <f t="shared" si="78"/>
        <v>E</v>
      </c>
      <c r="X337" s="48">
        <v>68671.960000000006</v>
      </c>
      <c r="Y337" s="48">
        <v>5522.16</v>
      </c>
      <c r="Z337" s="32"/>
      <c r="AA337" s="3" t="str">
        <f t="shared" si="79"/>
        <v>E</v>
      </c>
      <c r="AB337" s="48">
        <v>78482.240000000005</v>
      </c>
      <c r="AC337" s="48">
        <v>6311.04</v>
      </c>
      <c r="AD337" s="36"/>
      <c r="AE337" s="54"/>
      <c r="AF337" s="3" t="str">
        <f t="shared" si="80"/>
        <v>A</v>
      </c>
      <c r="AG337" s="48">
        <v>0</v>
      </c>
      <c r="AH337" s="48">
        <v>0</v>
      </c>
      <c r="AI337" s="39"/>
      <c r="AJ337" s="79" t="s">
        <v>38</v>
      </c>
      <c r="AK337" s="39"/>
      <c r="AL337" s="4">
        <f t="shared" si="68"/>
        <v>15538</v>
      </c>
      <c r="AM337" s="4">
        <f t="shared" si="68"/>
        <v>1693</v>
      </c>
      <c r="AN337" s="4">
        <f t="shared" si="81"/>
        <v>17231</v>
      </c>
      <c r="AO337" s="39"/>
      <c r="AP337" s="8">
        <f t="shared" si="69"/>
        <v>215826.16000000003</v>
      </c>
      <c r="AQ337" s="8">
        <f t="shared" si="69"/>
        <v>17355.36</v>
      </c>
      <c r="AR337" s="8">
        <f t="shared" si="82"/>
        <v>233181.52000000002</v>
      </c>
      <c r="AS337" s="42"/>
      <c r="AT337" s="48">
        <v>15538</v>
      </c>
      <c r="AU337" s="48">
        <v>1693</v>
      </c>
      <c r="AV337" s="4">
        <f t="shared" si="83"/>
        <v>17231</v>
      </c>
      <c r="AW337" s="50" t="str">
        <f t="shared" si="84"/>
        <v/>
      </c>
      <c r="AX337" s="1" t="s">
        <v>1726</v>
      </c>
      <c r="AY337" s="2" t="s">
        <v>1727</v>
      </c>
      <c r="AZ337" s="2">
        <v>78482.240000000005</v>
      </c>
      <c r="BA337" s="73">
        <v>68671.960000000006</v>
      </c>
      <c r="BB337" s="73">
        <v>68671.960000000006</v>
      </c>
      <c r="BC337" s="73">
        <v>78482.240000000005</v>
      </c>
      <c r="BD337" s="73"/>
      <c r="BE337" s="66">
        <v>0</v>
      </c>
      <c r="BF337" s="66">
        <v>0.05</v>
      </c>
      <c r="BG337" s="63">
        <v>44802</v>
      </c>
      <c r="BH337" s="2"/>
      <c r="BI337" s="2"/>
      <c r="BJ337" s="2"/>
      <c r="BK337" s="2"/>
      <c r="BL337" s="1" t="s">
        <v>97</v>
      </c>
    </row>
    <row r="338" spans="1:64" x14ac:dyDescent="0.25">
      <c r="A338" s="56" t="s">
        <v>584</v>
      </c>
      <c r="B338" s="54" t="s">
        <v>584</v>
      </c>
      <c r="C338" s="56" t="s">
        <v>585</v>
      </c>
      <c r="D338" s="16">
        <v>43203</v>
      </c>
      <c r="E338" s="17">
        <v>45824</v>
      </c>
      <c r="F338" s="2" t="s">
        <v>52</v>
      </c>
      <c r="G338" s="2" t="s">
        <v>55</v>
      </c>
      <c r="H338" s="10" t="s">
        <v>57</v>
      </c>
      <c r="I338" s="11" t="s">
        <v>54</v>
      </c>
      <c r="J338" s="11" t="s">
        <v>72</v>
      </c>
      <c r="K338" s="61" t="s">
        <v>73</v>
      </c>
      <c r="L338" s="11" t="s">
        <v>67</v>
      </c>
      <c r="M338" s="25"/>
      <c r="N338" s="54"/>
      <c r="O338" s="3" t="str">
        <f t="shared" si="77"/>
        <v>A</v>
      </c>
      <c r="P338" s="48">
        <v>36794</v>
      </c>
      <c r="Q338" s="48">
        <v>12207</v>
      </c>
      <c r="R338" s="32"/>
      <c r="S338" s="3" t="str">
        <f t="shared" si="76"/>
        <v>A</v>
      </c>
      <c r="T338" s="48">
        <v>24037</v>
      </c>
      <c r="U338" s="48">
        <v>5186</v>
      </c>
      <c r="V338" s="32"/>
      <c r="W338" s="3" t="str">
        <f t="shared" si="78"/>
        <v>A</v>
      </c>
      <c r="X338" s="48">
        <v>0</v>
      </c>
      <c r="Y338" s="48">
        <v>0</v>
      </c>
      <c r="Z338" s="32"/>
      <c r="AA338" s="3" t="str">
        <f t="shared" si="79"/>
        <v>A</v>
      </c>
      <c r="AB338" s="48">
        <v>0</v>
      </c>
      <c r="AC338" s="48">
        <v>0</v>
      </c>
      <c r="AD338" s="36"/>
      <c r="AE338" s="54"/>
      <c r="AF338" s="3" t="str">
        <f t="shared" si="80"/>
        <v>A</v>
      </c>
      <c r="AG338" s="48">
        <v>0</v>
      </c>
      <c r="AH338" s="48">
        <v>0</v>
      </c>
      <c r="AI338" s="39"/>
      <c r="AJ338" s="79" t="s">
        <v>1801</v>
      </c>
      <c r="AK338" s="39"/>
      <c r="AL338" s="4">
        <f t="shared" si="68"/>
        <v>60831</v>
      </c>
      <c r="AM338" s="4">
        <f t="shared" si="68"/>
        <v>17393</v>
      </c>
      <c r="AN338" s="4">
        <f t="shared" si="81"/>
        <v>78224</v>
      </c>
      <c r="AO338" s="39"/>
      <c r="AP338" s="8">
        <f t="shared" si="69"/>
        <v>0</v>
      </c>
      <c r="AQ338" s="8">
        <f t="shared" si="69"/>
        <v>0</v>
      </c>
      <c r="AR338" s="8">
        <f t="shared" si="82"/>
        <v>0</v>
      </c>
      <c r="AS338" s="42"/>
      <c r="AT338" s="48">
        <v>60831</v>
      </c>
      <c r="AU338" s="48">
        <v>17393</v>
      </c>
      <c r="AV338" s="4">
        <f t="shared" si="83"/>
        <v>78224</v>
      </c>
      <c r="AW338" s="50" t="str">
        <f t="shared" si="84"/>
        <v/>
      </c>
      <c r="AX338" s="1" t="s">
        <v>1639</v>
      </c>
      <c r="AY338" s="2" t="s">
        <v>1640</v>
      </c>
      <c r="AZ338" s="2">
        <v>100213.2</v>
      </c>
      <c r="BA338" s="73">
        <v>87686.55</v>
      </c>
      <c r="BB338" s="73"/>
      <c r="BC338" s="73"/>
      <c r="BD338" s="73"/>
      <c r="BE338" s="66">
        <v>0</v>
      </c>
      <c r="BF338" s="66">
        <v>0.02</v>
      </c>
      <c r="BG338" s="63">
        <v>44936</v>
      </c>
      <c r="BH338" s="2"/>
      <c r="BI338" s="2"/>
      <c r="BJ338" s="2"/>
      <c r="BK338" s="2"/>
      <c r="BL338" s="1" t="s">
        <v>56</v>
      </c>
    </row>
    <row r="339" spans="1:64" x14ac:dyDescent="0.25">
      <c r="A339" s="56" t="s">
        <v>589</v>
      </c>
      <c r="B339" s="54" t="s">
        <v>589</v>
      </c>
      <c r="C339" s="56" t="s">
        <v>590</v>
      </c>
      <c r="D339" s="16">
        <v>43200</v>
      </c>
      <c r="E339" s="17"/>
      <c r="F339" s="2" t="s">
        <v>171</v>
      </c>
      <c r="G339" s="2" t="s">
        <v>172</v>
      </c>
      <c r="H339" s="10" t="s">
        <v>105</v>
      </c>
      <c r="I339" s="11" t="s">
        <v>53</v>
      </c>
      <c r="J339" s="11" t="s">
        <v>145</v>
      </c>
      <c r="K339" s="61"/>
      <c r="L339" s="11" t="s">
        <v>67</v>
      </c>
      <c r="M339" s="25"/>
      <c r="N339" s="54"/>
      <c r="O339" s="3" t="str">
        <f t="shared" si="77"/>
        <v>A</v>
      </c>
      <c r="P339" s="48">
        <v>249010</v>
      </c>
      <c r="Q339" s="48">
        <v>61950</v>
      </c>
      <c r="R339" s="32"/>
      <c r="S339" s="3" t="str">
        <f t="shared" si="76"/>
        <v>A</v>
      </c>
      <c r="T339" s="48">
        <v>210130</v>
      </c>
      <c r="U339" s="48">
        <v>51454</v>
      </c>
      <c r="V339" s="32"/>
      <c r="W339" s="3" t="str">
        <f t="shared" si="78"/>
        <v>A</v>
      </c>
      <c r="X339" s="48">
        <v>211707</v>
      </c>
      <c r="Y339" s="48">
        <v>47491</v>
      </c>
      <c r="Z339" s="32"/>
      <c r="AA339" s="3" t="str">
        <f t="shared" si="79"/>
        <v>A</v>
      </c>
      <c r="AB339" s="48">
        <v>223123</v>
      </c>
      <c r="AC339" s="48">
        <v>50450</v>
      </c>
      <c r="AD339" s="36"/>
      <c r="AE339" s="54"/>
      <c r="AF339" s="3" t="str">
        <f t="shared" si="80"/>
        <v>A</v>
      </c>
      <c r="AG339" s="48">
        <v>0</v>
      </c>
      <c r="AH339" s="48">
        <v>0</v>
      </c>
      <c r="AI339" s="39"/>
      <c r="AJ339" s="79" t="s">
        <v>1801</v>
      </c>
      <c r="AK339" s="39"/>
      <c r="AL339" s="4">
        <f t="shared" si="68"/>
        <v>893970</v>
      </c>
      <c r="AM339" s="4">
        <f t="shared" si="68"/>
        <v>211345</v>
      </c>
      <c r="AN339" s="4">
        <f t="shared" si="81"/>
        <v>1105315</v>
      </c>
      <c r="AO339" s="39"/>
      <c r="AP339" s="8">
        <f t="shared" si="69"/>
        <v>0</v>
      </c>
      <c r="AQ339" s="8">
        <f t="shared" si="69"/>
        <v>0</v>
      </c>
      <c r="AR339" s="8">
        <f t="shared" si="82"/>
        <v>0</v>
      </c>
      <c r="AS339" s="42"/>
      <c r="AT339" s="48">
        <v>893970</v>
      </c>
      <c r="AU339" s="48">
        <v>211345</v>
      </c>
      <c r="AV339" s="4">
        <f t="shared" si="83"/>
        <v>1105315</v>
      </c>
      <c r="AW339" s="50" t="str">
        <f t="shared" si="84"/>
        <v/>
      </c>
      <c r="AX339" s="1" t="s">
        <v>1654</v>
      </c>
      <c r="AY339" s="2" t="s">
        <v>1655</v>
      </c>
      <c r="AZ339" s="2">
        <v>154818.07999999999</v>
      </c>
      <c r="BA339" s="73">
        <v>135465.82</v>
      </c>
      <c r="BB339" s="73">
        <v>135465.82</v>
      </c>
      <c r="BC339" s="73">
        <v>154818.07999999999</v>
      </c>
      <c r="BD339" s="73"/>
      <c r="BE339" s="66">
        <v>0.04</v>
      </c>
      <c r="BF339" s="66">
        <v>0.05</v>
      </c>
      <c r="BG339" s="63">
        <v>44991</v>
      </c>
      <c r="BH339" s="74">
        <v>43924</v>
      </c>
      <c r="BI339" s="74">
        <v>43928</v>
      </c>
      <c r="BJ339" s="2"/>
      <c r="BK339" s="2"/>
      <c r="BL339" s="1" t="s">
        <v>104</v>
      </c>
    </row>
    <row r="340" spans="1:64" x14ac:dyDescent="0.25">
      <c r="A340" s="56" t="s">
        <v>591</v>
      </c>
      <c r="B340" s="54" t="s">
        <v>591</v>
      </c>
      <c r="C340" s="56" t="s">
        <v>592</v>
      </c>
      <c r="D340" s="16">
        <v>43259</v>
      </c>
      <c r="E340" s="17"/>
      <c r="F340" s="2" t="s">
        <v>109</v>
      </c>
      <c r="G340" s="2" t="s">
        <v>111</v>
      </c>
      <c r="H340" s="10" t="s">
        <v>57</v>
      </c>
      <c r="I340" s="11" t="s">
        <v>110</v>
      </c>
      <c r="J340" s="11" t="s">
        <v>460</v>
      </c>
      <c r="K340" s="61" t="s">
        <v>461</v>
      </c>
      <c r="L340" s="11" t="s">
        <v>67</v>
      </c>
      <c r="M340" s="25"/>
      <c r="N340" s="54"/>
      <c r="O340" s="3" t="str">
        <f t="shared" si="77"/>
        <v>A</v>
      </c>
      <c r="P340" s="48">
        <v>108989.82999999999</v>
      </c>
      <c r="Q340" s="48">
        <v>21604.32</v>
      </c>
      <c r="R340" s="32"/>
      <c r="S340" s="3" t="str">
        <f t="shared" si="76"/>
        <v>A</v>
      </c>
      <c r="T340" s="48">
        <v>81188</v>
      </c>
      <c r="U340" s="48">
        <v>15968</v>
      </c>
      <c r="V340" s="32"/>
      <c r="W340" s="3" t="str">
        <f t="shared" si="78"/>
        <v>A</v>
      </c>
      <c r="X340" s="48">
        <v>88329.8</v>
      </c>
      <c r="Y340" s="48">
        <v>13738</v>
      </c>
      <c r="Z340" s="32"/>
      <c r="AA340" s="3" t="str">
        <f t="shared" si="79"/>
        <v>A</v>
      </c>
      <c r="AB340" s="48">
        <v>81642.789999999994</v>
      </c>
      <c r="AC340" s="48">
        <v>15637</v>
      </c>
      <c r="AD340" s="36"/>
      <c r="AE340" s="54"/>
      <c r="AF340" s="3" t="str">
        <f t="shared" si="80"/>
        <v>A</v>
      </c>
      <c r="AG340" s="48">
        <v>0</v>
      </c>
      <c r="AH340" s="48">
        <v>0</v>
      </c>
      <c r="AI340" s="39"/>
      <c r="AJ340" s="79" t="s">
        <v>1801</v>
      </c>
      <c r="AK340" s="39"/>
      <c r="AL340" s="4">
        <f t="shared" si="68"/>
        <v>360150.42</v>
      </c>
      <c r="AM340" s="4">
        <f t="shared" si="68"/>
        <v>66947.320000000007</v>
      </c>
      <c r="AN340" s="4">
        <f t="shared" si="81"/>
        <v>427097.74</v>
      </c>
      <c r="AO340" s="39"/>
      <c r="AP340" s="8">
        <f t="shared" si="69"/>
        <v>0</v>
      </c>
      <c r="AQ340" s="8">
        <f t="shared" si="69"/>
        <v>0</v>
      </c>
      <c r="AR340" s="8">
        <f t="shared" si="82"/>
        <v>0</v>
      </c>
      <c r="AS340" s="42"/>
      <c r="AT340" s="48">
        <v>360150.41999999993</v>
      </c>
      <c r="AU340" s="48">
        <v>66947.320000000007</v>
      </c>
      <c r="AV340" s="4">
        <f t="shared" si="83"/>
        <v>427097.73999999993</v>
      </c>
      <c r="AW340" s="50" t="str">
        <f t="shared" si="84"/>
        <v/>
      </c>
      <c r="AX340" s="1" t="s">
        <v>1647</v>
      </c>
      <c r="AY340" s="2" t="s">
        <v>1640</v>
      </c>
      <c r="AZ340" s="2">
        <v>95372.88</v>
      </c>
      <c r="BA340" s="73">
        <v>83451.27</v>
      </c>
      <c r="BB340" s="73">
        <v>83451.27</v>
      </c>
      <c r="BC340" s="73">
        <v>95372.88</v>
      </c>
      <c r="BD340" s="73"/>
      <c r="BE340" s="66">
        <v>0</v>
      </c>
      <c r="BF340" s="66">
        <v>0.02</v>
      </c>
      <c r="BG340" s="63">
        <v>44985</v>
      </c>
      <c r="BH340" s="2"/>
      <c r="BI340" s="2"/>
      <c r="BJ340" s="2"/>
      <c r="BK340" s="2"/>
      <c r="BL340" s="1" t="s">
        <v>56</v>
      </c>
    </row>
    <row r="341" spans="1:64" x14ac:dyDescent="0.25">
      <c r="A341" s="56" t="s">
        <v>593</v>
      </c>
      <c r="B341" s="54" t="s">
        <v>593</v>
      </c>
      <c r="C341" s="56" t="s">
        <v>594</v>
      </c>
      <c r="D341" s="16">
        <v>43279</v>
      </c>
      <c r="E341" s="17"/>
      <c r="F341" s="2" t="s">
        <v>243</v>
      </c>
      <c r="G341" s="2" t="s">
        <v>245</v>
      </c>
      <c r="H341" s="10" t="s">
        <v>105</v>
      </c>
      <c r="I341" s="11" t="s">
        <v>244</v>
      </c>
      <c r="J341" s="11" t="s">
        <v>573</v>
      </c>
      <c r="K341" s="61" t="s">
        <v>335</v>
      </c>
      <c r="L341" s="11" t="s">
        <v>67</v>
      </c>
      <c r="M341" s="25"/>
      <c r="N341" s="54"/>
      <c r="O341" s="3" t="str">
        <f t="shared" si="77"/>
        <v>A</v>
      </c>
      <c r="P341" s="48">
        <v>194552</v>
      </c>
      <c r="Q341" s="48">
        <v>27877</v>
      </c>
      <c r="R341" s="32"/>
      <c r="S341" s="3" t="str">
        <f t="shared" si="76"/>
        <v>A</v>
      </c>
      <c r="T341" s="48">
        <v>169596</v>
      </c>
      <c r="U341" s="48">
        <v>25694</v>
      </c>
      <c r="V341" s="32"/>
      <c r="W341" s="3" t="str">
        <f t="shared" si="78"/>
        <v>A</v>
      </c>
      <c r="X341" s="48">
        <v>145541</v>
      </c>
      <c r="Y341" s="48">
        <v>18938</v>
      </c>
      <c r="Z341" s="32"/>
      <c r="AA341" s="3" t="str">
        <f t="shared" si="79"/>
        <v>A</v>
      </c>
      <c r="AB341" s="48">
        <v>171553</v>
      </c>
      <c r="AC341" s="48">
        <v>23676</v>
      </c>
      <c r="AD341" s="36"/>
      <c r="AE341" s="54"/>
      <c r="AF341" s="3" t="str">
        <f t="shared" si="80"/>
        <v>A</v>
      </c>
      <c r="AG341" s="48">
        <v>0</v>
      </c>
      <c r="AH341" s="48">
        <v>0</v>
      </c>
      <c r="AI341" s="39"/>
      <c r="AJ341" s="79" t="s">
        <v>1801</v>
      </c>
      <c r="AK341" s="39"/>
      <c r="AL341" s="4">
        <f t="shared" si="68"/>
        <v>681242</v>
      </c>
      <c r="AM341" s="4">
        <f t="shared" si="68"/>
        <v>96185</v>
      </c>
      <c r="AN341" s="4">
        <f t="shared" si="81"/>
        <v>777427</v>
      </c>
      <c r="AO341" s="39"/>
      <c r="AP341" s="8">
        <f t="shared" si="69"/>
        <v>0</v>
      </c>
      <c r="AQ341" s="8">
        <f t="shared" si="69"/>
        <v>0</v>
      </c>
      <c r="AR341" s="8">
        <f t="shared" si="82"/>
        <v>0</v>
      </c>
      <c r="AS341" s="42"/>
      <c r="AT341" s="48">
        <v>681242</v>
      </c>
      <c r="AU341" s="48">
        <v>96185</v>
      </c>
      <c r="AV341" s="4">
        <f t="shared" si="83"/>
        <v>777427</v>
      </c>
      <c r="AW341" s="50" t="str">
        <f t="shared" si="84"/>
        <v/>
      </c>
      <c r="AX341" s="1" t="s">
        <v>1639</v>
      </c>
      <c r="AY341" s="2" t="s">
        <v>1640</v>
      </c>
      <c r="AZ341" s="2">
        <v>210580.16</v>
      </c>
      <c r="BA341" s="73">
        <v>184257.64</v>
      </c>
      <c r="BB341" s="73">
        <v>184257.64</v>
      </c>
      <c r="BC341" s="73">
        <v>210580.16</v>
      </c>
      <c r="BD341" s="73"/>
      <c r="BE341" s="66">
        <v>0</v>
      </c>
      <c r="BF341" s="66">
        <v>0.02</v>
      </c>
      <c r="BG341" s="63">
        <v>44951</v>
      </c>
      <c r="BH341" s="2"/>
      <c r="BI341" s="2"/>
      <c r="BJ341" s="2"/>
      <c r="BK341" s="2"/>
      <c r="BL341" s="1" t="s">
        <v>219</v>
      </c>
    </row>
    <row r="342" spans="1:64" x14ac:dyDescent="0.25">
      <c r="A342" s="56" t="s">
        <v>593</v>
      </c>
      <c r="B342" s="54" t="s">
        <v>880</v>
      </c>
      <c r="C342" s="56" t="s">
        <v>881</v>
      </c>
      <c r="D342" s="16">
        <v>0</v>
      </c>
      <c r="E342" s="17"/>
      <c r="F342" s="2" t="s">
        <v>243</v>
      </c>
      <c r="G342" s="2" t="s">
        <v>245</v>
      </c>
      <c r="H342" s="10" t="s">
        <v>105</v>
      </c>
      <c r="I342" s="11" t="s">
        <v>244</v>
      </c>
      <c r="J342" s="11" t="s">
        <v>573</v>
      </c>
      <c r="K342" s="61" t="s">
        <v>335</v>
      </c>
      <c r="L342" s="11" t="s">
        <v>67</v>
      </c>
      <c r="M342" s="25"/>
      <c r="N342" s="54"/>
      <c r="O342" s="3" t="str">
        <f t="shared" si="77"/>
        <v>A</v>
      </c>
      <c r="P342" s="48">
        <v>70687</v>
      </c>
      <c r="Q342" s="48">
        <v>16899</v>
      </c>
      <c r="R342" s="32"/>
      <c r="S342" s="3" t="str">
        <f t="shared" si="76"/>
        <v>A</v>
      </c>
      <c r="T342" s="48">
        <v>60078</v>
      </c>
      <c r="U342" s="48">
        <v>11873</v>
      </c>
      <c r="V342" s="32"/>
      <c r="W342" s="3" t="str">
        <f t="shared" si="78"/>
        <v>A</v>
      </c>
      <c r="X342" s="48">
        <v>55882</v>
      </c>
      <c r="Y342" s="48">
        <v>12214</v>
      </c>
      <c r="Z342" s="32"/>
      <c r="AA342" s="3" t="str">
        <f t="shared" si="79"/>
        <v>A</v>
      </c>
      <c r="AB342" s="48">
        <v>64135</v>
      </c>
      <c r="AC342" s="48">
        <v>11703</v>
      </c>
      <c r="AD342" s="36"/>
      <c r="AE342" s="54"/>
      <c r="AF342" s="3" t="str">
        <f t="shared" si="80"/>
        <v>A</v>
      </c>
      <c r="AG342" s="48">
        <v>0</v>
      </c>
      <c r="AH342" s="48">
        <v>0</v>
      </c>
      <c r="AI342" s="39"/>
      <c r="AJ342" s="79" t="s">
        <v>1801</v>
      </c>
      <c r="AK342" s="39"/>
      <c r="AL342" s="4">
        <f t="shared" si="68"/>
        <v>250782</v>
      </c>
      <c r="AM342" s="4">
        <f t="shared" si="68"/>
        <v>52689</v>
      </c>
      <c r="AN342" s="4">
        <f t="shared" si="81"/>
        <v>303471</v>
      </c>
      <c r="AO342" s="39"/>
      <c r="AP342" s="8">
        <f t="shared" si="69"/>
        <v>0</v>
      </c>
      <c r="AQ342" s="8">
        <f t="shared" si="69"/>
        <v>0</v>
      </c>
      <c r="AR342" s="8">
        <f t="shared" si="82"/>
        <v>0</v>
      </c>
      <c r="AS342" s="42"/>
      <c r="AT342" s="48">
        <v>250782</v>
      </c>
      <c r="AU342" s="48">
        <v>52689</v>
      </c>
      <c r="AV342" s="4">
        <f t="shared" si="83"/>
        <v>303471</v>
      </c>
      <c r="AW342" s="50" t="str">
        <f t="shared" si="84"/>
        <v/>
      </c>
      <c r="AX342" s="1" t="s">
        <v>1639</v>
      </c>
      <c r="AY342" s="2" t="s">
        <v>1640</v>
      </c>
      <c r="AZ342" s="2">
        <v>172508.48</v>
      </c>
      <c r="BA342" s="73">
        <v>150944.92000000001</v>
      </c>
      <c r="BB342" s="73">
        <v>150944.92000000001</v>
      </c>
      <c r="BC342" s="73">
        <v>172508.48</v>
      </c>
      <c r="BD342" s="73"/>
      <c r="BE342" s="66">
        <v>0</v>
      </c>
      <c r="BF342" s="66">
        <v>0.02</v>
      </c>
      <c r="BG342" s="63">
        <v>44951</v>
      </c>
      <c r="BH342" s="2"/>
      <c r="BI342" s="2"/>
      <c r="BJ342" s="2"/>
      <c r="BK342" s="2"/>
      <c r="BL342" s="1" t="s">
        <v>219</v>
      </c>
    </row>
    <row r="343" spans="1:64" x14ac:dyDescent="0.25">
      <c r="A343" s="56" t="s">
        <v>595</v>
      </c>
      <c r="B343" s="54" t="s">
        <v>595</v>
      </c>
      <c r="C343" s="56" t="s">
        <v>596</v>
      </c>
      <c r="D343" s="16">
        <v>0</v>
      </c>
      <c r="E343" s="17"/>
      <c r="F343" s="2" t="s">
        <v>109</v>
      </c>
      <c r="G343" s="2" t="s">
        <v>111</v>
      </c>
      <c r="H343" s="10" t="s">
        <v>57</v>
      </c>
      <c r="I343" s="11" t="s">
        <v>110</v>
      </c>
      <c r="J343" s="11" t="s">
        <v>460</v>
      </c>
      <c r="K343" s="61" t="s">
        <v>461</v>
      </c>
      <c r="L343" s="11" t="s">
        <v>67</v>
      </c>
      <c r="M343" s="25"/>
      <c r="N343" s="54"/>
      <c r="O343" s="3" t="str">
        <f t="shared" si="77"/>
        <v>A</v>
      </c>
      <c r="P343" s="48">
        <v>45278</v>
      </c>
      <c r="Q343" s="48">
        <v>7716</v>
      </c>
      <c r="R343" s="32"/>
      <c r="S343" s="3" t="str">
        <f t="shared" si="76"/>
        <v>A</v>
      </c>
      <c r="T343" s="48">
        <v>46246</v>
      </c>
      <c r="U343" s="48">
        <v>8003</v>
      </c>
      <c r="V343" s="32"/>
      <c r="W343" s="3" t="str">
        <f t="shared" si="78"/>
        <v>A</v>
      </c>
      <c r="X343" s="48">
        <v>34801</v>
      </c>
      <c r="Y343" s="48">
        <v>7376</v>
      </c>
      <c r="Z343" s="32"/>
      <c r="AA343" s="3" t="str">
        <f t="shared" si="79"/>
        <v>A</v>
      </c>
      <c r="AB343" s="48">
        <v>40614</v>
      </c>
      <c r="AC343" s="48">
        <v>8518</v>
      </c>
      <c r="AD343" s="36"/>
      <c r="AE343" s="54"/>
      <c r="AF343" s="3" t="str">
        <f t="shared" si="80"/>
        <v>A</v>
      </c>
      <c r="AG343" s="48">
        <v>0</v>
      </c>
      <c r="AH343" s="48">
        <v>0</v>
      </c>
      <c r="AI343" s="39"/>
      <c r="AJ343" s="79" t="s">
        <v>1801</v>
      </c>
      <c r="AK343" s="39"/>
      <c r="AL343" s="4">
        <f t="shared" si="68"/>
        <v>166939</v>
      </c>
      <c r="AM343" s="4">
        <f t="shared" si="68"/>
        <v>31613</v>
      </c>
      <c r="AN343" s="4">
        <f t="shared" si="81"/>
        <v>198552</v>
      </c>
      <c r="AO343" s="39"/>
      <c r="AP343" s="8">
        <f t="shared" si="69"/>
        <v>0</v>
      </c>
      <c r="AQ343" s="8">
        <f t="shared" si="69"/>
        <v>0</v>
      </c>
      <c r="AR343" s="8">
        <f t="shared" si="82"/>
        <v>0</v>
      </c>
      <c r="AS343" s="42"/>
      <c r="AT343" s="48">
        <v>166939</v>
      </c>
      <c r="AU343" s="48">
        <v>31613</v>
      </c>
      <c r="AV343" s="4">
        <f t="shared" si="83"/>
        <v>198552</v>
      </c>
      <c r="AW343" s="50" t="str">
        <f t="shared" si="84"/>
        <v/>
      </c>
      <c r="AX343" s="1" t="s">
        <v>1647</v>
      </c>
      <c r="AY343" s="2" t="s">
        <v>1640</v>
      </c>
      <c r="AZ343" s="2">
        <v>50683.44</v>
      </c>
      <c r="BA343" s="73">
        <v>44348.01</v>
      </c>
      <c r="BB343" s="73">
        <v>44348.01</v>
      </c>
      <c r="BC343" s="73">
        <v>50683.44</v>
      </c>
      <c r="BD343" s="73"/>
      <c r="BE343" s="66">
        <v>0</v>
      </c>
      <c r="BF343" s="66">
        <v>0.02</v>
      </c>
      <c r="BG343" s="63">
        <v>45209</v>
      </c>
      <c r="BH343" s="74">
        <v>44145</v>
      </c>
      <c r="BI343" s="74">
        <v>44291</v>
      </c>
      <c r="BJ343" s="2"/>
      <c r="BK343" s="2"/>
      <c r="BL343" s="1" t="s">
        <v>56</v>
      </c>
    </row>
    <row r="344" spans="1:64" x14ac:dyDescent="0.25">
      <c r="A344" s="56" t="s">
        <v>597</v>
      </c>
      <c r="B344" s="54" t="s">
        <v>597</v>
      </c>
      <c r="C344" s="56" t="s">
        <v>598</v>
      </c>
      <c r="D344" s="16">
        <v>0</v>
      </c>
      <c r="E344" s="17"/>
      <c r="F344" s="2" t="s">
        <v>109</v>
      </c>
      <c r="G344" s="2" t="s">
        <v>111</v>
      </c>
      <c r="H344" s="10" t="s">
        <v>57</v>
      </c>
      <c r="I344" s="11" t="s">
        <v>110</v>
      </c>
      <c r="J344" s="11" t="s">
        <v>460</v>
      </c>
      <c r="K344" s="61" t="s">
        <v>461</v>
      </c>
      <c r="L344" s="11" t="s">
        <v>67</v>
      </c>
      <c r="M344" s="25"/>
      <c r="N344" s="54"/>
      <c r="O344" s="3" t="str">
        <f t="shared" si="77"/>
        <v>A</v>
      </c>
      <c r="P344" s="48">
        <v>40591.9</v>
      </c>
      <c r="Q344" s="48">
        <v>12633</v>
      </c>
      <c r="R344" s="32"/>
      <c r="S344" s="3" t="str">
        <f t="shared" si="76"/>
        <v>A</v>
      </c>
      <c r="T344" s="48">
        <v>37263</v>
      </c>
      <c r="U344" s="48">
        <v>17650</v>
      </c>
      <c r="V344" s="32"/>
      <c r="W344" s="3" t="str">
        <f t="shared" si="78"/>
        <v>A</v>
      </c>
      <c r="X344" s="48">
        <v>39156.1</v>
      </c>
      <c r="Y344" s="48">
        <v>13791</v>
      </c>
      <c r="Z344" s="32"/>
      <c r="AA344" s="3" t="str">
        <f t="shared" si="79"/>
        <v>A</v>
      </c>
      <c r="AB344" s="48">
        <v>49367.200000000004</v>
      </c>
      <c r="AC344" s="48">
        <v>16709</v>
      </c>
      <c r="AD344" s="36"/>
      <c r="AE344" s="54"/>
      <c r="AF344" s="3" t="str">
        <f t="shared" si="80"/>
        <v>A</v>
      </c>
      <c r="AG344" s="48">
        <v>0</v>
      </c>
      <c r="AH344" s="48">
        <v>0</v>
      </c>
      <c r="AI344" s="39"/>
      <c r="AJ344" s="79" t="s">
        <v>1801</v>
      </c>
      <c r="AK344" s="39"/>
      <c r="AL344" s="4">
        <f t="shared" ref="AL344:AM407" si="85">IF($O344="A",P344,0)+IF($S344="A",T344,0)+IF($W344="A",X344,0)+IF($AA344="A",AB344,0)+IF($AF344="A",AG344,0)</f>
        <v>166378.20000000001</v>
      </c>
      <c r="AM344" s="4">
        <f t="shared" si="85"/>
        <v>60783</v>
      </c>
      <c r="AN344" s="4">
        <f t="shared" si="81"/>
        <v>227161.2</v>
      </c>
      <c r="AO344" s="39"/>
      <c r="AP344" s="8">
        <f t="shared" ref="AP344:AQ407" si="86">IF($O344="E",P344,0)+IF($S344="E",T344,0)+IF($W344="E",X344,0)+IF($AA344="E",AB344,0)+IF($AF344="E",AG344,0)</f>
        <v>0</v>
      </c>
      <c r="AQ344" s="8">
        <f t="shared" si="86"/>
        <v>0</v>
      </c>
      <c r="AR344" s="8">
        <f t="shared" si="82"/>
        <v>0</v>
      </c>
      <c r="AS344" s="42"/>
      <c r="AT344" s="48">
        <v>166378.19999999998</v>
      </c>
      <c r="AU344" s="48">
        <v>60783</v>
      </c>
      <c r="AV344" s="4">
        <f t="shared" si="83"/>
        <v>227161.19999999998</v>
      </c>
      <c r="AW344" s="50" t="str">
        <f t="shared" si="84"/>
        <v/>
      </c>
      <c r="AX344" s="1" t="s">
        <v>1647</v>
      </c>
      <c r="AY344" s="2" t="s">
        <v>1640</v>
      </c>
      <c r="AZ344" s="2">
        <v>84303.84</v>
      </c>
      <c r="BA344" s="73">
        <v>73765.86</v>
      </c>
      <c r="BB344" s="73">
        <v>73765.86</v>
      </c>
      <c r="BC344" s="73">
        <v>84303.84</v>
      </c>
      <c r="BD344" s="73"/>
      <c r="BE344" s="66">
        <v>0</v>
      </c>
      <c r="BF344" s="66">
        <v>0.02</v>
      </c>
      <c r="BG344" s="63">
        <v>45198</v>
      </c>
      <c r="BH344" s="74">
        <v>44452</v>
      </c>
      <c r="BI344" s="74">
        <v>44455</v>
      </c>
      <c r="BJ344" s="2"/>
      <c r="BK344" s="2"/>
      <c r="BL344" s="1" t="s">
        <v>56</v>
      </c>
    </row>
    <row r="345" spans="1:64" x14ac:dyDescent="0.25">
      <c r="A345" s="56" t="s">
        <v>599</v>
      </c>
      <c r="B345" s="54" t="s">
        <v>599</v>
      </c>
      <c r="C345" s="56" t="s">
        <v>600</v>
      </c>
      <c r="D345" s="16">
        <v>43346</v>
      </c>
      <c r="E345" s="17"/>
      <c r="F345" s="2" t="s">
        <v>243</v>
      </c>
      <c r="G345" s="2" t="s">
        <v>245</v>
      </c>
      <c r="H345" s="10" t="s">
        <v>105</v>
      </c>
      <c r="I345" s="11" t="s">
        <v>244</v>
      </c>
      <c r="J345" s="11" t="s">
        <v>451</v>
      </c>
      <c r="K345" s="61" t="s">
        <v>335</v>
      </c>
      <c r="L345" s="11" t="s">
        <v>67</v>
      </c>
      <c r="M345" s="25"/>
      <c r="N345" s="54"/>
      <c r="O345" s="3" t="str">
        <f t="shared" si="77"/>
        <v>A</v>
      </c>
      <c r="P345" s="48">
        <v>139399</v>
      </c>
      <c r="Q345" s="48">
        <v>17513</v>
      </c>
      <c r="R345" s="32"/>
      <c r="S345" s="3" t="str">
        <f t="shared" si="76"/>
        <v>A</v>
      </c>
      <c r="T345" s="48">
        <v>123031</v>
      </c>
      <c r="U345" s="48">
        <v>16485</v>
      </c>
      <c r="V345" s="32"/>
      <c r="W345" s="3" t="str">
        <f t="shared" si="78"/>
        <v>A</v>
      </c>
      <c r="X345" s="48">
        <v>116015</v>
      </c>
      <c r="Y345" s="48">
        <v>10866</v>
      </c>
      <c r="Z345" s="32"/>
      <c r="AA345" s="3" t="str">
        <f t="shared" si="79"/>
        <v>A</v>
      </c>
      <c r="AB345" s="48">
        <v>115495</v>
      </c>
      <c r="AC345" s="48">
        <v>12279</v>
      </c>
      <c r="AD345" s="36"/>
      <c r="AE345" s="54"/>
      <c r="AF345" s="3" t="str">
        <f t="shared" si="80"/>
        <v>A</v>
      </c>
      <c r="AG345" s="48">
        <v>0</v>
      </c>
      <c r="AH345" s="48">
        <v>0</v>
      </c>
      <c r="AI345" s="39"/>
      <c r="AJ345" s="79" t="s">
        <v>1801</v>
      </c>
      <c r="AK345" s="39"/>
      <c r="AL345" s="4">
        <f t="shared" si="85"/>
        <v>493940</v>
      </c>
      <c r="AM345" s="4">
        <f t="shared" si="85"/>
        <v>57143</v>
      </c>
      <c r="AN345" s="4">
        <f t="shared" si="81"/>
        <v>551083</v>
      </c>
      <c r="AO345" s="39"/>
      <c r="AP345" s="8">
        <f t="shared" si="86"/>
        <v>0</v>
      </c>
      <c r="AQ345" s="8">
        <f t="shared" si="86"/>
        <v>0</v>
      </c>
      <c r="AR345" s="8">
        <f t="shared" si="82"/>
        <v>0</v>
      </c>
      <c r="AS345" s="42"/>
      <c r="AT345" s="48">
        <v>493940</v>
      </c>
      <c r="AU345" s="48">
        <v>57143</v>
      </c>
      <c r="AV345" s="4">
        <f t="shared" si="83"/>
        <v>551083</v>
      </c>
      <c r="AW345" s="50" t="str">
        <f t="shared" si="84"/>
        <v/>
      </c>
      <c r="AX345" s="1" t="s">
        <v>1639</v>
      </c>
      <c r="AY345" s="2" t="s">
        <v>1640</v>
      </c>
      <c r="AZ345" s="2">
        <v>129949.6</v>
      </c>
      <c r="BA345" s="73">
        <v>113705.9</v>
      </c>
      <c r="BB345" s="73">
        <v>113705.9</v>
      </c>
      <c r="BC345" s="73">
        <v>129949.6</v>
      </c>
      <c r="BD345" s="73"/>
      <c r="BE345" s="66">
        <v>0</v>
      </c>
      <c r="BF345" s="66">
        <v>0.02</v>
      </c>
      <c r="BG345" s="63">
        <v>45075</v>
      </c>
      <c r="BH345" s="74">
        <v>44840</v>
      </c>
      <c r="BI345" s="74">
        <v>44868</v>
      </c>
      <c r="BJ345" s="2"/>
      <c r="BK345" s="2"/>
      <c r="BL345" s="1" t="s">
        <v>219</v>
      </c>
    </row>
    <row r="346" spans="1:64" x14ac:dyDescent="0.25">
      <c r="A346" s="56" t="s">
        <v>601</v>
      </c>
      <c r="B346" s="54" t="s">
        <v>601</v>
      </c>
      <c r="C346" s="56" t="s">
        <v>602</v>
      </c>
      <c r="D346" s="16">
        <v>43228</v>
      </c>
      <c r="E346" s="17"/>
      <c r="F346" s="2" t="s">
        <v>187</v>
      </c>
      <c r="G346" s="2" t="s">
        <v>189</v>
      </c>
      <c r="H346" s="10" t="s">
        <v>57</v>
      </c>
      <c r="I346" s="11" t="s">
        <v>188</v>
      </c>
      <c r="J346" s="11" t="s">
        <v>338</v>
      </c>
      <c r="K346" s="61" t="s">
        <v>339</v>
      </c>
      <c r="L346" s="11" t="s">
        <v>67</v>
      </c>
      <c r="M346" s="25"/>
      <c r="N346" s="54"/>
      <c r="O346" s="3" t="str">
        <f t="shared" si="77"/>
        <v>A</v>
      </c>
      <c r="P346" s="48">
        <v>108308.98999999999</v>
      </c>
      <c r="Q346" s="48">
        <v>40498</v>
      </c>
      <c r="R346" s="32"/>
      <c r="S346" s="3" t="str">
        <f t="shared" si="76"/>
        <v>A</v>
      </c>
      <c r="T346" s="48">
        <v>90246.23</v>
      </c>
      <c r="U346" s="48">
        <v>32071.02</v>
      </c>
      <c r="V346" s="32"/>
      <c r="W346" s="3" t="str">
        <f t="shared" si="78"/>
        <v>A</v>
      </c>
      <c r="X346" s="48">
        <v>74333.25</v>
      </c>
      <c r="Y346" s="48">
        <v>26995</v>
      </c>
      <c r="Z346" s="32"/>
      <c r="AA346" s="3" t="str">
        <f t="shared" si="79"/>
        <v>A</v>
      </c>
      <c r="AB346" s="48">
        <v>85847</v>
      </c>
      <c r="AC346" s="48">
        <v>26528</v>
      </c>
      <c r="AD346" s="36"/>
      <c r="AE346" s="54"/>
      <c r="AF346" s="3" t="str">
        <f t="shared" si="80"/>
        <v>A</v>
      </c>
      <c r="AG346" s="48">
        <v>0</v>
      </c>
      <c r="AH346" s="48">
        <v>0</v>
      </c>
      <c r="AI346" s="39"/>
      <c r="AJ346" s="79" t="s">
        <v>1801</v>
      </c>
      <c r="AK346" s="39"/>
      <c r="AL346" s="4">
        <f t="shared" si="85"/>
        <v>358735.47</v>
      </c>
      <c r="AM346" s="4">
        <f t="shared" si="85"/>
        <v>126092.02</v>
      </c>
      <c r="AN346" s="4">
        <f t="shared" si="81"/>
        <v>484827.49</v>
      </c>
      <c r="AO346" s="39"/>
      <c r="AP346" s="8">
        <f t="shared" si="86"/>
        <v>0</v>
      </c>
      <c r="AQ346" s="8">
        <f t="shared" si="86"/>
        <v>0</v>
      </c>
      <c r="AR346" s="8">
        <f t="shared" si="82"/>
        <v>0</v>
      </c>
      <c r="AS346" s="42"/>
      <c r="AT346" s="48">
        <v>358735.47</v>
      </c>
      <c r="AU346" s="48">
        <v>126092.02</v>
      </c>
      <c r="AV346" s="4">
        <f t="shared" si="83"/>
        <v>484827.49</v>
      </c>
      <c r="AW346" s="50" t="str">
        <f t="shared" si="84"/>
        <v/>
      </c>
      <c r="AX346" s="1" t="s">
        <v>1639</v>
      </c>
      <c r="AY346" s="2" t="s">
        <v>1640</v>
      </c>
      <c r="AZ346" s="2">
        <v>68412.320000000007</v>
      </c>
      <c r="BA346" s="73">
        <v>59860.78</v>
      </c>
      <c r="BB346" s="73">
        <v>59860.78</v>
      </c>
      <c r="BC346" s="73">
        <v>68412.320000000007</v>
      </c>
      <c r="BD346" s="73"/>
      <c r="BE346" s="66">
        <v>0</v>
      </c>
      <c r="BF346" s="66">
        <v>0.02</v>
      </c>
      <c r="BG346" s="63">
        <v>45051</v>
      </c>
      <c r="BH346" s="2"/>
      <c r="BI346" s="2"/>
      <c r="BJ346" s="2"/>
      <c r="BK346" s="2"/>
      <c r="BL346" s="1" t="s">
        <v>56</v>
      </c>
    </row>
    <row r="347" spans="1:64" x14ac:dyDescent="0.25">
      <c r="A347" s="56" t="s">
        <v>601</v>
      </c>
      <c r="B347" s="54" t="s">
        <v>813</v>
      </c>
      <c r="C347" s="56" t="s">
        <v>814</v>
      </c>
      <c r="D347" s="16">
        <v>40872</v>
      </c>
      <c r="E347" s="17"/>
      <c r="F347" s="2" t="s">
        <v>187</v>
      </c>
      <c r="G347" s="2" t="s">
        <v>189</v>
      </c>
      <c r="H347" s="10" t="s">
        <v>57</v>
      </c>
      <c r="I347" s="11" t="s">
        <v>188</v>
      </c>
      <c r="J347" s="11" t="s">
        <v>338</v>
      </c>
      <c r="K347" s="61" t="s">
        <v>339</v>
      </c>
      <c r="L347" s="11" t="s">
        <v>67</v>
      </c>
      <c r="M347" s="25"/>
      <c r="N347" s="54"/>
      <c r="O347" s="3" t="str">
        <f t="shared" si="77"/>
        <v>A</v>
      </c>
      <c r="P347" s="48">
        <v>72997</v>
      </c>
      <c r="Q347" s="48">
        <v>32503</v>
      </c>
      <c r="R347" s="32"/>
      <c r="S347" s="3" t="str">
        <f t="shared" si="76"/>
        <v>A</v>
      </c>
      <c r="T347" s="48">
        <v>55626</v>
      </c>
      <c r="U347" s="48">
        <v>29617</v>
      </c>
      <c r="V347" s="32"/>
      <c r="W347" s="3" t="str">
        <f t="shared" si="78"/>
        <v>A</v>
      </c>
      <c r="X347" s="48">
        <v>46059</v>
      </c>
      <c r="Y347" s="48">
        <v>29149</v>
      </c>
      <c r="Z347" s="32"/>
      <c r="AA347" s="3" t="str">
        <f t="shared" si="79"/>
        <v>A</v>
      </c>
      <c r="AB347" s="48">
        <v>57619</v>
      </c>
      <c r="AC347" s="48">
        <v>30071</v>
      </c>
      <c r="AD347" s="36"/>
      <c r="AE347" s="54"/>
      <c r="AF347" s="3" t="str">
        <f t="shared" si="80"/>
        <v>A</v>
      </c>
      <c r="AG347" s="48">
        <v>0</v>
      </c>
      <c r="AH347" s="48">
        <v>0</v>
      </c>
      <c r="AI347" s="39"/>
      <c r="AJ347" s="79" t="s">
        <v>1801</v>
      </c>
      <c r="AK347" s="39"/>
      <c r="AL347" s="4">
        <f t="shared" si="85"/>
        <v>232301</v>
      </c>
      <c r="AM347" s="4">
        <f t="shared" si="85"/>
        <v>121340</v>
      </c>
      <c r="AN347" s="4">
        <f t="shared" si="81"/>
        <v>353641</v>
      </c>
      <c r="AO347" s="39"/>
      <c r="AP347" s="8">
        <f t="shared" si="86"/>
        <v>0</v>
      </c>
      <c r="AQ347" s="8">
        <f t="shared" si="86"/>
        <v>0</v>
      </c>
      <c r="AR347" s="8">
        <f t="shared" si="82"/>
        <v>0</v>
      </c>
      <c r="AS347" s="42"/>
      <c r="AT347" s="48">
        <v>232301</v>
      </c>
      <c r="AU347" s="48">
        <v>121340</v>
      </c>
      <c r="AV347" s="4">
        <f t="shared" si="83"/>
        <v>353641</v>
      </c>
      <c r="AW347" s="50" t="str">
        <f t="shared" si="84"/>
        <v/>
      </c>
      <c r="AX347" s="1" t="s">
        <v>1639</v>
      </c>
      <c r="AY347" s="2" t="s">
        <v>1640</v>
      </c>
      <c r="AZ347" s="2">
        <v>96403.28</v>
      </c>
      <c r="BA347" s="73">
        <v>84352.87</v>
      </c>
      <c r="BB347" s="73">
        <v>84352.87</v>
      </c>
      <c r="BC347" s="73">
        <v>96403.28</v>
      </c>
      <c r="BD347" s="73"/>
      <c r="BE347" s="66">
        <v>0</v>
      </c>
      <c r="BF347" s="66">
        <v>0.02</v>
      </c>
      <c r="BG347" s="63">
        <v>45051</v>
      </c>
      <c r="BH347" s="2"/>
      <c r="BI347" s="2"/>
      <c r="BJ347" s="2"/>
      <c r="BK347" s="2"/>
      <c r="BL347" s="1" t="s">
        <v>56</v>
      </c>
    </row>
    <row r="348" spans="1:64" x14ac:dyDescent="0.25">
      <c r="A348" s="56" t="s">
        <v>603</v>
      </c>
      <c r="B348" s="54" t="s">
        <v>603</v>
      </c>
      <c r="C348" s="56" t="s">
        <v>604</v>
      </c>
      <c r="D348" s="16">
        <v>43619</v>
      </c>
      <c r="E348" s="17"/>
      <c r="F348" s="2" t="s">
        <v>109</v>
      </c>
      <c r="G348" s="2" t="s">
        <v>111</v>
      </c>
      <c r="H348" s="10" t="s">
        <v>105</v>
      </c>
      <c r="I348" s="11" t="s">
        <v>110</v>
      </c>
      <c r="J348" s="11" t="s">
        <v>544</v>
      </c>
      <c r="K348" s="61" t="s">
        <v>230</v>
      </c>
      <c r="L348" s="11" t="s">
        <v>67</v>
      </c>
      <c r="M348" s="25"/>
      <c r="N348" s="54"/>
      <c r="O348" s="3" t="str">
        <f t="shared" si="77"/>
        <v>A</v>
      </c>
      <c r="P348" s="48">
        <v>123385.34999999999</v>
      </c>
      <c r="Q348" s="48">
        <v>14759</v>
      </c>
      <c r="R348" s="32"/>
      <c r="S348" s="3" t="str">
        <f t="shared" si="76"/>
        <v>A</v>
      </c>
      <c r="T348" s="48">
        <v>104756.99</v>
      </c>
      <c r="U348" s="48">
        <v>15733</v>
      </c>
      <c r="V348" s="32"/>
      <c r="W348" s="3" t="str">
        <f t="shared" si="78"/>
        <v>A</v>
      </c>
      <c r="X348" s="48">
        <v>97613.37999999999</v>
      </c>
      <c r="Y348" s="48">
        <v>13513.21</v>
      </c>
      <c r="Z348" s="32"/>
      <c r="AA348" s="3" t="str">
        <f t="shared" si="79"/>
        <v>A</v>
      </c>
      <c r="AB348" s="48">
        <v>107536.67000000001</v>
      </c>
      <c r="AC348" s="48">
        <v>15289.33</v>
      </c>
      <c r="AD348" s="36"/>
      <c r="AE348" s="54"/>
      <c r="AF348" s="3" t="str">
        <f t="shared" si="80"/>
        <v>A</v>
      </c>
      <c r="AG348" s="48">
        <v>0</v>
      </c>
      <c r="AH348" s="48">
        <v>0</v>
      </c>
      <c r="AI348" s="39"/>
      <c r="AJ348" s="79" t="s">
        <v>1801</v>
      </c>
      <c r="AK348" s="39"/>
      <c r="AL348" s="4">
        <f t="shared" si="85"/>
        <v>433292.39</v>
      </c>
      <c r="AM348" s="4">
        <f t="shared" si="85"/>
        <v>59294.54</v>
      </c>
      <c r="AN348" s="4">
        <f t="shared" si="81"/>
        <v>492586.93</v>
      </c>
      <c r="AO348" s="39"/>
      <c r="AP348" s="8">
        <f t="shared" si="86"/>
        <v>0</v>
      </c>
      <c r="AQ348" s="8">
        <f t="shared" si="86"/>
        <v>0</v>
      </c>
      <c r="AR348" s="8">
        <f t="shared" si="82"/>
        <v>0</v>
      </c>
      <c r="AS348" s="42"/>
      <c r="AT348" s="48">
        <v>433292.39</v>
      </c>
      <c r="AU348" s="48">
        <v>59294.539999999994</v>
      </c>
      <c r="AV348" s="4">
        <f t="shared" si="83"/>
        <v>492586.93</v>
      </c>
      <c r="AW348" s="50" t="str">
        <f t="shared" si="84"/>
        <v/>
      </c>
      <c r="AX348" s="1" t="s">
        <v>1647</v>
      </c>
      <c r="AY348" s="2" t="s">
        <v>1640</v>
      </c>
      <c r="AZ348" s="2">
        <v>147708.56</v>
      </c>
      <c r="BA348" s="73">
        <v>129244.99</v>
      </c>
      <c r="BB348" s="73">
        <v>129244.99</v>
      </c>
      <c r="BC348" s="73">
        <v>147708.56</v>
      </c>
      <c r="BD348" s="73"/>
      <c r="BE348" s="66">
        <v>0</v>
      </c>
      <c r="BF348" s="66">
        <v>0.02</v>
      </c>
      <c r="BG348" s="63">
        <v>45429</v>
      </c>
      <c r="BH348" s="74">
        <v>43768</v>
      </c>
      <c r="BI348" s="74">
        <v>43808</v>
      </c>
      <c r="BJ348" s="2"/>
      <c r="BK348" s="2"/>
      <c r="BL348" s="1" t="s">
        <v>219</v>
      </c>
    </row>
    <row r="349" spans="1:64" x14ac:dyDescent="0.25">
      <c r="A349" s="56" t="s">
        <v>605</v>
      </c>
      <c r="B349" s="54" t="s">
        <v>605</v>
      </c>
      <c r="C349" s="56" t="s">
        <v>606</v>
      </c>
      <c r="D349" s="16">
        <v>42215</v>
      </c>
      <c r="E349" s="17"/>
      <c r="F349" s="2" t="s">
        <v>607</v>
      </c>
      <c r="G349" s="2" t="s">
        <v>608</v>
      </c>
      <c r="H349" s="10" t="s">
        <v>98</v>
      </c>
      <c r="I349" s="11" t="s">
        <v>53</v>
      </c>
      <c r="J349" s="11" t="s">
        <v>609</v>
      </c>
      <c r="K349" s="61"/>
      <c r="L349" s="11" t="s">
        <v>67</v>
      </c>
      <c r="M349" s="25"/>
      <c r="N349" s="54"/>
      <c r="O349" s="3" t="str">
        <f t="shared" si="77"/>
        <v>A</v>
      </c>
      <c r="P349" s="48">
        <v>118963</v>
      </c>
      <c r="Q349" s="48">
        <v>27709</v>
      </c>
      <c r="R349" s="32"/>
      <c r="S349" s="3" t="str">
        <f t="shared" si="76"/>
        <v>A</v>
      </c>
      <c r="T349" s="48">
        <v>108579</v>
      </c>
      <c r="U349" s="48">
        <v>27802</v>
      </c>
      <c r="V349" s="32"/>
      <c r="W349" s="3" t="str">
        <f t="shared" si="78"/>
        <v>A</v>
      </c>
      <c r="X349" s="48">
        <v>106663</v>
      </c>
      <c r="Y349" s="48">
        <v>23124</v>
      </c>
      <c r="Z349" s="32"/>
      <c r="AA349" s="3" t="str">
        <f t="shared" si="79"/>
        <v>A</v>
      </c>
      <c r="AB349" s="48">
        <v>124384</v>
      </c>
      <c r="AC349" s="48">
        <v>26353</v>
      </c>
      <c r="AD349" s="36"/>
      <c r="AE349" s="54"/>
      <c r="AF349" s="3" t="str">
        <f t="shared" si="80"/>
        <v>A</v>
      </c>
      <c r="AG349" s="48">
        <v>0</v>
      </c>
      <c r="AH349" s="48">
        <v>0</v>
      </c>
      <c r="AI349" s="39"/>
      <c r="AJ349" s="79" t="s">
        <v>1801</v>
      </c>
      <c r="AK349" s="39"/>
      <c r="AL349" s="4">
        <f t="shared" si="85"/>
        <v>458589</v>
      </c>
      <c r="AM349" s="4">
        <f t="shared" si="85"/>
        <v>104988</v>
      </c>
      <c r="AN349" s="4">
        <f t="shared" si="81"/>
        <v>563577</v>
      </c>
      <c r="AO349" s="39"/>
      <c r="AP349" s="8">
        <f t="shared" si="86"/>
        <v>0</v>
      </c>
      <c r="AQ349" s="8">
        <f t="shared" si="86"/>
        <v>0</v>
      </c>
      <c r="AR349" s="8">
        <f t="shared" si="82"/>
        <v>0</v>
      </c>
      <c r="AS349" s="42"/>
      <c r="AT349" s="48">
        <v>458589</v>
      </c>
      <c r="AU349" s="48">
        <v>104988</v>
      </c>
      <c r="AV349" s="4">
        <f t="shared" si="83"/>
        <v>563577</v>
      </c>
      <c r="AW349" s="50" t="str">
        <f t="shared" si="84"/>
        <v/>
      </c>
      <c r="AX349" s="1" t="s">
        <v>1728</v>
      </c>
      <c r="AY349" s="2" t="s">
        <v>1729</v>
      </c>
      <c r="AZ349" s="2">
        <v>85514.48</v>
      </c>
      <c r="BA349" s="73">
        <v>74825.17</v>
      </c>
      <c r="BB349" s="73">
        <v>74825.17</v>
      </c>
      <c r="BC349" s="73">
        <v>85514.48</v>
      </c>
      <c r="BD349" s="73"/>
      <c r="BE349" s="66">
        <v>3.5000000000000003E-2</v>
      </c>
      <c r="BF349" s="66">
        <v>0.05</v>
      </c>
      <c r="BG349" s="63">
        <v>44035</v>
      </c>
      <c r="BH349" s="74">
        <v>43911</v>
      </c>
      <c r="BI349" s="74">
        <v>43927</v>
      </c>
      <c r="BJ349" s="2"/>
      <c r="BK349" s="2"/>
      <c r="BL349" s="1" t="s">
        <v>237</v>
      </c>
    </row>
    <row r="350" spans="1:64" x14ac:dyDescent="0.25">
      <c r="A350" s="56" t="s">
        <v>610</v>
      </c>
      <c r="B350" s="54" t="s">
        <v>610</v>
      </c>
      <c r="C350" s="56" t="s">
        <v>611</v>
      </c>
      <c r="D350" s="16">
        <v>42034</v>
      </c>
      <c r="E350" s="17"/>
      <c r="F350" s="2" t="s">
        <v>52</v>
      </c>
      <c r="G350" s="2" t="s">
        <v>55</v>
      </c>
      <c r="H350" s="10" t="s">
        <v>57</v>
      </c>
      <c r="I350" s="11" t="s">
        <v>54</v>
      </c>
      <c r="J350" s="11" t="s">
        <v>135</v>
      </c>
      <c r="K350" s="61" t="s">
        <v>136</v>
      </c>
      <c r="L350" s="11" t="s">
        <v>67</v>
      </c>
      <c r="M350" s="25"/>
      <c r="N350" s="54"/>
      <c r="O350" s="3" t="str">
        <f t="shared" si="77"/>
        <v>A</v>
      </c>
      <c r="P350" s="48">
        <v>104273</v>
      </c>
      <c r="Q350" s="48">
        <v>24973</v>
      </c>
      <c r="R350" s="32"/>
      <c r="S350" s="3" t="str">
        <f t="shared" si="76"/>
        <v>A</v>
      </c>
      <c r="T350" s="48">
        <v>90563</v>
      </c>
      <c r="U350" s="48">
        <v>22725</v>
      </c>
      <c r="V350" s="32"/>
      <c r="W350" s="3" t="str">
        <f t="shared" si="78"/>
        <v>A</v>
      </c>
      <c r="X350" s="48">
        <v>91462</v>
      </c>
      <c r="Y350" s="48">
        <v>24175</v>
      </c>
      <c r="Z350" s="32"/>
      <c r="AA350" s="3" t="str">
        <f t="shared" si="79"/>
        <v>A</v>
      </c>
      <c r="AB350" s="48">
        <v>102743.92</v>
      </c>
      <c r="AC350" s="48">
        <v>28954.489999999998</v>
      </c>
      <c r="AD350" s="36"/>
      <c r="AE350" s="54"/>
      <c r="AF350" s="3" t="str">
        <f t="shared" si="80"/>
        <v>A</v>
      </c>
      <c r="AG350" s="48">
        <v>0</v>
      </c>
      <c r="AH350" s="48">
        <v>0</v>
      </c>
      <c r="AI350" s="39"/>
      <c r="AJ350" s="79" t="s">
        <v>1801</v>
      </c>
      <c r="AK350" s="39"/>
      <c r="AL350" s="4">
        <f t="shared" si="85"/>
        <v>389041.91999999998</v>
      </c>
      <c r="AM350" s="4">
        <f t="shared" si="85"/>
        <v>100827.48999999999</v>
      </c>
      <c r="AN350" s="4">
        <f t="shared" si="81"/>
        <v>489869.41</v>
      </c>
      <c r="AO350" s="39"/>
      <c r="AP350" s="8">
        <f t="shared" si="86"/>
        <v>0</v>
      </c>
      <c r="AQ350" s="8">
        <f t="shared" si="86"/>
        <v>0</v>
      </c>
      <c r="AR350" s="8">
        <f t="shared" si="82"/>
        <v>0</v>
      </c>
      <c r="AS350" s="42"/>
      <c r="AT350" s="48">
        <v>389041.92000000004</v>
      </c>
      <c r="AU350" s="48">
        <v>100827.49</v>
      </c>
      <c r="AV350" s="4">
        <f t="shared" si="83"/>
        <v>489869.41000000003</v>
      </c>
      <c r="AW350" s="50" t="str">
        <f t="shared" si="84"/>
        <v/>
      </c>
      <c r="AX350" s="1" t="s">
        <v>1639</v>
      </c>
      <c r="AY350" s="2" t="s">
        <v>1640</v>
      </c>
      <c r="AZ350" s="2">
        <v>109670.56</v>
      </c>
      <c r="BA350" s="73">
        <v>95961.74</v>
      </c>
      <c r="BB350" s="73">
        <v>95961.74</v>
      </c>
      <c r="BC350" s="73">
        <v>109670.56</v>
      </c>
      <c r="BD350" s="73"/>
      <c r="BE350" s="66">
        <v>0</v>
      </c>
      <c r="BF350" s="66">
        <v>0.02</v>
      </c>
      <c r="BG350" s="63">
        <v>45641</v>
      </c>
      <c r="BH350" s="2"/>
      <c r="BI350" s="2"/>
      <c r="BJ350" s="2"/>
      <c r="BK350" s="2"/>
      <c r="BL350" s="1" t="s">
        <v>56</v>
      </c>
    </row>
    <row r="351" spans="1:64" x14ac:dyDescent="0.25">
      <c r="A351" s="56" t="s">
        <v>610</v>
      </c>
      <c r="B351" s="54" t="s">
        <v>815</v>
      </c>
      <c r="C351" s="56" t="s">
        <v>816</v>
      </c>
      <c r="D351" s="16">
        <v>43168</v>
      </c>
      <c r="E351" s="17"/>
      <c r="F351" s="2" t="s">
        <v>52</v>
      </c>
      <c r="G351" s="2" t="s">
        <v>55</v>
      </c>
      <c r="H351" s="10" t="s">
        <v>57</v>
      </c>
      <c r="I351" s="11" t="s">
        <v>54</v>
      </c>
      <c r="J351" s="11" t="s">
        <v>135</v>
      </c>
      <c r="K351" s="61" t="s">
        <v>136</v>
      </c>
      <c r="L351" s="11" t="s">
        <v>67</v>
      </c>
      <c r="M351" s="25"/>
      <c r="N351" s="54"/>
      <c r="O351" s="3" t="str">
        <f t="shared" si="77"/>
        <v>A</v>
      </c>
      <c r="P351" s="48">
        <v>94607.75</v>
      </c>
      <c r="Q351" s="48">
        <v>14301</v>
      </c>
      <c r="R351" s="32"/>
      <c r="S351" s="3" t="str">
        <f t="shared" si="76"/>
        <v>A</v>
      </c>
      <c r="T351" s="48">
        <v>84051.75</v>
      </c>
      <c r="U351" s="48">
        <v>11474</v>
      </c>
      <c r="V351" s="32"/>
      <c r="W351" s="3" t="str">
        <f t="shared" si="78"/>
        <v>A</v>
      </c>
      <c r="X351" s="48">
        <v>76796</v>
      </c>
      <c r="Y351" s="48">
        <v>11601</v>
      </c>
      <c r="Z351" s="32"/>
      <c r="AA351" s="3" t="str">
        <f t="shared" si="79"/>
        <v>A</v>
      </c>
      <c r="AB351" s="48">
        <v>84210</v>
      </c>
      <c r="AC351" s="48">
        <v>10118</v>
      </c>
      <c r="AD351" s="36"/>
      <c r="AE351" s="54"/>
      <c r="AF351" s="3" t="str">
        <f t="shared" si="80"/>
        <v>A</v>
      </c>
      <c r="AG351" s="48">
        <v>0</v>
      </c>
      <c r="AH351" s="48">
        <v>0</v>
      </c>
      <c r="AI351" s="39"/>
      <c r="AJ351" s="79" t="s">
        <v>1801</v>
      </c>
      <c r="AK351" s="39"/>
      <c r="AL351" s="4">
        <f t="shared" si="85"/>
        <v>339665.5</v>
      </c>
      <c r="AM351" s="4">
        <f t="shared" si="85"/>
        <v>47494</v>
      </c>
      <c r="AN351" s="4">
        <f t="shared" si="81"/>
        <v>387159.5</v>
      </c>
      <c r="AO351" s="39"/>
      <c r="AP351" s="8">
        <f t="shared" si="86"/>
        <v>0</v>
      </c>
      <c r="AQ351" s="8">
        <f t="shared" si="86"/>
        <v>0</v>
      </c>
      <c r="AR351" s="8">
        <f t="shared" si="82"/>
        <v>0</v>
      </c>
      <c r="AS351" s="42"/>
      <c r="AT351" s="48">
        <v>339665.5</v>
      </c>
      <c r="AU351" s="48">
        <v>47494</v>
      </c>
      <c r="AV351" s="4">
        <f t="shared" si="83"/>
        <v>387159.5</v>
      </c>
      <c r="AW351" s="50" t="str">
        <f t="shared" si="84"/>
        <v/>
      </c>
      <c r="AX351" s="1" t="s">
        <v>1639</v>
      </c>
      <c r="AY351" s="2" t="s">
        <v>1640</v>
      </c>
      <c r="AZ351" s="2">
        <v>88617.76</v>
      </c>
      <c r="BA351" s="73">
        <v>77540.539999999994</v>
      </c>
      <c r="BB351" s="73">
        <v>77540.539999999994</v>
      </c>
      <c r="BC351" s="73">
        <v>88617.76</v>
      </c>
      <c r="BD351" s="73"/>
      <c r="BE351" s="66">
        <v>0</v>
      </c>
      <c r="BF351" s="66">
        <v>0.02</v>
      </c>
      <c r="BG351" s="63">
        <v>45641</v>
      </c>
      <c r="BH351" s="2"/>
      <c r="BI351" s="2"/>
      <c r="BJ351" s="2"/>
      <c r="BK351" s="2"/>
      <c r="BL351" s="1" t="s">
        <v>56</v>
      </c>
    </row>
    <row r="352" spans="1:64" x14ac:dyDescent="0.25">
      <c r="A352" s="56" t="s">
        <v>610</v>
      </c>
      <c r="B352" s="54" t="s">
        <v>817</v>
      </c>
      <c r="C352" s="56" t="s">
        <v>818</v>
      </c>
      <c r="D352" s="16">
        <v>42846</v>
      </c>
      <c r="E352" s="17"/>
      <c r="F352" s="2" t="s">
        <v>52</v>
      </c>
      <c r="G352" s="2" t="s">
        <v>55</v>
      </c>
      <c r="H352" s="10" t="s">
        <v>57</v>
      </c>
      <c r="I352" s="11" t="s">
        <v>54</v>
      </c>
      <c r="J352" s="11" t="s">
        <v>135</v>
      </c>
      <c r="K352" s="61" t="s">
        <v>136</v>
      </c>
      <c r="L352" s="11" t="s">
        <v>67</v>
      </c>
      <c r="M352" s="25"/>
      <c r="N352" s="54"/>
      <c r="O352" s="3" t="str">
        <f t="shared" si="77"/>
        <v>A</v>
      </c>
      <c r="P352" s="48">
        <v>28835</v>
      </c>
      <c r="Q352" s="48">
        <v>5083</v>
      </c>
      <c r="R352" s="32"/>
      <c r="S352" s="3" t="str">
        <f t="shared" si="76"/>
        <v>A</v>
      </c>
      <c r="T352" s="48">
        <v>22945</v>
      </c>
      <c r="U352" s="48">
        <v>3369</v>
      </c>
      <c r="V352" s="32"/>
      <c r="W352" s="3" t="str">
        <f t="shared" si="78"/>
        <v>A</v>
      </c>
      <c r="X352" s="48">
        <v>21151</v>
      </c>
      <c r="Y352" s="48">
        <v>3267</v>
      </c>
      <c r="Z352" s="32"/>
      <c r="AA352" s="3" t="str">
        <f t="shared" si="79"/>
        <v>A</v>
      </c>
      <c r="AB352" s="48">
        <v>23181</v>
      </c>
      <c r="AC352" s="48">
        <v>4879</v>
      </c>
      <c r="AD352" s="36"/>
      <c r="AE352" s="54"/>
      <c r="AF352" s="3" t="str">
        <f t="shared" si="80"/>
        <v>A</v>
      </c>
      <c r="AG352" s="48">
        <v>0</v>
      </c>
      <c r="AH352" s="48">
        <v>0</v>
      </c>
      <c r="AI352" s="39"/>
      <c r="AJ352" s="79" t="s">
        <v>1801</v>
      </c>
      <c r="AK352" s="39"/>
      <c r="AL352" s="4">
        <f t="shared" si="85"/>
        <v>96112</v>
      </c>
      <c r="AM352" s="4">
        <f t="shared" si="85"/>
        <v>16598</v>
      </c>
      <c r="AN352" s="4">
        <f t="shared" si="81"/>
        <v>112710</v>
      </c>
      <c r="AO352" s="39"/>
      <c r="AP352" s="8">
        <f t="shared" si="86"/>
        <v>0</v>
      </c>
      <c r="AQ352" s="8">
        <f t="shared" si="86"/>
        <v>0</v>
      </c>
      <c r="AR352" s="8">
        <f t="shared" si="82"/>
        <v>0</v>
      </c>
      <c r="AS352" s="42"/>
      <c r="AT352" s="48">
        <v>96112</v>
      </c>
      <c r="AU352" s="48">
        <v>16598</v>
      </c>
      <c r="AV352" s="4">
        <f t="shared" si="83"/>
        <v>112710</v>
      </c>
      <c r="AW352" s="50" t="str">
        <f t="shared" si="84"/>
        <v/>
      </c>
      <c r="AX352" s="1" t="s">
        <v>1639</v>
      </c>
      <c r="AY352" s="2" t="s">
        <v>1640</v>
      </c>
      <c r="AZ352" s="2">
        <v>27334.880000000001</v>
      </c>
      <c r="BA352" s="73">
        <v>23918.02</v>
      </c>
      <c r="BB352" s="73">
        <v>23918.02</v>
      </c>
      <c r="BC352" s="73">
        <v>27334.880000000001</v>
      </c>
      <c r="BD352" s="73"/>
      <c r="BE352" s="66">
        <v>0</v>
      </c>
      <c r="BF352" s="66">
        <v>0.02</v>
      </c>
      <c r="BG352" s="63">
        <v>45641</v>
      </c>
      <c r="BH352" s="74">
        <v>43922</v>
      </c>
      <c r="BI352" s="74">
        <v>43923</v>
      </c>
      <c r="BJ352" s="2"/>
      <c r="BK352" s="2"/>
      <c r="BL352" s="1" t="s">
        <v>56</v>
      </c>
    </row>
    <row r="353" spans="1:64" x14ac:dyDescent="0.25">
      <c r="A353" s="56" t="s">
        <v>612</v>
      </c>
      <c r="B353" s="54" t="s">
        <v>612</v>
      </c>
      <c r="C353" s="56" t="s">
        <v>613</v>
      </c>
      <c r="D353" s="16">
        <v>39404</v>
      </c>
      <c r="E353" s="17"/>
      <c r="F353" s="2" t="s">
        <v>52</v>
      </c>
      <c r="G353" s="2" t="s">
        <v>55</v>
      </c>
      <c r="H353" s="10" t="s">
        <v>57</v>
      </c>
      <c r="I353" s="11" t="s">
        <v>54</v>
      </c>
      <c r="J353" s="11" t="s">
        <v>131</v>
      </c>
      <c r="K353" s="61" t="s">
        <v>132</v>
      </c>
      <c r="L353" s="11" t="s">
        <v>67</v>
      </c>
      <c r="M353" s="25"/>
      <c r="N353" s="54"/>
      <c r="O353" s="3" t="str">
        <f t="shared" si="77"/>
        <v>A</v>
      </c>
      <c r="P353" s="48">
        <v>112952.20000000001</v>
      </c>
      <c r="Q353" s="48">
        <v>28349</v>
      </c>
      <c r="R353" s="32"/>
      <c r="S353" s="3" t="str">
        <f t="shared" si="76"/>
        <v>A</v>
      </c>
      <c r="T353" s="48">
        <v>90269.2</v>
      </c>
      <c r="U353" s="48">
        <v>29366</v>
      </c>
      <c r="V353" s="32"/>
      <c r="W353" s="3" t="str">
        <f t="shared" si="78"/>
        <v>A</v>
      </c>
      <c r="X353" s="48">
        <v>95831.3</v>
      </c>
      <c r="Y353" s="48">
        <v>25409.599999999999</v>
      </c>
      <c r="Z353" s="32"/>
      <c r="AA353" s="3" t="str">
        <f t="shared" si="79"/>
        <v>A</v>
      </c>
      <c r="AB353" s="48">
        <v>98561.45</v>
      </c>
      <c r="AC353" s="48">
        <v>29757</v>
      </c>
      <c r="AD353" s="36"/>
      <c r="AE353" s="54"/>
      <c r="AF353" s="3" t="str">
        <f t="shared" si="80"/>
        <v>A</v>
      </c>
      <c r="AG353" s="48">
        <v>0</v>
      </c>
      <c r="AH353" s="48">
        <v>0</v>
      </c>
      <c r="AI353" s="39"/>
      <c r="AJ353" s="79" t="s">
        <v>1801</v>
      </c>
      <c r="AK353" s="39"/>
      <c r="AL353" s="4">
        <f t="shared" si="85"/>
        <v>397614.15</v>
      </c>
      <c r="AM353" s="4">
        <f t="shared" si="85"/>
        <v>112881.60000000001</v>
      </c>
      <c r="AN353" s="4">
        <f t="shared" si="81"/>
        <v>510495.75</v>
      </c>
      <c r="AO353" s="39"/>
      <c r="AP353" s="8">
        <f t="shared" si="86"/>
        <v>0</v>
      </c>
      <c r="AQ353" s="8">
        <f t="shared" si="86"/>
        <v>0</v>
      </c>
      <c r="AR353" s="8">
        <f t="shared" si="82"/>
        <v>0</v>
      </c>
      <c r="AS353" s="42"/>
      <c r="AT353" s="48">
        <v>397614.15</v>
      </c>
      <c r="AU353" s="48">
        <v>112881.60000000001</v>
      </c>
      <c r="AV353" s="4">
        <f t="shared" si="83"/>
        <v>510495.75</v>
      </c>
      <c r="AW353" s="50" t="str">
        <f t="shared" si="84"/>
        <v/>
      </c>
      <c r="AX353" s="1" t="s">
        <v>1639</v>
      </c>
      <c r="AY353" s="2" t="s">
        <v>1640</v>
      </c>
      <c r="AZ353" s="2">
        <v>120277.68</v>
      </c>
      <c r="BA353" s="73">
        <v>105242.97</v>
      </c>
      <c r="BB353" s="73">
        <v>105242.97</v>
      </c>
      <c r="BC353" s="73">
        <v>120277.68</v>
      </c>
      <c r="BD353" s="73"/>
      <c r="BE353" s="66">
        <v>0</v>
      </c>
      <c r="BF353" s="66">
        <v>0.02</v>
      </c>
      <c r="BG353" s="63">
        <v>44878</v>
      </c>
      <c r="BH353" s="2"/>
      <c r="BI353" s="2"/>
      <c r="BJ353" s="2"/>
      <c r="BK353" s="2"/>
      <c r="BL353" s="1" t="s">
        <v>56</v>
      </c>
    </row>
    <row r="354" spans="1:64" x14ac:dyDescent="0.25">
      <c r="A354" s="56" t="s">
        <v>614</v>
      </c>
      <c r="B354" s="54" t="s">
        <v>614</v>
      </c>
      <c r="C354" s="56" t="s">
        <v>615</v>
      </c>
      <c r="D354" s="16">
        <v>42478</v>
      </c>
      <c r="E354" s="17">
        <v>45725</v>
      </c>
      <c r="F354" s="2" t="s">
        <v>171</v>
      </c>
      <c r="G354" s="2" t="s">
        <v>172</v>
      </c>
      <c r="H354" s="10" t="s">
        <v>105</v>
      </c>
      <c r="I354" s="11" t="s">
        <v>53</v>
      </c>
      <c r="J354" s="11" t="s">
        <v>145</v>
      </c>
      <c r="K354" s="61"/>
      <c r="L354" s="11" t="s">
        <v>67</v>
      </c>
      <c r="M354" s="25"/>
      <c r="N354" s="54"/>
      <c r="O354" s="3" t="str">
        <f t="shared" si="77"/>
        <v>A</v>
      </c>
      <c r="P354" s="48"/>
      <c r="Q354" s="48"/>
      <c r="R354" s="32"/>
      <c r="S354" s="3" t="str">
        <f t="shared" si="76"/>
        <v>A</v>
      </c>
      <c r="T354" s="48"/>
      <c r="U354" s="48"/>
      <c r="V354" s="32"/>
      <c r="W354" s="3" t="str">
        <f t="shared" si="78"/>
        <v>A</v>
      </c>
      <c r="X354" s="48"/>
      <c r="Y354" s="48"/>
      <c r="Z354" s="32"/>
      <c r="AA354" s="3" t="str">
        <f t="shared" si="79"/>
        <v>A</v>
      </c>
      <c r="AB354" s="48"/>
      <c r="AC354" s="48"/>
      <c r="AD354" s="36"/>
      <c r="AE354" s="54"/>
      <c r="AF354" s="3" t="str">
        <f t="shared" si="80"/>
        <v>A</v>
      </c>
      <c r="AG354" s="48"/>
      <c r="AH354" s="48"/>
      <c r="AI354" s="39"/>
      <c r="AJ354" s="79" t="s">
        <v>1801</v>
      </c>
      <c r="AK354" s="39"/>
      <c r="AL354" s="4">
        <f t="shared" si="85"/>
        <v>0</v>
      </c>
      <c r="AM354" s="4">
        <f t="shared" si="85"/>
        <v>0</v>
      </c>
      <c r="AN354" s="4">
        <f t="shared" si="81"/>
        <v>0</v>
      </c>
      <c r="AO354" s="39"/>
      <c r="AP354" s="8">
        <f t="shared" si="86"/>
        <v>0</v>
      </c>
      <c r="AQ354" s="8">
        <f t="shared" si="86"/>
        <v>0</v>
      </c>
      <c r="AR354" s="8">
        <f t="shared" si="82"/>
        <v>0</v>
      </c>
      <c r="AS354" s="42"/>
      <c r="AT354" s="48"/>
      <c r="AU354" s="48"/>
      <c r="AV354" s="4">
        <f t="shared" si="83"/>
        <v>0</v>
      </c>
      <c r="AW354" s="50" t="str">
        <f t="shared" si="84"/>
        <v/>
      </c>
      <c r="AX354" s="1" t="s">
        <v>1654</v>
      </c>
      <c r="AY354" s="2" t="s">
        <v>1655</v>
      </c>
      <c r="AZ354" s="2"/>
      <c r="BA354" s="73"/>
      <c r="BB354" s="73"/>
      <c r="BC354" s="73"/>
      <c r="BD354" s="73"/>
      <c r="BE354" s="66">
        <v>3.5000000000000003E-2</v>
      </c>
      <c r="BF354" s="66">
        <v>0.05</v>
      </c>
      <c r="BG354" s="63">
        <v>44270</v>
      </c>
      <c r="BH354" s="74">
        <v>45725</v>
      </c>
      <c r="BI354" s="2"/>
      <c r="BJ354" s="2"/>
      <c r="BK354" s="2"/>
      <c r="BL354" s="1" t="s">
        <v>104</v>
      </c>
    </row>
    <row r="355" spans="1:64" x14ac:dyDescent="0.25">
      <c r="A355" s="56" t="s">
        <v>618</v>
      </c>
      <c r="B355" s="54" t="s">
        <v>618</v>
      </c>
      <c r="C355" s="56" t="s">
        <v>619</v>
      </c>
      <c r="D355" s="16">
        <v>0</v>
      </c>
      <c r="E355" s="17"/>
      <c r="F355" s="2" t="s">
        <v>52</v>
      </c>
      <c r="G355" s="2" t="s">
        <v>55</v>
      </c>
      <c r="H355" s="10" t="s">
        <v>57</v>
      </c>
      <c r="I355" s="11" t="s">
        <v>54</v>
      </c>
      <c r="J355" s="11" t="s">
        <v>620</v>
      </c>
      <c r="K355" s="61" t="s">
        <v>621</v>
      </c>
      <c r="L355" s="11" t="s">
        <v>67</v>
      </c>
      <c r="M355" s="25"/>
      <c r="N355" s="54"/>
      <c r="O355" s="3" t="str">
        <f t="shared" si="77"/>
        <v>A</v>
      </c>
      <c r="P355" s="48">
        <v>61825</v>
      </c>
      <c r="Q355" s="48">
        <v>9913</v>
      </c>
      <c r="R355" s="32"/>
      <c r="S355" s="3" t="str">
        <f t="shared" si="76"/>
        <v>A</v>
      </c>
      <c r="T355" s="48">
        <v>58078</v>
      </c>
      <c r="U355" s="48">
        <v>9386</v>
      </c>
      <c r="V355" s="32"/>
      <c r="W355" s="3" t="str">
        <f t="shared" si="78"/>
        <v>A</v>
      </c>
      <c r="X355" s="48">
        <v>50360</v>
      </c>
      <c r="Y355" s="48">
        <v>7843</v>
      </c>
      <c r="Z355" s="32"/>
      <c r="AA355" s="3" t="str">
        <f t="shared" si="79"/>
        <v>A</v>
      </c>
      <c r="AB355" s="48">
        <v>62379</v>
      </c>
      <c r="AC355" s="48">
        <v>11145</v>
      </c>
      <c r="AD355" s="36"/>
      <c r="AE355" s="54"/>
      <c r="AF355" s="3" t="str">
        <f t="shared" si="80"/>
        <v>A</v>
      </c>
      <c r="AG355" s="48">
        <v>0</v>
      </c>
      <c r="AH355" s="48">
        <v>0</v>
      </c>
      <c r="AI355" s="39"/>
      <c r="AJ355" s="79" t="s">
        <v>1801</v>
      </c>
      <c r="AK355" s="39"/>
      <c r="AL355" s="4">
        <f t="shared" si="85"/>
        <v>232642</v>
      </c>
      <c r="AM355" s="4">
        <f t="shared" si="85"/>
        <v>38287</v>
      </c>
      <c r="AN355" s="4">
        <f t="shared" si="81"/>
        <v>270929</v>
      </c>
      <c r="AO355" s="39"/>
      <c r="AP355" s="8">
        <f t="shared" si="86"/>
        <v>0</v>
      </c>
      <c r="AQ355" s="8">
        <f t="shared" si="86"/>
        <v>0</v>
      </c>
      <c r="AR355" s="8">
        <f t="shared" si="82"/>
        <v>0</v>
      </c>
      <c r="AS355" s="42"/>
      <c r="AT355" s="48">
        <v>232642</v>
      </c>
      <c r="AU355" s="48">
        <v>38287</v>
      </c>
      <c r="AV355" s="4">
        <f t="shared" si="83"/>
        <v>270929</v>
      </c>
      <c r="AW355" s="50" t="str">
        <f t="shared" si="84"/>
        <v/>
      </c>
      <c r="AX355" s="1" t="s">
        <v>1639</v>
      </c>
      <c r="AY355" s="2" t="s">
        <v>1640</v>
      </c>
      <c r="AZ355" s="2">
        <v>113105.36</v>
      </c>
      <c r="BA355" s="73">
        <v>98967.19</v>
      </c>
      <c r="BB355" s="73">
        <v>98967.19</v>
      </c>
      <c r="BC355" s="73">
        <v>113105.36</v>
      </c>
      <c r="BD355" s="73"/>
      <c r="BE355" s="66">
        <v>0</v>
      </c>
      <c r="BF355" s="66">
        <v>0.02</v>
      </c>
      <c r="BG355" s="63">
        <v>45835</v>
      </c>
      <c r="BH355" s="2"/>
      <c r="BI355" s="2"/>
      <c r="BJ355" s="2"/>
      <c r="BK355" s="2"/>
      <c r="BL355" s="1" t="s">
        <v>56</v>
      </c>
    </row>
    <row r="356" spans="1:64" x14ac:dyDescent="0.25">
      <c r="A356" s="56" t="s">
        <v>624</v>
      </c>
      <c r="B356" s="54" t="s">
        <v>624</v>
      </c>
      <c r="C356" s="56" t="s">
        <v>625</v>
      </c>
      <c r="D356" s="16">
        <v>40141</v>
      </c>
      <c r="E356" s="17"/>
      <c r="F356" s="2" t="s">
        <v>76</v>
      </c>
      <c r="G356" s="2" t="s">
        <v>78</v>
      </c>
      <c r="H356" s="10" t="s">
        <v>57</v>
      </c>
      <c r="I356" s="11" t="s">
        <v>77</v>
      </c>
      <c r="J356" s="11" t="s">
        <v>87</v>
      </c>
      <c r="K356" s="61" t="s">
        <v>88</v>
      </c>
      <c r="L356" s="11" t="s">
        <v>67</v>
      </c>
      <c r="M356" s="25"/>
      <c r="N356" s="54"/>
      <c r="O356" s="3" t="str">
        <f t="shared" si="77"/>
        <v>A</v>
      </c>
      <c r="P356" s="48">
        <v>131983.6</v>
      </c>
      <c r="Q356" s="48">
        <v>59554</v>
      </c>
      <c r="R356" s="32"/>
      <c r="S356" s="3" t="str">
        <f t="shared" si="76"/>
        <v>A</v>
      </c>
      <c r="T356" s="48">
        <v>118658.20000000001</v>
      </c>
      <c r="U356" s="48">
        <v>50943</v>
      </c>
      <c r="V356" s="32"/>
      <c r="W356" s="3" t="str">
        <f t="shared" si="78"/>
        <v>A</v>
      </c>
      <c r="X356" s="48">
        <v>103933.20000000001</v>
      </c>
      <c r="Y356" s="48">
        <v>45100</v>
      </c>
      <c r="Z356" s="32"/>
      <c r="AA356" s="3" t="str">
        <f t="shared" si="79"/>
        <v>A</v>
      </c>
      <c r="AB356" s="48">
        <v>111245.44</v>
      </c>
      <c r="AC356" s="48">
        <v>55660</v>
      </c>
      <c r="AD356" s="36"/>
      <c r="AE356" s="54"/>
      <c r="AF356" s="3" t="str">
        <f t="shared" si="80"/>
        <v>A</v>
      </c>
      <c r="AG356" s="48">
        <v>0</v>
      </c>
      <c r="AH356" s="48">
        <v>0</v>
      </c>
      <c r="AI356" s="39"/>
      <c r="AJ356" s="79" t="s">
        <v>1801</v>
      </c>
      <c r="AK356" s="39"/>
      <c r="AL356" s="4">
        <f t="shared" si="85"/>
        <v>465820.44</v>
      </c>
      <c r="AM356" s="4">
        <f t="shared" si="85"/>
        <v>211257</v>
      </c>
      <c r="AN356" s="4">
        <f t="shared" si="81"/>
        <v>677077.44</v>
      </c>
      <c r="AO356" s="39"/>
      <c r="AP356" s="8">
        <f t="shared" si="86"/>
        <v>0</v>
      </c>
      <c r="AQ356" s="8">
        <f t="shared" si="86"/>
        <v>0</v>
      </c>
      <c r="AR356" s="8">
        <f t="shared" si="82"/>
        <v>0</v>
      </c>
      <c r="AS356" s="42"/>
      <c r="AT356" s="48">
        <v>465820.44</v>
      </c>
      <c r="AU356" s="48">
        <v>211257</v>
      </c>
      <c r="AV356" s="4">
        <f t="shared" si="83"/>
        <v>677077.44</v>
      </c>
      <c r="AW356" s="50" t="str">
        <f t="shared" si="84"/>
        <v/>
      </c>
      <c r="AX356" s="1" t="s">
        <v>1639</v>
      </c>
      <c r="AY356" s="2" t="s">
        <v>1640</v>
      </c>
      <c r="AZ356" s="2">
        <v>95153.600000000006</v>
      </c>
      <c r="BA356" s="73">
        <v>83259.399999999994</v>
      </c>
      <c r="BB356" s="73">
        <v>83259.399999999994</v>
      </c>
      <c r="BC356" s="73">
        <v>95153.600000000006</v>
      </c>
      <c r="BD356" s="73"/>
      <c r="BE356" s="66">
        <v>2.5000000000000001E-2</v>
      </c>
      <c r="BF356" s="66">
        <v>0.02</v>
      </c>
      <c r="BG356" s="63">
        <v>45677</v>
      </c>
      <c r="BH356" s="2"/>
      <c r="BI356" s="2"/>
      <c r="BJ356" s="2"/>
      <c r="BK356" s="2"/>
      <c r="BL356" s="1" t="s">
        <v>56</v>
      </c>
    </row>
    <row r="357" spans="1:64" x14ac:dyDescent="0.25">
      <c r="A357" s="56" t="s">
        <v>634</v>
      </c>
      <c r="B357" s="54" t="s">
        <v>634</v>
      </c>
      <c r="C357" s="56" t="s">
        <v>635</v>
      </c>
      <c r="D357" s="16">
        <v>36545</v>
      </c>
      <c r="E357" s="17"/>
      <c r="F357" s="2" t="s">
        <v>52</v>
      </c>
      <c r="G357" s="2" t="s">
        <v>55</v>
      </c>
      <c r="H357" s="10" t="s">
        <v>57</v>
      </c>
      <c r="I357" s="11" t="s">
        <v>54</v>
      </c>
      <c r="J357" s="11" t="s">
        <v>636</v>
      </c>
      <c r="K357" s="61" t="s">
        <v>637</v>
      </c>
      <c r="L357" s="11" t="s">
        <v>67</v>
      </c>
      <c r="M357" s="25"/>
      <c r="N357" s="54"/>
      <c r="O357" s="3" t="str">
        <f t="shared" si="77"/>
        <v>A</v>
      </c>
      <c r="P357" s="48">
        <v>54432</v>
      </c>
      <c r="Q357" s="48">
        <v>22657</v>
      </c>
      <c r="R357" s="32"/>
      <c r="S357" s="3" t="str">
        <f t="shared" si="76"/>
        <v>A</v>
      </c>
      <c r="T357" s="48">
        <v>49189.8</v>
      </c>
      <c r="U357" s="48">
        <v>19835</v>
      </c>
      <c r="V357" s="32"/>
      <c r="W357" s="3" t="str">
        <f t="shared" si="78"/>
        <v>A</v>
      </c>
      <c r="X357" s="48">
        <v>40798.6</v>
      </c>
      <c r="Y357" s="48">
        <v>15835</v>
      </c>
      <c r="Z357" s="32"/>
      <c r="AA357" s="3" t="str">
        <f t="shared" si="79"/>
        <v>A</v>
      </c>
      <c r="AB357" s="48">
        <v>48651.75</v>
      </c>
      <c r="AC357" s="48">
        <v>17717</v>
      </c>
      <c r="AD357" s="36"/>
      <c r="AE357" s="54"/>
      <c r="AF357" s="3" t="str">
        <f t="shared" si="80"/>
        <v>A</v>
      </c>
      <c r="AG357" s="48">
        <v>0</v>
      </c>
      <c r="AH357" s="48">
        <v>0</v>
      </c>
      <c r="AI357" s="39"/>
      <c r="AJ357" s="79" t="s">
        <v>1801</v>
      </c>
      <c r="AK357" s="39"/>
      <c r="AL357" s="4">
        <f t="shared" si="85"/>
        <v>193072.15</v>
      </c>
      <c r="AM357" s="4">
        <f t="shared" si="85"/>
        <v>76044</v>
      </c>
      <c r="AN357" s="4">
        <f t="shared" si="81"/>
        <v>269116.15000000002</v>
      </c>
      <c r="AO357" s="39"/>
      <c r="AP357" s="8">
        <f t="shared" si="86"/>
        <v>0</v>
      </c>
      <c r="AQ357" s="8">
        <f t="shared" si="86"/>
        <v>0</v>
      </c>
      <c r="AR357" s="8">
        <f t="shared" si="82"/>
        <v>0</v>
      </c>
      <c r="AS357" s="42"/>
      <c r="AT357" s="48">
        <v>193072.15</v>
      </c>
      <c r="AU357" s="48">
        <v>76044</v>
      </c>
      <c r="AV357" s="4">
        <f t="shared" si="83"/>
        <v>269116.15000000002</v>
      </c>
      <c r="AW357" s="50" t="str">
        <f t="shared" si="84"/>
        <v/>
      </c>
      <c r="AX357" s="1" t="s">
        <v>1639</v>
      </c>
      <c r="AY357" s="2" t="s">
        <v>1640</v>
      </c>
      <c r="AZ357" s="2">
        <v>109710.48</v>
      </c>
      <c r="BA357" s="73">
        <v>95996.67</v>
      </c>
      <c r="BB357" s="73">
        <v>95996.67</v>
      </c>
      <c r="BC357" s="73">
        <v>109710.48</v>
      </c>
      <c r="BD357" s="73"/>
      <c r="BE357" s="66">
        <v>2.5000000000000001E-2</v>
      </c>
      <c r="BF357" s="66">
        <v>0.02</v>
      </c>
      <c r="BG357" s="63">
        <v>45716</v>
      </c>
      <c r="BH357" s="2"/>
      <c r="BI357" s="2"/>
      <c r="BJ357" s="2"/>
      <c r="BK357" s="2"/>
      <c r="BL357" s="1" t="s">
        <v>56</v>
      </c>
    </row>
    <row r="358" spans="1:64" x14ac:dyDescent="0.25">
      <c r="A358" s="56" t="s">
        <v>638</v>
      </c>
      <c r="B358" s="54" t="s">
        <v>638</v>
      </c>
      <c r="C358" s="56" t="s">
        <v>639</v>
      </c>
      <c r="D358" s="16">
        <v>43045</v>
      </c>
      <c r="E358" s="17"/>
      <c r="F358" s="2" t="s">
        <v>52</v>
      </c>
      <c r="G358" s="2" t="s">
        <v>55</v>
      </c>
      <c r="H358" s="10" t="s">
        <v>57</v>
      </c>
      <c r="I358" s="11" t="s">
        <v>54</v>
      </c>
      <c r="J358" s="11" t="s">
        <v>636</v>
      </c>
      <c r="K358" s="61" t="s">
        <v>637</v>
      </c>
      <c r="L358" s="11" t="s">
        <v>67</v>
      </c>
      <c r="M358" s="25"/>
      <c r="N358" s="54"/>
      <c r="O358" s="3" t="str">
        <f t="shared" si="77"/>
        <v>A</v>
      </c>
      <c r="P358" s="48">
        <v>42237</v>
      </c>
      <c r="Q358" s="48">
        <v>9645</v>
      </c>
      <c r="R358" s="32"/>
      <c r="S358" s="3" t="str">
        <f t="shared" si="76"/>
        <v>A</v>
      </c>
      <c r="T358" s="48">
        <v>31526</v>
      </c>
      <c r="U358" s="48">
        <v>7969</v>
      </c>
      <c r="V358" s="32"/>
      <c r="W358" s="3" t="str">
        <f t="shared" si="78"/>
        <v>A</v>
      </c>
      <c r="X358" s="48">
        <v>29538</v>
      </c>
      <c r="Y358" s="48">
        <v>7212</v>
      </c>
      <c r="Z358" s="32"/>
      <c r="AA358" s="3" t="str">
        <f t="shared" si="79"/>
        <v>A</v>
      </c>
      <c r="AB358" s="48">
        <v>37750</v>
      </c>
      <c r="AC358" s="48">
        <v>8494</v>
      </c>
      <c r="AD358" s="36"/>
      <c r="AE358" s="54"/>
      <c r="AF358" s="3" t="str">
        <f t="shared" si="80"/>
        <v>A</v>
      </c>
      <c r="AG358" s="48">
        <v>0</v>
      </c>
      <c r="AH358" s="48">
        <v>0</v>
      </c>
      <c r="AI358" s="39"/>
      <c r="AJ358" s="79" t="s">
        <v>1801</v>
      </c>
      <c r="AK358" s="39"/>
      <c r="AL358" s="4">
        <f t="shared" si="85"/>
        <v>141051</v>
      </c>
      <c r="AM358" s="4">
        <f t="shared" si="85"/>
        <v>33320</v>
      </c>
      <c r="AN358" s="4">
        <f t="shared" si="81"/>
        <v>174371</v>
      </c>
      <c r="AO358" s="39"/>
      <c r="AP358" s="8">
        <f t="shared" si="86"/>
        <v>0</v>
      </c>
      <c r="AQ358" s="8">
        <f t="shared" si="86"/>
        <v>0</v>
      </c>
      <c r="AR358" s="8">
        <f t="shared" si="82"/>
        <v>0</v>
      </c>
      <c r="AS358" s="42"/>
      <c r="AT358" s="48">
        <v>141051</v>
      </c>
      <c r="AU358" s="48">
        <v>33320</v>
      </c>
      <c r="AV358" s="4">
        <f t="shared" si="83"/>
        <v>174371</v>
      </c>
      <c r="AW358" s="50" t="str">
        <f t="shared" si="84"/>
        <v/>
      </c>
      <c r="AX358" s="1" t="s">
        <v>1639</v>
      </c>
      <c r="AY358" s="2" t="s">
        <v>1640</v>
      </c>
      <c r="AZ358" s="2">
        <v>56703.040000000001</v>
      </c>
      <c r="BA358" s="73">
        <v>49615.16</v>
      </c>
      <c r="BB358" s="73">
        <v>49615.16</v>
      </c>
      <c r="BC358" s="73">
        <v>56703.040000000001</v>
      </c>
      <c r="BD358" s="73"/>
      <c r="BE358" s="66">
        <v>0</v>
      </c>
      <c r="BF358" s="66">
        <v>0.02</v>
      </c>
      <c r="BG358" s="63">
        <v>45716</v>
      </c>
      <c r="BH358" s="2"/>
      <c r="BI358" s="2"/>
      <c r="BJ358" s="2"/>
      <c r="BK358" s="2"/>
      <c r="BL358" s="1" t="s">
        <v>56</v>
      </c>
    </row>
    <row r="359" spans="1:64" x14ac:dyDescent="0.25">
      <c r="A359" s="56" t="s">
        <v>646</v>
      </c>
      <c r="B359" s="54" t="s">
        <v>646</v>
      </c>
      <c r="C359" s="56" t="s">
        <v>647</v>
      </c>
      <c r="D359" s="16">
        <v>41202</v>
      </c>
      <c r="E359" s="17"/>
      <c r="F359" s="2" t="s">
        <v>52</v>
      </c>
      <c r="G359" s="2" t="s">
        <v>55</v>
      </c>
      <c r="H359" s="10" t="s">
        <v>57</v>
      </c>
      <c r="I359" s="11" t="s">
        <v>54</v>
      </c>
      <c r="J359" s="11" t="s">
        <v>620</v>
      </c>
      <c r="K359" s="61" t="s">
        <v>621</v>
      </c>
      <c r="L359" s="11" t="s">
        <v>67</v>
      </c>
      <c r="M359" s="25"/>
      <c r="N359" s="54"/>
      <c r="O359" s="3" t="str">
        <f t="shared" si="77"/>
        <v>A</v>
      </c>
      <c r="P359" s="48">
        <v>61621</v>
      </c>
      <c r="Q359" s="48">
        <v>18629</v>
      </c>
      <c r="R359" s="32"/>
      <c r="S359" s="3" t="str">
        <f t="shared" si="76"/>
        <v>A</v>
      </c>
      <c r="T359" s="48">
        <v>53008</v>
      </c>
      <c r="U359" s="48">
        <v>19605</v>
      </c>
      <c r="V359" s="32"/>
      <c r="W359" s="3" t="str">
        <f t="shared" si="78"/>
        <v>A</v>
      </c>
      <c r="X359" s="48">
        <v>51584</v>
      </c>
      <c r="Y359" s="48">
        <v>15879</v>
      </c>
      <c r="Z359" s="32"/>
      <c r="AA359" s="3" t="str">
        <f t="shared" si="79"/>
        <v>A</v>
      </c>
      <c r="AB359" s="48">
        <v>56860</v>
      </c>
      <c r="AC359" s="48">
        <v>18602</v>
      </c>
      <c r="AD359" s="36"/>
      <c r="AE359" s="54"/>
      <c r="AF359" s="3" t="str">
        <f t="shared" si="80"/>
        <v>A</v>
      </c>
      <c r="AG359" s="48">
        <v>0</v>
      </c>
      <c r="AH359" s="48">
        <v>0</v>
      </c>
      <c r="AI359" s="39"/>
      <c r="AJ359" s="79" t="s">
        <v>1801</v>
      </c>
      <c r="AK359" s="39"/>
      <c r="AL359" s="4">
        <f t="shared" si="85"/>
        <v>223073</v>
      </c>
      <c r="AM359" s="4">
        <f t="shared" si="85"/>
        <v>72715</v>
      </c>
      <c r="AN359" s="4">
        <f t="shared" si="81"/>
        <v>295788</v>
      </c>
      <c r="AO359" s="39"/>
      <c r="AP359" s="8">
        <f t="shared" si="86"/>
        <v>0</v>
      </c>
      <c r="AQ359" s="8">
        <f t="shared" si="86"/>
        <v>0</v>
      </c>
      <c r="AR359" s="8">
        <f t="shared" si="82"/>
        <v>0</v>
      </c>
      <c r="AS359" s="42"/>
      <c r="AT359" s="48">
        <v>223073</v>
      </c>
      <c r="AU359" s="48">
        <v>72715</v>
      </c>
      <c r="AV359" s="4">
        <f t="shared" si="83"/>
        <v>295788</v>
      </c>
      <c r="AW359" s="50" t="str">
        <f t="shared" si="84"/>
        <v/>
      </c>
      <c r="AX359" s="1" t="s">
        <v>1639</v>
      </c>
      <c r="AY359" s="2" t="s">
        <v>1640</v>
      </c>
      <c r="AZ359" s="2">
        <v>90351.52</v>
      </c>
      <c r="BA359" s="73">
        <v>79057.58</v>
      </c>
      <c r="BB359" s="73">
        <v>79057.58</v>
      </c>
      <c r="BC359" s="73">
        <v>90351.52</v>
      </c>
      <c r="BD359" s="73"/>
      <c r="BE359" s="66">
        <v>2.5000000000000001E-2</v>
      </c>
      <c r="BF359" s="66">
        <v>0.02</v>
      </c>
      <c r="BG359" s="63">
        <v>44051</v>
      </c>
      <c r="BH359" s="2"/>
      <c r="BI359" s="2"/>
      <c r="BJ359" s="2"/>
      <c r="BK359" s="2"/>
      <c r="BL359" s="1" t="s">
        <v>56</v>
      </c>
    </row>
    <row r="360" spans="1:64" x14ac:dyDescent="0.25">
      <c r="A360" s="56" t="s">
        <v>658</v>
      </c>
      <c r="B360" s="54" t="s">
        <v>658</v>
      </c>
      <c r="C360" s="56" t="s">
        <v>659</v>
      </c>
      <c r="D360" s="16">
        <v>42236</v>
      </c>
      <c r="E360" s="17"/>
      <c r="F360" s="2" t="s">
        <v>52</v>
      </c>
      <c r="G360" s="2" t="s">
        <v>55</v>
      </c>
      <c r="H360" s="10" t="s">
        <v>57</v>
      </c>
      <c r="I360" s="11" t="s">
        <v>54</v>
      </c>
      <c r="J360" s="11" t="s">
        <v>620</v>
      </c>
      <c r="K360" s="61" t="s">
        <v>621</v>
      </c>
      <c r="L360" s="11" t="s">
        <v>67</v>
      </c>
      <c r="M360" s="25"/>
      <c r="N360" s="54"/>
      <c r="O360" s="3" t="str">
        <f t="shared" si="77"/>
        <v>A</v>
      </c>
      <c r="P360" s="48">
        <v>59843</v>
      </c>
      <c r="Q360" s="48">
        <v>8710</v>
      </c>
      <c r="R360" s="32"/>
      <c r="S360" s="3" t="str">
        <f t="shared" si="76"/>
        <v>A</v>
      </c>
      <c r="T360" s="48">
        <v>55068</v>
      </c>
      <c r="U360" s="48">
        <v>7728</v>
      </c>
      <c r="V360" s="32"/>
      <c r="W360" s="3" t="str">
        <f t="shared" si="78"/>
        <v>A</v>
      </c>
      <c r="X360" s="48">
        <v>55527</v>
      </c>
      <c r="Y360" s="48">
        <v>8250</v>
      </c>
      <c r="Z360" s="32"/>
      <c r="AA360" s="3" t="str">
        <f t="shared" si="79"/>
        <v>A</v>
      </c>
      <c r="AB360" s="48">
        <v>61253</v>
      </c>
      <c r="AC360" s="48">
        <v>8323</v>
      </c>
      <c r="AD360" s="36"/>
      <c r="AE360" s="54"/>
      <c r="AF360" s="3" t="str">
        <f t="shared" si="80"/>
        <v>A</v>
      </c>
      <c r="AG360" s="48">
        <v>0</v>
      </c>
      <c r="AH360" s="48">
        <v>0</v>
      </c>
      <c r="AI360" s="39"/>
      <c r="AJ360" s="79" t="s">
        <v>1801</v>
      </c>
      <c r="AK360" s="39"/>
      <c r="AL360" s="4">
        <f t="shared" si="85"/>
        <v>231691</v>
      </c>
      <c r="AM360" s="4">
        <f t="shared" si="85"/>
        <v>33011</v>
      </c>
      <c r="AN360" s="4">
        <f t="shared" si="81"/>
        <v>264702</v>
      </c>
      <c r="AO360" s="39"/>
      <c r="AP360" s="8">
        <f t="shared" si="86"/>
        <v>0</v>
      </c>
      <c r="AQ360" s="8">
        <f t="shared" si="86"/>
        <v>0</v>
      </c>
      <c r="AR360" s="8">
        <f t="shared" si="82"/>
        <v>0</v>
      </c>
      <c r="AS360" s="42"/>
      <c r="AT360" s="48">
        <v>231691</v>
      </c>
      <c r="AU360" s="48">
        <v>33011</v>
      </c>
      <c r="AV360" s="4">
        <f t="shared" si="83"/>
        <v>264702</v>
      </c>
      <c r="AW360" s="50" t="str">
        <f t="shared" si="84"/>
        <v/>
      </c>
      <c r="AX360" s="1" t="s">
        <v>1639</v>
      </c>
      <c r="AY360" s="2" t="s">
        <v>1640</v>
      </c>
      <c r="AZ360" s="2">
        <v>53941.279999999999</v>
      </c>
      <c r="BA360" s="73">
        <v>47198.62</v>
      </c>
      <c r="BB360" s="73">
        <v>47198.62</v>
      </c>
      <c r="BC360" s="73">
        <v>53941.279999999999</v>
      </c>
      <c r="BD360" s="73"/>
      <c r="BE360" s="66">
        <v>2.5000000000000001E-2</v>
      </c>
      <c r="BF360" s="66">
        <v>0.02</v>
      </c>
      <c r="BG360" s="63">
        <v>44054</v>
      </c>
      <c r="BH360" s="2"/>
      <c r="BI360" s="2"/>
      <c r="BJ360" s="2"/>
      <c r="BK360" s="2"/>
      <c r="BL360" s="1" t="s">
        <v>56</v>
      </c>
    </row>
    <row r="361" spans="1:64" x14ac:dyDescent="0.25">
      <c r="A361" s="56" t="s">
        <v>660</v>
      </c>
      <c r="B361" s="54" t="s">
        <v>660</v>
      </c>
      <c r="C361" s="56" t="s">
        <v>661</v>
      </c>
      <c r="D361" s="16">
        <v>39787</v>
      </c>
      <c r="E361" s="17"/>
      <c r="F361" s="2" t="s">
        <v>76</v>
      </c>
      <c r="G361" s="2" t="s">
        <v>78</v>
      </c>
      <c r="H361" s="10" t="s">
        <v>57</v>
      </c>
      <c r="I361" s="11" t="s">
        <v>77</v>
      </c>
      <c r="J361" s="11" t="s">
        <v>87</v>
      </c>
      <c r="K361" s="61" t="s">
        <v>88</v>
      </c>
      <c r="L361" s="11" t="s">
        <v>67</v>
      </c>
      <c r="M361" s="25"/>
      <c r="N361" s="54"/>
      <c r="O361" s="3" t="str">
        <f t="shared" si="77"/>
        <v>A</v>
      </c>
      <c r="P361" s="48">
        <v>251188</v>
      </c>
      <c r="Q361" s="48">
        <v>37334</v>
      </c>
      <c r="R361" s="32"/>
      <c r="S361" s="3" t="str">
        <f t="shared" si="76"/>
        <v>A</v>
      </c>
      <c r="T361" s="48">
        <v>223967</v>
      </c>
      <c r="U361" s="48">
        <v>36963</v>
      </c>
      <c r="V361" s="32"/>
      <c r="W361" s="3" t="str">
        <f t="shared" si="78"/>
        <v>A</v>
      </c>
      <c r="X361" s="48">
        <v>197803</v>
      </c>
      <c r="Y361" s="48">
        <v>28114</v>
      </c>
      <c r="Z361" s="32"/>
      <c r="AA361" s="3" t="str">
        <f t="shared" si="79"/>
        <v>A</v>
      </c>
      <c r="AB361" s="48">
        <v>214788</v>
      </c>
      <c r="AC361" s="48">
        <v>30222</v>
      </c>
      <c r="AD361" s="36"/>
      <c r="AE361" s="54"/>
      <c r="AF361" s="3" t="str">
        <f t="shared" si="80"/>
        <v>A</v>
      </c>
      <c r="AG361" s="48">
        <v>0</v>
      </c>
      <c r="AH361" s="48">
        <v>0</v>
      </c>
      <c r="AI361" s="39"/>
      <c r="AJ361" s="79" t="s">
        <v>1801</v>
      </c>
      <c r="AK361" s="39"/>
      <c r="AL361" s="4">
        <f t="shared" si="85"/>
        <v>887746</v>
      </c>
      <c r="AM361" s="4">
        <f t="shared" si="85"/>
        <v>132633</v>
      </c>
      <c r="AN361" s="4">
        <f t="shared" si="81"/>
        <v>1020379</v>
      </c>
      <c r="AO361" s="39"/>
      <c r="AP361" s="8">
        <f t="shared" si="86"/>
        <v>0</v>
      </c>
      <c r="AQ361" s="8">
        <f t="shared" si="86"/>
        <v>0</v>
      </c>
      <c r="AR361" s="8">
        <f t="shared" si="82"/>
        <v>0</v>
      </c>
      <c r="AS361" s="42"/>
      <c r="AT361" s="48">
        <v>887746</v>
      </c>
      <c r="AU361" s="48">
        <v>132633</v>
      </c>
      <c r="AV361" s="4">
        <f t="shared" si="83"/>
        <v>1020379</v>
      </c>
      <c r="AW361" s="50" t="str">
        <f t="shared" si="84"/>
        <v/>
      </c>
      <c r="AX361" s="1" t="s">
        <v>1639</v>
      </c>
      <c r="AY361" s="2" t="s">
        <v>1640</v>
      </c>
      <c r="AZ361" s="2">
        <v>140041.76</v>
      </c>
      <c r="BA361" s="73">
        <v>122536.54</v>
      </c>
      <c r="BB361" s="73">
        <v>122536.54</v>
      </c>
      <c r="BC361" s="73">
        <v>140041.76</v>
      </c>
      <c r="BD361" s="73"/>
      <c r="BE361" s="66">
        <v>2.5000000000000001E-2</v>
      </c>
      <c r="BF361" s="66">
        <v>0.02</v>
      </c>
      <c r="BG361" s="63">
        <v>45657</v>
      </c>
      <c r="BH361" s="2"/>
      <c r="BI361" s="2"/>
      <c r="BJ361" s="2"/>
      <c r="BK361" s="2"/>
      <c r="BL361" s="1" t="s">
        <v>56</v>
      </c>
    </row>
    <row r="362" spans="1:64" x14ac:dyDescent="0.25">
      <c r="A362" s="56" t="s">
        <v>668</v>
      </c>
      <c r="B362" s="54" t="s">
        <v>668</v>
      </c>
      <c r="C362" s="56" t="s">
        <v>669</v>
      </c>
      <c r="D362" s="16">
        <v>42887</v>
      </c>
      <c r="E362" s="17"/>
      <c r="F362" s="2" t="s">
        <v>52</v>
      </c>
      <c r="G362" s="2" t="s">
        <v>55</v>
      </c>
      <c r="H362" s="10" t="s">
        <v>57</v>
      </c>
      <c r="I362" s="11" t="s">
        <v>54</v>
      </c>
      <c r="J362" s="11" t="s">
        <v>620</v>
      </c>
      <c r="K362" s="61" t="s">
        <v>621</v>
      </c>
      <c r="L362" s="11" t="s">
        <v>67</v>
      </c>
      <c r="M362" s="25"/>
      <c r="N362" s="54"/>
      <c r="O362" s="3" t="str">
        <f t="shared" si="77"/>
        <v>A</v>
      </c>
      <c r="P362" s="48">
        <v>41762</v>
      </c>
      <c r="Q362" s="48">
        <v>8170</v>
      </c>
      <c r="R362" s="32"/>
      <c r="S362" s="3" t="str">
        <f t="shared" si="76"/>
        <v>A</v>
      </c>
      <c r="T362" s="48">
        <v>34398</v>
      </c>
      <c r="U362" s="48">
        <v>8390</v>
      </c>
      <c r="V362" s="32"/>
      <c r="W362" s="3" t="str">
        <f t="shared" si="78"/>
        <v>A</v>
      </c>
      <c r="X362" s="48">
        <v>34317</v>
      </c>
      <c r="Y362" s="48">
        <v>7285</v>
      </c>
      <c r="Z362" s="32"/>
      <c r="AA362" s="3" t="str">
        <f t="shared" si="79"/>
        <v>A</v>
      </c>
      <c r="AB362" s="48">
        <v>34564</v>
      </c>
      <c r="AC362" s="48">
        <v>6220</v>
      </c>
      <c r="AD362" s="36"/>
      <c r="AE362" s="54"/>
      <c r="AF362" s="3" t="str">
        <f t="shared" si="80"/>
        <v>A</v>
      </c>
      <c r="AG362" s="48">
        <v>0</v>
      </c>
      <c r="AH362" s="48">
        <v>0</v>
      </c>
      <c r="AI362" s="39"/>
      <c r="AJ362" s="79" t="s">
        <v>1801</v>
      </c>
      <c r="AK362" s="39"/>
      <c r="AL362" s="4">
        <f t="shared" si="85"/>
        <v>145041</v>
      </c>
      <c r="AM362" s="4">
        <f t="shared" si="85"/>
        <v>30065</v>
      </c>
      <c r="AN362" s="4">
        <f t="shared" si="81"/>
        <v>175106</v>
      </c>
      <c r="AO362" s="39"/>
      <c r="AP362" s="8">
        <f t="shared" si="86"/>
        <v>0</v>
      </c>
      <c r="AQ362" s="8">
        <f t="shared" si="86"/>
        <v>0</v>
      </c>
      <c r="AR362" s="8">
        <f t="shared" si="82"/>
        <v>0</v>
      </c>
      <c r="AS362" s="42"/>
      <c r="AT362" s="48">
        <v>145041</v>
      </c>
      <c r="AU362" s="48">
        <v>30065</v>
      </c>
      <c r="AV362" s="4">
        <f t="shared" si="83"/>
        <v>175106</v>
      </c>
      <c r="AW362" s="50" t="str">
        <f t="shared" si="84"/>
        <v/>
      </c>
      <c r="AX362" s="1" t="s">
        <v>1639</v>
      </c>
      <c r="AY362" s="2" t="s">
        <v>1640</v>
      </c>
      <c r="AZ362" s="2">
        <v>104494.16</v>
      </c>
      <c r="BA362" s="73">
        <v>91432.39</v>
      </c>
      <c r="BB362" s="73">
        <v>91432.39</v>
      </c>
      <c r="BC362" s="73">
        <v>104494.16</v>
      </c>
      <c r="BD362" s="73"/>
      <c r="BE362" s="66">
        <v>3.5000000000000003E-2</v>
      </c>
      <c r="BF362" s="66">
        <v>0.02</v>
      </c>
      <c r="BG362" s="63">
        <v>45835</v>
      </c>
      <c r="BH362" s="2"/>
      <c r="BI362" s="2"/>
      <c r="BJ362" s="2"/>
      <c r="BK362" s="2"/>
      <c r="BL362" s="1" t="s">
        <v>56</v>
      </c>
    </row>
    <row r="363" spans="1:64" x14ac:dyDescent="0.25">
      <c r="A363" s="56" t="s">
        <v>670</v>
      </c>
      <c r="B363" s="54" t="s">
        <v>670</v>
      </c>
      <c r="C363" s="56" t="s">
        <v>671</v>
      </c>
      <c r="D363" s="16">
        <v>35977</v>
      </c>
      <c r="E363" s="17"/>
      <c r="F363" s="2" t="s">
        <v>52</v>
      </c>
      <c r="G363" s="2" t="s">
        <v>55</v>
      </c>
      <c r="H363" s="10" t="s">
        <v>57</v>
      </c>
      <c r="I363" s="11" t="s">
        <v>54</v>
      </c>
      <c r="J363" s="11" t="s">
        <v>636</v>
      </c>
      <c r="K363" s="61" t="s">
        <v>637</v>
      </c>
      <c r="L363" s="11" t="s">
        <v>67</v>
      </c>
      <c r="M363" s="25"/>
      <c r="N363" s="54"/>
      <c r="O363" s="3" t="str">
        <f t="shared" si="77"/>
        <v>A</v>
      </c>
      <c r="P363" s="48">
        <v>34697</v>
      </c>
      <c r="Q363" s="48">
        <v>11712</v>
      </c>
      <c r="R363" s="32"/>
      <c r="S363" s="3" t="str">
        <f t="shared" si="76"/>
        <v>A</v>
      </c>
      <c r="T363" s="48">
        <v>32442.25</v>
      </c>
      <c r="U363" s="48">
        <v>12606</v>
      </c>
      <c r="V363" s="32"/>
      <c r="W363" s="3" t="str">
        <f t="shared" si="78"/>
        <v>A</v>
      </c>
      <c r="X363" s="48">
        <v>29782</v>
      </c>
      <c r="Y363" s="48">
        <v>10247</v>
      </c>
      <c r="Z363" s="32"/>
      <c r="AA363" s="3" t="str">
        <f t="shared" si="79"/>
        <v>A</v>
      </c>
      <c r="AB363" s="48">
        <v>35938</v>
      </c>
      <c r="AC363" s="48">
        <v>8886</v>
      </c>
      <c r="AD363" s="36"/>
      <c r="AE363" s="54"/>
      <c r="AF363" s="3" t="str">
        <f t="shared" si="80"/>
        <v>A</v>
      </c>
      <c r="AG363" s="48">
        <v>0</v>
      </c>
      <c r="AH363" s="48">
        <v>0</v>
      </c>
      <c r="AI363" s="39"/>
      <c r="AJ363" s="79" t="s">
        <v>1801</v>
      </c>
      <c r="AK363" s="39"/>
      <c r="AL363" s="4">
        <f t="shared" si="85"/>
        <v>132859.25</v>
      </c>
      <c r="AM363" s="4">
        <f t="shared" si="85"/>
        <v>43451</v>
      </c>
      <c r="AN363" s="4">
        <f t="shared" si="81"/>
        <v>176310.25</v>
      </c>
      <c r="AO363" s="39"/>
      <c r="AP363" s="8">
        <f t="shared" si="86"/>
        <v>0</v>
      </c>
      <c r="AQ363" s="8">
        <f t="shared" si="86"/>
        <v>0</v>
      </c>
      <c r="AR363" s="8">
        <f t="shared" si="82"/>
        <v>0</v>
      </c>
      <c r="AS363" s="42"/>
      <c r="AT363" s="48">
        <v>132859.25</v>
      </c>
      <c r="AU363" s="48">
        <v>43451</v>
      </c>
      <c r="AV363" s="4">
        <f t="shared" si="83"/>
        <v>176310.25</v>
      </c>
      <c r="AW363" s="50" t="str">
        <f t="shared" si="84"/>
        <v/>
      </c>
      <c r="AX363" s="1" t="s">
        <v>1639</v>
      </c>
      <c r="AY363" s="2" t="s">
        <v>1640</v>
      </c>
      <c r="AZ363" s="2">
        <v>84499.199999999997</v>
      </c>
      <c r="BA363" s="73">
        <v>73936.800000000003</v>
      </c>
      <c r="BB363" s="73">
        <v>73936.800000000003</v>
      </c>
      <c r="BC363" s="73">
        <v>84499.199999999997</v>
      </c>
      <c r="BD363" s="73"/>
      <c r="BE363" s="66">
        <v>2.5000000000000001E-2</v>
      </c>
      <c r="BF363" s="66">
        <v>0.02</v>
      </c>
      <c r="BG363" s="63">
        <v>44204</v>
      </c>
      <c r="BH363" s="74">
        <v>44004</v>
      </c>
      <c r="BI363" s="74">
        <v>44020</v>
      </c>
      <c r="BJ363" s="2"/>
      <c r="BK363" s="2"/>
      <c r="BL363" s="1" t="s">
        <v>56</v>
      </c>
    </row>
    <row r="364" spans="1:64" x14ac:dyDescent="0.25">
      <c r="A364" s="56" t="s">
        <v>686</v>
      </c>
      <c r="B364" s="54" t="s">
        <v>686</v>
      </c>
      <c r="C364" s="56" t="s">
        <v>687</v>
      </c>
      <c r="D364" s="16">
        <v>40607</v>
      </c>
      <c r="E364" s="17"/>
      <c r="F364" s="2" t="s">
        <v>76</v>
      </c>
      <c r="G364" s="2" t="s">
        <v>78</v>
      </c>
      <c r="H364" s="10" t="s">
        <v>57</v>
      </c>
      <c r="I364" s="11" t="s">
        <v>77</v>
      </c>
      <c r="J364" s="11" t="s">
        <v>79</v>
      </c>
      <c r="K364" s="61" t="s">
        <v>80</v>
      </c>
      <c r="L364" s="11" t="s">
        <v>67</v>
      </c>
      <c r="M364" s="25"/>
      <c r="N364" s="54"/>
      <c r="O364" s="3" t="str">
        <f t="shared" si="77"/>
        <v>A</v>
      </c>
      <c r="P364" s="48">
        <v>154068</v>
      </c>
      <c r="Q364" s="48">
        <v>46032</v>
      </c>
      <c r="R364" s="32"/>
      <c r="S364" s="3" t="str">
        <f t="shared" si="76"/>
        <v>A</v>
      </c>
      <c r="T364" s="48">
        <v>135452</v>
      </c>
      <c r="U364" s="48">
        <v>43048</v>
      </c>
      <c r="V364" s="32"/>
      <c r="W364" s="3" t="str">
        <f t="shared" si="78"/>
        <v>A</v>
      </c>
      <c r="X364" s="48">
        <v>119135</v>
      </c>
      <c r="Y364" s="48">
        <v>37118</v>
      </c>
      <c r="Z364" s="32"/>
      <c r="AA364" s="3" t="str">
        <f t="shared" si="79"/>
        <v>A</v>
      </c>
      <c r="AB364" s="48">
        <v>128285</v>
      </c>
      <c r="AC364" s="48">
        <v>43457</v>
      </c>
      <c r="AD364" s="36"/>
      <c r="AE364" s="54"/>
      <c r="AF364" s="3" t="str">
        <f t="shared" si="80"/>
        <v>A</v>
      </c>
      <c r="AG364" s="48">
        <v>0</v>
      </c>
      <c r="AH364" s="48">
        <v>0</v>
      </c>
      <c r="AI364" s="39"/>
      <c r="AJ364" s="79" t="s">
        <v>1801</v>
      </c>
      <c r="AK364" s="39"/>
      <c r="AL364" s="4">
        <f t="shared" si="85"/>
        <v>536940</v>
      </c>
      <c r="AM364" s="4">
        <f t="shared" si="85"/>
        <v>169655</v>
      </c>
      <c r="AN364" s="4">
        <f t="shared" si="81"/>
        <v>706595</v>
      </c>
      <c r="AO364" s="39"/>
      <c r="AP364" s="8">
        <f t="shared" si="86"/>
        <v>0</v>
      </c>
      <c r="AQ364" s="8">
        <f t="shared" si="86"/>
        <v>0</v>
      </c>
      <c r="AR364" s="8">
        <f t="shared" si="82"/>
        <v>0</v>
      </c>
      <c r="AS364" s="42"/>
      <c r="AT364" s="48">
        <v>536940</v>
      </c>
      <c r="AU364" s="48">
        <v>169655</v>
      </c>
      <c r="AV364" s="4">
        <f t="shared" si="83"/>
        <v>706595</v>
      </c>
      <c r="AW364" s="50" t="str">
        <f t="shared" si="84"/>
        <v/>
      </c>
      <c r="AX364" s="1" t="s">
        <v>1639</v>
      </c>
      <c r="AY364" s="2" t="s">
        <v>1640</v>
      </c>
      <c r="AZ364" s="2">
        <v>81654</v>
      </c>
      <c r="BA364" s="73">
        <v>71447.25</v>
      </c>
      <c r="BB364" s="73">
        <v>71447.25</v>
      </c>
      <c r="BC364" s="73">
        <v>81654</v>
      </c>
      <c r="BD364" s="73"/>
      <c r="BE364" s="66">
        <v>2.5000000000000001E-2</v>
      </c>
      <c r="BF364" s="66">
        <v>0.02</v>
      </c>
      <c r="BG364" s="63">
        <v>44026</v>
      </c>
      <c r="BH364" s="2"/>
      <c r="BI364" s="2"/>
      <c r="BJ364" s="2"/>
      <c r="BK364" s="2"/>
      <c r="BL364" s="1" t="s">
        <v>56</v>
      </c>
    </row>
    <row r="365" spans="1:64" x14ac:dyDescent="0.25">
      <c r="A365" s="56" t="s">
        <v>698</v>
      </c>
      <c r="B365" s="54" t="s">
        <v>698</v>
      </c>
      <c r="C365" s="56" t="s">
        <v>699</v>
      </c>
      <c r="D365" s="16">
        <v>41941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636</v>
      </c>
      <c r="K365" s="61" t="s">
        <v>637</v>
      </c>
      <c r="L365" s="11" t="s">
        <v>67</v>
      </c>
      <c r="M365" s="25"/>
      <c r="N365" s="54"/>
      <c r="O365" s="3" t="str">
        <f t="shared" si="77"/>
        <v>A</v>
      </c>
      <c r="P365" s="48">
        <v>49040</v>
      </c>
      <c r="Q365" s="48">
        <v>11880</v>
      </c>
      <c r="R365" s="32"/>
      <c r="S365" s="3" t="str">
        <f t="shared" si="76"/>
        <v>A</v>
      </c>
      <c r="T365" s="48">
        <v>41836</v>
      </c>
      <c r="U365" s="48">
        <v>10113</v>
      </c>
      <c r="V365" s="32"/>
      <c r="W365" s="3" t="str">
        <f t="shared" si="78"/>
        <v>A</v>
      </c>
      <c r="X365" s="48">
        <v>34109</v>
      </c>
      <c r="Y365" s="48">
        <v>8087</v>
      </c>
      <c r="Z365" s="32"/>
      <c r="AA365" s="3" t="str">
        <f t="shared" si="79"/>
        <v>A</v>
      </c>
      <c r="AB365" s="48">
        <v>34653</v>
      </c>
      <c r="AC365" s="48">
        <v>8912</v>
      </c>
      <c r="AD365" s="36"/>
      <c r="AE365" s="54"/>
      <c r="AF365" s="3" t="str">
        <f t="shared" si="80"/>
        <v>A</v>
      </c>
      <c r="AG365" s="48">
        <v>0</v>
      </c>
      <c r="AH365" s="48">
        <v>0</v>
      </c>
      <c r="AI365" s="39"/>
      <c r="AJ365" s="79" t="s">
        <v>1801</v>
      </c>
      <c r="AK365" s="39"/>
      <c r="AL365" s="4">
        <f t="shared" si="85"/>
        <v>159638</v>
      </c>
      <c r="AM365" s="4">
        <f t="shared" si="85"/>
        <v>38992</v>
      </c>
      <c r="AN365" s="4">
        <f t="shared" si="81"/>
        <v>198630</v>
      </c>
      <c r="AO365" s="39"/>
      <c r="AP365" s="8">
        <f t="shared" si="86"/>
        <v>0</v>
      </c>
      <c r="AQ365" s="8">
        <f t="shared" si="86"/>
        <v>0</v>
      </c>
      <c r="AR365" s="8">
        <f t="shared" si="82"/>
        <v>0</v>
      </c>
      <c r="AS365" s="42"/>
      <c r="AT365" s="48">
        <v>159638</v>
      </c>
      <c r="AU365" s="48">
        <v>38992</v>
      </c>
      <c r="AV365" s="4">
        <f t="shared" si="83"/>
        <v>198630</v>
      </c>
      <c r="AW365" s="50" t="str">
        <f t="shared" si="84"/>
        <v/>
      </c>
      <c r="AX365" s="1" t="s">
        <v>1639</v>
      </c>
      <c r="AY365" s="2" t="s">
        <v>1640</v>
      </c>
      <c r="AZ365" s="2">
        <v>77692.960000000006</v>
      </c>
      <c r="BA365" s="73">
        <v>67981.34</v>
      </c>
      <c r="BB365" s="73">
        <v>67981.34</v>
      </c>
      <c r="BC365" s="73">
        <v>77692.960000000006</v>
      </c>
      <c r="BD365" s="73"/>
      <c r="BE365" s="66">
        <v>3.5000000000000003E-2</v>
      </c>
      <c r="BF365" s="66">
        <v>0.02</v>
      </c>
      <c r="BG365" s="63">
        <v>44661</v>
      </c>
      <c r="BH365" s="2"/>
      <c r="BI365" s="2"/>
      <c r="BJ365" s="2"/>
      <c r="BK365" s="2"/>
      <c r="BL365" s="1" t="s">
        <v>56</v>
      </c>
    </row>
    <row r="366" spans="1:64" x14ac:dyDescent="0.25">
      <c r="A366" s="56" t="s">
        <v>709</v>
      </c>
      <c r="B366" s="54" t="s">
        <v>709</v>
      </c>
      <c r="C366" s="56" t="s">
        <v>710</v>
      </c>
      <c r="D366" s="16">
        <v>41450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139</v>
      </c>
      <c r="K366" s="61" t="s">
        <v>140</v>
      </c>
      <c r="L366" s="11" t="s">
        <v>67</v>
      </c>
      <c r="M366" s="25"/>
      <c r="N366" s="54"/>
      <c r="O366" s="3" t="str">
        <f t="shared" si="77"/>
        <v>A</v>
      </c>
      <c r="P366" s="48">
        <v>32365</v>
      </c>
      <c r="Q366" s="48">
        <v>11168</v>
      </c>
      <c r="R366" s="32"/>
      <c r="S366" s="3" t="str">
        <f t="shared" si="76"/>
        <v>A</v>
      </c>
      <c r="T366" s="48">
        <v>29091</v>
      </c>
      <c r="U366" s="48">
        <v>7832</v>
      </c>
      <c r="V366" s="32"/>
      <c r="W366" s="3" t="str">
        <f t="shared" si="78"/>
        <v>A</v>
      </c>
      <c r="X366" s="48">
        <v>30729</v>
      </c>
      <c r="Y366" s="48">
        <v>9304</v>
      </c>
      <c r="Z366" s="32"/>
      <c r="AA366" s="3" t="str">
        <f t="shared" si="79"/>
        <v>A</v>
      </c>
      <c r="AB366" s="48">
        <v>34229</v>
      </c>
      <c r="AC366" s="48">
        <v>11764</v>
      </c>
      <c r="AD366" s="36"/>
      <c r="AE366" s="54"/>
      <c r="AF366" s="3" t="str">
        <f t="shared" si="80"/>
        <v>A</v>
      </c>
      <c r="AG366" s="48">
        <v>0</v>
      </c>
      <c r="AH366" s="48">
        <v>0</v>
      </c>
      <c r="AI366" s="39"/>
      <c r="AJ366" s="79" t="s">
        <v>1801</v>
      </c>
      <c r="AK366" s="39"/>
      <c r="AL366" s="4">
        <f t="shared" si="85"/>
        <v>126414</v>
      </c>
      <c r="AM366" s="4">
        <f t="shared" si="85"/>
        <v>40068</v>
      </c>
      <c r="AN366" s="4">
        <f t="shared" si="81"/>
        <v>166482</v>
      </c>
      <c r="AO366" s="39"/>
      <c r="AP366" s="8">
        <f t="shared" si="86"/>
        <v>0</v>
      </c>
      <c r="AQ366" s="8">
        <f t="shared" si="86"/>
        <v>0</v>
      </c>
      <c r="AR366" s="8">
        <f t="shared" si="82"/>
        <v>0</v>
      </c>
      <c r="AS366" s="42"/>
      <c r="AT366" s="48">
        <v>126414</v>
      </c>
      <c r="AU366" s="48">
        <v>40068</v>
      </c>
      <c r="AV366" s="4">
        <f t="shared" si="83"/>
        <v>166482</v>
      </c>
      <c r="AW366" s="50" t="str">
        <f t="shared" si="84"/>
        <v/>
      </c>
      <c r="AX366" s="1" t="s">
        <v>1639</v>
      </c>
      <c r="AY366" s="2" t="s">
        <v>1640</v>
      </c>
      <c r="AZ366" s="2">
        <v>33634.720000000001</v>
      </c>
      <c r="BA366" s="73">
        <v>29430.38</v>
      </c>
      <c r="BB366" s="73">
        <v>29430.38</v>
      </c>
      <c r="BC366" s="73">
        <v>33634.720000000001</v>
      </c>
      <c r="BD366" s="73"/>
      <c r="BE366" s="66">
        <v>3.5000000000000003E-2</v>
      </c>
      <c r="BF366" s="66">
        <v>0.02</v>
      </c>
      <c r="BG366" s="63">
        <v>44755</v>
      </c>
      <c r="BH366" s="74">
        <v>43941</v>
      </c>
      <c r="BI366" s="74">
        <v>43983</v>
      </c>
      <c r="BJ366" s="2"/>
      <c r="BK366" s="2"/>
      <c r="BL366" s="1" t="s">
        <v>56</v>
      </c>
    </row>
    <row r="367" spans="1:64" x14ac:dyDescent="0.25">
      <c r="A367" s="56" t="s">
        <v>739</v>
      </c>
      <c r="B367" s="54" t="s">
        <v>739</v>
      </c>
      <c r="C367" s="56" t="s">
        <v>740</v>
      </c>
      <c r="D367" s="16">
        <v>40169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68</v>
      </c>
      <c r="K367" s="61" t="s">
        <v>69</v>
      </c>
      <c r="L367" s="11" t="s">
        <v>67</v>
      </c>
      <c r="M367" s="25"/>
      <c r="N367" s="54"/>
      <c r="O367" s="3" t="str">
        <f t="shared" si="77"/>
        <v>A</v>
      </c>
      <c r="P367" s="48">
        <v>178287.16</v>
      </c>
      <c r="Q367" s="48">
        <v>25365</v>
      </c>
      <c r="R367" s="32"/>
      <c r="S367" s="3" t="str">
        <f t="shared" si="76"/>
        <v>A</v>
      </c>
      <c r="T367" s="48">
        <v>154076.32999999999</v>
      </c>
      <c r="U367" s="48">
        <v>19226</v>
      </c>
      <c r="V367" s="32"/>
      <c r="W367" s="3" t="str">
        <f t="shared" si="78"/>
        <v>A</v>
      </c>
      <c r="X367" s="48">
        <v>148935.57</v>
      </c>
      <c r="Y367" s="48">
        <v>21855</v>
      </c>
      <c r="Z367" s="32"/>
      <c r="AA367" s="3" t="str">
        <f t="shared" si="79"/>
        <v>A</v>
      </c>
      <c r="AB367" s="48">
        <v>164191</v>
      </c>
      <c r="AC367" s="48">
        <v>24540.39</v>
      </c>
      <c r="AD367" s="36"/>
      <c r="AE367" s="54"/>
      <c r="AF367" s="3" t="str">
        <f t="shared" si="80"/>
        <v>A</v>
      </c>
      <c r="AG367" s="48">
        <v>0</v>
      </c>
      <c r="AH367" s="48">
        <v>0</v>
      </c>
      <c r="AI367" s="39"/>
      <c r="AJ367" s="79" t="s">
        <v>1801</v>
      </c>
      <c r="AK367" s="39"/>
      <c r="AL367" s="4">
        <f t="shared" si="85"/>
        <v>645490.06000000006</v>
      </c>
      <c r="AM367" s="4">
        <f t="shared" si="85"/>
        <v>90986.39</v>
      </c>
      <c r="AN367" s="4">
        <f t="shared" si="81"/>
        <v>736476.45000000007</v>
      </c>
      <c r="AO367" s="39"/>
      <c r="AP367" s="8">
        <f t="shared" si="86"/>
        <v>0</v>
      </c>
      <c r="AQ367" s="8">
        <f t="shared" si="86"/>
        <v>0</v>
      </c>
      <c r="AR367" s="8">
        <f t="shared" si="82"/>
        <v>0</v>
      </c>
      <c r="AS367" s="42"/>
      <c r="AT367" s="48">
        <v>645490.05999999994</v>
      </c>
      <c r="AU367" s="48">
        <v>90986.39</v>
      </c>
      <c r="AV367" s="4">
        <f t="shared" si="83"/>
        <v>736476.45</v>
      </c>
      <c r="AW367" s="50" t="str">
        <f t="shared" si="84"/>
        <v/>
      </c>
      <c r="AX367" s="1" t="s">
        <v>1639</v>
      </c>
      <c r="AY367" s="2" t="s">
        <v>1640</v>
      </c>
      <c r="AZ367" s="2">
        <v>170782.24</v>
      </c>
      <c r="BA367" s="73">
        <v>149434.46</v>
      </c>
      <c r="BB367" s="73">
        <v>149434.46</v>
      </c>
      <c r="BC367" s="73">
        <v>170782.24</v>
      </c>
      <c r="BD367" s="73"/>
      <c r="BE367" s="66">
        <v>3.5000000000000003E-2</v>
      </c>
      <c r="BF367" s="66">
        <v>0.02</v>
      </c>
      <c r="BG367" s="63">
        <v>45003</v>
      </c>
      <c r="BH367" s="2"/>
      <c r="BI367" s="2"/>
      <c r="BJ367" s="2"/>
      <c r="BK367" s="2"/>
      <c r="BL367" s="1" t="s">
        <v>56</v>
      </c>
    </row>
    <row r="368" spans="1:64" x14ac:dyDescent="0.25">
      <c r="A368" s="56" t="s">
        <v>755</v>
      </c>
      <c r="B368" s="54" t="s">
        <v>755</v>
      </c>
      <c r="C368" s="56" t="s">
        <v>756</v>
      </c>
      <c r="D368" s="16">
        <v>40786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58</v>
      </c>
      <c r="K368" s="61" t="s">
        <v>59</v>
      </c>
      <c r="L368" s="11" t="s">
        <v>67</v>
      </c>
      <c r="M368" s="25"/>
      <c r="N368" s="54"/>
      <c r="O368" s="3" t="str">
        <f t="shared" si="77"/>
        <v>A</v>
      </c>
      <c r="P368" s="48">
        <v>41285</v>
      </c>
      <c r="Q368" s="48">
        <v>25563</v>
      </c>
      <c r="R368" s="32"/>
      <c r="S368" s="3" t="str">
        <f t="shared" si="76"/>
        <v>A</v>
      </c>
      <c r="T368" s="48">
        <v>57194</v>
      </c>
      <c r="U368" s="48">
        <v>27231</v>
      </c>
      <c r="V368" s="32"/>
      <c r="W368" s="3" t="str">
        <f t="shared" si="78"/>
        <v>A</v>
      </c>
      <c r="X368" s="48">
        <v>61324</v>
      </c>
      <c r="Y368" s="48">
        <v>31245</v>
      </c>
      <c r="Z368" s="32"/>
      <c r="AA368" s="3" t="str">
        <f t="shared" si="79"/>
        <v>A</v>
      </c>
      <c r="AB368" s="48">
        <v>58403</v>
      </c>
      <c r="AC368" s="48">
        <v>23126</v>
      </c>
      <c r="AD368" s="36"/>
      <c r="AE368" s="54"/>
      <c r="AF368" s="3" t="str">
        <f t="shared" si="80"/>
        <v>A</v>
      </c>
      <c r="AG368" s="48">
        <v>0</v>
      </c>
      <c r="AH368" s="48">
        <v>0</v>
      </c>
      <c r="AI368" s="39"/>
      <c r="AJ368" s="79" t="s">
        <v>1801</v>
      </c>
      <c r="AK368" s="39"/>
      <c r="AL368" s="4">
        <f t="shared" si="85"/>
        <v>218206</v>
      </c>
      <c r="AM368" s="4">
        <f t="shared" si="85"/>
        <v>107165</v>
      </c>
      <c r="AN368" s="4">
        <f t="shared" si="81"/>
        <v>325371</v>
      </c>
      <c r="AO368" s="39"/>
      <c r="AP368" s="8">
        <f t="shared" si="86"/>
        <v>0</v>
      </c>
      <c r="AQ368" s="8">
        <f t="shared" si="86"/>
        <v>0</v>
      </c>
      <c r="AR368" s="8">
        <f t="shared" si="82"/>
        <v>0</v>
      </c>
      <c r="AS368" s="42"/>
      <c r="AT368" s="48">
        <v>218206</v>
      </c>
      <c r="AU368" s="48">
        <v>107165</v>
      </c>
      <c r="AV368" s="4">
        <f t="shared" si="83"/>
        <v>325371</v>
      </c>
      <c r="AW368" s="50" t="str">
        <f t="shared" si="84"/>
        <v/>
      </c>
      <c r="AX368" s="1" t="s">
        <v>1639</v>
      </c>
      <c r="AY368" s="2" t="s">
        <v>1640</v>
      </c>
      <c r="AZ368" s="2">
        <v>51505.2</v>
      </c>
      <c r="BA368" s="73">
        <v>45067.05</v>
      </c>
      <c r="BB368" s="73">
        <v>45067.05</v>
      </c>
      <c r="BC368" s="73">
        <v>51505.2</v>
      </c>
      <c r="BD368" s="73"/>
      <c r="BE368" s="66">
        <v>2.5000000000000001E-2</v>
      </c>
      <c r="BF368" s="66">
        <v>0.02</v>
      </c>
      <c r="BG368" s="63">
        <v>44424</v>
      </c>
      <c r="BH368" s="2"/>
      <c r="BI368" s="2"/>
      <c r="BJ368" s="2"/>
      <c r="BK368" s="2"/>
      <c r="BL368" s="1" t="s">
        <v>56</v>
      </c>
    </row>
    <row r="369" spans="1:64" x14ac:dyDescent="0.25">
      <c r="A369" s="56" t="s">
        <v>755</v>
      </c>
      <c r="B369" s="54" t="s">
        <v>757</v>
      </c>
      <c r="C369" s="56" t="s">
        <v>758</v>
      </c>
      <c r="D369" s="16">
        <v>43246</v>
      </c>
      <c r="E369" s="17"/>
      <c r="F369" s="2" t="s">
        <v>52</v>
      </c>
      <c r="G369" s="2" t="s">
        <v>55</v>
      </c>
      <c r="H369" s="10" t="s">
        <v>57</v>
      </c>
      <c r="I369" s="11" t="s">
        <v>54</v>
      </c>
      <c r="J369" s="11" t="s">
        <v>58</v>
      </c>
      <c r="K369" s="61" t="s">
        <v>59</v>
      </c>
      <c r="L369" s="11" t="s">
        <v>67</v>
      </c>
      <c r="M369" s="25"/>
      <c r="N369" s="54"/>
      <c r="O369" s="3" t="str">
        <f t="shared" si="77"/>
        <v>A</v>
      </c>
      <c r="P369" s="48">
        <v>66390</v>
      </c>
      <c r="Q369" s="48">
        <v>23982</v>
      </c>
      <c r="R369" s="32"/>
      <c r="S369" s="3" t="str">
        <f t="shared" si="76"/>
        <v>A</v>
      </c>
      <c r="T369" s="48">
        <v>56484</v>
      </c>
      <c r="U369" s="48">
        <v>20403</v>
      </c>
      <c r="V369" s="32"/>
      <c r="W369" s="3" t="str">
        <f t="shared" si="78"/>
        <v>A</v>
      </c>
      <c r="X369" s="48">
        <v>49598</v>
      </c>
      <c r="Y369" s="48">
        <v>15672</v>
      </c>
      <c r="Z369" s="32"/>
      <c r="AA369" s="3" t="str">
        <f t="shared" si="79"/>
        <v>A</v>
      </c>
      <c r="AB369" s="48">
        <v>57065</v>
      </c>
      <c r="AC369" s="48">
        <v>18216</v>
      </c>
      <c r="AD369" s="36"/>
      <c r="AE369" s="54"/>
      <c r="AF369" s="3" t="str">
        <f t="shared" si="80"/>
        <v>A</v>
      </c>
      <c r="AG369" s="48">
        <v>0</v>
      </c>
      <c r="AH369" s="48">
        <v>0</v>
      </c>
      <c r="AI369" s="39"/>
      <c r="AJ369" s="79" t="s">
        <v>1801</v>
      </c>
      <c r="AK369" s="39"/>
      <c r="AL369" s="4">
        <f t="shared" si="85"/>
        <v>229537</v>
      </c>
      <c r="AM369" s="4">
        <f t="shared" si="85"/>
        <v>78273</v>
      </c>
      <c r="AN369" s="4">
        <f t="shared" si="81"/>
        <v>307810</v>
      </c>
      <c r="AO369" s="39"/>
      <c r="AP369" s="8">
        <f t="shared" si="86"/>
        <v>0</v>
      </c>
      <c r="AQ369" s="8">
        <f t="shared" si="86"/>
        <v>0</v>
      </c>
      <c r="AR369" s="8">
        <f t="shared" si="82"/>
        <v>0</v>
      </c>
      <c r="AS369" s="42"/>
      <c r="AT369" s="48">
        <v>229537</v>
      </c>
      <c r="AU369" s="48">
        <v>78273</v>
      </c>
      <c r="AV369" s="4">
        <f t="shared" si="83"/>
        <v>307810</v>
      </c>
      <c r="AW369" s="50" t="str">
        <f t="shared" si="84"/>
        <v/>
      </c>
      <c r="AX369" s="1" t="s">
        <v>1639</v>
      </c>
      <c r="AY369" s="2" t="s">
        <v>1640</v>
      </c>
      <c r="AZ369" s="2">
        <v>38127.199999999997</v>
      </c>
      <c r="BA369" s="73">
        <v>33361.300000000003</v>
      </c>
      <c r="BB369" s="73">
        <v>33361.300000000003</v>
      </c>
      <c r="BC369" s="73">
        <v>38127.199999999997</v>
      </c>
      <c r="BD369" s="73"/>
      <c r="BE369" s="66">
        <v>0</v>
      </c>
      <c r="BF369" s="66">
        <v>0.02</v>
      </c>
      <c r="BG369" s="63">
        <v>44424</v>
      </c>
      <c r="BH369" s="2"/>
      <c r="BI369" s="2"/>
      <c r="BJ369" s="2"/>
      <c r="BK369" s="2"/>
      <c r="BL369" s="1" t="s">
        <v>56</v>
      </c>
    </row>
    <row r="370" spans="1:64" x14ac:dyDescent="0.25">
      <c r="A370" s="56" t="s">
        <v>755</v>
      </c>
      <c r="B370" s="54" t="s">
        <v>759</v>
      </c>
      <c r="C370" s="56" t="s">
        <v>760</v>
      </c>
      <c r="D370" s="16">
        <v>43700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58</v>
      </c>
      <c r="K370" s="61" t="s">
        <v>59</v>
      </c>
      <c r="L370" s="11" t="s">
        <v>67</v>
      </c>
      <c r="M370" s="25"/>
      <c r="N370" s="54"/>
      <c r="O370" s="3" t="str">
        <f t="shared" si="77"/>
        <v>A</v>
      </c>
      <c r="P370" s="48">
        <v>59493</v>
      </c>
      <c r="Q370" s="48">
        <v>24782</v>
      </c>
      <c r="R370" s="32"/>
      <c r="S370" s="3" t="str">
        <f t="shared" si="76"/>
        <v>A</v>
      </c>
      <c r="T370" s="48">
        <v>51405</v>
      </c>
      <c r="U370" s="48">
        <v>22508</v>
      </c>
      <c r="V370" s="32"/>
      <c r="W370" s="3" t="str">
        <f t="shared" si="78"/>
        <v>A</v>
      </c>
      <c r="X370" s="48">
        <v>43318</v>
      </c>
      <c r="Y370" s="48">
        <v>22222</v>
      </c>
      <c r="Z370" s="32"/>
      <c r="AA370" s="3" t="str">
        <f t="shared" si="79"/>
        <v>A</v>
      </c>
      <c r="AB370" s="48">
        <v>48629</v>
      </c>
      <c r="AC370" s="48">
        <v>21357</v>
      </c>
      <c r="AD370" s="36"/>
      <c r="AE370" s="54"/>
      <c r="AF370" s="3" t="str">
        <f t="shared" si="80"/>
        <v>A</v>
      </c>
      <c r="AG370" s="48">
        <v>0</v>
      </c>
      <c r="AH370" s="48">
        <v>0</v>
      </c>
      <c r="AI370" s="39"/>
      <c r="AJ370" s="79" t="s">
        <v>1801</v>
      </c>
      <c r="AK370" s="39"/>
      <c r="AL370" s="4">
        <f t="shared" si="85"/>
        <v>202845</v>
      </c>
      <c r="AM370" s="4">
        <f t="shared" si="85"/>
        <v>90869</v>
      </c>
      <c r="AN370" s="4">
        <f t="shared" si="81"/>
        <v>293714</v>
      </c>
      <c r="AO370" s="39"/>
      <c r="AP370" s="8">
        <f t="shared" si="86"/>
        <v>0</v>
      </c>
      <c r="AQ370" s="8">
        <f t="shared" si="86"/>
        <v>0</v>
      </c>
      <c r="AR370" s="8">
        <f t="shared" si="82"/>
        <v>0</v>
      </c>
      <c r="AS370" s="42"/>
      <c r="AT370" s="48">
        <v>202845</v>
      </c>
      <c r="AU370" s="48">
        <v>90869</v>
      </c>
      <c r="AV370" s="4">
        <f t="shared" si="83"/>
        <v>293714</v>
      </c>
      <c r="AW370" s="50" t="str">
        <f t="shared" si="84"/>
        <v/>
      </c>
      <c r="AX370" s="1" t="s">
        <v>1639</v>
      </c>
      <c r="AY370" s="2" t="s">
        <v>1640</v>
      </c>
      <c r="AZ370" s="2">
        <v>55184.72</v>
      </c>
      <c r="BA370" s="73">
        <v>48286.63</v>
      </c>
      <c r="BB370" s="73">
        <v>48286.63</v>
      </c>
      <c r="BC370" s="73">
        <v>55184.72</v>
      </c>
      <c r="BD370" s="73"/>
      <c r="BE370" s="66">
        <v>0</v>
      </c>
      <c r="BF370" s="66">
        <v>0.02</v>
      </c>
      <c r="BG370" s="63">
        <v>44424</v>
      </c>
      <c r="BH370" s="2"/>
      <c r="BI370" s="2"/>
      <c r="BJ370" s="2"/>
      <c r="BK370" s="2"/>
      <c r="BL370" s="1" t="s">
        <v>56</v>
      </c>
    </row>
    <row r="371" spans="1:64" x14ac:dyDescent="0.25">
      <c r="A371" s="56" t="s">
        <v>763</v>
      </c>
      <c r="B371" s="54" t="s">
        <v>763</v>
      </c>
      <c r="C371" s="56" t="s">
        <v>764</v>
      </c>
      <c r="D371" s="16">
        <v>41276</v>
      </c>
      <c r="E371" s="17"/>
      <c r="F371" s="2" t="s">
        <v>52</v>
      </c>
      <c r="G371" s="2" t="s">
        <v>55</v>
      </c>
      <c r="H371" s="10" t="s">
        <v>57</v>
      </c>
      <c r="I371" s="11" t="s">
        <v>54</v>
      </c>
      <c r="J371" s="11" t="s">
        <v>620</v>
      </c>
      <c r="K371" s="61" t="s">
        <v>621</v>
      </c>
      <c r="L371" s="11" t="s">
        <v>67</v>
      </c>
      <c r="M371" s="25"/>
      <c r="N371" s="54"/>
      <c r="O371" s="3" t="str">
        <f t="shared" si="77"/>
        <v>A</v>
      </c>
      <c r="P371" s="48">
        <v>69190</v>
      </c>
      <c r="Q371" s="48">
        <v>23460</v>
      </c>
      <c r="R371" s="32"/>
      <c r="S371" s="3" t="str">
        <f t="shared" si="76"/>
        <v>A</v>
      </c>
      <c r="T371" s="48">
        <v>67581</v>
      </c>
      <c r="U371" s="48">
        <v>23922</v>
      </c>
      <c r="V371" s="32"/>
      <c r="W371" s="3" t="str">
        <f t="shared" si="78"/>
        <v>A</v>
      </c>
      <c r="X371" s="48">
        <v>63196</v>
      </c>
      <c r="Y371" s="48">
        <v>23876</v>
      </c>
      <c r="Z371" s="32"/>
      <c r="AA371" s="3" t="str">
        <f t="shared" si="79"/>
        <v>A</v>
      </c>
      <c r="AB371" s="48">
        <v>64925</v>
      </c>
      <c r="AC371" s="48">
        <v>22315</v>
      </c>
      <c r="AD371" s="36"/>
      <c r="AE371" s="54"/>
      <c r="AF371" s="3" t="str">
        <f t="shared" si="80"/>
        <v>A</v>
      </c>
      <c r="AG371" s="48">
        <v>0</v>
      </c>
      <c r="AH371" s="48">
        <v>0</v>
      </c>
      <c r="AI371" s="39"/>
      <c r="AJ371" s="79" t="s">
        <v>1801</v>
      </c>
      <c r="AK371" s="39"/>
      <c r="AL371" s="4">
        <f t="shared" si="85"/>
        <v>264892</v>
      </c>
      <c r="AM371" s="4">
        <f t="shared" si="85"/>
        <v>93573</v>
      </c>
      <c r="AN371" s="4">
        <f t="shared" si="81"/>
        <v>358465</v>
      </c>
      <c r="AO371" s="39"/>
      <c r="AP371" s="8">
        <f t="shared" si="86"/>
        <v>0</v>
      </c>
      <c r="AQ371" s="8">
        <f t="shared" si="86"/>
        <v>0</v>
      </c>
      <c r="AR371" s="8">
        <f t="shared" si="82"/>
        <v>0</v>
      </c>
      <c r="AS371" s="42"/>
      <c r="AT371" s="48">
        <v>264892</v>
      </c>
      <c r="AU371" s="48">
        <v>93573</v>
      </c>
      <c r="AV371" s="4">
        <f t="shared" si="83"/>
        <v>358465</v>
      </c>
      <c r="AW371" s="50" t="str">
        <f t="shared" si="84"/>
        <v/>
      </c>
      <c r="AX371" s="1" t="s">
        <v>1639</v>
      </c>
      <c r="AY371" s="2" t="s">
        <v>1640</v>
      </c>
      <c r="AZ371" s="2">
        <v>60744.72</v>
      </c>
      <c r="BA371" s="73">
        <v>53151.63</v>
      </c>
      <c r="BB371" s="73">
        <v>53151.63</v>
      </c>
      <c r="BC371" s="73">
        <v>60744.72</v>
      </c>
      <c r="BD371" s="73"/>
      <c r="BE371" s="66">
        <v>2.5000000000000001E-2</v>
      </c>
      <c r="BF371" s="66">
        <v>0.02</v>
      </c>
      <c r="BG371" s="63">
        <v>44228</v>
      </c>
      <c r="BH371" s="2"/>
      <c r="BI371" s="2"/>
      <c r="BJ371" s="2"/>
      <c r="BK371" s="2"/>
      <c r="BL371" s="1" t="s">
        <v>56</v>
      </c>
    </row>
    <row r="372" spans="1:64" x14ac:dyDescent="0.25">
      <c r="A372" s="56" t="s">
        <v>790</v>
      </c>
      <c r="B372" s="54" t="s">
        <v>790</v>
      </c>
      <c r="C372" s="56" t="s">
        <v>791</v>
      </c>
      <c r="D372" s="16">
        <v>40936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620</v>
      </c>
      <c r="K372" s="61" t="s">
        <v>621</v>
      </c>
      <c r="L372" s="11" t="s">
        <v>67</v>
      </c>
      <c r="M372" s="25"/>
      <c r="N372" s="54"/>
      <c r="O372" s="3" t="str">
        <f t="shared" si="77"/>
        <v>A</v>
      </c>
      <c r="P372" s="48">
        <v>68354</v>
      </c>
      <c r="Q372" s="48">
        <v>13825</v>
      </c>
      <c r="R372" s="32"/>
      <c r="S372" s="3" t="str">
        <f t="shared" si="76"/>
        <v>A</v>
      </c>
      <c r="T372" s="48">
        <v>59233</v>
      </c>
      <c r="U372" s="48">
        <v>10001</v>
      </c>
      <c r="V372" s="32"/>
      <c r="W372" s="3" t="str">
        <f t="shared" si="78"/>
        <v>A</v>
      </c>
      <c r="X372" s="48">
        <v>61757</v>
      </c>
      <c r="Y372" s="48">
        <v>11341</v>
      </c>
      <c r="Z372" s="32"/>
      <c r="AA372" s="3" t="str">
        <f t="shared" si="79"/>
        <v>A</v>
      </c>
      <c r="AB372" s="48">
        <v>63887</v>
      </c>
      <c r="AC372" s="48">
        <v>11214</v>
      </c>
      <c r="AD372" s="36"/>
      <c r="AE372" s="54"/>
      <c r="AF372" s="3" t="str">
        <f t="shared" si="80"/>
        <v>A</v>
      </c>
      <c r="AG372" s="48">
        <v>0</v>
      </c>
      <c r="AH372" s="48">
        <v>0</v>
      </c>
      <c r="AI372" s="39"/>
      <c r="AJ372" s="79" t="s">
        <v>1801</v>
      </c>
      <c r="AK372" s="39"/>
      <c r="AL372" s="4">
        <f t="shared" si="85"/>
        <v>253231</v>
      </c>
      <c r="AM372" s="4">
        <f t="shared" si="85"/>
        <v>46381</v>
      </c>
      <c r="AN372" s="4">
        <f t="shared" si="81"/>
        <v>299612</v>
      </c>
      <c r="AO372" s="39"/>
      <c r="AP372" s="8">
        <f t="shared" si="86"/>
        <v>0</v>
      </c>
      <c r="AQ372" s="8">
        <f t="shared" si="86"/>
        <v>0</v>
      </c>
      <c r="AR372" s="8">
        <f t="shared" si="82"/>
        <v>0</v>
      </c>
      <c r="AS372" s="42"/>
      <c r="AT372" s="48">
        <v>253231</v>
      </c>
      <c r="AU372" s="48">
        <v>46381</v>
      </c>
      <c r="AV372" s="4">
        <f t="shared" si="83"/>
        <v>299612</v>
      </c>
      <c r="AW372" s="50" t="str">
        <f t="shared" si="84"/>
        <v/>
      </c>
      <c r="AX372" s="1" t="s">
        <v>1639</v>
      </c>
      <c r="AY372" s="2" t="s">
        <v>1640</v>
      </c>
      <c r="AZ372" s="2">
        <v>81875.92</v>
      </c>
      <c r="BA372" s="73">
        <v>71641.429999999993</v>
      </c>
      <c r="BB372" s="73">
        <v>71641.429999999993</v>
      </c>
      <c r="BC372" s="73">
        <v>81875.92</v>
      </c>
      <c r="BD372" s="73"/>
      <c r="BE372" s="66">
        <v>3.5000000000000003E-2</v>
      </c>
      <c r="BF372" s="66">
        <v>0.02</v>
      </c>
      <c r="BG372" s="63">
        <v>45777</v>
      </c>
      <c r="BH372" s="2"/>
      <c r="BI372" s="2"/>
      <c r="BJ372" s="2"/>
      <c r="BK372" s="2"/>
      <c r="BL372" s="1" t="s">
        <v>56</v>
      </c>
    </row>
    <row r="373" spans="1:64" x14ac:dyDescent="0.25">
      <c r="A373" s="56" t="s">
        <v>798</v>
      </c>
      <c r="B373" s="54" t="s">
        <v>798</v>
      </c>
      <c r="C373" s="56" t="s">
        <v>799</v>
      </c>
      <c r="D373" s="16">
        <v>42122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636</v>
      </c>
      <c r="K373" s="61" t="s">
        <v>637</v>
      </c>
      <c r="L373" s="11" t="s">
        <v>67</v>
      </c>
      <c r="M373" s="25"/>
      <c r="N373" s="54"/>
      <c r="O373" s="3" t="str">
        <f t="shared" si="77"/>
        <v>A</v>
      </c>
      <c r="P373" s="48">
        <v>38160</v>
      </c>
      <c r="Q373" s="48">
        <v>11403</v>
      </c>
      <c r="R373" s="32"/>
      <c r="S373" s="3" t="str">
        <f t="shared" si="76"/>
        <v>A</v>
      </c>
      <c r="T373" s="48">
        <v>35430</v>
      </c>
      <c r="U373" s="48">
        <v>9348</v>
      </c>
      <c r="V373" s="32"/>
      <c r="W373" s="3" t="str">
        <f t="shared" si="78"/>
        <v>A</v>
      </c>
      <c r="X373" s="48">
        <v>32664</v>
      </c>
      <c r="Y373" s="48">
        <v>8761</v>
      </c>
      <c r="Z373" s="32"/>
      <c r="AA373" s="3" t="str">
        <f t="shared" si="79"/>
        <v>A</v>
      </c>
      <c r="AB373" s="48">
        <v>36119</v>
      </c>
      <c r="AC373" s="48">
        <v>10139</v>
      </c>
      <c r="AD373" s="36"/>
      <c r="AE373" s="54"/>
      <c r="AF373" s="3" t="str">
        <f t="shared" si="80"/>
        <v>A</v>
      </c>
      <c r="AG373" s="48">
        <v>0</v>
      </c>
      <c r="AH373" s="48">
        <v>0</v>
      </c>
      <c r="AI373" s="39"/>
      <c r="AJ373" s="79" t="s">
        <v>1801</v>
      </c>
      <c r="AK373" s="39"/>
      <c r="AL373" s="4">
        <f t="shared" si="85"/>
        <v>142373</v>
      </c>
      <c r="AM373" s="4">
        <f t="shared" si="85"/>
        <v>39651</v>
      </c>
      <c r="AN373" s="4">
        <f t="shared" si="81"/>
        <v>182024</v>
      </c>
      <c r="AO373" s="39"/>
      <c r="AP373" s="8">
        <f t="shared" si="86"/>
        <v>0</v>
      </c>
      <c r="AQ373" s="8">
        <f t="shared" si="86"/>
        <v>0</v>
      </c>
      <c r="AR373" s="8">
        <f t="shared" si="82"/>
        <v>0</v>
      </c>
      <c r="AS373" s="42"/>
      <c r="AT373" s="48">
        <v>142373</v>
      </c>
      <c r="AU373" s="48">
        <v>39651</v>
      </c>
      <c r="AV373" s="4">
        <f t="shared" si="83"/>
        <v>182024</v>
      </c>
      <c r="AW373" s="50" t="str">
        <f t="shared" si="84"/>
        <v/>
      </c>
      <c r="AX373" s="1" t="s">
        <v>1639</v>
      </c>
      <c r="AY373" s="2" t="s">
        <v>1640</v>
      </c>
      <c r="AZ373" s="2">
        <v>62659.44</v>
      </c>
      <c r="BA373" s="73">
        <v>54827.01</v>
      </c>
      <c r="BB373" s="73">
        <v>54827.01</v>
      </c>
      <c r="BC373" s="73">
        <v>62659.44</v>
      </c>
      <c r="BD373" s="73"/>
      <c r="BE373" s="66">
        <v>0</v>
      </c>
      <c r="BF373" s="66">
        <v>0.02</v>
      </c>
      <c r="BG373" s="63">
        <v>45835</v>
      </c>
      <c r="BH373" s="2"/>
      <c r="BI373" s="2"/>
      <c r="BJ373" s="2"/>
      <c r="BK373" s="2"/>
      <c r="BL373" s="1" t="s">
        <v>56</v>
      </c>
    </row>
    <row r="374" spans="1:64" x14ac:dyDescent="0.25">
      <c r="A374" s="56" t="s">
        <v>809</v>
      </c>
      <c r="B374" s="54" t="s">
        <v>809</v>
      </c>
      <c r="C374" s="56" t="s">
        <v>810</v>
      </c>
      <c r="D374" s="16">
        <v>0</v>
      </c>
      <c r="E374" s="17"/>
      <c r="F374" s="2" t="s">
        <v>52</v>
      </c>
      <c r="G374" s="2" t="s">
        <v>55</v>
      </c>
      <c r="H374" s="10" t="s">
        <v>57</v>
      </c>
      <c r="I374" s="11" t="s">
        <v>54</v>
      </c>
      <c r="J374" s="11" t="s">
        <v>636</v>
      </c>
      <c r="K374" s="61" t="s">
        <v>637</v>
      </c>
      <c r="L374" s="11" t="s">
        <v>67</v>
      </c>
      <c r="M374" s="25"/>
      <c r="N374" s="54"/>
      <c r="O374" s="3" t="str">
        <f t="shared" si="77"/>
        <v>A</v>
      </c>
      <c r="P374" s="48">
        <v>49108</v>
      </c>
      <c r="Q374" s="48">
        <v>17650</v>
      </c>
      <c r="R374" s="32"/>
      <c r="S374" s="3" t="str">
        <f t="shared" si="76"/>
        <v>A</v>
      </c>
      <c r="T374" s="48">
        <v>44993</v>
      </c>
      <c r="U374" s="48">
        <v>18087</v>
      </c>
      <c r="V374" s="32"/>
      <c r="W374" s="3" t="str">
        <f t="shared" si="78"/>
        <v>A</v>
      </c>
      <c r="X374" s="48">
        <v>39745</v>
      </c>
      <c r="Y374" s="48">
        <v>15409</v>
      </c>
      <c r="Z374" s="32"/>
      <c r="AA374" s="3" t="str">
        <f t="shared" si="79"/>
        <v>A</v>
      </c>
      <c r="AB374" s="48">
        <v>41739</v>
      </c>
      <c r="AC374" s="48">
        <v>12708</v>
      </c>
      <c r="AD374" s="36"/>
      <c r="AE374" s="54"/>
      <c r="AF374" s="3" t="str">
        <f t="shared" si="80"/>
        <v>A</v>
      </c>
      <c r="AG374" s="48">
        <v>0</v>
      </c>
      <c r="AH374" s="48">
        <v>0</v>
      </c>
      <c r="AI374" s="39"/>
      <c r="AJ374" s="79" t="s">
        <v>1801</v>
      </c>
      <c r="AK374" s="39"/>
      <c r="AL374" s="4">
        <f t="shared" si="85"/>
        <v>175585</v>
      </c>
      <c r="AM374" s="4">
        <f t="shared" si="85"/>
        <v>63854</v>
      </c>
      <c r="AN374" s="4">
        <f t="shared" si="81"/>
        <v>239439</v>
      </c>
      <c r="AO374" s="39"/>
      <c r="AP374" s="8">
        <f t="shared" si="86"/>
        <v>0</v>
      </c>
      <c r="AQ374" s="8">
        <f t="shared" si="86"/>
        <v>0</v>
      </c>
      <c r="AR374" s="8">
        <f t="shared" si="82"/>
        <v>0</v>
      </c>
      <c r="AS374" s="42"/>
      <c r="AT374" s="48">
        <v>175585</v>
      </c>
      <c r="AU374" s="48">
        <v>63854</v>
      </c>
      <c r="AV374" s="4">
        <f t="shared" si="83"/>
        <v>239439</v>
      </c>
      <c r="AW374" s="50" t="str">
        <f t="shared" si="84"/>
        <v/>
      </c>
      <c r="AX374" s="1" t="s">
        <v>1639</v>
      </c>
      <c r="AY374" s="2" t="s">
        <v>1640</v>
      </c>
      <c r="AZ374" s="2">
        <v>39198.800000000003</v>
      </c>
      <c r="BA374" s="73">
        <v>34298.949999999997</v>
      </c>
      <c r="BB374" s="73">
        <v>34298.949999999997</v>
      </c>
      <c r="BC374" s="73">
        <v>39198.800000000003</v>
      </c>
      <c r="BD374" s="73"/>
      <c r="BE374" s="66">
        <v>0</v>
      </c>
      <c r="BF374" s="66">
        <v>0.02</v>
      </c>
      <c r="BG374" s="63">
        <v>44903</v>
      </c>
      <c r="BH374" s="2"/>
      <c r="BI374" s="2"/>
      <c r="BJ374" s="2"/>
      <c r="BK374" s="2"/>
      <c r="BL374" s="1" t="s">
        <v>56</v>
      </c>
    </row>
    <row r="375" spans="1:64" x14ac:dyDescent="0.25">
      <c r="A375" s="56" t="s">
        <v>811</v>
      </c>
      <c r="B375" s="54" t="s">
        <v>811</v>
      </c>
      <c r="C375" s="56" t="s">
        <v>812</v>
      </c>
      <c r="D375" s="16">
        <v>43636</v>
      </c>
      <c r="E375" s="17"/>
      <c r="F375" s="2" t="s">
        <v>243</v>
      </c>
      <c r="G375" s="2" t="s">
        <v>245</v>
      </c>
      <c r="H375" s="10" t="s">
        <v>105</v>
      </c>
      <c r="I375" s="11" t="s">
        <v>244</v>
      </c>
      <c r="J375" s="11" t="s">
        <v>573</v>
      </c>
      <c r="K375" s="61" t="s">
        <v>335</v>
      </c>
      <c r="L375" s="11" t="s">
        <v>67</v>
      </c>
      <c r="M375" s="25"/>
      <c r="N375" s="54"/>
      <c r="O375" s="3" t="str">
        <f t="shared" si="77"/>
        <v>A</v>
      </c>
      <c r="P375" s="48">
        <v>173507</v>
      </c>
      <c r="Q375" s="48">
        <v>32528</v>
      </c>
      <c r="R375" s="32"/>
      <c r="S375" s="3" t="str">
        <f t="shared" ref="S375:S395" si="87">IF($A375="","",IF(T375=0,"A",IF(T375=BA375,"E","A")))</f>
        <v>A</v>
      </c>
      <c r="T375" s="48">
        <v>139014</v>
      </c>
      <c r="U375" s="48">
        <v>23156</v>
      </c>
      <c r="V375" s="32"/>
      <c r="W375" s="3" t="str">
        <f t="shared" si="78"/>
        <v>A</v>
      </c>
      <c r="X375" s="48">
        <v>130268</v>
      </c>
      <c r="Y375" s="48">
        <v>21238</v>
      </c>
      <c r="Z375" s="32"/>
      <c r="AA375" s="3" t="str">
        <f t="shared" si="79"/>
        <v>A</v>
      </c>
      <c r="AB375" s="48">
        <v>158423</v>
      </c>
      <c r="AC375" s="48">
        <v>24263</v>
      </c>
      <c r="AD375" s="36"/>
      <c r="AE375" s="54"/>
      <c r="AF375" s="3" t="str">
        <f t="shared" si="80"/>
        <v>A</v>
      </c>
      <c r="AG375" s="48">
        <v>0</v>
      </c>
      <c r="AH375" s="48">
        <v>0</v>
      </c>
      <c r="AI375" s="39"/>
      <c r="AJ375" s="79" t="s">
        <v>1801</v>
      </c>
      <c r="AK375" s="39"/>
      <c r="AL375" s="4">
        <f t="shared" si="85"/>
        <v>601212</v>
      </c>
      <c r="AM375" s="4">
        <f t="shared" si="85"/>
        <v>101185</v>
      </c>
      <c r="AN375" s="4">
        <f t="shared" si="81"/>
        <v>702397</v>
      </c>
      <c r="AO375" s="39"/>
      <c r="AP375" s="8">
        <f t="shared" si="86"/>
        <v>0</v>
      </c>
      <c r="AQ375" s="8">
        <f t="shared" si="86"/>
        <v>0</v>
      </c>
      <c r="AR375" s="8">
        <f t="shared" si="82"/>
        <v>0</v>
      </c>
      <c r="AS375" s="42"/>
      <c r="AT375" s="48">
        <v>601212</v>
      </c>
      <c r="AU375" s="48">
        <v>101185</v>
      </c>
      <c r="AV375" s="4">
        <f t="shared" si="83"/>
        <v>702397</v>
      </c>
      <c r="AW375" s="50" t="str">
        <f t="shared" si="84"/>
        <v/>
      </c>
      <c r="AX375" s="1" t="s">
        <v>1639</v>
      </c>
      <c r="AY375" s="2" t="s">
        <v>1640</v>
      </c>
      <c r="AZ375" s="2">
        <v>132345.60000000001</v>
      </c>
      <c r="BA375" s="73">
        <v>115802.4</v>
      </c>
      <c r="BB375" s="73">
        <v>115802.4</v>
      </c>
      <c r="BC375" s="73">
        <v>132345.60000000001</v>
      </c>
      <c r="BD375" s="73"/>
      <c r="BE375" s="66">
        <v>0</v>
      </c>
      <c r="BF375" s="66">
        <v>0.02</v>
      </c>
      <c r="BG375" s="63">
        <v>45278</v>
      </c>
      <c r="BH375" s="2"/>
      <c r="BI375" s="2"/>
      <c r="BJ375" s="2"/>
      <c r="BK375" s="2"/>
      <c r="BL375" s="1" t="s">
        <v>219</v>
      </c>
    </row>
    <row r="376" spans="1:64" x14ac:dyDescent="0.25">
      <c r="A376" s="56" t="s">
        <v>821</v>
      </c>
      <c r="B376" s="54" t="s">
        <v>821</v>
      </c>
      <c r="C376" s="56" t="s">
        <v>822</v>
      </c>
      <c r="D376" s="16">
        <v>0</v>
      </c>
      <c r="E376" s="17"/>
      <c r="F376" s="2" t="s">
        <v>414</v>
      </c>
      <c r="G376" s="2" t="s">
        <v>415</v>
      </c>
      <c r="H376" s="10" t="s">
        <v>105</v>
      </c>
      <c r="I376" s="11" t="s">
        <v>53</v>
      </c>
      <c r="J376" s="11" t="s">
        <v>312</v>
      </c>
      <c r="K376" s="61"/>
      <c r="L376" s="11" t="s">
        <v>67</v>
      </c>
      <c r="M376" s="25"/>
      <c r="N376" s="54"/>
      <c r="O376" s="3" t="str">
        <f t="shared" si="77"/>
        <v>E</v>
      </c>
      <c r="P376" s="48">
        <v>224197.2</v>
      </c>
      <c r="Q376" s="48">
        <v>46047.040000000001</v>
      </c>
      <c r="R376" s="32"/>
      <c r="S376" s="3" t="str">
        <f t="shared" si="87"/>
        <v>E</v>
      </c>
      <c r="T376" s="48">
        <v>196172.55</v>
      </c>
      <c r="U376" s="48">
        <v>40291.160000000003</v>
      </c>
      <c r="V376" s="32"/>
      <c r="W376" s="3" t="str">
        <f t="shared" si="78"/>
        <v>E</v>
      </c>
      <c r="X376" s="48">
        <v>196172.55</v>
      </c>
      <c r="Y376" s="48">
        <v>40291.160000000003</v>
      </c>
      <c r="Z376" s="32"/>
      <c r="AA376" s="3" t="str">
        <f t="shared" si="79"/>
        <v>E</v>
      </c>
      <c r="AB376" s="48">
        <v>224197.2</v>
      </c>
      <c r="AC376" s="48">
        <v>46047.040000000001</v>
      </c>
      <c r="AD376" s="36"/>
      <c r="AE376" s="54"/>
      <c r="AF376" s="3" t="str">
        <f t="shared" si="80"/>
        <v>A</v>
      </c>
      <c r="AG376" s="48"/>
      <c r="AH376" s="48"/>
      <c r="AI376" s="39"/>
      <c r="AJ376" s="79" t="s">
        <v>38</v>
      </c>
      <c r="AK376" s="39"/>
      <c r="AL376" s="4">
        <f t="shared" si="85"/>
        <v>0</v>
      </c>
      <c r="AM376" s="4">
        <f t="shared" si="85"/>
        <v>0</v>
      </c>
      <c r="AN376" s="4">
        <f t="shared" si="81"/>
        <v>0</v>
      </c>
      <c r="AO376" s="39"/>
      <c r="AP376" s="8">
        <f t="shared" si="86"/>
        <v>840739.5</v>
      </c>
      <c r="AQ376" s="8">
        <f t="shared" si="86"/>
        <v>172676.40000000002</v>
      </c>
      <c r="AR376" s="8">
        <f t="shared" si="82"/>
        <v>1013415.9</v>
      </c>
      <c r="AS376" s="42"/>
      <c r="AT376" s="48"/>
      <c r="AU376" s="48"/>
      <c r="AV376" s="4">
        <f t="shared" si="83"/>
        <v>0</v>
      </c>
      <c r="AW376" s="50" t="str">
        <f t="shared" si="84"/>
        <v/>
      </c>
      <c r="AX376" s="1" t="s">
        <v>1703</v>
      </c>
      <c r="AY376" s="2" t="s">
        <v>1704</v>
      </c>
      <c r="AZ376" s="2">
        <v>224197.2</v>
      </c>
      <c r="BA376" s="73">
        <v>196172.55</v>
      </c>
      <c r="BB376" s="73">
        <v>196172.55</v>
      </c>
      <c r="BC376" s="73">
        <v>224197.2</v>
      </c>
      <c r="BD376" s="73"/>
      <c r="BE376" s="66">
        <v>4.4999999999999998E-2</v>
      </c>
      <c r="BF376" s="66">
        <v>0.05</v>
      </c>
      <c r="BG376" s="63">
        <v>45278</v>
      </c>
      <c r="BH376" s="74">
        <v>45434</v>
      </c>
      <c r="BI376" s="74">
        <v>45522</v>
      </c>
      <c r="BJ376" s="2"/>
      <c r="BK376" s="2"/>
      <c r="BL376" s="1" t="s">
        <v>311</v>
      </c>
    </row>
    <row r="377" spans="1:64" x14ac:dyDescent="0.25">
      <c r="A377" s="56" t="s">
        <v>831</v>
      </c>
      <c r="B377" s="54" t="s">
        <v>831</v>
      </c>
      <c r="C377" s="56" t="s">
        <v>832</v>
      </c>
      <c r="D377" s="16">
        <v>43695</v>
      </c>
      <c r="E377" s="17"/>
      <c r="F377" s="2" t="s">
        <v>171</v>
      </c>
      <c r="G377" s="2" t="s">
        <v>172</v>
      </c>
      <c r="H377" s="10" t="s">
        <v>105</v>
      </c>
      <c r="I377" s="11" t="s">
        <v>53</v>
      </c>
      <c r="J377" s="11" t="s">
        <v>145</v>
      </c>
      <c r="K377" s="61"/>
      <c r="L377" s="11" t="s">
        <v>67</v>
      </c>
      <c r="M377" s="25"/>
      <c r="N377" s="54"/>
      <c r="O377" s="3" t="str">
        <f t="shared" si="77"/>
        <v>A</v>
      </c>
      <c r="P377" s="48">
        <v>116943</v>
      </c>
      <c r="Q377" s="48">
        <v>19020</v>
      </c>
      <c r="R377" s="32"/>
      <c r="S377" s="3" t="str">
        <f t="shared" si="87"/>
        <v>A</v>
      </c>
      <c r="T377" s="48">
        <v>93919</v>
      </c>
      <c r="U377" s="48">
        <v>17946</v>
      </c>
      <c r="V377" s="32"/>
      <c r="W377" s="3" t="str">
        <f t="shared" si="78"/>
        <v>A</v>
      </c>
      <c r="X377" s="48">
        <v>86771</v>
      </c>
      <c r="Y377" s="48">
        <v>16182</v>
      </c>
      <c r="Z377" s="32"/>
      <c r="AA377" s="3" t="str">
        <f t="shared" si="79"/>
        <v>A</v>
      </c>
      <c r="AB377" s="48">
        <v>98452</v>
      </c>
      <c r="AC377" s="48">
        <v>14740</v>
      </c>
      <c r="AD377" s="36"/>
      <c r="AE377" s="54"/>
      <c r="AF377" s="3" t="str">
        <f t="shared" si="80"/>
        <v>A</v>
      </c>
      <c r="AG377" s="48">
        <v>0</v>
      </c>
      <c r="AH377" s="48">
        <v>0</v>
      </c>
      <c r="AI377" s="39"/>
      <c r="AJ377" s="79" t="s">
        <v>1801</v>
      </c>
      <c r="AK377" s="39"/>
      <c r="AL377" s="4">
        <f t="shared" si="85"/>
        <v>396085</v>
      </c>
      <c r="AM377" s="4">
        <f t="shared" si="85"/>
        <v>67888</v>
      </c>
      <c r="AN377" s="4">
        <f t="shared" si="81"/>
        <v>463973</v>
      </c>
      <c r="AO377" s="39"/>
      <c r="AP377" s="8">
        <f t="shared" si="86"/>
        <v>0</v>
      </c>
      <c r="AQ377" s="8">
        <f t="shared" si="86"/>
        <v>0</v>
      </c>
      <c r="AR377" s="8">
        <f t="shared" si="82"/>
        <v>0</v>
      </c>
      <c r="AS377" s="42"/>
      <c r="AT377" s="48">
        <v>396085</v>
      </c>
      <c r="AU377" s="48">
        <v>67888</v>
      </c>
      <c r="AV377" s="4">
        <f t="shared" si="83"/>
        <v>463973</v>
      </c>
      <c r="AW377" s="50" t="str">
        <f t="shared" si="84"/>
        <v/>
      </c>
      <c r="AX377" s="1" t="s">
        <v>1654</v>
      </c>
      <c r="AY377" s="2" t="s">
        <v>1655</v>
      </c>
      <c r="AZ377" s="2">
        <v>107908.8</v>
      </c>
      <c r="BA377" s="73">
        <v>94420.2</v>
      </c>
      <c r="BB377" s="73">
        <v>94420.2</v>
      </c>
      <c r="BC377" s="73">
        <v>107908.8</v>
      </c>
      <c r="BD377" s="73"/>
      <c r="BE377" s="66">
        <v>0</v>
      </c>
      <c r="BF377" s="66">
        <v>0.05</v>
      </c>
      <c r="BG377" s="63">
        <v>45514</v>
      </c>
      <c r="BH377" s="2"/>
      <c r="BI377" s="2"/>
      <c r="BJ377" s="2"/>
      <c r="BK377" s="2"/>
      <c r="BL377" s="1" t="s">
        <v>104</v>
      </c>
    </row>
    <row r="378" spans="1:64" x14ac:dyDescent="0.25">
      <c r="A378" s="56" t="s">
        <v>833</v>
      </c>
      <c r="B378" s="54" t="s">
        <v>833</v>
      </c>
      <c r="C378" s="56" t="s">
        <v>834</v>
      </c>
      <c r="D378" s="16">
        <v>43675</v>
      </c>
      <c r="E378" s="17"/>
      <c r="F378" s="2" t="s">
        <v>835</v>
      </c>
      <c r="G378" s="2" t="s">
        <v>836</v>
      </c>
      <c r="H378" s="10" t="s">
        <v>57</v>
      </c>
      <c r="I378" s="11" t="s">
        <v>53</v>
      </c>
      <c r="J378" s="11" t="s">
        <v>384</v>
      </c>
      <c r="K378" s="61"/>
      <c r="L378" s="11" t="s">
        <v>67</v>
      </c>
      <c r="M378" s="25"/>
      <c r="N378" s="54"/>
      <c r="O378" s="3" t="str">
        <f t="shared" si="77"/>
        <v>A</v>
      </c>
      <c r="P378" s="48">
        <v>59477</v>
      </c>
      <c r="Q378" s="48">
        <v>10947</v>
      </c>
      <c r="R378" s="32"/>
      <c r="S378" s="3" t="str">
        <f t="shared" si="87"/>
        <v>A</v>
      </c>
      <c r="T378" s="48">
        <v>53390</v>
      </c>
      <c r="U378" s="48">
        <v>12330</v>
      </c>
      <c r="V378" s="32"/>
      <c r="W378" s="3" t="str">
        <f t="shared" si="78"/>
        <v>A</v>
      </c>
      <c r="X378" s="48">
        <v>48135</v>
      </c>
      <c r="Y378" s="48">
        <v>9145</v>
      </c>
      <c r="Z378" s="32"/>
      <c r="AA378" s="3" t="str">
        <f t="shared" si="79"/>
        <v>A</v>
      </c>
      <c r="AB378" s="48">
        <v>47019</v>
      </c>
      <c r="AC378" s="48">
        <v>11286</v>
      </c>
      <c r="AD378" s="36"/>
      <c r="AE378" s="54"/>
      <c r="AF378" s="3" t="str">
        <f t="shared" si="80"/>
        <v>A</v>
      </c>
      <c r="AG378" s="48">
        <v>0</v>
      </c>
      <c r="AH378" s="48">
        <v>0</v>
      </c>
      <c r="AI378" s="39"/>
      <c r="AJ378" s="79" t="s">
        <v>1801</v>
      </c>
      <c r="AK378" s="39"/>
      <c r="AL378" s="4">
        <f t="shared" si="85"/>
        <v>208021</v>
      </c>
      <c r="AM378" s="4">
        <f t="shared" si="85"/>
        <v>43708</v>
      </c>
      <c r="AN378" s="4">
        <f t="shared" si="81"/>
        <v>251729</v>
      </c>
      <c r="AO378" s="39"/>
      <c r="AP378" s="8">
        <f t="shared" si="86"/>
        <v>0</v>
      </c>
      <c r="AQ378" s="8">
        <f t="shared" si="86"/>
        <v>0</v>
      </c>
      <c r="AR378" s="8">
        <f t="shared" si="82"/>
        <v>0</v>
      </c>
      <c r="AS378" s="42"/>
      <c r="AT378" s="48">
        <v>208021</v>
      </c>
      <c r="AU378" s="48">
        <v>43708</v>
      </c>
      <c r="AV378" s="4">
        <f t="shared" si="83"/>
        <v>251729</v>
      </c>
      <c r="AW378" s="50" t="str">
        <f t="shared" si="84"/>
        <v/>
      </c>
      <c r="AX378" s="1" t="s">
        <v>1734</v>
      </c>
      <c r="AY378" s="2" t="s">
        <v>1735</v>
      </c>
      <c r="AZ378" s="2">
        <v>77845.919999999998</v>
      </c>
      <c r="BA378" s="73">
        <v>68115.179999999993</v>
      </c>
      <c r="BB378" s="73">
        <v>68115.179999999993</v>
      </c>
      <c r="BC378" s="73">
        <v>77845.919999999998</v>
      </c>
      <c r="BD378" s="73"/>
      <c r="BE378" s="66">
        <v>0</v>
      </c>
      <c r="BF378" s="66">
        <v>0.05</v>
      </c>
      <c r="BG378" s="63">
        <v>45485</v>
      </c>
      <c r="BH378" s="2"/>
      <c r="BI378" s="2"/>
      <c r="BJ378" s="2"/>
      <c r="BK378" s="2"/>
      <c r="BL378" s="1" t="s">
        <v>56</v>
      </c>
    </row>
    <row r="379" spans="1:64" x14ac:dyDescent="0.25">
      <c r="A379" s="56" t="s">
        <v>833</v>
      </c>
      <c r="B379" s="54" t="s">
        <v>900</v>
      </c>
      <c r="C379" s="56" t="s">
        <v>901</v>
      </c>
      <c r="D379" s="16">
        <v>43900</v>
      </c>
      <c r="E379" s="17"/>
      <c r="F379" s="2" t="s">
        <v>835</v>
      </c>
      <c r="G379" s="2" t="s">
        <v>836</v>
      </c>
      <c r="H379" s="10" t="s">
        <v>57</v>
      </c>
      <c r="I379" s="11" t="s">
        <v>53</v>
      </c>
      <c r="J379" s="11" t="s">
        <v>384</v>
      </c>
      <c r="K379" s="61"/>
      <c r="L379" s="11" t="s">
        <v>67</v>
      </c>
      <c r="M379" s="25"/>
      <c r="N379" s="54"/>
      <c r="O379" s="3" t="str">
        <f t="shared" si="77"/>
        <v>A</v>
      </c>
      <c r="P379" s="48">
        <v>79499</v>
      </c>
      <c r="Q379" s="48">
        <v>12361</v>
      </c>
      <c r="R379" s="32"/>
      <c r="S379" s="3" t="str">
        <f t="shared" si="87"/>
        <v>A</v>
      </c>
      <c r="T379" s="48">
        <v>65013</v>
      </c>
      <c r="U379" s="48">
        <v>10297</v>
      </c>
      <c r="V379" s="32"/>
      <c r="W379" s="3" t="str">
        <f t="shared" si="78"/>
        <v>A</v>
      </c>
      <c r="X379" s="48">
        <v>60417</v>
      </c>
      <c r="Y379" s="48">
        <v>9753</v>
      </c>
      <c r="Z379" s="32"/>
      <c r="AA379" s="3" t="str">
        <f t="shared" si="79"/>
        <v>A</v>
      </c>
      <c r="AB379" s="48">
        <v>36884</v>
      </c>
      <c r="AC379" s="48">
        <v>36276</v>
      </c>
      <c r="AD379" s="36"/>
      <c r="AE379" s="54"/>
      <c r="AF379" s="3" t="str">
        <f t="shared" si="80"/>
        <v>A</v>
      </c>
      <c r="AG379" s="48">
        <v>0</v>
      </c>
      <c r="AH379" s="48">
        <v>0</v>
      </c>
      <c r="AI379" s="39"/>
      <c r="AJ379" s="79" t="s">
        <v>1801</v>
      </c>
      <c r="AK379" s="39"/>
      <c r="AL379" s="4">
        <f t="shared" si="85"/>
        <v>241813</v>
      </c>
      <c r="AM379" s="4">
        <f t="shared" si="85"/>
        <v>68687</v>
      </c>
      <c r="AN379" s="4">
        <f t="shared" si="81"/>
        <v>310500</v>
      </c>
      <c r="AO379" s="39"/>
      <c r="AP379" s="8">
        <f t="shared" si="86"/>
        <v>0</v>
      </c>
      <c r="AQ379" s="8">
        <f t="shared" si="86"/>
        <v>0</v>
      </c>
      <c r="AR379" s="8">
        <f t="shared" si="82"/>
        <v>0</v>
      </c>
      <c r="AS379" s="42"/>
      <c r="AT379" s="48">
        <v>241813</v>
      </c>
      <c r="AU379" s="48">
        <v>68687</v>
      </c>
      <c r="AV379" s="4">
        <f t="shared" si="83"/>
        <v>310500</v>
      </c>
      <c r="AW379" s="50" t="str">
        <f t="shared" si="84"/>
        <v/>
      </c>
      <c r="AX379" s="1" t="s">
        <v>1734</v>
      </c>
      <c r="AY379" s="2" t="s">
        <v>1735</v>
      </c>
      <c r="AZ379" s="2">
        <v>164271.12</v>
      </c>
      <c r="BA379" s="73">
        <v>143737.23000000001</v>
      </c>
      <c r="BB379" s="73">
        <v>143737.23000000001</v>
      </c>
      <c r="BC379" s="73">
        <v>164271.12</v>
      </c>
      <c r="BD379" s="73"/>
      <c r="BE379" s="66">
        <v>0</v>
      </c>
      <c r="BF379" s="66">
        <v>0.05</v>
      </c>
      <c r="BG379" s="63">
        <v>45485</v>
      </c>
      <c r="BH379" s="2"/>
      <c r="BI379" s="2"/>
      <c r="BJ379" s="2"/>
      <c r="BK379" s="2"/>
      <c r="BL379" s="1" t="s">
        <v>56</v>
      </c>
    </row>
    <row r="380" spans="1:64" x14ac:dyDescent="0.25">
      <c r="A380" s="56" t="s">
        <v>833</v>
      </c>
      <c r="B380" s="54" t="s">
        <v>949</v>
      </c>
      <c r="C380" s="56" t="s">
        <v>950</v>
      </c>
      <c r="D380" s="16">
        <v>0</v>
      </c>
      <c r="E380" s="17"/>
      <c r="F380" s="2" t="s">
        <v>835</v>
      </c>
      <c r="G380" s="2" t="s">
        <v>836</v>
      </c>
      <c r="H380" s="10" t="s">
        <v>57</v>
      </c>
      <c r="I380" s="11" t="s">
        <v>53</v>
      </c>
      <c r="J380" s="11" t="s">
        <v>384</v>
      </c>
      <c r="K380" s="61"/>
      <c r="L380" s="11" t="s">
        <v>67</v>
      </c>
      <c r="M380" s="25"/>
      <c r="N380" s="54"/>
      <c r="O380" s="3" t="str">
        <f t="shared" si="77"/>
        <v>A</v>
      </c>
      <c r="P380" s="48">
        <v>58435</v>
      </c>
      <c r="Q380" s="48">
        <v>12585</v>
      </c>
      <c r="R380" s="32"/>
      <c r="S380" s="3" t="str">
        <f t="shared" si="87"/>
        <v>A</v>
      </c>
      <c r="T380" s="48">
        <v>51315</v>
      </c>
      <c r="U380" s="48">
        <v>9185</v>
      </c>
      <c r="V380" s="32"/>
      <c r="W380" s="3" t="str">
        <f t="shared" si="78"/>
        <v>A</v>
      </c>
      <c r="X380" s="48">
        <v>47195</v>
      </c>
      <c r="Y380" s="48">
        <v>6925</v>
      </c>
      <c r="Z380" s="32"/>
      <c r="AA380" s="3" t="str">
        <f t="shared" si="79"/>
        <v>A</v>
      </c>
      <c r="AB380" s="48">
        <v>48395</v>
      </c>
      <c r="AC380" s="48">
        <v>8665</v>
      </c>
      <c r="AD380" s="36"/>
      <c r="AE380" s="54"/>
      <c r="AF380" s="3" t="str">
        <f t="shared" si="80"/>
        <v>A</v>
      </c>
      <c r="AG380" s="48">
        <v>0</v>
      </c>
      <c r="AH380" s="48">
        <v>0</v>
      </c>
      <c r="AI380" s="39"/>
      <c r="AJ380" s="79" t="s">
        <v>1801</v>
      </c>
      <c r="AK380" s="39"/>
      <c r="AL380" s="4">
        <f t="shared" si="85"/>
        <v>205340</v>
      </c>
      <c r="AM380" s="4">
        <f t="shared" si="85"/>
        <v>37360</v>
      </c>
      <c r="AN380" s="4">
        <f t="shared" si="81"/>
        <v>242700</v>
      </c>
      <c r="AO380" s="39"/>
      <c r="AP380" s="8">
        <f t="shared" si="86"/>
        <v>0</v>
      </c>
      <c r="AQ380" s="8">
        <f t="shared" si="86"/>
        <v>0</v>
      </c>
      <c r="AR380" s="8">
        <f t="shared" si="82"/>
        <v>0</v>
      </c>
      <c r="AS380" s="42"/>
      <c r="AT380" s="48">
        <v>205340</v>
      </c>
      <c r="AU380" s="48">
        <v>37360</v>
      </c>
      <c r="AV380" s="4">
        <f t="shared" si="83"/>
        <v>242700</v>
      </c>
      <c r="AW380" s="50" t="str">
        <f t="shared" si="84"/>
        <v/>
      </c>
      <c r="AX380" s="1" t="s">
        <v>1734</v>
      </c>
      <c r="AY380" s="2" t="s">
        <v>1735</v>
      </c>
      <c r="AZ380" s="2">
        <v>92618.48</v>
      </c>
      <c r="BA380" s="73">
        <v>81041.17</v>
      </c>
      <c r="BB380" s="73">
        <v>81041.17</v>
      </c>
      <c r="BC380" s="73">
        <v>92618.48</v>
      </c>
      <c r="BD380" s="73"/>
      <c r="BE380" s="66">
        <v>0</v>
      </c>
      <c r="BF380" s="66">
        <v>0.05</v>
      </c>
      <c r="BG380" s="63">
        <v>45485</v>
      </c>
      <c r="BH380" s="2"/>
      <c r="BI380" s="2"/>
      <c r="BJ380" s="2">
        <v>323813</v>
      </c>
      <c r="BK380" s="2">
        <v>35979</v>
      </c>
      <c r="BL380" s="1" t="s">
        <v>56</v>
      </c>
    </row>
    <row r="381" spans="1:64" x14ac:dyDescent="0.25">
      <c r="A381" s="56" t="s">
        <v>839</v>
      </c>
      <c r="B381" s="54" t="s">
        <v>839</v>
      </c>
      <c r="C381" s="56" t="s">
        <v>840</v>
      </c>
      <c r="D381" s="16">
        <v>43691</v>
      </c>
      <c r="E381" s="17"/>
      <c r="F381" s="2" t="s">
        <v>243</v>
      </c>
      <c r="G381" s="2" t="s">
        <v>245</v>
      </c>
      <c r="H381" s="10" t="s">
        <v>57</v>
      </c>
      <c r="I381" s="11" t="s">
        <v>244</v>
      </c>
      <c r="J381" s="11" t="s">
        <v>478</v>
      </c>
      <c r="K381" s="61" t="s">
        <v>479</v>
      </c>
      <c r="L381" s="11" t="s">
        <v>67</v>
      </c>
      <c r="M381" s="25"/>
      <c r="N381" s="54"/>
      <c r="O381" s="3" t="str">
        <f t="shared" si="77"/>
        <v>A</v>
      </c>
      <c r="P381" s="48">
        <v>38830</v>
      </c>
      <c r="Q381" s="48">
        <v>6938</v>
      </c>
      <c r="R381" s="32"/>
      <c r="S381" s="3" t="str">
        <f t="shared" si="87"/>
        <v>A</v>
      </c>
      <c r="T381" s="48">
        <v>39111</v>
      </c>
      <c r="U381" s="48">
        <v>7715</v>
      </c>
      <c r="V381" s="32"/>
      <c r="W381" s="3" t="str">
        <f t="shared" si="78"/>
        <v>A</v>
      </c>
      <c r="X381" s="48">
        <v>30646</v>
      </c>
      <c r="Y381" s="48">
        <v>5924</v>
      </c>
      <c r="Z381" s="32"/>
      <c r="AA381" s="3" t="str">
        <f t="shared" si="79"/>
        <v>A</v>
      </c>
      <c r="AB381" s="48">
        <v>37088</v>
      </c>
      <c r="AC381" s="48">
        <v>6986</v>
      </c>
      <c r="AD381" s="36"/>
      <c r="AE381" s="54"/>
      <c r="AF381" s="3" t="str">
        <f t="shared" si="80"/>
        <v>A</v>
      </c>
      <c r="AG381" s="48">
        <v>0</v>
      </c>
      <c r="AH381" s="48">
        <v>0</v>
      </c>
      <c r="AI381" s="39"/>
      <c r="AJ381" s="79" t="s">
        <v>1801</v>
      </c>
      <c r="AK381" s="39"/>
      <c r="AL381" s="4">
        <f t="shared" si="85"/>
        <v>145675</v>
      </c>
      <c r="AM381" s="4">
        <f t="shared" si="85"/>
        <v>27563</v>
      </c>
      <c r="AN381" s="4">
        <f t="shared" si="81"/>
        <v>173238</v>
      </c>
      <c r="AO381" s="39"/>
      <c r="AP381" s="8">
        <f t="shared" si="86"/>
        <v>0</v>
      </c>
      <c r="AQ381" s="8">
        <f t="shared" si="86"/>
        <v>0</v>
      </c>
      <c r="AR381" s="8">
        <f t="shared" si="82"/>
        <v>0</v>
      </c>
      <c r="AS381" s="42"/>
      <c r="AT381" s="48">
        <v>145675</v>
      </c>
      <c r="AU381" s="48">
        <v>27563</v>
      </c>
      <c r="AV381" s="4">
        <f t="shared" si="83"/>
        <v>173238</v>
      </c>
      <c r="AW381" s="50" t="str">
        <f t="shared" si="84"/>
        <v/>
      </c>
      <c r="AX381" s="1" t="s">
        <v>1639</v>
      </c>
      <c r="AY381" s="2" t="s">
        <v>1640</v>
      </c>
      <c r="AZ381" s="2">
        <v>85240.56</v>
      </c>
      <c r="BA381" s="73">
        <v>74585.490000000005</v>
      </c>
      <c r="BB381" s="73">
        <v>74585.490000000005</v>
      </c>
      <c r="BC381" s="73">
        <v>85240.56</v>
      </c>
      <c r="BD381" s="73"/>
      <c r="BE381" s="66">
        <v>0</v>
      </c>
      <c r="BF381" s="66">
        <v>0.02</v>
      </c>
      <c r="BG381" s="63">
        <v>45518</v>
      </c>
      <c r="BH381" s="2"/>
      <c r="BI381" s="2"/>
      <c r="BJ381" s="2"/>
      <c r="BK381" s="2"/>
      <c r="BL381" s="1" t="s">
        <v>396</v>
      </c>
    </row>
    <row r="382" spans="1:64" x14ac:dyDescent="0.25">
      <c r="A382" s="56" t="s">
        <v>839</v>
      </c>
      <c r="B382" s="54" t="s">
        <v>1100</v>
      </c>
      <c r="C382" s="56" t="s">
        <v>1101</v>
      </c>
      <c r="D382" s="16">
        <v>44886</v>
      </c>
      <c r="E382" s="17"/>
      <c r="F382" s="2" t="s">
        <v>243</v>
      </c>
      <c r="G382" s="2" t="s">
        <v>245</v>
      </c>
      <c r="H382" s="10" t="s">
        <v>57</v>
      </c>
      <c r="I382" s="11" t="s">
        <v>244</v>
      </c>
      <c r="J382" s="11" t="s">
        <v>478</v>
      </c>
      <c r="K382" s="61" t="s">
        <v>479</v>
      </c>
      <c r="L382" s="11" t="s">
        <v>67</v>
      </c>
      <c r="M382" s="25"/>
      <c r="N382" s="54"/>
      <c r="O382" s="3" t="str">
        <f t="shared" si="77"/>
        <v>A</v>
      </c>
      <c r="P382" s="48">
        <v>104731</v>
      </c>
      <c r="Q382" s="48">
        <v>62425</v>
      </c>
      <c r="R382" s="32"/>
      <c r="S382" s="3" t="str">
        <f t="shared" si="87"/>
        <v>A</v>
      </c>
      <c r="T382" s="48">
        <v>106525</v>
      </c>
      <c r="U382" s="48">
        <v>63395</v>
      </c>
      <c r="V382" s="32"/>
      <c r="W382" s="3" t="str">
        <f t="shared" si="78"/>
        <v>A</v>
      </c>
      <c r="X382" s="48">
        <v>75643</v>
      </c>
      <c r="Y382" s="48">
        <v>62230</v>
      </c>
      <c r="Z382" s="32"/>
      <c r="AA382" s="3" t="str">
        <f t="shared" si="79"/>
        <v>A</v>
      </c>
      <c r="AB382" s="48">
        <v>110316</v>
      </c>
      <c r="AC382" s="48">
        <v>64000</v>
      </c>
      <c r="AD382" s="36"/>
      <c r="AE382" s="54"/>
      <c r="AF382" s="3" t="str">
        <f t="shared" si="80"/>
        <v>A</v>
      </c>
      <c r="AG382" s="48">
        <v>0</v>
      </c>
      <c r="AH382" s="48">
        <v>0</v>
      </c>
      <c r="AI382" s="39"/>
      <c r="AJ382" s="79" t="s">
        <v>1801</v>
      </c>
      <c r="AK382" s="39"/>
      <c r="AL382" s="4">
        <f t="shared" si="85"/>
        <v>397215</v>
      </c>
      <c r="AM382" s="4">
        <f t="shared" si="85"/>
        <v>252050</v>
      </c>
      <c r="AN382" s="4">
        <f t="shared" si="81"/>
        <v>649265</v>
      </c>
      <c r="AO382" s="39"/>
      <c r="AP382" s="8">
        <f t="shared" si="86"/>
        <v>0</v>
      </c>
      <c r="AQ382" s="8">
        <f t="shared" si="86"/>
        <v>0</v>
      </c>
      <c r="AR382" s="8">
        <f t="shared" si="82"/>
        <v>0</v>
      </c>
      <c r="AS382" s="42"/>
      <c r="AT382" s="48">
        <v>397215</v>
      </c>
      <c r="AU382" s="48">
        <v>252050</v>
      </c>
      <c r="AV382" s="4">
        <f t="shared" si="83"/>
        <v>649265</v>
      </c>
      <c r="AW382" s="50" t="str">
        <f t="shared" si="84"/>
        <v/>
      </c>
      <c r="AX382" s="1" t="s">
        <v>1639</v>
      </c>
      <c r="AY382" s="2" t="s">
        <v>1640</v>
      </c>
      <c r="AZ382" s="2">
        <v>58896</v>
      </c>
      <c r="BA382" s="73">
        <v>51534</v>
      </c>
      <c r="BB382" s="73">
        <v>51534</v>
      </c>
      <c r="BC382" s="73">
        <v>58896</v>
      </c>
      <c r="BD382" s="73"/>
      <c r="BE382" s="66">
        <v>0</v>
      </c>
      <c r="BF382" s="66">
        <v>0.02</v>
      </c>
      <c r="BG382" s="63">
        <v>44886</v>
      </c>
      <c r="BH382" s="2"/>
      <c r="BI382" s="2"/>
      <c r="BJ382" s="2">
        <v>217844.8</v>
      </c>
      <c r="BK382" s="2">
        <v>48276.62</v>
      </c>
      <c r="BL382" s="1" t="s">
        <v>396</v>
      </c>
    </row>
    <row r="383" spans="1:64" x14ac:dyDescent="0.25">
      <c r="A383" s="56" t="s">
        <v>839</v>
      </c>
      <c r="B383" s="54" t="s">
        <v>1154</v>
      </c>
      <c r="C383" s="56" t="s">
        <v>1155</v>
      </c>
      <c r="D383" s="16">
        <v>0</v>
      </c>
      <c r="E383" s="17"/>
      <c r="F383" s="2" t="s">
        <v>243</v>
      </c>
      <c r="G383" s="2" t="s">
        <v>245</v>
      </c>
      <c r="H383" s="10" t="s">
        <v>57</v>
      </c>
      <c r="I383" s="11" t="s">
        <v>244</v>
      </c>
      <c r="J383" s="11" t="s">
        <v>478</v>
      </c>
      <c r="K383" s="61" t="s">
        <v>479</v>
      </c>
      <c r="L383" s="11" t="s">
        <v>67</v>
      </c>
      <c r="M383" s="25"/>
      <c r="N383" s="54"/>
      <c r="O383" s="3" t="str">
        <f t="shared" si="77"/>
        <v>A</v>
      </c>
      <c r="P383" s="48">
        <v>24036</v>
      </c>
      <c r="Q383" s="48">
        <v>0</v>
      </c>
      <c r="R383" s="32"/>
      <c r="S383" s="3" t="str">
        <f t="shared" si="87"/>
        <v>A</v>
      </c>
      <c r="T383" s="48">
        <v>18618</v>
      </c>
      <c r="U383" s="48"/>
      <c r="V383" s="32"/>
      <c r="W383" s="3" t="str">
        <f t="shared" si="78"/>
        <v>A</v>
      </c>
      <c r="X383" s="48">
        <v>16611</v>
      </c>
      <c r="Y383" s="48"/>
      <c r="Z383" s="32"/>
      <c r="AA383" s="3" t="str">
        <f t="shared" si="79"/>
        <v>A</v>
      </c>
      <c r="AB383" s="48">
        <v>26466</v>
      </c>
      <c r="AC383" s="48"/>
      <c r="AD383" s="36"/>
      <c r="AE383" s="54"/>
      <c r="AF383" s="3" t="str">
        <f t="shared" si="80"/>
        <v>A</v>
      </c>
      <c r="AG383" s="48">
        <v>0</v>
      </c>
      <c r="AH383" s="48">
        <v>0</v>
      </c>
      <c r="AI383" s="39"/>
      <c r="AJ383" s="79" t="s">
        <v>1801</v>
      </c>
      <c r="AK383" s="39"/>
      <c r="AL383" s="4">
        <f t="shared" si="85"/>
        <v>85731</v>
      </c>
      <c r="AM383" s="4">
        <f t="shared" si="85"/>
        <v>0</v>
      </c>
      <c r="AN383" s="4">
        <f t="shared" si="81"/>
        <v>85731</v>
      </c>
      <c r="AO383" s="39"/>
      <c r="AP383" s="8">
        <f t="shared" si="86"/>
        <v>0</v>
      </c>
      <c r="AQ383" s="8">
        <f t="shared" si="86"/>
        <v>0</v>
      </c>
      <c r="AR383" s="8">
        <f t="shared" si="82"/>
        <v>0</v>
      </c>
      <c r="AS383" s="42"/>
      <c r="AT383" s="48">
        <v>85731</v>
      </c>
      <c r="AU383" s="48"/>
      <c r="AV383" s="4">
        <f t="shared" si="83"/>
        <v>85731</v>
      </c>
      <c r="AW383" s="50" t="str">
        <f t="shared" si="84"/>
        <v/>
      </c>
      <c r="AX383" s="1" t="s">
        <v>1639</v>
      </c>
      <c r="AY383" s="2" t="s">
        <v>1640</v>
      </c>
      <c r="AZ383" s="2">
        <v>157489.35999999999</v>
      </c>
      <c r="BA383" s="73">
        <v>137803.19</v>
      </c>
      <c r="BB383" s="73">
        <v>137803.19</v>
      </c>
      <c r="BC383" s="73">
        <v>157489.35999999999</v>
      </c>
      <c r="BD383" s="73"/>
      <c r="BE383" s="66">
        <v>0</v>
      </c>
      <c r="BF383" s="66">
        <v>0.02</v>
      </c>
      <c r="BG383" s="63">
        <v>45122</v>
      </c>
      <c r="BH383" s="2"/>
      <c r="BI383" s="2"/>
      <c r="BJ383" s="2">
        <v>568024.82999999996</v>
      </c>
      <c r="BK383" s="2"/>
      <c r="BL383" s="1" t="s">
        <v>396</v>
      </c>
    </row>
    <row r="384" spans="1:64" x14ac:dyDescent="0.25">
      <c r="A384" s="56" t="s">
        <v>841</v>
      </c>
      <c r="B384" s="54" t="s">
        <v>841</v>
      </c>
      <c r="C384" s="56" t="s">
        <v>842</v>
      </c>
      <c r="D384" s="16">
        <v>43644</v>
      </c>
      <c r="E384" s="17"/>
      <c r="F384" s="2" t="s">
        <v>52</v>
      </c>
      <c r="G384" s="2" t="s">
        <v>55</v>
      </c>
      <c r="H384" s="10" t="s">
        <v>57</v>
      </c>
      <c r="I384" s="11" t="s">
        <v>54</v>
      </c>
      <c r="J384" s="11" t="s">
        <v>636</v>
      </c>
      <c r="K384" s="61" t="s">
        <v>637</v>
      </c>
      <c r="L384" s="11" t="s">
        <v>67</v>
      </c>
      <c r="M384" s="25"/>
      <c r="N384" s="54"/>
      <c r="O384" s="3" t="str">
        <f t="shared" si="77"/>
        <v>A</v>
      </c>
      <c r="P384" s="48">
        <v>23479</v>
      </c>
      <c r="Q384" s="48">
        <v>6518</v>
      </c>
      <c r="R384" s="32"/>
      <c r="S384" s="3" t="str">
        <f t="shared" si="87"/>
        <v>A</v>
      </c>
      <c r="T384" s="48">
        <v>18563</v>
      </c>
      <c r="U384" s="48">
        <v>3952</v>
      </c>
      <c r="V384" s="32"/>
      <c r="W384" s="3" t="str">
        <f t="shared" si="78"/>
        <v>A</v>
      </c>
      <c r="X384" s="48">
        <v>17191</v>
      </c>
      <c r="Y384" s="48">
        <v>5330</v>
      </c>
      <c r="Z384" s="32"/>
      <c r="AA384" s="3" t="str">
        <f t="shared" si="79"/>
        <v>A</v>
      </c>
      <c r="AB384" s="48">
        <v>17986</v>
      </c>
      <c r="AC384" s="48">
        <v>6044</v>
      </c>
      <c r="AD384" s="36"/>
      <c r="AE384" s="54"/>
      <c r="AF384" s="3" t="str">
        <f t="shared" si="80"/>
        <v>A</v>
      </c>
      <c r="AG384" s="48">
        <v>0</v>
      </c>
      <c r="AH384" s="48">
        <v>0</v>
      </c>
      <c r="AI384" s="39"/>
      <c r="AJ384" s="79" t="s">
        <v>1801</v>
      </c>
      <c r="AK384" s="39"/>
      <c r="AL384" s="4">
        <f t="shared" si="85"/>
        <v>77219</v>
      </c>
      <c r="AM384" s="4">
        <f t="shared" si="85"/>
        <v>21844</v>
      </c>
      <c r="AN384" s="4">
        <f t="shared" si="81"/>
        <v>99063</v>
      </c>
      <c r="AO384" s="39"/>
      <c r="AP384" s="8">
        <f t="shared" si="86"/>
        <v>0</v>
      </c>
      <c r="AQ384" s="8">
        <f t="shared" si="86"/>
        <v>0</v>
      </c>
      <c r="AR384" s="8">
        <f t="shared" si="82"/>
        <v>0</v>
      </c>
      <c r="AS384" s="42"/>
      <c r="AT384" s="48">
        <v>77219</v>
      </c>
      <c r="AU384" s="48">
        <v>21844</v>
      </c>
      <c r="AV384" s="4">
        <f t="shared" si="83"/>
        <v>99063</v>
      </c>
      <c r="AW384" s="50" t="str">
        <f t="shared" si="84"/>
        <v/>
      </c>
      <c r="AX384" s="1" t="s">
        <v>1639</v>
      </c>
      <c r="AY384" s="2" t="s">
        <v>1640</v>
      </c>
      <c r="AZ384" s="2">
        <v>26158.560000000001</v>
      </c>
      <c r="BA384" s="73">
        <v>22888.74</v>
      </c>
      <c r="BB384" s="73">
        <v>22888.74</v>
      </c>
      <c r="BC384" s="73">
        <v>26158.560000000001</v>
      </c>
      <c r="BD384" s="73"/>
      <c r="BE384" s="66">
        <v>0</v>
      </c>
      <c r="BF384" s="66">
        <v>0.02</v>
      </c>
      <c r="BG384" s="63">
        <v>44903</v>
      </c>
      <c r="BH384" s="2"/>
      <c r="BI384" s="2"/>
      <c r="BJ384" s="2"/>
      <c r="BK384" s="2"/>
      <c r="BL384" s="1" t="s">
        <v>56</v>
      </c>
    </row>
    <row r="385" spans="1:64" x14ac:dyDescent="0.25">
      <c r="A385" s="56" t="s">
        <v>851</v>
      </c>
      <c r="B385" s="54" t="s">
        <v>851</v>
      </c>
      <c r="C385" s="56" t="s">
        <v>852</v>
      </c>
      <c r="D385" s="16">
        <v>43819</v>
      </c>
      <c r="E385" s="17"/>
      <c r="F385" s="2" t="s">
        <v>52</v>
      </c>
      <c r="G385" s="2" t="s">
        <v>55</v>
      </c>
      <c r="H385" s="10" t="s">
        <v>57</v>
      </c>
      <c r="I385" s="11" t="s">
        <v>54</v>
      </c>
      <c r="J385" s="11" t="s">
        <v>131</v>
      </c>
      <c r="K385" s="61" t="s">
        <v>132</v>
      </c>
      <c r="L385" s="11" t="s">
        <v>67</v>
      </c>
      <c r="M385" s="25"/>
      <c r="N385" s="54"/>
      <c r="O385" s="3" t="str">
        <f t="shared" si="77"/>
        <v>A</v>
      </c>
      <c r="P385" s="48">
        <v>111250</v>
      </c>
      <c r="Q385" s="48">
        <v>34939</v>
      </c>
      <c r="R385" s="32"/>
      <c r="S385" s="3" t="str">
        <f t="shared" si="87"/>
        <v>A</v>
      </c>
      <c r="T385" s="48">
        <v>104151</v>
      </c>
      <c r="U385" s="48">
        <v>28298</v>
      </c>
      <c r="V385" s="32"/>
      <c r="W385" s="3" t="str">
        <f t="shared" si="78"/>
        <v>A</v>
      </c>
      <c r="X385" s="48">
        <v>105596.41</v>
      </c>
      <c r="Y385" s="48">
        <v>30066.6</v>
      </c>
      <c r="Z385" s="32"/>
      <c r="AA385" s="3" t="str">
        <f t="shared" si="79"/>
        <v>A</v>
      </c>
      <c r="AB385" s="48">
        <v>109082</v>
      </c>
      <c r="AC385" s="48">
        <v>29039</v>
      </c>
      <c r="AD385" s="36"/>
      <c r="AE385" s="54"/>
      <c r="AF385" s="3" t="str">
        <f t="shared" si="80"/>
        <v>A</v>
      </c>
      <c r="AG385" s="48">
        <v>0</v>
      </c>
      <c r="AH385" s="48">
        <v>0</v>
      </c>
      <c r="AI385" s="39"/>
      <c r="AJ385" s="79" t="s">
        <v>1801</v>
      </c>
      <c r="AK385" s="39"/>
      <c r="AL385" s="4">
        <f t="shared" si="85"/>
        <v>430079.41000000003</v>
      </c>
      <c r="AM385" s="4">
        <f t="shared" si="85"/>
        <v>122342.6</v>
      </c>
      <c r="AN385" s="4">
        <f t="shared" si="81"/>
        <v>552422.01</v>
      </c>
      <c r="AO385" s="39"/>
      <c r="AP385" s="8">
        <f t="shared" si="86"/>
        <v>0</v>
      </c>
      <c r="AQ385" s="8">
        <f t="shared" si="86"/>
        <v>0</v>
      </c>
      <c r="AR385" s="8">
        <f t="shared" si="82"/>
        <v>0</v>
      </c>
      <c r="AS385" s="42"/>
      <c r="AT385" s="48">
        <v>430079.41000000003</v>
      </c>
      <c r="AU385" s="48">
        <v>122342.6</v>
      </c>
      <c r="AV385" s="4">
        <f t="shared" si="83"/>
        <v>552422.01</v>
      </c>
      <c r="AW385" s="50" t="str">
        <f t="shared" si="84"/>
        <v/>
      </c>
      <c r="AX385" s="1" t="s">
        <v>1639</v>
      </c>
      <c r="AY385" s="2" t="s">
        <v>1640</v>
      </c>
      <c r="AZ385" s="2">
        <v>118075.12</v>
      </c>
      <c r="BA385" s="73">
        <v>103315.73</v>
      </c>
      <c r="BB385" s="73">
        <v>103315.73</v>
      </c>
      <c r="BC385" s="73">
        <v>118075.12</v>
      </c>
      <c r="BD385" s="73"/>
      <c r="BE385" s="66">
        <v>0</v>
      </c>
      <c r="BF385" s="66">
        <v>0.02</v>
      </c>
      <c r="BG385" s="63">
        <v>45638</v>
      </c>
      <c r="BH385" s="2"/>
      <c r="BI385" s="2"/>
      <c r="BJ385" s="2"/>
      <c r="BK385" s="2"/>
      <c r="BL385" s="1" t="s">
        <v>56</v>
      </c>
    </row>
    <row r="386" spans="1:64" x14ac:dyDescent="0.25">
      <c r="A386" s="56" t="s">
        <v>853</v>
      </c>
      <c r="B386" s="54" t="s">
        <v>853</v>
      </c>
      <c r="C386" s="56" t="s">
        <v>854</v>
      </c>
      <c r="D386" s="16">
        <v>43776</v>
      </c>
      <c r="E386" s="17">
        <v>45603</v>
      </c>
      <c r="F386" s="2" t="s">
        <v>243</v>
      </c>
      <c r="G386" s="2" t="s">
        <v>245</v>
      </c>
      <c r="H386" s="10" t="s">
        <v>57</v>
      </c>
      <c r="I386" s="11" t="s">
        <v>244</v>
      </c>
      <c r="J386" s="11" t="s">
        <v>478</v>
      </c>
      <c r="K386" s="61" t="s">
        <v>479</v>
      </c>
      <c r="L386" s="11" t="s">
        <v>67</v>
      </c>
      <c r="M386" s="25"/>
      <c r="N386" s="54"/>
      <c r="O386" s="3" t="str">
        <f t="shared" ref="O386:O394" si="88">IF($A386="","",IF(P386=0,"A",IF(P386=AZ386,"E","A")))</f>
        <v>A</v>
      </c>
      <c r="P386" s="48"/>
      <c r="Q386" s="48"/>
      <c r="R386" s="32"/>
      <c r="S386" s="3" t="str">
        <f t="shared" si="87"/>
        <v>A</v>
      </c>
      <c r="T386" s="48"/>
      <c r="U386" s="48"/>
      <c r="V386" s="32"/>
      <c r="W386" s="3" t="str">
        <f t="shared" si="78"/>
        <v>A</v>
      </c>
      <c r="X386" s="48"/>
      <c r="Y386" s="48"/>
      <c r="Z386" s="32"/>
      <c r="AA386" s="3" t="str">
        <f t="shared" si="79"/>
        <v>A</v>
      </c>
      <c r="AB386" s="48"/>
      <c r="AC386" s="48"/>
      <c r="AD386" s="36"/>
      <c r="AE386" s="54"/>
      <c r="AF386" s="3" t="str">
        <f t="shared" si="80"/>
        <v>A</v>
      </c>
      <c r="AG386" s="48"/>
      <c r="AH386" s="48"/>
      <c r="AI386" s="39"/>
      <c r="AJ386" s="79" t="s">
        <v>1801</v>
      </c>
      <c r="AK386" s="39"/>
      <c r="AL386" s="4">
        <f t="shared" si="85"/>
        <v>0</v>
      </c>
      <c r="AM386" s="4">
        <f t="shared" si="85"/>
        <v>0</v>
      </c>
      <c r="AN386" s="4">
        <f t="shared" si="81"/>
        <v>0</v>
      </c>
      <c r="AO386" s="39"/>
      <c r="AP386" s="8">
        <f t="shared" si="86"/>
        <v>0</v>
      </c>
      <c r="AQ386" s="8">
        <f t="shared" si="86"/>
        <v>0</v>
      </c>
      <c r="AR386" s="8">
        <f t="shared" si="82"/>
        <v>0</v>
      </c>
      <c r="AS386" s="42"/>
      <c r="AT386" s="48"/>
      <c r="AU386" s="48"/>
      <c r="AV386" s="4">
        <f t="shared" si="83"/>
        <v>0</v>
      </c>
      <c r="AW386" s="50" t="str">
        <f t="shared" si="84"/>
        <v/>
      </c>
      <c r="AX386" s="1" t="s">
        <v>1639</v>
      </c>
      <c r="AY386" s="2" t="s">
        <v>1640</v>
      </c>
      <c r="AZ386" s="2"/>
      <c r="BA386" s="73"/>
      <c r="BB386" s="73"/>
      <c r="BC386" s="73"/>
      <c r="BD386" s="73"/>
      <c r="BE386" s="66">
        <v>0</v>
      </c>
      <c r="BF386" s="66">
        <v>0.02</v>
      </c>
      <c r="BG386" s="63">
        <v>45595</v>
      </c>
      <c r="BH386" s="74">
        <v>45603</v>
      </c>
      <c r="BI386" s="2"/>
      <c r="BJ386" s="2"/>
      <c r="BK386" s="2"/>
      <c r="BL386" s="1" t="s">
        <v>396</v>
      </c>
    </row>
    <row r="387" spans="1:64" x14ac:dyDescent="0.25">
      <c r="A387" s="56" t="s">
        <v>855</v>
      </c>
      <c r="B387" s="54" t="s">
        <v>855</v>
      </c>
      <c r="C387" s="56" t="s">
        <v>856</v>
      </c>
      <c r="D387" s="16">
        <v>43754</v>
      </c>
      <c r="E387" s="17"/>
      <c r="F387" s="2" t="s">
        <v>52</v>
      </c>
      <c r="G387" s="2" t="s">
        <v>55</v>
      </c>
      <c r="H387" s="10" t="s">
        <v>57</v>
      </c>
      <c r="I387" s="11" t="s">
        <v>54</v>
      </c>
      <c r="J387" s="11" t="s">
        <v>620</v>
      </c>
      <c r="K387" s="61" t="s">
        <v>621</v>
      </c>
      <c r="L387" s="11" t="s">
        <v>67</v>
      </c>
      <c r="M387" s="25"/>
      <c r="N387" s="54"/>
      <c r="O387" s="3" t="str">
        <f t="shared" si="88"/>
        <v>A</v>
      </c>
      <c r="P387" s="48">
        <v>39356</v>
      </c>
      <c r="Q387" s="48">
        <v>14839</v>
      </c>
      <c r="R387" s="32"/>
      <c r="S387" s="3" t="str">
        <f t="shared" si="87"/>
        <v>A</v>
      </c>
      <c r="T387" s="48">
        <v>33292</v>
      </c>
      <c r="U387" s="48">
        <v>12095</v>
      </c>
      <c r="V387" s="32"/>
      <c r="W387" s="3" t="str">
        <f t="shared" si="78"/>
        <v>A</v>
      </c>
      <c r="X387" s="48">
        <v>33808</v>
      </c>
      <c r="Y387" s="48">
        <v>10710</v>
      </c>
      <c r="Z387" s="32"/>
      <c r="AA387" s="3" t="str">
        <f t="shared" si="79"/>
        <v>A</v>
      </c>
      <c r="AB387" s="48">
        <v>35286</v>
      </c>
      <c r="AC387" s="48">
        <v>11764</v>
      </c>
      <c r="AD387" s="36"/>
      <c r="AE387" s="54"/>
      <c r="AF387" s="3" t="str">
        <f t="shared" si="80"/>
        <v>A</v>
      </c>
      <c r="AG387" s="48">
        <v>0</v>
      </c>
      <c r="AH387" s="48">
        <v>0</v>
      </c>
      <c r="AI387" s="39"/>
      <c r="AJ387" s="79" t="s">
        <v>1801</v>
      </c>
      <c r="AK387" s="39"/>
      <c r="AL387" s="4">
        <f t="shared" si="85"/>
        <v>141742</v>
      </c>
      <c r="AM387" s="4">
        <f t="shared" si="85"/>
        <v>49408</v>
      </c>
      <c r="AN387" s="4">
        <f t="shared" si="81"/>
        <v>191150</v>
      </c>
      <c r="AO387" s="39"/>
      <c r="AP387" s="8">
        <f t="shared" si="86"/>
        <v>0</v>
      </c>
      <c r="AQ387" s="8">
        <f t="shared" si="86"/>
        <v>0</v>
      </c>
      <c r="AR387" s="8">
        <f t="shared" si="82"/>
        <v>0</v>
      </c>
      <c r="AS387" s="42"/>
      <c r="AT387" s="48">
        <v>141742</v>
      </c>
      <c r="AU387" s="48">
        <v>49408</v>
      </c>
      <c r="AV387" s="4">
        <f t="shared" si="83"/>
        <v>191150</v>
      </c>
      <c r="AW387" s="50" t="str">
        <f t="shared" si="84"/>
        <v/>
      </c>
      <c r="AX387" s="1" t="s">
        <v>1639</v>
      </c>
      <c r="AY387" s="2" t="s">
        <v>1640</v>
      </c>
      <c r="AZ387" s="2">
        <v>81024.88</v>
      </c>
      <c r="BA387" s="73">
        <v>70896.77</v>
      </c>
      <c r="BB387" s="73">
        <v>70896.77</v>
      </c>
      <c r="BC387" s="73">
        <v>81024.88</v>
      </c>
      <c r="BD387" s="73"/>
      <c r="BE387" s="66">
        <v>0</v>
      </c>
      <c r="BF387" s="66">
        <v>0.02</v>
      </c>
      <c r="BG387" s="63">
        <v>45561</v>
      </c>
      <c r="BH387" s="2"/>
      <c r="BI387" s="2"/>
      <c r="BJ387" s="2"/>
      <c r="BK387" s="2"/>
      <c r="BL387" s="1" t="s">
        <v>56</v>
      </c>
    </row>
    <row r="388" spans="1:64" x14ac:dyDescent="0.25">
      <c r="A388" s="56" t="s">
        <v>857</v>
      </c>
      <c r="B388" s="54" t="s">
        <v>857</v>
      </c>
      <c r="C388" s="56" t="s">
        <v>858</v>
      </c>
      <c r="D388" s="16">
        <v>41426</v>
      </c>
      <c r="E388" s="17"/>
      <c r="F388" s="2" t="s">
        <v>859</v>
      </c>
      <c r="G388" s="2" t="s">
        <v>860</v>
      </c>
      <c r="H388" s="10" t="s">
        <v>98</v>
      </c>
      <c r="I388" s="11" t="s">
        <v>53</v>
      </c>
      <c r="J388" s="11" t="s">
        <v>224</v>
      </c>
      <c r="K388" s="61"/>
      <c r="L388" s="11" t="s">
        <v>67</v>
      </c>
      <c r="M388" s="25"/>
      <c r="N388" s="54"/>
      <c r="O388" s="3" t="str">
        <f t="shared" si="88"/>
        <v>A</v>
      </c>
      <c r="P388" s="48">
        <v>93056</v>
      </c>
      <c r="Q388" s="48">
        <v>6925</v>
      </c>
      <c r="R388" s="32"/>
      <c r="S388" s="3" t="str">
        <f t="shared" si="87"/>
        <v>A</v>
      </c>
      <c r="T388" s="48">
        <v>86651</v>
      </c>
      <c r="U388" s="48">
        <v>6340</v>
      </c>
      <c r="V388" s="32"/>
      <c r="W388" s="3" t="str">
        <f t="shared" si="78"/>
        <v>A</v>
      </c>
      <c r="X388" s="48">
        <v>77111</v>
      </c>
      <c r="Y388" s="48">
        <v>4310</v>
      </c>
      <c r="Z388" s="32"/>
      <c r="AA388" s="3" t="str">
        <f t="shared" si="79"/>
        <v>A</v>
      </c>
      <c r="AB388" s="48">
        <v>92614</v>
      </c>
      <c r="AC388" s="48">
        <v>5380</v>
      </c>
      <c r="AD388" s="36"/>
      <c r="AE388" s="54"/>
      <c r="AF388" s="3" t="str">
        <f t="shared" si="80"/>
        <v>A</v>
      </c>
      <c r="AG388" s="48">
        <v>0</v>
      </c>
      <c r="AH388" s="48">
        <v>0</v>
      </c>
      <c r="AI388" s="39"/>
      <c r="AJ388" s="79" t="s">
        <v>1801</v>
      </c>
      <c r="AK388" s="39"/>
      <c r="AL388" s="4">
        <f t="shared" si="85"/>
        <v>349432</v>
      </c>
      <c r="AM388" s="4">
        <f t="shared" si="85"/>
        <v>22955</v>
      </c>
      <c r="AN388" s="4">
        <f t="shared" si="81"/>
        <v>372387</v>
      </c>
      <c r="AO388" s="39"/>
      <c r="AP388" s="8">
        <f t="shared" si="86"/>
        <v>0</v>
      </c>
      <c r="AQ388" s="8">
        <f t="shared" si="86"/>
        <v>0</v>
      </c>
      <c r="AR388" s="8">
        <f t="shared" si="82"/>
        <v>0</v>
      </c>
      <c r="AS388" s="42"/>
      <c r="AT388" s="48">
        <v>349432</v>
      </c>
      <c r="AU388" s="48">
        <v>22955</v>
      </c>
      <c r="AV388" s="4">
        <f t="shared" si="83"/>
        <v>372387</v>
      </c>
      <c r="AW388" s="50" t="str">
        <f t="shared" si="84"/>
        <v/>
      </c>
      <c r="AX388" s="1" t="s">
        <v>1736</v>
      </c>
      <c r="AY388" s="2" t="s">
        <v>1737</v>
      </c>
      <c r="AZ388" s="2">
        <v>69575.199999999997</v>
      </c>
      <c r="BA388" s="73">
        <v>60878.3</v>
      </c>
      <c r="BB388" s="73">
        <v>60878.3</v>
      </c>
      <c r="BC388" s="73">
        <v>69575.199999999997</v>
      </c>
      <c r="BD388" s="73"/>
      <c r="BE388" s="66">
        <v>4.4999999999999998E-2</v>
      </c>
      <c r="BF388" s="66">
        <v>0.05</v>
      </c>
      <c r="BG388" s="63">
        <v>45067</v>
      </c>
      <c r="BH388" s="2"/>
      <c r="BI388" s="2"/>
      <c r="BJ388" s="2"/>
      <c r="BK388" s="2"/>
      <c r="BL388" s="1" t="s">
        <v>97</v>
      </c>
    </row>
    <row r="389" spans="1:64" x14ac:dyDescent="0.25">
      <c r="A389" s="56" t="s">
        <v>857</v>
      </c>
      <c r="B389" s="54" t="s">
        <v>927</v>
      </c>
      <c r="C389" s="56" t="s">
        <v>928</v>
      </c>
      <c r="D389" s="16">
        <v>0</v>
      </c>
      <c r="E389" s="17"/>
      <c r="F389" s="2" t="s">
        <v>859</v>
      </c>
      <c r="G389" s="2" t="s">
        <v>860</v>
      </c>
      <c r="H389" s="10" t="s">
        <v>98</v>
      </c>
      <c r="I389" s="11" t="s">
        <v>53</v>
      </c>
      <c r="J389" s="11" t="s">
        <v>224</v>
      </c>
      <c r="K389" s="61"/>
      <c r="L389" s="11" t="s">
        <v>67</v>
      </c>
      <c r="M389" s="25"/>
      <c r="N389" s="54"/>
      <c r="O389" s="3" t="str">
        <f t="shared" si="88"/>
        <v>A</v>
      </c>
      <c r="P389" s="48">
        <v>115742</v>
      </c>
      <c r="Q389" s="48">
        <v>0</v>
      </c>
      <c r="R389" s="32"/>
      <c r="S389" s="3" t="str">
        <f t="shared" si="87"/>
        <v>A</v>
      </c>
      <c r="T389" s="48">
        <v>126656</v>
      </c>
      <c r="U389" s="48"/>
      <c r="V389" s="32"/>
      <c r="W389" s="3" t="str">
        <f t="shared" si="78"/>
        <v>A</v>
      </c>
      <c r="X389" s="48">
        <v>106476</v>
      </c>
      <c r="Y389" s="48"/>
      <c r="Z389" s="32"/>
      <c r="AA389" s="3" t="str">
        <f t="shared" si="79"/>
        <v>A</v>
      </c>
      <c r="AB389" s="48">
        <v>112409</v>
      </c>
      <c r="AC389" s="48"/>
      <c r="AD389" s="36"/>
      <c r="AE389" s="54"/>
      <c r="AF389" s="3" t="str">
        <f t="shared" si="80"/>
        <v>A</v>
      </c>
      <c r="AG389" s="48">
        <v>0</v>
      </c>
      <c r="AH389" s="48">
        <v>0</v>
      </c>
      <c r="AI389" s="39"/>
      <c r="AJ389" s="79" t="s">
        <v>1801</v>
      </c>
      <c r="AK389" s="39"/>
      <c r="AL389" s="4">
        <f t="shared" si="85"/>
        <v>461283</v>
      </c>
      <c r="AM389" s="4">
        <f t="shared" si="85"/>
        <v>0</v>
      </c>
      <c r="AN389" s="4">
        <f t="shared" si="81"/>
        <v>461283</v>
      </c>
      <c r="AO389" s="39"/>
      <c r="AP389" s="8">
        <f t="shared" si="86"/>
        <v>0</v>
      </c>
      <c r="AQ389" s="8">
        <f t="shared" si="86"/>
        <v>0</v>
      </c>
      <c r="AR389" s="8">
        <f t="shared" si="82"/>
        <v>0</v>
      </c>
      <c r="AS389" s="42"/>
      <c r="AT389" s="48">
        <v>461283</v>
      </c>
      <c r="AU389" s="48"/>
      <c r="AV389" s="4">
        <f t="shared" si="83"/>
        <v>461283</v>
      </c>
      <c r="AW389" s="50" t="str">
        <f t="shared" si="84"/>
        <v/>
      </c>
      <c r="AX389" s="1" t="s">
        <v>1736</v>
      </c>
      <c r="AY389" s="2" t="s">
        <v>1737</v>
      </c>
      <c r="AZ389" s="2">
        <v>39312.080000000002</v>
      </c>
      <c r="BA389" s="73">
        <v>34398.07</v>
      </c>
      <c r="BB389" s="73">
        <v>34398.07</v>
      </c>
      <c r="BC389" s="73">
        <v>39312.080000000002</v>
      </c>
      <c r="BD389" s="73"/>
      <c r="BE389" s="66">
        <v>0.05</v>
      </c>
      <c r="BF389" s="66">
        <v>0.05</v>
      </c>
      <c r="BG389" s="63">
        <v>45067</v>
      </c>
      <c r="BH389" s="2"/>
      <c r="BI389" s="2"/>
      <c r="BJ389" s="2">
        <v>146410.71</v>
      </c>
      <c r="BK389" s="2">
        <v>18301.34</v>
      </c>
      <c r="BL389" s="1" t="s">
        <v>97</v>
      </c>
    </row>
    <row r="390" spans="1:64" x14ac:dyDescent="0.25">
      <c r="A390" s="56" t="s">
        <v>857</v>
      </c>
      <c r="B390" s="54" t="s">
        <v>972</v>
      </c>
      <c r="C390" s="56" t="s">
        <v>973</v>
      </c>
      <c r="D390" s="16">
        <v>0</v>
      </c>
      <c r="E390" s="17"/>
      <c r="F390" s="2" t="s">
        <v>859</v>
      </c>
      <c r="G390" s="2" t="s">
        <v>860</v>
      </c>
      <c r="H390" s="10" t="s">
        <v>98</v>
      </c>
      <c r="I390" s="11" t="s">
        <v>53</v>
      </c>
      <c r="J390" s="11" t="s">
        <v>224</v>
      </c>
      <c r="K390" s="61"/>
      <c r="L390" s="11" t="s">
        <v>67</v>
      </c>
      <c r="M390" s="25"/>
      <c r="N390" s="54"/>
      <c r="O390" s="3" t="str">
        <f t="shared" si="88"/>
        <v>A</v>
      </c>
      <c r="P390" s="48">
        <v>82762</v>
      </c>
      <c r="Q390" s="48">
        <v>0</v>
      </c>
      <c r="R390" s="32"/>
      <c r="S390" s="3" t="str">
        <f t="shared" si="87"/>
        <v>A</v>
      </c>
      <c r="T390" s="48">
        <v>84409</v>
      </c>
      <c r="U390" s="48"/>
      <c r="V390" s="32"/>
      <c r="W390" s="3" t="str">
        <f t="shared" si="78"/>
        <v>A</v>
      </c>
      <c r="X390" s="48">
        <v>79213</v>
      </c>
      <c r="Y390" s="48"/>
      <c r="Z390" s="32"/>
      <c r="AA390" s="3" t="str">
        <f t="shared" si="79"/>
        <v>A</v>
      </c>
      <c r="AB390" s="48">
        <v>90750</v>
      </c>
      <c r="AC390" s="48"/>
      <c r="AD390" s="36"/>
      <c r="AE390" s="54"/>
      <c r="AF390" s="3" t="str">
        <f t="shared" si="80"/>
        <v>A</v>
      </c>
      <c r="AG390" s="48">
        <v>0</v>
      </c>
      <c r="AH390" s="48">
        <v>0</v>
      </c>
      <c r="AI390" s="39"/>
      <c r="AJ390" s="79" t="s">
        <v>1801</v>
      </c>
      <c r="AK390" s="39"/>
      <c r="AL390" s="4">
        <f t="shared" si="85"/>
        <v>337134</v>
      </c>
      <c r="AM390" s="4">
        <f t="shared" si="85"/>
        <v>0</v>
      </c>
      <c r="AN390" s="4">
        <f t="shared" si="81"/>
        <v>337134</v>
      </c>
      <c r="AO390" s="39"/>
      <c r="AP390" s="8">
        <f t="shared" si="86"/>
        <v>0</v>
      </c>
      <c r="AQ390" s="8">
        <f t="shared" si="86"/>
        <v>0</v>
      </c>
      <c r="AR390" s="8">
        <f t="shared" si="82"/>
        <v>0</v>
      </c>
      <c r="AS390" s="42"/>
      <c r="AT390" s="48">
        <v>337134</v>
      </c>
      <c r="AU390" s="48"/>
      <c r="AV390" s="4">
        <f t="shared" si="83"/>
        <v>337134</v>
      </c>
      <c r="AW390" s="50" t="str">
        <f t="shared" si="84"/>
        <v/>
      </c>
      <c r="AX390" s="1" t="s">
        <v>1736</v>
      </c>
      <c r="AY390" s="2" t="s">
        <v>1737</v>
      </c>
      <c r="AZ390" s="2">
        <v>52856.4</v>
      </c>
      <c r="BA390" s="73">
        <v>46249.35</v>
      </c>
      <c r="BB390" s="73">
        <v>46249.35</v>
      </c>
      <c r="BC390" s="73">
        <v>52856.4</v>
      </c>
      <c r="BD390" s="73"/>
      <c r="BE390" s="66">
        <v>0.05</v>
      </c>
      <c r="BF390" s="66">
        <v>0.05</v>
      </c>
      <c r="BG390" s="63">
        <v>45067</v>
      </c>
      <c r="BH390" s="2"/>
      <c r="BI390" s="2"/>
      <c r="BJ390" s="2">
        <v>189000</v>
      </c>
      <c r="BK390" s="2"/>
      <c r="BL390" s="1" t="s">
        <v>97</v>
      </c>
    </row>
    <row r="391" spans="1:64" x14ac:dyDescent="0.25">
      <c r="A391" s="56" t="s">
        <v>857</v>
      </c>
      <c r="B391" s="54" t="s">
        <v>978</v>
      </c>
      <c r="C391" s="56" t="s">
        <v>979</v>
      </c>
      <c r="D391" s="16">
        <v>0</v>
      </c>
      <c r="E391" s="17"/>
      <c r="F391" s="2" t="s">
        <v>859</v>
      </c>
      <c r="G391" s="2" t="s">
        <v>860</v>
      </c>
      <c r="H391" s="10" t="s">
        <v>98</v>
      </c>
      <c r="I391" s="11" t="s">
        <v>53</v>
      </c>
      <c r="J391" s="11" t="s">
        <v>224</v>
      </c>
      <c r="K391" s="61"/>
      <c r="L391" s="11" t="s">
        <v>67</v>
      </c>
      <c r="M391" s="25"/>
      <c r="N391" s="54"/>
      <c r="O391" s="3" t="str">
        <f t="shared" si="88"/>
        <v>A</v>
      </c>
      <c r="P391" s="48">
        <v>53829</v>
      </c>
      <c r="Q391" s="48">
        <v>1375</v>
      </c>
      <c r="R391" s="32"/>
      <c r="S391" s="3" t="str">
        <f t="shared" si="87"/>
        <v>A</v>
      </c>
      <c r="T391" s="48">
        <v>42762</v>
      </c>
      <c r="U391" s="48">
        <v>550</v>
      </c>
      <c r="V391" s="32"/>
      <c r="W391" s="3" t="str">
        <f t="shared" si="78"/>
        <v>A</v>
      </c>
      <c r="X391" s="48">
        <v>31594</v>
      </c>
      <c r="Y391" s="48">
        <v>1550</v>
      </c>
      <c r="Z391" s="32"/>
      <c r="AA391" s="3" t="str">
        <f t="shared" si="79"/>
        <v>A</v>
      </c>
      <c r="AB391" s="48">
        <v>44068</v>
      </c>
      <c r="AC391" s="48">
        <v>3775</v>
      </c>
      <c r="AD391" s="36"/>
      <c r="AE391" s="54"/>
      <c r="AF391" s="3" t="str">
        <f t="shared" si="80"/>
        <v>A</v>
      </c>
      <c r="AG391" s="48">
        <v>0</v>
      </c>
      <c r="AH391" s="48">
        <v>0</v>
      </c>
      <c r="AI391" s="39"/>
      <c r="AJ391" s="79" t="s">
        <v>1801</v>
      </c>
      <c r="AK391" s="39"/>
      <c r="AL391" s="4">
        <f t="shared" si="85"/>
        <v>172253</v>
      </c>
      <c r="AM391" s="4">
        <f t="shared" si="85"/>
        <v>7250</v>
      </c>
      <c r="AN391" s="4">
        <f t="shared" si="81"/>
        <v>179503</v>
      </c>
      <c r="AO391" s="39"/>
      <c r="AP391" s="8">
        <f t="shared" si="86"/>
        <v>0</v>
      </c>
      <c r="AQ391" s="8">
        <f t="shared" si="86"/>
        <v>0</v>
      </c>
      <c r="AR391" s="8">
        <f t="shared" si="82"/>
        <v>0</v>
      </c>
      <c r="AS391" s="42"/>
      <c r="AT391" s="48">
        <v>172253</v>
      </c>
      <c r="AU391" s="48">
        <v>7250</v>
      </c>
      <c r="AV391" s="4">
        <f t="shared" si="83"/>
        <v>179503</v>
      </c>
      <c r="AW391" s="50" t="str">
        <f t="shared" si="84"/>
        <v/>
      </c>
      <c r="AX391" s="1" t="s">
        <v>1736</v>
      </c>
      <c r="AY391" s="2" t="s">
        <v>1737</v>
      </c>
      <c r="AZ391" s="2">
        <v>35726.959999999999</v>
      </c>
      <c r="BA391" s="73">
        <v>31261.09</v>
      </c>
      <c r="BB391" s="73">
        <v>31261.09</v>
      </c>
      <c r="BC391" s="73">
        <v>35726.959999999999</v>
      </c>
      <c r="BD391" s="73"/>
      <c r="BE391" s="66">
        <v>0.05</v>
      </c>
      <c r="BF391" s="66">
        <v>0.05</v>
      </c>
      <c r="BG391" s="63">
        <v>45067</v>
      </c>
      <c r="BH391" s="2"/>
      <c r="BI391" s="2"/>
      <c r="BJ391" s="2">
        <v>126000</v>
      </c>
      <c r="BK391" s="2">
        <v>31500</v>
      </c>
      <c r="BL391" s="1" t="s">
        <v>97</v>
      </c>
    </row>
    <row r="392" spans="1:64" x14ac:dyDescent="0.25">
      <c r="A392" s="56" t="s">
        <v>857</v>
      </c>
      <c r="B392" s="54" t="s">
        <v>1001</v>
      </c>
      <c r="C392" s="56" t="s">
        <v>1002</v>
      </c>
      <c r="D392" s="16">
        <v>0</v>
      </c>
      <c r="E392" s="17"/>
      <c r="F392" s="2" t="s">
        <v>859</v>
      </c>
      <c r="G392" s="2" t="s">
        <v>860</v>
      </c>
      <c r="H392" s="10" t="s">
        <v>98</v>
      </c>
      <c r="I392" s="11" t="s">
        <v>53</v>
      </c>
      <c r="J392" s="11" t="s">
        <v>224</v>
      </c>
      <c r="K392" s="61"/>
      <c r="L392" s="11" t="s">
        <v>67</v>
      </c>
      <c r="M392" s="25"/>
      <c r="N392" s="54"/>
      <c r="O392" s="3" t="str">
        <f t="shared" si="88"/>
        <v>A</v>
      </c>
      <c r="P392" s="48">
        <v>176849</v>
      </c>
      <c r="Q392" s="48">
        <v>0</v>
      </c>
      <c r="R392" s="32"/>
      <c r="S392" s="3" t="str">
        <f t="shared" si="87"/>
        <v>A</v>
      </c>
      <c r="T392" s="48">
        <v>165201</v>
      </c>
      <c r="U392" s="48"/>
      <c r="V392" s="32"/>
      <c r="W392" s="3" t="str">
        <f t="shared" ref="W392:W455" si="89">IF($A392="","",IF(X392=0,"A",IF(X392=BB392,"E","A")))</f>
        <v>A</v>
      </c>
      <c r="X392" s="48">
        <v>149649</v>
      </c>
      <c r="Y392" s="48"/>
      <c r="Z392" s="32"/>
      <c r="AA392" s="3" t="str">
        <f t="shared" ref="AA392:AA455" si="90">IF($A392="","",IF(AB392=0,"A",IF(AB392=BC392,"E","A")))</f>
        <v>A</v>
      </c>
      <c r="AB392" s="48">
        <v>179075</v>
      </c>
      <c r="AC392" s="48"/>
      <c r="AD392" s="36"/>
      <c r="AE392" s="54"/>
      <c r="AF392" s="3" t="str">
        <f t="shared" ref="AF392:AF455" si="91">IF($A392="","",IF(AG392=0,"A",IF(AG392=BD392,"E","A")))</f>
        <v>A</v>
      </c>
      <c r="AG392" s="48">
        <v>0</v>
      </c>
      <c r="AH392" s="48">
        <v>0</v>
      </c>
      <c r="AI392" s="39"/>
      <c r="AJ392" s="79" t="s">
        <v>1801</v>
      </c>
      <c r="AK392" s="39"/>
      <c r="AL392" s="4">
        <f t="shared" si="85"/>
        <v>670774</v>
      </c>
      <c r="AM392" s="4">
        <f t="shared" si="85"/>
        <v>0</v>
      </c>
      <c r="AN392" s="4">
        <f t="shared" ref="AN392:AN455" si="92">SUM(AL392:AM392)</f>
        <v>670774</v>
      </c>
      <c r="AO392" s="39"/>
      <c r="AP392" s="8">
        <f t="shared" si="86"/>
        <v>0</v>
      </c>
      <c r="AQ392" s="8">
        <f t="shared" si="86"/>
        <v>0</v>
      </c>
      <c r="AR392" s="8">
        <f t="shared" ref="AR392:AR455" si="93">SUM(AP392:AQ392)</f>
        <v>0</v>
      </c>
      <c r="AS392" s="42"/>
      <c r="AT392" s="48">
        <v>670774</v>
      </c>
      <c r="AU392" s="48"/>
      <c r="AV392" s="4">
        <f t="shared" ref="AV392:AV455" si="94">SUM(AT392:AU392)</f>
        <v>670774</v>
      </c>
      <c r="AW392" s="50" t="str">
        <f t="shared" ref="AW392:AW455" si="95">IF(AV392=0,"",IF(AN392=AV392,"","W"))</f>
        <v/>
      </c>
      <c r="AX392" s="1" t="s">
        <v>1736</v>
      </c>
      <c r="AY392" s="2" t="s">
        <v>1737</v>
      </c>
      <c r="AZ392" s="2">
        <v>79195.199999999997</v>
      </c>
      <c r="BA392" s="73">
        <v>69295.8</v>
      </c>
      <c r="BB392" s="73">
        <v>69295.8</v>
      </c>
      <c r="BC392" s="73">
        <v>79195.199999999997</v>
      </c>
      <c r="BD392" s="73"/>
      <c r="BE392" s="66">
        <v>0.05</v>
      </c>
      <c r="BF392" s="66">
        <v>0.05</v>
      </c>
      <c r="BG392" s="63">
        <v>45067</v>
      </c>
      <c r="BH392" s="2"/>
      <c r="BI392" s="2"/>
      <c r="BJ392" s="2">
        <v>286875</v>
      </c>
      <c r="BK392" s="2">
        <v>35859.379999999997</v>
      </c>
      <c r="BL392" s="1" t="s">
        <v>97</v>
      </c>
    </row>
    <row r="393" spans="1:64" x14ac:dyDescent="0.25">
      <c r="A393" s="56" t="s">
        <v>857</v>
      </c>
      <c r="B393" s="54" t="s">
        <v>1013</v>
      </c>
      <c r="C393" s="56" t="s">
        <v>1014</v>
      </c>
      <c r="D393" s="16">
        <v>0</v>
      </c>
      <c r="E393" s="17"/>
      <c r="F393" s="2" t="s">
        <v>859</v>
      </c>
      <c r="G393" s="2" t="s">
        <v>860</v>
      </c>
      <c r="H393" s="10" t="s">
        <v>98</v>
      </c>
      <c r="I393" s="11" t="s">
        <v>53</v>
      </c>
      <c r="J393" s="11" t="s">
        <v>224</v>
      </c>
      <c r="K393" s="61"/>
      <c r="L393" s="11" t="s">
        <v>67</v>
      </c>
      <c r="M393" s="25"/>
      <c r="N393" s="54"/>
      <c r="O393" s="3" t="str">
        <f t="shared" si="88"/>
        <v>A</v>
      </c>
      <c r="P393" s="48">
        <v>46822</v>
      </c>
      <c r="Q393" s="48">
        <v>0</v>
      </c>
      <c r="R393" s="32"/>
      <c r="S393" s="3" t="str">
        <f t="shared" si="87"/>
        <v>A</v>
      </c>
      <c r="T393" s="48">
        <v>45984</v>
      </c>
      <c r="U393" s="48"/>
      <c r="V393" s="32"/>
      <c r="W393" s="3" t="str">
        <f t="shared" si="89"/>
        <v>A</v>
      </c>
      <c r="X393" s="48">
        <v>48388</v>
      </c>
      <c r="Y393" s="48"/>
      <c r="Z393" s="32"/>
      <c r="AA393" s="3" t="str">
        <f t="shared" si="90"/>
        <v>A</v>
      </c>
      <c r="AB393" s="48">
        <v>50820</v>
      </c>
      <c r="AC393" s="48"/>
      <c r="AD393" s="36"/>
      <c r="AE393" s="54"/>
      <c r="AF393" s="3" t="str">
        <f t="shared" si="91"/>
        <v>A</v>
      </c>
      <c r="AG393" s="48">
        <v>0</v>
      </c>
      <c r="AH393" s="48">
        <v>0</v>
      </c>
      <c r="AI393" s="39"/>
      <c r="AJ393" s="79" t="s">
        <v>1801</v>
      </c>
      <c r="AK393" s="39"/>
      <c r="AL393" s="4">
        <f t="shared" si="85"/>
        <v>192014</v>
      </c>
      <c r="AM393" s="4">
        <f t="shared" si="85"/>
        <v>0</v>
      </c>
      <c r="AN393" s="4">
        <f t="shared" si="92"/>
        <v>192014</v>
      </c>
      <c r="AO393" s="39"/>
      <c r="AP393" s="8">
        <f t="shared" si="86"/>
        <v>0</v>
      </c>
      <c r="AQ393" s="8">
        <f t="shared" si="86"/>
        <v>0</v>
      </c>
      <c r="AR393" s="8">
        <f t="shared" si="93"/>
        <v>0</v>
      </c>
      <c r="AS393" s="42"/>
      <c r="AT393" s="48">
        <v>192014</v>
      </c>
      <c r="AU393" s="48"/>
      <c r="AV393" s="4">
        <f t="shared" si="94"/>
        <v>192014</v>
      </c>
      <c r="AW393" s="50" t="str">
        <f t="shared" si="95"/>
        <v/>
      </c>
      <c r="AX393" s="1" t="s">
        <v>1736</v>
      </c>
      <c r="AY393" s="2" t="s">
        <v>1737</v>
      </c>
      <c r="AZ393" s="2">
        <v>25770.16</v>
      </c>
      <c r="BA393" s="73">
        <v>22548.89</v>
      </c>
      <c r="BB393" s="73">
        <v>22548.89</v>
      </c>
      <c r="BC393" s="73">
        <v>25770.16</v>
      </c>
      <c r="BD393" s="73"/>
      <c r="BE393" s="66">
        <v>0.05</v>
      </c>
      <c r="BF393" s="66">
        <v>0.05</v>
      </c>
      <c r="BG393" s="63">
        <v>45067</v>
      </c>
      <c r="BH393" s="2"/>
      <c r="BI393" s="2"/>
      <c r="BJ393" s="2">
        <v>94500</v>
      </c>
      <c r="BK393" s="2">
        <v>11812</v>
      </c>
      <c r="BL393" s="1" t="s">
        <v>97</v>
      </c>
    </row>
    <row r="394" spans="1:64" x14ac:dyDescent="0.25">
      <c r="A394" s="56" t="s">
        <v>857</v>
      </c>
      <c r="B394" s="54" t="s">
        <v>1045</v>
      </c>
      <c r="C394" s="56" t="s">
        <v>1046</v>
      </c>
      <c r="D394" s="16">
        <v>0</v>
      </c>
      <c r="E394" s="17"/>
      <c r="F394" s="2" t="s">
        <v>859</v>
      </c>
      <c r="G394" s="2" t="s">
        <v>860</v>
      </c>
      <c r="H394" s="10" t="s">
        <v>98</v>
      </c>
      <c r="I394" s="11" t="s">
        <v>53</v>
      </c>
      <c r="J394" s="11" t="s">
        <v>224</v>
      </c>
      <c r="K394" s="61"/>
      <c r="L394" s="11" t="s">
        <v>67</v>
      </c>
      <c r="M394" s="25"/>
      <c r="N394" s="54"/>
      <c r="O394" s="3" t="str">
        <f t="shared" si="88"/>
        <v>A</v>
      </c>
      <c r="P394" s="48">
        <v>90198</v>
      </c>
      <c r="Q394" s="48">
        <v>0</v>
      </c>
      <c r="R394" s="32"/>
      <c r="S394" s="3" t="str">
        <f t="shared" si="87"/>
        <v>A</v>
      </c>
      <c r="T394" s="48">
        <v>83813</v>
      </c>
      <c r="U394" s="48"/>
      <c r="V394" s="32"/>
      <c r="W394" s="3" t="str">
        <f t="shared" si="89"/>
        <v>A</v>
      </c>
      <c r="X394" s="48">
        <v>80214</v>
      </c>
      <c r="Y394" s="48"/>
      <c r="Z394" s="32"/>
      <c r="AA394" s="3" t="str">
        <f t="shared" si="90"/>
        <v>A</v>
      </c>
      <c r="AB394" s="48">
        <v>90467</v>
      </c>
      <c r="AC394" s="48"/>
      <c r="AD394" s="36"/>
      <c r="AE394" s="54"/>
      <c r="AF394" s="3" t="str">
        <f t="shared" si="91"/>
        <v>A</v>
      </c>
      <c r="AG394" s="48">
        <v>0</v>
      </c>
      <c r="AH394" s="48">
        <v>0</v>
      </c>
      <c r="AI394" s="39"/>
      <c r="AJ394" s="79" t="s">
        <v>1801</v>
      </c>
      <c r="AK394" s="39"/>
      <c r="AL394" s="4">
        <f t="shared" si="85"/>
        <v>344692</v>
      </c>
      <c r="AM394" s="4">
        <f t="shared" si="85"/>
        <v>0</v>
      </c>
      <c r="AN394" s="4">
        <f t="shared" si="92"/>
        <v>344692</v>
      </c>
      <c r="AO394" s="39"/>
      <c r="AP394" s="8">
        <f t="shared" si="86"/>
        <v>0</v>
      </c>
      <c r="AQ394" s="8">
        <f t="shared" si="86"/>
        <v>0</v>
      </c>
      <c r="AR394" s="8">
        <f t="shared" si="93"/>
        <v>0</v>
      </c>
      <c r="AS394" s="42"/>
      <c r="AT394" s="48">
        <v>344692</v>
      </c>
      <c r="AU394" s="48"/>
      <c r="AV394" s="4">
        <f t="shared" si="94"/>
        <v>344692</v>
      </c>
      <c r="AW394" s="50" t="str">
        <f t="shared" si="95"/>
        <v/>
      </c>
      <c r="AX394" s="1" t="s">
        <v>1736</v>
      </c>
      <c r="AY394" s="2" t="s">
        <v>1737</v>
      </c>
      <c r="AZ394" s="2">
        <v>35729.519999999997</v>
      </c>
      <c r="BA394" s="73">
        <v>31263.33</v>
      </c>
      <c r="BB394" s="73">
        <v>31263.33</v>
      </c>
      <c r="BC394" s="73">
        <v>35729.519999999997</v>
      </c>
      <c r="BD394" s="73"/>
      <c r="BE394" s="66">
        <v>0.05</v>
      </c>
      <c r="BF394" s="66">
        <v>0.05</v>
      </c>
      <c r="BG394" s="63">
        <v>45067</v>
      </c>
      <c r="BH394" s="2"/>
      <c r="BI394" s="2"/>
      <c r="BJ394" s="2">
        <v>126000</v>
      </c>
      <c r="BK394" s="2"/>
      <c r="BL394" s="1" t="s">
        <v>97</v>
      </c>
    </row>
    <row r="395" spans="1:64" x14ac:dyDescent="0.25">
      <c r="A395" s="56" t="s">
        <v>857</v>
      </c>
      <c r="B395" s="54" t="s">
        <v>1362</v>
      </c>
      <c r="C395" s="56" t="s">
        <v>1363</v>
      </c>
      <c r="D395" s="16">
        <v>0</v>
      </c>
      <c r="E395" s="17"/>
      <c r="F395" s="2" t="s">
        <v>859</v>
      </c>
      <c r="G395" s="2" t="s">
        <v>860</v>
      </c>
      <c r="H395" s="10" t="s">
        <v>98</v>
      </c>
      <c r="I395" s="11" t="s">
        <v>53</v>
      </c>
      <c r="J395" s="11" t="s">
        <v>224</v>
      </c>
      <c r="K395" s="61"/>
      <c r="L395" s="11" t="s">
        <v>67</v>
      </c>
      <c r="M395" s="25"/>
      <c r="N395" s="54"/>
      <c r="O395" s="3" t="str">
        <f>IF($A395="","",IF(P395=AZ395,"E","A"))</f>
        <v>A</v>
      </c>
      <c r="P395" s="48">
        <v>98627</v>
      </c>
      <c r="Q395" s="48">
        <v>0</v>
      </c>
      <c r="R395" s="32"/>
      <c r="S395" s="3" t="str">
        <f t="shared" si="87"/>
        <v>A</v>
      </c>
      <c r="T395" s="48">
        <v>89046</v>
      </c>
      <c r="U395" s="48"/>
      <c r="V395" s="32"/>
      <c r="W395" s="3" t="str">
        <f t="shared" si="89"/>
        <v>A</v>
      </c>
      <c r="X395" s="48">
        <v>87597</v>
      </c>
      <c r="Y395" s="48"/>
      <c r="Z395" s="32"/>
      <c r="AA395" s="3" t="str">
        <f t="shared" si="90"/>
        <v>A</v>
      </c>
      <c r="AB395" s="48">
        <v>103558</v>
      </c>
      <c r="AC395" s="48"/>
      <c r="AD395" s="36"/>
      <c r="AE395" s="54"/>
      <c r="AF395" s="3" t="str">
        <f t="shared" si="91"/>
        <v>A</v>
      </c>
      <c r="AG395" s="48">
        <v>0</v>
      </c>
      <c r="AH395" s="48">
        <v>0</v>
      </c>
      <c r="AI395" s="39"/>
      <c r="AJ395" s="79" t="s">
        <v>1801</v>
      </c>
      <c r="AK395" s="39"/>
      <c r="AL395" s="4">
        <f t="shared" si="85"/>
        <v>378828</v>
      </c>
      <c r="AM395" s="4">
        <f t="shared" si="85"/>
        <v>0</v>
      </c>
      <c r="AN395" s="4">
        <f t="shared" si="92"/>
        <v>378828</v>
      </c>
      <c r="AO395" s="39"/>
      <c r="AP395" s="8">
        <f t="shared" si="86"/>
        <v>0</v>
      </c>
      <c r="AQ395" s="8">
        <f t="shared" si="86"/>
        <v>0</v>
      </c>
      <c r="AR395" s="8">
        <f t="shared" si="93"/>
        <v>0</v>
      </c>
      <c r="AS395" s="42"/>
      <c r="AT395" s="48">
        <v>378828</v>
      </c>
      <c r="AU395" s="48"/>
      <c r="AV395" s="4">
        <f t="shared" si="94"/>
        <v>378828</v>
      </c>
      <c r="AW395" s="50" t="str">
        <f t="shared" si="95"/>
        <v/>
      </c>
      <c r="AX395" s="1" t="s">
        <v>1736</v>
      </c>
      <c r="AY395" s="2" t="s">
        <v>1737</v>
      </c>
      <c r="AZ395" s="2">
        <v>51430.48</v>
      </c>
      <c r="BA395" s="73">
        <v>45001.67</v>
      </c>
      <c r="BB395" s="73">
        <v>45001.67</v>
      </c>
      <c r="BC395" s="73">
        <v>51430.48</v>
      </c>
      <c r="BD395" s="73"/>
      <c r="BE395" s="66">
        <v>0</v>
      </c>
      <c r="BF395" s="66">
        <v>0.05</v>
      </c>
      <c r="BG395" s="63">
        <v>45144</v>
      </c>
      <c r="BH395" s="2"/>
      <c r="BI395" s="2"/>
      <c r="BJ395" s="2">
        <v>315000</v>
      </c>
      <c r="BK395" s="2"/>
      <c r="BL395" s="1" t="s">
        <v>97</v>
      </c>
    </row>
    <row r="396" spans="1:64" x14ac:dyDescent="0.25">
      <c r="A396" s="56" t="s">
        <v>857</v>
      </c>
      <c r="B396" s="54" t="s">
        <v>1438</v>
      </c>
      <c r="C396" s="56" t="s">
        <v>1439</v>
      </c>
      <c r="D396" s="16">
        <v>0</v>
      </c>
      <c r="E396" s="17"/>
      <c r="F396" s="2" t="s">
        <v>859</v>
      </c>
      <c r="G396" s="2" t="s">
        <v>860</v>
      </c>
      <c r="H396" s="10" t="s">
        <v>98</v>
      </c>
      <c r="I396" s="11" t="s">
        <v>53</v>
      </c>
      <c r="J396" s="11" t="s">
        <v>224</v>
      </c>
      <c r="K396" s="61"/>
      <c r="L396" s="11" t="s">
        <v>67</v>
      </c>
      <c r="M396" s="25"/>
      <c r="N396" s="54"/>
      <c r="O396" s="3" t="str">
        <f>IF($A396="","",IF(P396=AZ396,"E","A"))</f>
        <v>A</v>
      </c>
      <c r="P396" s="48">
        <v>72731</v>
      </c>
      <c r="Q396" s="48">
        <v>2850</v>
      </c>
      <c r="R396" s="32"/>
      <c r="S396" s="3" t="str">
        <f>IF($A396="","",IF(T396=BA396,"E","A"))</f>
        <v>A</v>
      </c>
      <c r="T396" s="48">
        <v>62746</v>
      </c>
      <c r="U396" s="48">
        <v>2620</v>
      </c>
      <c r="V396" s="32"/>
      <c r="W396" s="3" t="str">
        <f t="shared" si="89"/>
        <v>A</v>
      </c>
      <c r="X396" s="48">
        <v>60077</v>
      </c>
      <c r="Y396" s="48">
        <v>2095</v>
      </c>
      <c r="Z396" s="32"/>
      <c r="AA396" s="3" t="str">
        <f t="shared" si="90"/>
        <v>A</v>
      </c>
      <c r="AB396" s="48">
        <v>64746</v>
      </c>
      <c r="AC396" s="48">
        <v>2495</v>
      </c>
      <c r="AD396" s="36"/>
      <c r="AE396" s="54"/>
      <c r="AF396" s="3" t="str">
        <f t="shared" si="91"/>
        <v>A</v>
      </c>
      <c r="AG396" s="48">
        <v>0</v>
      </c>
      <c r="AH396" s="48">
        <v>0</v>
      </c>
      <c r="AI396" s="39"/>
      <c r="AJ396" s="79" t="s">
        <v>1801</v>
      </c>
      <c r="AK396" s="39"/>
      <c r="AL396" s="4">
        <f t="shared" si="85"/>
        <v>260300</v>
      </c>
      <c r="AM396" s="4">
        <f t="shared" si="85"/>
        <v>10060</v>
      </c>
      <c r="AN396" s="4">
        <f t="shared" si="92"/>
        <v>270360</v>
      </c>
      <c r="AO396" s="39"/>
      <c r="AP396" s="8">
        <f t="shared" si="86"/>
        <v>0</v>
      </c>
      <c r="AQ396" s="8">
        <f t="shared" si="86"/>
        <v>0</v>
      </c>
      <c r="AR396" s="8">
        <f t="shared" si="93"/>
        <v>0</v>
      </c>
      <c r="AS396" s="42"/>
      <c r="AT396" s="48">
        <v>260300</v>
      </c>
      <c r="AU396" s="48">
        <v>10060</v>
      </c>
      <c r="AV396" s="4">
        <f t="shared" si="94"/>
        <v>270360</v>
      </c>
      <c r="AW396" s="50" t="str">
        <f t="shared" si="95"/>
        <v/>
      </c>
      <c r="AX396" s="1" t="s">
        <v>1736</v>
      </c>
      <c r="AY396" s="2" t="s">
        <v>1737</v>
      </c>
      <c r="AZ396" s="2">
        <v>100337.04</v>
      </c>
      <c r="BA396" s="73">
        <v>87794.91</v>
      </c>
      <c r="BB396" s="73">
        <v>87794.91</v>
      </c>
      <c r="BC396" s="73">
        <v>100337.04</v>
      </c>
      <c r="BD396" s="73"/>
      <c r="BE396" s="66">
        <v>0</v>
      </c>
      <c r="BF396" s="66">
        <v>0.05</v>
      </c>
      <c r="BG396" s="63">
        <v>44915</v>
      </c>
      <c r="BH396" s="2"/>
      <c r="BI396" s="2"/>
      <c r="BJ396" s="2">
        <v>360000</v>
      </c>
      <c r="BK396" s="2"/>
      <c r="BL396" s="1" t="s">
        <v>97</v>
      </c>
    </row>
    <row r="397" spans="1:64" x14ac:dyDescent="0.25">
      <c r="A397" s="56" t="s">
        <v>857</v>
      </c>
      <c r="B397" s="54" t="s">
        <v>1475</v>
      </c>
      <c r="C397" s="56" t="s">
        <v>1476</v>
      </c>
      <c r="D397" s="16">
        <v>0</v>
      </c>
      <c r="E397" s="17"/>
      <c r="F397" s="2" t="s">
        <v>859</v>
      </c>
      <c r="G397" s="2" t="s">
        <v>860</v>
      </c>
      <c r="H397" s="10" t="s">
        <v>98</v>
      </c>
      <c r="I397" s="11" t="s">
        <v>53</v>
      </c>
      <c r="J397" s="11" t="s">
        <v>224</v>
      </c>
      <c r="K397" s="61"/>
      <c r="L397" s="11" t="s">
        <v>67</v>
      </c>
      <c r="M397" s="25"/>
      <c r="N397" s="54"/>
      <c r="O397" s="3" t="str">
        <f>IF($A397="","",IF(P397=AZ397,"E","A"))</f>
        <v>A</v>
      </c>
      <c r="P397" s="48">
        <v>23657</v>
      </c>
      <c r="Q397" s="48">
        <v>0</v>
      </c>
      <c r="R397" s="32"/>
      <c r="S397" s="3" t="str">
        <f>IF($A397="","",IF(T397=BA397,"E","A"))</f>
        <v>A</v>
      </c>
      <c r="T397" s="48">
        <v>16813</v>
      </c>
      <c r="U397" s="48"/>
      <c r="V397" s="32"/>
      <c r="W397" s="3" t="str">
        <f t="shared" si="89"/>
        <v>A</v>
      </c>
      <c r="X397" s="48">
        <v>18082</v>
      </c>
      <c r="Y397" s="48"/>
      <c r="Z397" s="32"/>
      <c r="AA397" s="3" t="str">
        <f t="shared" si="90"/>
        <v>A</v>
      </c>
      <c r="AB397" s="48">
        <v>20480</v>
      </c>
      <c r="AC397" s="48"/>
      <c r="AD397" s="36"/>
      <c r="AE397" s="54"/>
      <c r="AF397" s="3" t="str">
        <f t="shared" si="91"/>
        <v>A</v>
      </c>
      <c r="AG397" s="48">
        <v>0</v>
      </c>
      <c r="AH397" s="48">
        <v>0</v>
      </c>
      <c r="AI397" s="39"/>
      <c r="AJ397" s="79" t="s">
        <v>1801</v>
      </c>
      <c r="AK397" s="39"/>
      <c r="AL397" s="4">
        <f t="shared" si="85"/>
        <v>79032</v>
      </c>
      <c r="AM397" s="4">
        <f t="shared" si="85"/>
        <v>0</v>
      </c>
      <c r="AN397" s="4">
        <f t="shared" si="92"/>
        <v>79032</v>
      </c>
      <c r="AO397" s="39"/>
      <c r="AP397" s="8">
        <f t="shared" si="86"/>
        <v>0</v>
      </c>
      <c r="AQ397" s="8">
        <f t="shared" si="86"/>
        <v>0</v>
      </c>
      <c r="AR397" s="8">
        <f t="shared" si="93"/>
        <v>0</v>
      </c>
      <c r="AS397" s="42"/>
      <c r="AT397" s="48">
        <v>79032</v>
      </c>
      <c r="AU397" s="48"/>
      <c r="AV397" s="4">
        <f t="shared" si="94"/>
        <v>79032</v>
      </c>
      <c r="AW397" s="50" t="str">
        <f t="shared" si="95"/>
        <v/>
      </c>
      <c r="AX397" s="1" t="s">
        <v>1736</v>
      </c>
      <c r="AY397" s="2" t="s">
        <v>1737</v>
      </c>
      <c r="AZ397" s="2">
        <v>60201.919999999998</v>
      </c>
      <c r="BA397" s="73">
        <v>52676.68</v>
      </c>
      <c r="BB397" s="73">
        <v>52676.68</v>
      </c>
      <c r="BC397" s="73">
        <v>60201.919999999998</v>
      </c>
      <c r="BD397" s="73"/>
      <c r="BE397" s="66">
        <v>0</v>
      </c>
      <c r="BF397" s="66">
        <v>0.05</v>
      </c>
      <c r="BG397" s="63">
        <v>45365</v>
      </c>
      <c r="BH397" s="2"/>
      <c r="BI397" s="2"/>
      <c r="BJ397" s="2">
        <v>216000</v>
      </c>
      <c r="BK397" s="2"/>
      <c r="BL397" s="1" t="s">
        <v>97</v>
      </c>
    </row>
    <row r="398" spans="1:64" x14ac:dyDescent="0.25">
      <c r="A398" s="56" t="s">
        <v>857</v>
      </c>
      <c r="B398" s="54" t="s">
        <v>1576</v>
      </c>
      <c r="C398" s="56" t="s">
        <v>1577</v>
      </c>
      <c r="D398" s="16">
        <v>0</v>
      </c>
      <c r="E398" s="17"/>
      <c r="F398" s="2" t="s">
        <v>859</v>
      </c>
      <c r="G398" s="2" t="s">
        <v>860</v>
      </c>
      <c r="H398" s="10" t="s">
        <v>98</v>
      </c>
      <c r="I398" s="11" t="s">
        <v>53</v>
      </c>
      <c r="J398" s="11" t="s">
        <v>224</v>
      </c>
      <c r="K398" s="61"/>
      <c r="L398" s="11" t="s">
        <v>67</v>
      </c>
      <c r="M398" s="25"/>
      <c r="N398" s="54"/>
      <c r="O398" s="3" t="str">
        <f>IF($A398="","",IF(P398=AZ398,"E","A"))</f>
        <v>E</v>
      </c>
      <c r="P398" s="48">
        <v>60662.48</v>
      </c>
      <c r="Q398" s="48">
        <v>3406.32</v>
      </c>
      <c r="R398" s="32"/>
      <c r="S398" s="3" t="str">
        <f>IF($A398="","",IF(T398=BA398,"E","A"))</f>
        <v>E</v>
      </c>
      <c r="T398" s="48">
        <v>53079.67</v>
      </c>
      <c r="U398" s="48">
        <v>2980.53</v>
      </c>
      <c r="V398" s="32"/>
      <c r="W398" s="3" t="str">
        <f t="shared" si="89"/>
        <v>E</v>
      </c>
      <c r="X398" s="48">
        <v>53079.67</v>
      </c>
      <c r="Y398" s="48">
        <v>2980.53</v>
      </c>
      <c r="Z398" s="32"/>
      <c r="AA398" s="3" t="str">
        <f t="shared" si="90"/>
        <v>E</v>
      </c>
      <c r="AB398" s="48">
        <v>60662.48</v>
      </c>
      <c r="AC398" s="48">
        <v>3406.32</v>
      </c>
      <c r="AD398" s="36"/>
      <c r="AE398" s="54"/>
      <c r="AF398" s="3" t="str">
        <f t="shared" si="91"/>
        <v>A</v>
      </c>
      <c r="AG398" s="48"/>
      <c r="AH398" s="48"/>
      <c r="AI398" s="39"/>
      <c r="AJ398" s="79" t="s">
        <v>38</v>
      </c>
      <c r="AK398" s="39"/>
      <c r="AL398" s="4">
        <f t="shared" si="85"/>
        <v>0</v>
      </c>
      <c r="AM398" s="4">
        <f t="shared" si="85"/>
        <v>0</v>
      </c>
      <c r="AN398" s="4">
        <f t="shared" si="92"/>
        <v>0</v>
      </c>
      <c r="AO398" s="39"/>
      <c r="AP398" s="8">
        <f t="shared" si="86"/>
        <v>227484.30000000002</v>
      </c>
      <c r="AQ398" s="8">
        <f t="shared" si="86"/>
        <v>12773.7</v>
      </c>
      <c r="AR398" s="8">
        <f t="shared" si="93"/>
        <v>240258.00000000003</v>
      </c>
      <c r="AS398" s="42"/>
      <c r="AT398" s="48"/>
      <c r="AU398" s="48"/>
      <c r="AV398" s="4">
        <f t="shared" si="94"/>
        <v>0</v>
      </c>
      <c r="AW398" s="50" t="str">
        <f t="shared" si="95"/>
        <v/>
      </c>
      <c r="AX398" s="1" t="s">
        <v>1736</v>
      </c>
      <c r="AY398" s="2" t="s">
        <v>1737</v>
      </c>
      <c r="AZ398" s="2">
        <v>60662.48</v>
      </c>
      <c r="BA398" s="73">
        <v>53079.67</v>
      </c>
      <c r="BB398" s="73">
        <v>53079.67</v>
      </c>
      <c r="BC398" s="73">
        <v>60662.48</v>
      </c>
      <c r="BD398" s="73"/>
      <c r="BE398" s="66">
        <v>0</v>
      </c>
      <c r="BF398" s="66">
        <v>0.05</v>
      </c>
      <c r="BG398" s="63">
        <v>45748</v>
      </c>
      <c r="BH398" s="2"/>
      <c r="BI398" s="2"/>
      <c r="BJ398" s="2">
        <v>225000</v>
      </c>
      <c r="BK398" s="2">
        <v>11812.5</v>
      </c>
      <c r="BL398" s="1" t="s">
        <v>97</v>
      </c>
    </row>
    <row r="399" spans="1:64" x14ac:dyDescent="0.25">
      <c r="A399" s="56" t="s">
        <v>857</v>
      </c>
      <c r="B399" s="54" t="s">
        <v>1602</v>
      </c>
      <c r="C399" s="56" t="s">
        <v>1603</v>
      </c>
      <c r="D399" s="16">
        <v>0</v>
      </c>
      <c r="E399" s="17"/>
      <c r="F399" s="2" t="s">
        <v>859</v>
      </c>
      <c r="G399" s="2" t="s">
        <v>860</v>
      </c>
      <c r="H399" s="10" t="s">
        <v>98</v>
      </c>
      <c r="I399" s="11" t="s">
        <v>53</v>
      </c>
      <c r="J399" s="11" t="s">
        <v>224</v>
      </c>
      <c r="K399" s="61"/>
      <c r="L399" s="11" t="s">
        <v>67</v>
      </c>
      <c r="M399" s="25"/>
      <c r="N399" s="54"/>
      <c r="O399" s="3" t="str">
        <f>IF($A399="","",IF(P399=AZ399,"E","A"))</f>
        <v>A</v>
      </c>
      <c r="P399" s="48">
        <v>16752</v>
      </c>
      <c r="Q399" s="48">
        <v>0</v>
      </c>
      <c r="R399" s="32"/>
      <c r="S399" s="3" t="str">
        <f>IF($A399="","",IF(T399=BA399,"E","A"))</f>
        <v>A</v>
      </c>
      <c r="T399" s="48">
        <v>12270</v>
      </c>
      <c r="U399" s="48"/>
      <c r="V399" s="32"/>
      <c r="W399" s="3" t="str">
        <f t="shared" si="89"/>
        <v>A</v>
      </c>
      <c r="X399" s="48">
        <v>22012</v>
      </c>
      <c r="Y399" s="48"/>
      <c r="Z399" s="32"/>
      <c r="AA399" s="3" t="str">
        <f t="shared" si="90"/>
        <v>A</v>
      </c>
      <c r="AB399" s="48">
        <v>29084</v>
      </c>
      <c r="AC399" s="48"/>
      <c r="AD399" s="36"/>
      <c r="AE399" s="54"/>
      <c r="AF399" s="3" t="str">
        <f t="shared" si="91"/>
        <v>A</v>
      </c>
      <c r="AG399" s="48">
        <v>0</v>
      </c>
      <c r="AH399" s="48">
        <v>0</v>
      </c>
      <c r="AI399" s="39"/>
      <c r="AJ399" s="79" t="s">
        <v>1801</v>
      </c>
      <c r="AK399" s="39"/>
      <c r="AL399" s="4">
        <f t="shared" si="85"/>
        <v>80118</v>
      </c>
      <c r="AM399" s="4">
        <f t="shared" si="85"/>
        <v>0</v>
      </c>
      <c r="AN399" s="4">
        <f t="shared" si="92"/>
        <v>80118</v>
      </c>
      <c r="AO399" s="39"/>
      <c r="AP399" s="8">
        <f t="shared" si="86"/>
        <v>0</v>
      </c>
      <c r="AQ399" s="8">
        <f t="shared" si="86"/>
        <v>0</v>
      </c>
      <c r="AR399" s="8">
        <f t="shared" si="93"/>
        <v>0</v>
      </c>
      <c r="AS399" s="42"/>
      <c r="AT399" s="48">
        <v>80118</v>
      </c>
      <c r="AU399" s="48"/>
      <c r="AV399" s="4">
        <f t="shared" si="94"/>
        <v>80118</v>
      </c>
      <c r="AW399" s="50" t="str">
        <f t="shared" si="95"/>
        <v/>
      </c>
      <c r="AX399" s="1" t="s">
        <v>1736</v>
      </c>
      <c r="AY399" s="2" t="s">
        <v>1737</v>
      </c>
      <c r="AZ399" s="2">
        <v>39010.800000000003</v>
      </c>
      <c r="BA399" s="73">
        <v>34134.449999999997</v>
      </c>
      <c r="BB399" s="73">
        <v>34134.449999999997</v>
      </c>
      <c r="BC399" s="73">
        <v>39010.800000000003</v>
      </c>
      <c r="BD399" s="73"/>
      <c r="BE399" s="66">
        <v>0</v>
      </c>
      <c r="BF399" s="66">
        <v>0.05</v>
      </c>
      <c r="BG399" s="63">
        <v>45778</v>
      </c>
      <c r="BH399" s="2"/>
      <c r="BI399" s="2"/>
      <c r="BJ399" s="2">
        <v>147420</v>
      </c>
      <c r="BK399" s="2">
        <v>5896.8</v>
      </c>
      <c r="BL399" s="1" t="s">
        <v>97</v>
      </c>
    </row>
    <row r="400" spans="1:64" x14ac:dyDescent="0.25">
      <c r="A400" s="56" t="s">
        <v>863</v>
      </c>
      <c r="B400" s="54" t="s">
        <v>863</v>
      </c>
      <c r="C400" s="56" t="s">
        <v>864</v>
      </c>
      <c r="D400" s="16">
        <v>43735</v>
      </c>
      <c r="E400" s="17"/>
      <c r="F400" s="2" t="s">
        <v>52</v>
      </c>
      <c r="G400" s="2" t="s">
        <v>55</v>
      </c>
      <c r="H400" s="10" t="s">
        <v>57</v>
      </c>
      <c r="I400" s="11" t="s">
        <v>54</v>
      </c>
      <c r="J400" s="11" t="s">
        <v>620</v>
      </c>
      <c r="K400" s="61" t="s">
        <v>621</v>
      </c>
      <c r="L400" s="11" t="s">
        <v>67</v>
      </c>
      <c r="M400" s="25"/>
      <c r="N400" s="54"/>
      <c r="O400" s="3" t="str">
        <f>IF($A400="","",IF(P400=0,"A",IF(P400=AZ400,"E","A")))</f>
        <v>A</v>
      </c>
      <c r="P400" s="48">
        <v>39405</v>
      </c>
      <c r="Q400" s="48">
        <v>13732</v>
      </c>
      <c r="R400" s="32"/>
      <c r="S400" s="3" t="str">
        <f>IF($A400="","",IF(T400=0,"A",IF(T400=BA400,"E","A")))</f>
        <v>A</v>
      </c>
      <c r="T400" s="48">
        <v>32993</v>
      </c>
      <c r="U400" s="48">
        <v>9771</v>
      </c>
      <c r="V400" s="32"/>
      <c r="W400" s="3" t="str">
        <f t="shared" si="89"/>
        <v>A</v>
      </c>
      <c r="X400" s="48">
        <v>29481</v>
      </c>
      <c r="Y400" s="48">
        <v>10095</v>
      </c>
      <c r="Z400" s="32"/>
      <c r="AA400" s="3" t="str">
        <f t="shared" si="90"/>
        <v>A</v>
      </c>
      <c r="AB400" s="48">
        <v>34410</v>
      </c>
      <c r="AC400" s="48">
        <v>9037</v>
      </c>
      <c r="AD400" s="36"/>
      <c r="AE400" s="54"/>
      <c r="AF400" s="3" t="str">
        <f t="shared" si="91"/>
        <v>A</v>
      </c>
      <c r="AG400" s="48">
        <v>0</v>
      </c>
      <c r="AH400" s="48">
        <v>0</v>
      </c>
      <c r="AI400" s="39"/>
      <c r="AJ400" s="79" t="s">
        <v>1801</v>
      </c>
      <c r="AK400" s="39"/>
      <c r="AL400" s="4">
        <f t="shared" si="85"/>
        <v>136289</v>
      </c>
      <c r="AM400" s="4">
        <f t="shared" si="85"/>
        <v>42635</v>
      </c>
      <c r="AN400" s="4">
        <f t="shared" si="92"/>
        <v>178924</v>
      </c>
      <c r="AO400" s="39"/>
      <c r="AP400" s="8">
        <f t="shared" si="86"/>
        <v>0</v>
      </c>
      <c r="AQ400" s="8">
        <f t="shared" si="86"/>
        <v>0</v>
      </c>
      <c r="AR400" s="8">
        <f t="shared" si="93"/>
        <v>0</v>
      </c>
      <c r="AS400" s="42"/>
      <c r="AT400" s="48">
        <v>136289</v>
      </c>
      <c r="AU400" s="48">
        <v>42635</v>
      </c>
      <c r="AV400" s="4">
        <f t="shared" si="94"/>
        <v>178924</v>
      </c>
      <c r="AW400" s="50" t="str">
        <f t="shared" si="95"/>
        <v/>
      </c>
      <c r="AX400" s="1" t="s">
        <v>1639</v>
      </c>
      <c r="AY400" s="2" t="s">
        <v>1640</v>
      </c>
      <c r="AZ400" s="2">
        <v>73198.399999999994</v>
      </c>
      <c r="BA400" s="73">
        <v>64048.6</v>
      </c>
      <c r="BB400" s="73">
        <v>64048.6</v>
      </c>
      <c r="BC400" s="73">
        <v>73198.399999999994</v>
      </c>
      <c r="BD400" s="73"/>
      <c r="BE400" s="66">
        <v>0</v>
      </c>
      <c r="BF400" s="66">
        <v>0.02</v>
      </c>
      <c r="BG400" s="63">
        <v>45835</v>
      </c>
      <c r="BH400" s="2"/>
      <c r="BI400" s="2"/>
      <c r="BJ400" s="2"/>
      <c r="BK400" s="2"/>
      <c r="BL400" s="1" t="s">
        <v>56</v>
      </c>
    </row>
    <row r="401" spans="1:64" x14ac:dyDescent="0.25">
      <c r="A401" s="56" t="s">
        <v>865</v>
      </c>
      <c r="B401" s="54" t="s">
        <v>865</v>
      </c>
      <c r="C401" s="56" t="s">
        <v>866</v>
      </c>
      <c r="D401" s="16">
        <v>43816</v>
      </c>
      <c r="E401" s="17"/>
      <c r="F401" s="2" t="s">
        <v>243</v>
      </c>
      <c r="G401" s="2" t="s">
        <v>245</v>
      </c>
      <c r="H401" s="10" t="s">
        <v>57</v>
      </c>
      <c r="I401" s="11" t="s">
        <v>244</v>
      </c>
      <c r="J401" s="11" t="s">
        <v>486</v>
      </c>
      <c r="K401" s="61" t="s">
        <v>487</v>
      </c>
      <c r="L401" s="11" t="s">
        <v>67</v>
      </c>
      <c r="M401" s="25"/>
      <c r="N401" s="54"/>
      <c r="O401" s="3" t="str">
        <f>IF($A401="","",IF(P401=0,"A",IF(P401=AZ401,"E","A")))</f>
        <v>A</v>
      </c>
      <c r="P401" s="48">
        <v>31630.6</v>
      </c>
      <c r="Q401" s="48">
        <v>8965</v>
      </c>
      <c r="R401" s="32"/>
      <c r="S401" s="3" t="str">
        <f>IF($A401="","",IF(T401=0,"A",IF(T401=BA401,"E","A")))</f>
        <v>A</v>
      </c>
      <c r="T401" s="48">
        <v>28476</v>
      </c>
      <c r="U401" s="48">
        <v>8778</v>
      </c>
      <c r="V401" s="32"/>
      <c r="W401" s="3" t="str">
        <f t="shared" si="89"/>
        <v>A</v>
      </c>
      <c r="X401" s="48">
        <v>26207.010000000002</v>
      </c>
      <c r="Y401" s="48">
        <v>8637</v>
      </c>
      <c r="Z401" s="32"/>
      <c r="AA401" s="3" t="str">
        <f t="shared" si="90"/>
        <v>A</v>
      </c>
      <c r="AB401" s="48">
        <v>31048</v>
      </c>
      <c r="AC401" s="48">
        <v>6314</v>
      </c>
      <c r="AD401" s="36"/>
      <c r="AE401" s="54"/>
      <c r="AF401" s="3" t="str">
        <f t="shared" si="91"/>
        <v>A</v>
      </c>
      <c r="AG401" s="48">
        <v>0</v>
      </c>
      <c r="AH401" s="48">
        <v>0</v>
      </c>
      <c r="AI401" s="39"/>
      <c r="AJ401" s="79" t="s">
        <v>1801</v>
      </c>
      <c r="AK401" s="39"/>
      <c r="AL401" s="4">
        <f t="shared" si="85"/>
        <v>117361.61</v>
      </c>
      <c r="AM401" s="4">
        <f t="shared" si="85"/>
        <v>32694</v>
      </c>
      <c r="AN401" s="4">
        <f t="shared" si="92"/>
        <v>150055.60999999999</v>
      </c>
      <c r="AO401" s="39"/>
      <c r="AP401" s="8">
        <f t="shared" si="86"/>
        <v>0</v>
      </c>
      <c r="AQ401" s="8">
        <f t="shared" si="86"/>
        <v>0</v>
      </c>
      <c r="AR401" s="8">
        <f t="shared" si="93"/>
        <v>0</v>
      </c>
      <c r="AS401" s="42"/>
      <c r="AT401" s="48">
        <v>117361.61</v>
      </c>
      <c r="AU401" s="48">
        <v>32694</v>
      </c>
      <c r="AV401" s="4">
        <f t="shared" si="94"/>
        <v>150055.60999999999</v>
      </c>
      <c r="AW401" s="50" t="str">
        <f t="shared" si="95"/>
        <v/>
      </c>
      <c r="AX401" s="1" t="s">
        <v>1639</v>
      </c>
      <c r="AY401" s="2" t="s">
        <v>1640</v>
      </c>
      <c r="AZ401" s="2">
        <v>30912.48</v>
      </c>
      <c r="BA401" s="73">
        <v>27048.42</v>
      </c>
      <c r="BB401" s="73">
        <v>27048.42</v>
      </c>
      <c r="BC401" s="73">
        <v>30912.48</v>
      </c>
      <c r="BD401" s="73"/>
      <c r="BE401" s="66">
        <v>0</v>
      </c>
      <c r="BF401" s="66">
        <v>0.02</v>
      </c>
      <c r="BG401" s="63">
        <v>45630</v>
      </c>
      <c r="BH401" s="74">
        <v>44145</v>
      </c>
      <c r="BI401" s="74">
        <v>44270</v>
      </c>
      <c r="BJ401" s="2"/>
      <c r="BK401" s="2"/>
      <c r="BL401" s="1" t="s">
        <v>56</v>
      </c>
    </row>
    <row r="402" spans="1:64" x14ac:dyDescent="0.25">
      <c r="A402" s="56" t="s">
        <v>865</v>
      </c>
      <c r="B402" s="54" t="s">
        <v>1400</v>
      </c>
      <c r="C402" s="56" t="s">
        <v>1401</v>
      </c>
      <c r="D402" s="16">
        <v>0</v>
      </c>
      <c r="E402" s="17"/>
      <c r="F402" s="2" t="s">
        <v>243</v>
      </c>
      <c r="G402" s="2" t="s">
        <v>245</v>
      </c>
      <c r="H402" s="10" t="s">
        <v>57</v>
      </c>
      <c r="I402" s="11" t="s">
        <v>244</v>
      </c>
      <c r="J402" s="11" t="s">
        <v>486</v>
      </c>
      <c r="K402" s="61" t="s">
        <v>487</v>
      </c>
      <c r="L402" s="11" t="s">
        <v>67</v>
      </c>
      <c r="M402" s="25"/>
      <c r="N402" s="54"/>
      <c r="O402" s="3" t="str">
        <f>IF($A402="","",IF(P402=AZ402,"E","A"))</f>
        <v>A</v>
      </c>
      <c r="P402" s="48">
        <v>15261</v>
      </c>
      <c r="Q402" s="48">
        <v>5814</v>
      </c>
      <c r="R402" s="32"/>
      <c r="S402" s="3" t="str">
        <f>IF($A402="","",IF(T402=BA402,"E","A"))</f>
        <v>A</v>
      </c>
      <c r="T402" s="48">
        <v>13631</v>
      </c>
      <c r="U402" s="48">
        <v>3072</v>
      </c>
      <c r="V402" s="32"/>
      <c r="W402" s="3" t="str">
        <f t="shared" si="89"/>
        <v>A</v>
      </c>
      <c r="X402" s="48">
        <v>12664</v>
      </c>
      <c r="Y402" s="48">
        <v>2345</v>
      </c>
      <c r="Z402" s="32"/>
      <c r="AA402" s="3" t="str">
        <f t="shared" si="90"/>
        <v>A</v>
      </c>
      <c r="AB402" s="48">
        <v>14141</v>
      </c>
      <c r="AC402" s="48">
        <v>3697</v>
      </c>
      <c r="AD402" s="36"/>
      <c r="AE402" s="54"/>
      <c r="AF402" s="3" t="str">
        <f t="shared" si="91"/>
        <v>A</v>
      </c>
      <c r="AG402" s="48">
        <v>0</v>
      </c>
      <c r="AH402" s="48">
        <v>0</v>
      </c>
      <c r="AI402" s="39"/>
      <c r="AJ402" s="79" t="s">
        <v>1801</v>
      </c>
      <c r="AK402" s="39"/>
      <c r="AL402" s="4">
        <f t="shared" si="85"/>
        <v>55697</v>
      </c>
      <c r="AM402" s="4">
        <f t="shared" si="85"/>
        <v>14928</v>
      </c>
      <c r="AN402" s="4">
        <f t="shared" si="92"/>
        <v>70625</v>
      </c>
      <c r="AO402" s="39"/>
      <c r="AP402" s="8">
        <f t="shared" si="86"/>
        <v>0</v>
      </c>
      <c r="AQ402" s="8">
        <f t="shared" si="86"/>
        <v>0</v>
      </c>
      <c r="AR402" s="8">
        <f t="shared" si="93"/>
        <v>0</v>
      </c>
      <c r="AS402" s="42"/>
      <c r="AT402" s="48">
        <v>55697</v>
      </c>
      <c r="AU402" s="48">
        <v>14928</v>
      </c>
      <c r="AV402" s="4">
        <f t="shared" si="94"/>
        <v>70625</v>
      </c>
      <c r="AW402" s="50" t="str">
        <f t="shared" si="95"/>
        <v/>
      </c>
      <c r="AX402" s="1" t="s">
        <v>1639</v>
      </c>
      <c r="AY402" s="2" t="s">
        <v>1640</v>
      </c>
      <c r="AZ402" s="2">
        <v>28788.080000000002</v>
      </c>
      <c r="BA402" s="73">
        <v>25189.57</v>
      </c>
      <c r="BB402" s="73">
        <v>25189.57</v>
      </c>
      <c r="BC402" s="73">
        <v>28788.080000000002</v>
      </c>
      <c r="BD402" s="73"/>
      <c r="BE402" s="66">
        <v>0</v>
      </c>
      <c r="BF402" s="66">
        <v>0.02</v>
      </c>
      <c r="BG402" s="63">
        <v>45283</v>
      </c>
      <c r="BH402" s="2"/>
      <c r="BI402" s="2"/>
      <c r="BJ402" s="2">
        <v>109512</v>
      </c>
      <c r="BK402" s="2">
        <v>10001.879999999999</v>
      </c>
      <c r="BL402" s="1" t="s">
        <v>56</v>
      </c>
    </row>
    <row r="403" spans="1:64" x14ac:dyDescent="0.25">
      <c r="A403" s="56" t="s">
        <v>865</v>
      </c>
      <c r="B403" s="54" t="s">
        <v>1574</v>
      </c>
      <c r="C403" s="56" t="s">
        <v>1575</v>
      </c>
      <c r="D403" s="16">
        <v>43160</v>
      </c>
      <c r="E403" s="17"/>
      <c r="F403" s="2" t="s">
        <v>243</v>
      </c>
      <c r="G403" s="2" t="s">
        <v>245</v>
      </c>
      <c r="H403" s="10" t="s">
        <v>57</v>
      </c>
      <c r="I403" s="11" t="s">
        <v>244</v>
      </c>
      <c r="J403" s="11" t="s">
        <v>486</v>
      </c>
      <c r="K403" s="61" t="s">
        <v>487</v>
      </c>
      <c r="L403" s="11" t="s">
        <v>67</v>
      </c>
      <c r="M403" s="25"/>
      <c r="N403" s="54"/>
      <c r="O403" s="3" t="str">
        <f>IF($A403="","",IF(P403=AZ403,"E","A"))</f>
        <v>A</v>
      </c>
      <c r="P403" s="48">
        <v>12812</v>
      </c>
      <c r="Q403" s="48">
        <v>4003</v>
      </c>
      <c r="R403" s="32"/>
      <c r="S403" s="3" t="str">
        <f>IF($A403="","",IF(T403=BA403,"E","A"))</f>
        <v>A</v>
      </c>
      <c r="T403" s="48">
        <v>10543</v>
      </c>
      <c r="U403" s="48">
        <v>3517</v>
      </c>
      <c r="V403" s="32"/>
      <c r="W403" s="3" t="str">
        <f t="shared" si="89"/>
        <v>A</v>
      </c>
      <c r="X403" s="48">
        <v>12473</v>
      </c>
      <c r="Y403" s="48">
        <v>3913</v>
      </c>
      <c r="Z403" s="32"/>
      <c r="AA403" s="3" t="str">
        <f t="shared" si="90"/>
        <v>A</v>
      </c>
      <c r="AB403" s="48">
        <v>13953</v>
      </c>
      <c r="AC403" s="48">
        <v>4316</v>
      </c>
      <c r="AD403" s="36"/>
      <c r="AE403" s="54"/>
      <c r="AF403" s="3" t="str">
        <f t="shared" si="91"/>
        <v>A</v>
      </c>
      <c r="AG403" s="48">
        <v>0</v>
      </c>
      <c r="AH403" s="48">
        <v>0</v>
      </c>
      <c r="AI403" s="39"/>
      <c r="AJ403" s="79" t="s">
        <v>1801</v>
      </c>
      <c r="AK403" s="39"/>
      <c r="AL403" s="4">
        <f t="shared" si="85"/>
        <v>49781</v>
      </c>
      <c r="AM403" s="4">
        <f t="shared" si="85"/>
        <v>15749</v>
      </c>
      <c r="AN403" s="4">
        <f t="shared" si="92"/>
        <v>65530</v>
      </c>
      <c r="AO403" s="39"/>
      <c r="AP403" s="8">
        <f t="shared" si="86"/>
        <v>0</v>
      </c>
      <c r="AQ403" s="8">
        <f t="shared" si="86"/>
        <v>0</v>
      </c>
      <c r="AR403" s="8">
        <f t="shared" si="93"/>
        <v>0</v>
      </c>
      <c r="AS403" s="42"/>
      <c r="AT403" s="48">
        <v>49781</v>
      </c>
      <c r="AU403" s="48">
        <v>15749</v>
      </c>
      <c r="AV403" s="4">
        <f t="shared" si="94"/>
        <v>65530</v>
      </c>
      <c r="AW403" s="50" t="str">
        <f t="shared" si="95"/>
        <v/>
      </c>
      <c r="AX403" s="1" t="s">
        <v>1639</v>
      </c>
      <c r="AY403" s="2" t="s">
        <v>1640</v>
      </c>
      <c r="AZ403" s="2">
        <v>78142.8</v>
      </c>
      <c r="BA403" s="73">
        <v>68374.95</v>
      </c>
      <c r="BB403" s="73">
        <v>68374.95</v>
      </c>
      <c r="BC403" s="73">
        <v>78142.8</v>
      </c>
      <c r="BD403" s="73"/>
      <c r="BE403" s="66">
        <v>0</v>
      </c>
      <c r="BF403" s="66">
        <v>0.02</v>
      </c>
      <c r="BG403" s="63">
        <v>44977</v>
      </c>
      <c r="BH403" s="2"/>
      <c r="BI403" s="2"/>
      <c r="BJ403" s="2">
        <v>315361</v>
      </c>
      <c r="BK403" s="2">
        <v>31536</v>
      </c>
      <c r="BL403" s="1" t="s">
        <v>56</v>
      </c>
    </row>
    <row r="404" spans="1:64" x14ac:dyDescent="0.25">
      <c r="A404" s="56" t="s">
        <v>586</v>
      </c>
      <c r="B404" s="54" t="s">
        <v>587</v>
      </c>
      <c r="C404" s="56" t="s">
        <v>588</v>
      </c>
      <c r="D404" s="16">
        <v>43170</v>
      </c>
      <c r="E404" s="17"/>
      <c r="F404" s="2" t="s">
        <v>243</v>
      </c>
      <c r="G404" s="2" t="s">
        <v>245</v>
      </c>
      <c r="H404" s="10" t="s">
        <v>57</v>
      </c>
      <c r="I404" s="11" t="s">
        <v>244</v>
      </c>
      <c r="J404" s="11" t="s">
        <v>478</v>
      </c>
      <c r="K404" s="61" t="s">
        <v>479</v>
      </c>
      <c r="L404" s="11" t="s">
        <v>67</v>
      </c>
      <c r="M404" s="25"/>
      <c r="N404" s="54"/>
      <c r="O404" s="3" t="str">
        <f>IF($A404="","",IF(P404=0,"A",IF(P404=AZ404,"E","A")))</f>
        <v>A</v>
      </c>
      <c r="P404" s="48">
        <v>7215</v>
      </c>
      <c r="Q404" s="48">
        <v>4113</v>
      </c>
      <c r="R404" s="32"/>
      <c r="S404" s="3" t="str">
        <f>IF($A404="","",IF(T404=0,"A",IF(T404=BA404,"E","A")))</f>
        <v>A</v>
      </c>
      <c r="T404" s="48">
        <v>4683</v>
      </c>
      <c r="U404" s="48">
        <v>4539</v>
      </c>
      <c r="V404" s="32"/>
      <c r="W404" s="3" t="str">
        <f t="shared" si="89"/>
        <v>A</v>
      </c>
      <c r="X404" s="48">
        <v>4801</v>
      </c>
      <c r="Y404" s="48">
        <v>2786</v>
      </c>
      <c r="Z404" s="32"/>
      <c r="AA404" s="3" t="str">
        <f t="shared" si="90"/>
        <v>A</v>
      </c>
      <c r="AB404" s="48">
        <v>5125</v>
      </c>
      <c r="AC404" s="48">
        <v>2284</v>
      </c>
      <c r="AD404" s="36"/>
      <c r="AE404" s="54"/>
      <c r="AF404" s="3" t="str">
        <f t="shared" si="91"/>
        <v>A</v>
      </c>
      <c r="AG404" s="48">
        <v>0</v>
      </c>
      <c r="AH404" s="48">
        <v>0</v>
      </c>
      <c r="AI404" s="39"/>
      <c r="AJ404" s="79" t="s">
        <v>1801</v>
      </c>
      <c r="AK404" s="39"/>
      <c r="AL404" s="4">
        <f t="shared" si="85"/>
        <v>21824</v>
      </c>
      <c r="AM404" s="4">
        <f t="shared" si="85"/>
        <v>13722</v>
      </c>
      <c r="AN404" s="4">
        <f t="shared" si="92"/>
        <v>35546</v>
      </c>
      <c r="AO404" s="39"/>
      <c r="AP404" s="8">
        <f t="shared" si="86"/>
        <v>0</v>
      </c>
      <c r="AQ404" s="8">
        <f t="shared" si="86"/>
        <v>0</v>
      </c>
      <c r="AR404" s="8">
        <f t="shared" si="93"/>
        <v>0</v>
      </c>
      <c r="AS404" s="42"/>
      <c r="AT404" s="48">
        <v>21824</v>
      </c>
      <c r="AU404" s="48">
        <v>13722</v>
      </c>
      <c r="AV404" s="4">
        <f t="shared" si="94"/>
        <v>35546</v>
      </c>
      <c r="AW404" s="50" t="str">
        <f t="shared" si="95"/>
        <v/>
      </c>
      <c r="AX404" s="1" t="s">
        <v>1639</v>
      </c>
      <c r="AY404" s="2" t="s">
        <v>1640</v>
      </c>
      <c r="AZ404" s="2">
        <v>25694.720000000001</v>
      </c>
      <c r="BA404" s="73">
        <v>22482.880000000001</v>
      </c>
      <c r="BB404" s="73">
        <v>22482.880000000001</v>
      </c>
      <c r="BC404" s="73">
        <v>25694.720000000001</v>
      </c>
      <c r="BD404" s="73"/>
      <c r="BE404" s="66">
        <v>0</v>
      </c>
      <c r="BF404" s="66">
        <v>0.02</v>
      </c>
      <c r="BG404" s="63">
        <v>44985</v>
      </c>
      <c r="BH404" s="74">
        <v>43916</v>
      </c>
      <c r="BI404" s="74">
        <v>43937</v>
      </c>
      <c r="BJ404" s="2"/>
      <c r="BK404" s="2"/>
      <c r="BL404" s="1" t="s">
        <v>396</v>
      </c>
    </row>
    <row r="405" spans="1:64" x14ac:dyDescent="0.25">
      <c r="A405" s="56" t="s">
        <v>586</v>
      </c>
      <c r="B405" s="54" t="s">
        <v>586</v>
      </c>
      <c r="C405" s="56" t="s">
        <v>867</v>
      </c>
      <c r="D405" s="16">
        <v>0</v>
      </c>
      <c r="E405" s="17"/>
      <c r="F405" s="2" t="s">
        <v>243</v>
      </c>
      <c r="G405" s="2" t="s">
        <v>245</v>
      </c>
      <c r="H405" s="10" t="s">
        <v>57</v>
      </c>
      <c r="I405" s="11" t="s">
        <v>244</v>
      </c>
      <c r="J405" s="11" t="s">
        <v>478</v>
      </c>
      <c r="K405" s="61" t="s">
        <v>479</v>
      </c>
      <c r="L405" s="11" t="s">
        <v>67</v>
      </c>
      <c r="M405" s="25"/>
      <c r="N405" s="54"/>
      <c r="O405" s="3" t="str">
        <f>IF($A405="","",IF(P405=0,"A",IF(P405=AZ405,"E","A")))</f>
        <v>A</v>
      </c>
      <c r="P405" s="48">
        <v>87038</v>
      </c>
      <c r="Q405" s="48">
        <v>8486</v>
      </c>
      <c r="R405" s="32"/>
      <c r="S405" s="3" t="str">
        <f>IF($A405="","",IF(T405=0,"A",IF(T405=BA405,"E","A")))</f>
        <v>A</v>
      </c>
      <c r="T405" s="48">
        <v>75136</v>
      </c>
      <c r="U405" s="48">
        <v>10125</v>
      </c>
      <c r="V405" s="32"/>
      <c r="W405" s="3" t="str">
        <f t="shared" si="89"/>
        <v>A</v>
      </c>
      <c r="X405" s="48">
        <v>60953.5</v>
      </c>
      <c r="Y405" s="48">
        <v>5545</v>
      </c>
      <c r="Z405" s="32"/>
      <c r="AA405" s="3" t="str">
        <f t="shared" si="90"/>
        <v>A</v>
      </c>
      <c r="AB405" s="48">
        <v>65261</v>
      </c>
      <c r="AC405" s="48">
        <v>5271</v>
      </c>
      <c r="AD405" s="36"/>
      <c r="AE405" s="54"/>
      <c r="AF405" s="3" t="str">
        <f t="shared" si="91"/>
        <v>A</v>
      </c>
      <c r="AG405" s="48">
        <v>0</v>
      </c>
      <c r="AH405" s="48">
        <v>0</v>
      </c>
      <c r="AI405" s="39"/>
      <c r="AJ405" s="79" t="s">
        <v>1801</v>
      </c>
      <c r="AK405" s="39"/>
      <c r="AL405" s="4">
        <f t="shared" si="85"/>
        <v>288388.5</v>
      </c>
      <c r="AM405" s="4">
        <f t="shared" si="85"/>
        <v>29427</v>
      </c>
      <c r="AN405" s="4">
        <f t="shared" si="92"/>
        <v>317815.5</v>
      </c>
      <c r="AO405" s="39"/>
      <c r="AP405" s="8">
        <f t="shared" si="86"/>
        <v>0</v>
      </c>
      <c r="AQ405" s="8">
        <f t="shared" si="86"/>
        <v>0</v>
      </c>
      <c r="AR405" s="8">
        <f t="shared" si="93"/>
        <v>0</v>
      </c>
      <c r="AS405" s="42"/>
      <c r="AT405" s="48">
        <v>288388.5</v>
      </c>
      <c r="AU405" s="48">
        <v>29427</v>
      </c>
      <c r="AV405" s="4">
        <f t="shared" si="94"/>
        <v>317815.5</v>
      </c>
      <c r="AW405" s="50" t="str">
        <f t="shared" si="95"/>
        <v/>
      </c>
      <c r="AX405" s="1" t="s">
        <v>1639</v>
      </c>
      <c r="AY405" s="2" t="s">
        <v>1640</v>
      </c>
      <c r="AZ405" s="2">
        <v>0</v>
      </c>
      <c r="BA405" s="73">
        <v>0</v>
      </c>
      <c r="BB405" s="73">
        <v>0</v>
      </c>
      <c r="BC405" s="73">
        <v>0</v>
      </c>
      <c r="BD405" s="73"/>
      <c r="BE405" s="66">
        <v>0</v>
      </c>
      <c r="BF405" s="66">
        <v>0.02</v>
      </c>
      <c r="BG405" s="63">
        <v>44260</v>
      </c>
      <c r="BH405" s="2"/>
      <c r="BI405" s="2"/>
      <c r="BJ405" s="2"/>
      <c r="BK405" s="2"/>
      <c r="BL405" s="1" t="s">
        <v>396</v>
      </c>
    </row>
    <row r="406" spans="1:64" x14ac:dyDescent="0.25">
      <c r="A406" s="56" t="s">
        <v>586</v>
      </c>
      <c r="B406" s="54" t="s">
        <v>1394</v>
      </c>
      <c r="C406" s="56" t="s">
        <v>1395</v>
      </c>
      <c r="D406" s="16">
        <v>45348</v>
      </c>
      <c r="E406" s="17"/>
      <c r="F406" s="2" t="s">
        <v>243</v>
      </c>
      <c r="G406" s="2" t="s">
        <v>245</v>
      </c>
      <c r="H406" s="10" t="s">
        <v>57</v>
      </c>
      <c r="I406" s="11" t="s">
        <v>244</v>
      </c>
      <c r="J406" s="11" t="s">
        <v>478</v>
      </c>
      <c r="K406" s="61" t="s">
        <v>479</v>
      </c>
      <c r="L406" s="11" t="s">
        <v>67</v>
      </c>
      <c r="M406" s="25"/>
      <c r="N406" s="54"/>
      <c r="O406" s="3" t="str">
        <f>IF($A406="","",IF(P406=AZ406,"E","A"))</f>
        <v>A</v>
      </c>
      <c r="P406" s="48">
        <v>35396.35</v>
      </c>
      <c r="Q406" s="48">
        <v>10050</v>
      </c>
      <c r="R406" s="32"/>
      <c r="S406" s="3" t="str">
        <f>IF($A406="","",IF(T406=BA406,"E","A"))</f>
        <v>A</v>
      </c>
      <c r="T406" s="48">
        <v>34208</v>
      </c>
      <c r="U406" s="48">
        <v>8905</v>
      </c>
      <c r="V406" s="32"/>
      <c r="W406" s="3" t="str">
        <f t="shared" si="89"/>
        <v>A</v>
      </c>
      <c r="X406" s="48">
        <v>25271</v>
      </c>
      <c r="Y406" s="48">
        <v>7745</v>
      </c>
      <c r="Z406" s="32"/>
      <c r="AA406" s="3" t="str">
        <f t="shared" si="90"/>
        <v>A</v>
      </c>
      <c r="AB406" s="48">
        <v>25569.1</v>
      </c>
      <c r="AC406" s="48">
        <v>6870</v>
      </c>
      <c r="AD406" s="36"/>
      <c r="AE406" s="54"/>
      <c r="AF406" s="3" t="str">
        <f t="shared" si="91"/>
        <v>A</v>
      </c>
      <c r="AG406" s="48">
        <v>0</v>
      </c>
      <c r="AH406" s="48">
        <v>0</v>
      </c>
      <c r="AI406" s="39"/>
      <c r="AJ406" s="79" t="s">
        <v>1801</v>
      </c>
      <c r="AK406" s="39"/>
      <c r="AL406" s="4">
        <f t="shared" si="85"/>
        <v>120444.45000000001</v>
      </c>
      <c r="AM406" s="4">
        <f t="shared" si="85"/>
        <v>33570</v>
      </c>
      <c r="AN406" s="4">
        <f t="shared" si="92"/>
        <v>154014.45000000001</v>
      </c>
      <c r="AO406" s="39"/>
      <c r="AP406" s="8">
        <f t="shared" si="86"/>
        <v>0</v>
      </c>
      <c r="AQ406" s="8">
        <f t="shared" si="86"/>
        <v>0</v>
      </c>
      <c r="AR406" s="8">
        <f t="shared" si="93"/>
        <v>0</v>
      </c>
      <c r="AS406" s="42"/>
      <c r="AT406" s="48">
        <v>120444.45000000001</v>
      </c>
      <c r="AU406" s="48">
        <v>33570</v>
      </c>
      <c r="AV406" s="4">
        <f t="shared" si="94"/>
        <v>154014.45000000001</v>
      </c>
      <c r="AW406" s="50" t="str">
        <f t="shared" si="95"/>
        <v/>
      </c>
      <c r="AX406" s="1" t="s">
        <v>1639</v>
      </c>
      <c r="AY406" s="2" t="s">
        <v>1640</v>
      </c>
      <c r="AZ406" s="2">
        <v>154430.24</v>
      </c>
      <c r="BA406" s="73">
        <v>135126.46</v>
      </c>
      <c r="BB406" s="73">
        <v>135126.46</v>
      </c>
      <c r="BC406" s="73">
        <v>154430.24</v>
      </c>
      <c r="BD406" s="73"/>
      <c r="BE406" s="66">
        <v>0</v>
      </c>
      <c r="BF406" s="66">
        <v>0.02</v>
      </c>
      <c r="BG406" s="63">
        <v>45348</v>
      </c>
      <c r="BH406" s="2"/>
      <c r="BI406" s="2"/>
      <c r="BJ406" s="2">
        <v>558000</v>
      </c>
      <c r="BK406" s="2">
        <v>29295</v>
      </c>
      <c r="BL406" s="1" t="s">
        <v>396</v>
      </c>
    </row>
    <row r="407" spans="1:64" x14ac:dyDescent="0.25">
      <c r="A407" s="56" t="s">
        <v>871</v>
      </c>
      <c r="B407" s="54" t="s">
        <v>871</v>
      </c>
      <c r="C407" s="56" t="s">
        <v>872</v>
      </c>
      <c r="D407" s="16">
        <v>43791</v>
      </c>
      <c r="E407" s="17"/>
      <c r="F407" s="2" t="s">
        <v>52</v>
      </c>
      <c r="G407" s="2" t="s">
        <v>55</v>
      </c>
      <c r="H407" s="10" t="s">
        <v>57</v>
      </c>
      <c r="I407" s="11" t="s">
        <v>54</v>
      </c>
      <c r="J407" s="11" t="s">
        <v>58</v>
      </c>
      <c r="K407" s="61" t="s">
        <v>59</v>
      </c>
      <c r="L407" s="11" t="s">
        <v>67</v>
      </c>
      <c r="M407" s="25"/>
      <c r="N407" s="54"/>
      <c r="O407" s="3" t="str">
        <f t="shared" ref="O407:O428" si="96">IF($A407="","",IF(P407=0,"A",IF(P407=AZ407,"E","A")))</f>
        <v>A</v>
      </c>
      <c r="P407" s="48">
        <v>0</v>
      </c>
      <c r="Q407" s="48">
        <v>0</v>
      </c>
      <c r="R407" s="32"/>
      <c r="S407" s="3" t="str">
        <f t="shared" ref="S407:S428" si="97">IF($A407="","",IF(T407=0,"A",IF(T407=BA407,"E","A")))</f>
        <v>A</v>
      </c>
      <c r="T407" s="48">
        <v>8031</v>
      </c>
      <c r="U407" s="48">
        <v>2971</v>
      </c>
      <c r="V407" s="32"/>
      <c r="W407" s="3" t="str">
        <f t="shared" si="89"/>
        <v>A</v>
      </c>
      <c r="X407" s="48">
        <v>56980</v>
      </c>
      <c r="Y407" s="48">
        <v>18912</v>
      </c>
      <c r="Z407" s="32"/>
      <c r="AA407" s="3" t="str">
        <f t="shared" si="90"/>
        <v>A</v>
      </c>
      <c r="AB407" s="48">
        <v>64517</v>
      </c>
      <c r="AC407" s="48">
        <v>21066</v>
      </c>
      <c r="AD407" s="36"/>
      <c r="AE407" s="54"/>
      <c r="AF407" s="3" t="str">
        <f t="shared" si="91"/>
        <v>A</v>
      </c>
      <c r="AG407" s="48">
        <v>0</v>
      </c>
      <c r="AH407" s="48">
        <v>0</v>
      </c>
      <c r="AI407" s="39"/>
      <c r="AJ407" s="79" t="s">
        <v>1801</v>
      </c>
      <c r="AK407" s="39"/>
      <c r="AL407" s="4">
        <f t="shared" si="85"/>
        <v>129528</v>
      </c>
      <c r="AM407" s="4">
        <f t="shared" si="85"/>
        <v>42949</v>
      </c>
      <c r="AN407" s="4">
        <f t="shared" si="92"/>
        <v>172477</v>
      </c>
      <c r="AO407" s="39"/>
      <c r="AP407" s="8">
        <f t="shared" si="86"/>
        <v>0</v>
      </c>
      <c r="AQ407" s="8">
        <f t="shared" si="86"/>
        <v>0</v>
      </c>
      <c r="AR407" s="8">
        <f t="shared" si="93"/>
        <v>0</v>
      </c>
      <c r="AS407" s="42"/>
      <c r="AT407" s="48">
        <v>129528</v>
      </c>
      <c r="AU407" s="48">
        <v>42949</v>
      </c>
      <c r="AV407" s="4">
        <f t="shared" si="94"/>
        <v>172477</v>
      </c>
      <c r="AW407" s="50" t="str">
        <f t="shared" si="95"/>
        <v/>
      </c>
      <c r="AX407" s="1" t="s">
        <v>1639</v>
      </c>
      <c r="AY407" s="2" t="s">
        <v>1640</v>
      </c>
      <c r="AZ407" s="2">
        <v>81553.679999999993</v>
      </c>
      <c r="BA407" s="73">
        <v>71359.47</v>
      </c>
      <c r="BB407" s="73">
        <v>71359.47</v>
      </c>
      <c r="BC407" s="73">
        <v>81553.679999999993</v>
      </c>
      <c r="BD407" s="73"/>
      <c r="BE407" s="66">
        <v>0</v>
      </c>
      <c r="BF407" s="66">
        <v>0.02</v>
      </c>
      <c r="BG407" s="63">
        <v>45657</v>
      </c>
      <c r="BH407" s="2"/>
      <c r="BI407" s="2"/>
      <c r="BJ407" s="2"/>
      <c r="BK407" s="2"/>
      <c r="BL407" s="1" t="s">
        <v>56</v>
      </c>
    </row>
    <row r="408" spans="1:64" x14ac:dyDescent="0.25">
      <c r="A408" s="56" t="s">
        <v>873</v>
      </c>
      <c r="B408" s="54" t="s">
        <v>873</v>
      </c>
      <c r="C408" s="56" t="s">
        <v>874</v>
      </c>
      <c r="D408" s="16">
        <v>44338</v>
      </c>
      <c r="E408" s="17"/>
      <c r="F408" s="2" t="s">
        <v>414</v>
      </c>
      <c r="G408" s="2" t="s">
        <v>415</v>
      </c>
      <c r="H408" s="10" t="s">
        <v>105</v>
      </c>
      <c r="I408" s="11" t="s">
        <v>53</v>
      </c>
      <c r="J408" s="11" t="s">
        <v>312</v>
      </c>
      <c r="K408" s="61"/>
      <c r="L408" s="11" t="s">
        <v>67</v>
      </c>
      <c r="M408" s="25"/>
      <c r="N408" s="54"/>
      <c r="O408" s="3" t="str">
        <f t="shared" si="96"/>
        <v>E</v>
      </c>
      <c r="P408" s="48">
        <v>345264.32</v>
      </c>
      <c r="Q408" s="48">
        <v>36246</v>
      </c>
      <c r="R408" s="32"/>
      <c r="S408" s="3" t="str">
        <f t="shared" si="97"/>
        <v>E</v>
      </c>
      <c r="T408" s="48">
        <v>302106.28000000003</v>
      </c>
      <c r="U408" s="48">
        <v>31715.25</v>
      </c>
      <c r="V408" s="32"/>
      <c r="W408" s="3" t="str">
        <f t="shared" si="89"/>
        <v>E</v>
      </c>
      <c r="X408" s="48">
        <v>302106.28000000003</v>
      </c>
      <c r="Y408" s="48">
        <v>31715.25</v>
      </c>
      <c r="Z408" s="32"/>
      <c r="AA408" s="3" t="str">
        <f t="shared" si="90"/>
        <v>E</v>
      </c>
      <c r="AB408" s="48">
        <v>345264.32</v>
      </c>
      <c r="AC408" s="48">
        <v>36246</v>
      </c>
      <c r="AD408" s="36"/>
      <c r="AE408" s="54"/>
      <c r="AF408" s="3" t="str">
        <f t="shared" si="91"/>
        <v>A</v>
      </c>
      <c r="AG408" s="48"/>
      <c r="AH408" s="48"/>
      <c r="AI408" s="39"/>
      <c r="AJ408" s="79" t="s">
        <v>38</v>
      </c>
      <c r="AK408" s="39"/>
      <c r="AL408" s="4">
        <f t="shared" ref="AL408:AM471" si="98">IF($O408="A",P408,0)+IF($S408="A",T408,0)+IF($W408="A",X408,0)+IF($AA408="A",AB408,0)+IF($AF408="A",AG408,0)</f>
        <v>0</v>
      </c>
      <c r="AM408" s="4">
        <f t="shared" si="98"/>
        <v>0</v>
      </c>
      <c r="AN408" s="4">
        <f t="shared" si="92"/>
        <v>0</v>
      </c>
      <c r="AO408" s="39"/>
      <c r="AP408" s="8">
        <f t="shared" ref="AP408:AQ471" si="99">IF($O408="E",P408,0)+IF($S408="E",T408,0)+IF($W408="E",X408,0)+IF($AA408="E",AB408,0)+IF($AF408="E",AG408,0)</f>
        <v>1294741.2000000002</v>
      </c>
      <c r="AQ408" s="8">
        <f t="shared" si="99"/>
        <v>135922.5</v>
      </c>
      <c r="AR408" s="8">
        <f t="shared" si="93"/>
        <v>1430663.7000000002</v>
      </c>
      <c r="AS408" s="42"/>
      <c r="AT408" s="48"/>
      <c r="AU408" s="48"/>
      <c r="AV408" s="4">
        <f t="shared" si="94"/>
        <v>0</v>
      </c>
      <c r="AW408" s="50" t="str">
        <f t="shared" si="95"/>
        <v/>
      </c>
      <c r="AX408" s="1" t="s">
        <v>1703</v>
      </c>
      <c r="AY408" s="2" t="s">
        <v>1704</v>
      </c>
      <c r="AZ408" s="2">
        <v>345264.32</v>
      </c>
      <c r="BA408" s="73">
        <v>302106.28000000003</v>
      </c>
      <c r="BB408" s="73">
        <v>302106.28000000003</v>
      </c>
      <c r="BC408" s="73">
        <v>345264.32</v>
      </c>
      <c r="BD408" s="73"/>
      <c r="BE408" s="66">
        <v>0</v>
      </c>
      <c r="BF408" s="66">
        <v>0.05</v>
      </c>
      <c r="BG408" s="63">
        <v>44333</v>
      </c>
      <c r="BH408" s="2"/>
      <c r="BI408" s="2"/>
      <c r="BJ408" s="2">
        <v>406204.2</v>
      </c>
      <c r="BK408" s="2">
        <v>45133.8</v>
      </c>
      <c r="BL408" s="1" t="s">
        <v>311</v>
      </c>
    </row>
    <row r="409" spans="1:64" x14ac:dyDescent="0.25">
      <c r="A409" s="56" t="s">
        <v>448</v>
      </c>
      <c r="B409" s="54" t="s">
        <v>449</v>
      </c>
      <c r="C409" s="56" t="s">
        <v>450</v>
      </c>
      <c r="D409" s="16">
        <v>41488</v>
      </c>
      <c r="E409" s="17"/>
      <c r="F409" s="2" t="s">
        <v>243</v>
      </c>
      <c r="G409" s="2" t="s">
        <v>245</v>
      </c>
      <c r="H409" s="10" t="s">
        <v>105</v>
      </c>
      <c r="I409" s="11" t="s">
        <v>244</v>
      </c>
      <c r="J409" s="11" t="s">
        <v>451</v>
      </c>
      <c r="K409" s="61" t="s">
        <v>335</v>
      </c>
      <c r="L409" s="11" t="s">
        <v>67</v>
      </c>
      <c r="M409" s="25"/>
      <c r="N409" s="54"/>
      <c r="O409" s="3" t="str">
        <f t="shared" si="96"/>
        <v>A</v>
      </c>
      <c r="P409" s="48">
        <v>77590</v>
      </c>
      <c r="Q409" s="48">
        <v>19485</v>
      </c>
      <c r="R409" s="32"/>
      <c r="S409" s="3" t="str">
        <f t="shared" si="97"/>
        <v>A</v>
      </c>
      <c r="T409" s="48">
        <v>67885</v>
      </c>
      <c r="U409" s="48">
        <v>16296</v>
      </c>
      <c r="V409" s="32"/>
      <c r="W409" s="3" t="str">
        <f t="shared" si="89"/>
        <v>A</v>
      </c>
      <c r="X409" s="48">
        <v>61538</v>
      </c>
      <c r="Y409" s="48">
        <v>11865</v>
      </c>
      <c r="Z409" s="32"/>
      <c r="AA409" s="3" t="str">
        <f t="shared" si="90"/>
        <v>A</v>
      </c>
      <c r="AB409" s="48">
        <v>65749</v>
      </c>
      <c r="AC409" s="48">
        <v>11266</v>
      </c>
      <c r="AD409" s="36"/>
      <c r="AE409" s="54"/>
      <c r="AF409" s="3" t="str">
        <f t="shared" si="91"/>
        <v>A</v>
      </c>
      <c r="AG409" s="48">
        <v>0</v>
      </c>
      <c r="AH409" s="48">
        <v>0</v>
      </c>
      <c r="AI409" s="39"/>
      <c r="AJ409" s="79" t="s">
        <v>1801</v>
      </c>
      <c r="AK409" s="39"/>
      <c r="AL409" s="4">
        <f t="shared" si="98"/>
        <v>272762</v>
      </c>
      <c r="AM409" s="4">
        <f t="shared" si="98"/>
        <v>58912</v>
      </c>
      <c r="AN409" s="4">
        <f t="shared" si="92"/>
        <v>331674</v>
      </c>
      <c r="AO409" s="39"/>
      <c r="AP409" s="8">
        <f t="shared" si="99"/>
        <v>0</v>
      </c>
      <c r="AQ409" s="8">
        <f t="shared" si="99"/>
        <v>0</v>
      </c>
      <c r="AR409" s="8">
        <f t="shared" si="93"/>
        <v>0</v>
      </c>
      <c r="AS409" s="42"/>
      <c r="AT409" s="48">
        <v>272762</v>
      </c>
      <c r="AU409" s="48">
        <v>58912</v>
      </c>
      <c r="AV409" s="4">
        <f t="shared" si="94"/>
        <v>331674</v>
      </c>
      <c r="AW409" s="50" t="str">
        <f t="shared" si="95"/>
        <v/>
      </c>
      <c r="AX409" s="1" t="s">
        <v>1639</v>
      </c>
      <c r="AY409" s="2" t="s">
        <v>1640</v>
      </c>
      <c r="AZ409" s="2">
        <v>74535.839999999997</v>
      </c>
      <c r="BA409" s="73">
        <v>65218.86</v>
      </c>
      <c r="BB409" s="73">
        <v>65218.86</v>
      </c>
      <c r="BC409" s="73">
        <v>74535.839999999997</v>
      </c>
      <c r="BD409" s="73"/>
      <c r="BE409" s="66">
        <v>3.5000000000000003E-2</v>
      </c>
      <c r="BF409" s="66">
        <v>0.02</v>
      </c>
      <c r="BG409" s="63">
        <v>45105</v>
      </c>
      <c r="BH409" s="74">
        <v>44154</v>
      </c>
      <c r="BI409" s="74">
        <v>44167</v>
      </c>
      <c r="BJ409" s="2"/>
      <c r="BK409" s="2"/>
      <c r="BL409" s="1" t="s">
        <v>219</v>
      </c>
    </row>
    <row r="410" spans="1:64" x14ac:dyDescent="0.25">
      <c r="A410" s="56" t="s">
        <v>448</v>
      </c>
      <c r="B410" s="54" t="s">
        <v>448</v>
      </c>
      <c r="C410" s="56" t="s">
        <v>879</v>
      </c>
      <c r="D410" s="16">
        <v>0</v>
      </c>
      <c r="E410" s="17"/>
      <c r="F410" s="2" t="s">
        <v>243</v>
      </c>
      <c r="G410" s="2" t="s">
        <v>245</v>
      </c>
      <c r="H410" s="10" t="s">
        <v>105</v>
      </c>
      <c r="I410" s="11" t="s">
        <v>244</v>
      </c>
      <c r="J410" s="11" t="s">
        <v>451</v>
      </c>
      <c r="K410" s="61" t="s">
        <v>335</v>
      </c>
      <c r="L410" s="11" t="s">
        <v>67</v>
      </c>
      <c r="M410" s="25"/>
      <c r="N410" s="54"/>
      <c r="O410" s="3" t="str">
        <f t="shared" si="96"/>
        <v>A</v>
      </c>
      <c r="P410" s="48">
        <v>65211</v>
      </c>
      <c r="Q410" s="48">
        <v>16020</v>
      </c>
      <c r="R410" s="32"/>
      <c r="S410" s="3" t="str">
        <f t="shared" si="97"/>
        <v>A</v>
      </c>
      <c r="T410" s="48">
        <v>55344</v>
      </c>
      <c r="U410" s="48">
        <v>14022</v>
      </c>
      <c r="V410" s="32"/>
      <c r="W410" s="3" t="str">
        <f t="shared" si="89"/>
        <v>A</v>
      </c>
      <c r="X410" s="48">
        <v>54339</v>
      </c>
      <c r="Y410" s="48">
        <v>10512</v>
      </c>
      <c r="Z410" s="32"/>
      <c r="AA410" s="3" t="str">
        <f t="shared" si="90"/>
        <v>A</v>
      </c>
      <c r="AB410" s="48">
        <v>53241</v>
      </c>
      <c r="AC410" s="48">
        <v>9712</v>
      </c>
      <c r="AD410" s="36"/>
      <c r="AE410" s="54"/>
      <c r="AF410" s="3" t="str">
        <f t="shared" si="91"/>
        <v>A</v>
      </c>
      <c r="AG410" s="48">
        <v>0</v>
      </c>
      <c r="AH410" s="48">
        <v>0</v>
      </c>
      <c r="AI410" s="39"/>
      <c r="AJ410" s="79" t="s">
        <v>1801</v>
      </c>
      <c r="AK410" s="39"/>
      <c r="AL410" s="4">
        <f t="shared" si="98"/>
        <v>228135</v>
      </c>
      <c r="AM410" s="4">
        <f t="shared" si="98"/>
        <v>50266</v>
      </c>
      <c r="AN410" s="4">
        <f t="shared" si="92"/>
        <v>278401</v>
      </c>
      <c r="AO410" s="39"/>
      <c r="AP410" s="8">
        <f t="shared" si="99"/>
        <v>0</v>
      </c>
      <c r="AQ410" s="8">
        <f t="shared" si="99"/>
        <v>0</v>
      </c>
      <c r="AR410" s="8">
        <f t="shared" si="93"/>
        <v>0</v>
      </c>
      <c r="AS410" s="42"/>
      <c r="AT410" s="48">
        <v>228135</v>
      </c>
      <c r="AU410" s="48">
        <v>50266</v>
      </c>
      <c r="AV410" s="4">
        <f t="shared" si="94"/>
        <v>278401</v>
      </c>
      <c r="AW410" s="50" t="str">
        <f t="shared" si="95"/>
        <v/>
      </c>
      <c r="AX410" s="1" t="s">
        <v>1639</v>
      </c>
      <c r="AY410" s="2" t="s">
        <v>1640</v>
      </c>
      <c r="AZ410" s="2">
        <v>81874</v>
      </c>
      <c r="BA410" s="73">
        <v>71639.75</v>
      </c>
      <c r="BB410" s="73">
        <v>71639.75</v>
      </c>
      <c r="BC410" s="73">
        <v>81874</v>
      </c>
      <c r="BD410" s="73"/>
      <c r="BE410" s="66">
        <v>0</v>
      </c>
      <c r="BF410" s="66">
        <v>0.02</v>
      </c>
      <c r="BG410" s="63">
        <v>45629</v>
      </c>
      <c r="BH410" s="2"/>
      <c r="BI410" s="2"/>
      <c r="BJ410" s="2"/>
      <c r="BK410" s="2"/>
      <c r="BL410" s="1" t="s">
        <v>219</v>
      </c>
    </row>
    <row r="411" spans="1:64" x14ac:dyDescent="0.25">
      <c r="A411" s="56" t="s">
        <v>882</v>
      </c>
      <c r="B411" s="54" t="s">
        <v>882</v>
      </c>
      <c r="C411" s="56" t="s">
        <v>883</v>
      </c>
      <c r="D411" s="16">
        <v>44000</v>
      </c>
      <c r="E411" s="17"/>
      <c r="F411" s="2" t="s">
        <v>52</v>
      </c>
      <c r="G411" s="2" t="s">
        <v>55</v>
      </c>
      <c r="H411" s="10" t="s">
        <v>57</v>
      </c>
      <c r="I411" s="11" t="s">
        <v>54</v>
      </c>
      <c r="J411" s="11" t="s">
        <v>620</v>
      </c>
      <c r="K411" s="61" t="s">
        <v>621</v>
      </c>
      <c r="L411" s="11" t="s">
        <v>67</v>
      </c>
      <c r="M411" s="25"/>
      <c r="N411" s="54"/>
      <c r="O411" s="3" t="str">
        <f t="shared" si="96"/>
        <v>A</v>
      </c>
      <c r="P411" s="48">
        <v>55019</v>
      </c>
      <c r="Q411" s="48">
        <v>13386</v>
      </c>
      <c r="R411" s="32"/>
      <c r="S411" s="3" t="str">
        <f t="shared" si="97"/>
        <v>A</v>
      </c>
      <c r="T411" s="48">
        <v>47555</v>
      </c>
      <c r="U411" s="48">
        <v>13656</v>
      </c>
      <c r="V411" s="32"/>
      <c r="W411" s="3" t="str">
        <f t="shared" si="89"/>
        <v>A</v>
      </c>
      <c r="X411" s="48">
        <v>42456</v>
      </c>
      <c r="Y411" s="48">
        <v>9943</v>
      </c>
      <c r="Z411" s="32"/>
      <c r="AA411" s="3" t="str">
        <f t="shared" si="90"/>
        <v>A</v>
      </c>
      <c r="AB411" s="48">
        <v>55792</v>
      </c>
      <c r="AC411" s="48">
        <v>11253</v>
      </c>
      <c r="AD411" s="36"/>
      <c r="AE411" s="54"/>
      <c r="AF411" s="3" t="str">
        <f t="shared" si="91"/>
        <v>A</v>
      </c>
      <c r="AG411" s="48">
        <v>0</v>
      </c>
      <c r="AH411" s="48">
        <v>0</v>
      </c>
      <c r="AI411" s="39"/>
      <c r="AJ411" s="79" t="s">
        <v>1801</v>
      </c>
      <c r="AK411" s="39"/>
      <c r="AL411" s="4">
        <f t="shared" si="98"/>
        <v>200822</v>
      </c>
      <c r="AM411" s="4">
        <f t="shared" si="98"/>
        <v>48238</v>
      </c>
      <c r="AN411" s="4">
        <f t="shared" si="92"/>
        <v>249060</v>
      </c>
      <c r="AO411" s="39"/>
      <c r="AP411" s="8">
        <f t="shared" si="99"/>
        <v>0</v>
      </c>
      <c r="AQ411" s="8">
        <f t="shared" si="99"/>
        <v>0</v>
      </c>
      <c r="AR411" s="8">
        <f t="shared" si="93"/>
        <v>0</v>
      </c>
      <c r="AS411" s="42"/>
      <c r="AT411" s="48">
        <v>200822</v>
      </c>
      <c r="AU411" s="48">
        <v>48238</v>
      </c>
      <c r="AV411" s="4">
        <f t="shared" si="94"/>
        <v>249060</v>
      </c>
      <c r="AW411" s="50" t="str">
        <f t="shared" si="95"/>
        <v/>
      </c>
      <c r="AX411" s="1" t="s">
        <v>1639</v>
      </c>
      <c r="AY411" s="2" t="s">
        <v>1640</v>
      </c>
      <c r="AZ411" s="2">
        <v>172508.48</v>
      </c>
      <c r="BA411" s="73">
        <v>150944.92000000001</v>
      </c>
      <c r="BB411" s="73">
        <v>150944.92000000001</v>
      </c>
      <c r="BC411" s="73">
        <v>172508.48</v>
      </c>
      <c r="BD411" s="73"/>
      <c r="BE411" s="66">
        <v>0</v>
      </c>
      <c r="BF411" s="66">
        <v>0.02</v>
      </c>
      <c r="BG411" s="63">
        <v>44520</v>
      </c>
      <c r="BH411" s="2"/>
      <c r="BI411" s="2"/>
      <c r="BJ411" s="2">
        <v>276997.5</v>
      </c>
      <c r="BK411" s="2">
        <v>30777.5</v>
      </c>
      <c r="BL411" s="1" t="s">
        <v>56</v>
      </c>
    </row>
    <row r="412" spans="1:64" x14ac:dyDescent="0.25">
      <c r="A412" s="56" t="s">
        <v>884</v>
      </c>
      <c r="B412" s="54" t="s">
        <v>884</v>
      </c>
      <c r="C412" s="56" t="s">
        <v>885</v>
      </c>
      <c r="D412" s="16">
        <v>43890</v>
      </c>
      <c r="E412" s="17"/>
      <c r="F412" s="2" t="s">
        <v>109</v>
      </c>
      <c r="G412" s="2" t="s">
        <v>111</v>
      </c>
      <c r="H412" s="10" t="s">
        <v>105</v>
      </c>
      <c r="I412" s="11" t="s">
        <v>110</v>
      </c>
      <c r="J412" s="11" t="s">
        <v>420</v>
      </c>
      <c r="K412" s="61" t="s">
        <v>113</v>
      </c>
      <c r="L412" s="11" t="s">
        <v>67</v>
      </c>
      <c r="M412" s="25"/>
      <c r="N412" s="54"/>
      <c r="O412" s="3" t="str">
        <f t="shared" si="96"/>
        <v>A</v>
      </c>
      <c r="P412" s="48">
        <v>70235</v>
      </c>
      <c r="Q412" s="48">
        <v>13245</v>
      </c>
      <c r="R412" s="32"/>
      <c r="S412" s="3" t="str">
        <f t="shared" si="97"/>
        <v>A</v>
      </c>
      <c r="T412" s="48">
        <v>57809.599999999999</v>
      </c>
      <c r="U412" s="48">
        <v>9952</v>
      </c>
      <c r="V412" s="32"/>
      <c r="W412" s="3" t="str">
        <f t="shared" si="89"/>
        <v>A</v>
      </c>
      <c r="X412" s="48">
        <v>56525</v>
      </c>
      <c r="Y412" s="48">
        <v>6434</v>
      </c>
      <c r="Z412" s="32"/>
      <c r="AA412" s="3" t="str">
        <f t="shared" si="90"/>
        <v>A</v>
      </c>
      <c r="AB412" s="48">
        <v>58456</v>
      </c>
      <c r="AC412" s="48">
        <v>5534</v>
      </c>
      <c r="AD412" s="36"/>
      <c r="AE412" s="54"/>
      <c r="AF412" s="3" t="str">
        <f t="shared" si="91"/>
        <v>A</v>
      </c>
      <c r="AG412" s="48">
        <v>0</v>
      </c>
      <c r="AH412" s="48">
        <v>0</v>
      </c>
      <c r="AI412" s="39"/>
      <c r="AJ412" s="79" t="s">
        <v>1801</v>
      </c>
      <c r="AK412" s="39"/>
      <c r="AL412" s="4">
        <f t="shared" si="98"/>
        <v>243025.6</v>
      </c>
      <c r="AM412" s="4">
        <f t="shared" si="98"/>
        <v>35165</v>
      </c>
      <c r="AN412" s="4">
        <f t="shared" si="92"/>
        <v>278190.59999999998</v>
      </c>
      <c r="AO412" s="39"/>
      <c r="AP412" s="8">
        <f t="shared" si="99"/>
        <v>0</v>
      </c>
      <c r="AQ412" s="8">
        <f t="shared" si="99"/>
        <v>0</v>
      </c>
      <c r="AR412" s="8">
        <f t="shared" si="93"/>
        <v>0</v>
      </c>
      <c r="AS412" s="42"/>
      <c r="AT412" s="48">
        <v>243025.6</v>
      </c>
      <c r="AU412" s="48">
        <v>35165</v>
      </c>
      <c r="AV412" s="4">
        <f t="shared" si="94"/>
        <v>278190.59999999998</v>
      </c>
      <c r="AW412" s="50" t="str">
        <f t="shared" si="95"/>
        <v/>
      </c>
      <c r="AX412" s="1" t="s">
        <v>1647</v>
      </c>
      <c r="AY412" s="2" t="s">
        <v>1640</v>
      </c>
      <c r="AZ412" s="2">
        <v>166931.76</v>
      </c>
      <c r="BA412" s="73">
        <v>146065.29</v>
      </c>
      <c r="BB412" s="73">
        <v>146065.29</v>
      </c>
      <c r="BC412" s="73">
        <v>166931.76</v>
      </c>
      <c r="BD412" s="73"/>
      <c r="BE412" s="66">
        <v>0</v>
      </c>
      <c r="BF412" s="66">
        <v>0.02</v>
      </c>
      <c r="BG412" s="63">
        <v>45706</v>
      </c>
      <c r="BH412" s="2"/>
      <c r="BI412" s="2"/>
      <c r="BJ412" s="2"/>
      <c r="BK412" s="2"/>
      <c r="BL412" s="1" t="s">
        <v>104</v>
      </c>
    </row>
    <row r="413" spans="1:64" x14ac:dyDescent="0.25">
      <c r="A413" s="56" t="s">
        <v>886</v>
      </c>
      <c r="B413" s="54" t="s">
        <v>886</v>
      </c>
      <c r="C413" s="56" t="s">
        <v>887</v>
      </c>
      <c r="D413" s="16">
        <v>0</v>
      </c>
      <c r="E413" s="17"/>
      <c r="F413" s="2" t="s">
        <v>888</v>
      </c>
      <c r="G413" s="2" t="s">
        <v>889</v>
      </c>
      <c r="H413" s="10" t="s">
        <v>105</v>
      </c>
      <c r="I413" s="11" t="s">
        <v>53</v>
      </c>
      <c r="J413" s="11" t="s">
        <v>350</v>
      </c>
      <c r="K413" s="61"/>
      <c r="L413" s="11" t="s">
        <v>67</v>
      </c>
      <c r="M413" s="25"/>
      <c r="N413" s="54"/>
      <c r="O413" s="3" t="str">
        <f t="shared" si="96"/>
        <v>A</v>
      </c>
      <c r="P413" s="48">
        <v>146725</v>
      </c>
      <c r="Q413" s="48">
        <v>14999</v>
      </c>
      <c r="R413" s="32"/>
      <c r="S413" s="3" t="str">
        <f t="shared" si="97"/>
        <v>A</v>
      </c>
      <c r="T413" s="48">
        <v>140731.5</v>
      </c>
      <c r="U413" s="48">
        <v>17671</v>
      </c>
      <c r="V413" s="32"/>
      <c r="W413" s="3" t="str">
        <f t="shared" si="89"/>
        <v>A</v>
      </c>
      <c r="X413" s="48">
        <v>136578</v>
      </c>
      <c r="Y413" s="48">
        <v>11572</v>
      </c>
      <c r="Z413" s="32"/>
      <c r="AA413" s="3" t="str">
        <f t="shared" si="90"/>
        <v>A</v>
      </c>
      <c r="AB413" s="48">
        <v>147637.5</v>
      </c>
      <c r="AC413" s="48">
        <v>13520</v>
      </c>
      <c r="AD413" s="36"/>
      <c r="AE413" s="54"/>
      <c r="AF413" s="3" t="str">
        <f t="shared" si="91"/>
        <v>A</v>
      </c>
      <c r="AG413" s="48">
        <v>0</v>
      </c>
      <c r="AH413" s="48">
        <v>0</v>
      </c>
      <c r="AI413" s="39"/>
      <c r="AJ413" s="79" t="s">
        <v>1801</v>
      </c>
      <c r="AK413" s="39"/>
      <c r="AL413" s="4">
        <f t="shared" si="98"/>
        <v>571672</v>
      </c>
      <c r="AM413" s="4">
        <f t="shared" si="98"/>
        <v>57762</v>
      </c>
      <c r="AN413" s="4">
        <f t="shared" si="92"/>
        <v>629434</v>
      </c>
      <c r="AO413" s="39"/>
      <c r="AP413" s="8">
        <f t="shared" si="99"/>
        <v>0</v>
      </c>
      <c r="AQ413" s="8">
        <f t="shared" si="99"/>
        <v>0</v>
      </c>
      <c r="AR413" s="8">
        <f t="shared" si="93"/>
        <v>0</v>
      </c>
      <c r="AS413" s="42"/>
      <c r="AT413" s="48">
        <v>571672</v>
      </c>
      <c r="AU413" s="48">
        <v>57762</v>
      </c>
      <c r="AV413" s="4">
        <f t="shared" si="94"/>
        <v>629434</v>
      </c>
      <c r="AW413" s="50" t="str">
        <f t="shared" si="95"/>
        <v/>
      </c>
      <c r="AX413" s="1" t="s">
        <v>1738</v>
      </c>
      <c r="AY413" s="2" t="s">
        <v>1739</v>
      </c>
      <c r="AZ413" s="2">
        <v>182695.36</v>
      </c>
      <c r="BA413" s="73">
        <v>159858.44</v>
      </c>
      <c r="BB413" s="73">
        <v>159858.44</v>
      </c>
      <c r="BC413" s="73">
        <v>182695.36</v>
      </c>
      <c r="BD413" s="73"/>
      <c r="BE413" s="66">
        <v>0</v>
      </c>
      <c r="BF413" s="66">
        <v>0.05</v>
      </c>
      <c r="BG413" s="63">
        <v>44166</v>
      </c>
      <c r="BH413" s="2"/>
      <c r="BI413" s="2"/>
      <c r="BJ413" s="2"/>
      <c r="BK413" s="2"/>
      <c r="BL413" s="1" t="s">
        <v>219</v>
      </c>
    </row>
    <row r="414" spans="1:64" x14ac:dyDescent="0.25">
      <c r="A414" s="56" t="s">
        <v>896</v>
      </c>
      <c r="B414" s="54" t="s">
        <v>896</v>
      </c>
      <c r="C414" s="56" t="s">
        <v>897</v>
      </c>
      <c r="D414" s="16">
        <v>0</v>
      </c>
      <c r="E414" s="17"/>
      <c r="F414" s="2" t="s">
        <v>52</v>
      </c>
      <c r="G414" s="2" t="s">
        <v>55</v>
      </c>
      <c r="H414" s="10" t="s">
        <v>57</v>
      </c>
      <c r="I414" s="11" t="s">
        <v>54</v>
      </c>
      <c r="J414" s="11" t="s">
        <v>68</v>
      </c>
      <c r="K414" s="61" t="s">
        <v>69</v>
      </c>
      <c r="L414" s="11" t="s">
        <v>67</v>
      </c>
      <c r="M414" s="25"/>
      <c r="N414" s="54"/>
      <c r="O414" s="3" t="str">
        <f t="shared" si="96"/>
        <v>A</v>
      </c>
      <c r="P414" s="48">
        <v>108577.04000000002</v>
      </c>
      <c r="Q414" s="48">
        <v>20080</v>
      </c>
      <c r="R414" s="32"/>
      <c r="S414" s="3" t="str">
        <f t="shared" si="97"/>
        <v>A</v>
      </c>
      <c r="T414" s="48">
        <v>108007.49999999999</v>
      </c>
      <c r="U414" s="48">
        <v>15337.5</v>
      </c>
      <c r="V414" s="32"/>
      <c r="W414" s="3" t="str">
        <f t="shared" si="89"/>
        <v>A</v>
      </c>
      <c r="X414" s="48">
        <v>98312.61</v>
      </c>
      <c r="Y414" s="48">
        <v>16735.5</v>
      </c>
      <c r="Z414" s="32"/>
      <c r="AA414" s="3" t="str">
        <f t="shared" si="90"/>
        <v>A</v>
      </c>
      <c r="AB414" s="48">
        <v>107832.40999999999</v>
      </c>
      <c r="AC414" s="48">
        <v>19507.060000000001</v>
      </c>
      <c r="AD414" s="36"/>
      <c r="AE414" s="54"/>
      <c r="AF414" s="3" t="str">
        <f t="shared" si="91"/>
        <v>A</v>
      </c>
      <c r="AG414" s="48">
        <v>0</v>
      </c>
      <c r="AH414" s="48">
        <v>0</v>
      </c>
      <c r="AI414" s="39"/>
      <c r="AJ414" s="79" t="s">
        <v>1801</v>
      </c>
      <c r="AK414" s="39"/>
      <c r="AL414" s="4">
        <f t="shared" si="98"/>
        <v>422729.56</v>
      </c>
      <c r="AM414" s="4">
        <f t="shared" si="98"/>
        <v>71660.06</v>
      </c>
      <c r="AN414" s="4">
        <f t="shared" si="92"/>
        <v>494389.62</v>
      </c>
      <c r="AO414" s="39"/>
      <c r="AP414" s="8">
        <f t="shared" si="99"/>
        <v>0</v>
      </c>
      <c r="AQ414" s="8">
        <f t="shared" si="99"/>
        <v>0</v>
      </c>
      <c r="AR414" s="8">
        <f t="shared" si="93"/>
        <v>0</v>
      </c>
      <c r="AS414" s="42"/>
      <c r="AT414" s="48">
        <v>422729.56</v>
      </c>
      <c r="AU414" s="48">
        <v>71660.06</v>
      </c>
      <c r="AV414" s="4">
        <f t="shared" si="94"/>
        <v>494389.62</v>
      </c>
      <c r="AW414" s="50" t="str">
        <f t="shared" si="95"/>
        <v/>
      </c>
      <c r="AX414" s="1" t="s">
        <v>1639</v>
      </c>
      <c r="AY414" s="2" t="s">
        <v>1640</v>
      </c>
      <c r="AZ414" s="2">
        <v>172508.48</v>
      </c>
      <c r="BA414" s="73">
        <v>150944.92000000001</v>
      </c>
      <c r="BB414" s="73">
        <v>150944.92000000001</v>
      </c>
      <c r="BC414" s="73">
        <v>172508.48</v>
      </c>
      <c r="BD414" s="73"/>
      <c r="BE414" s="66">
        <v>0</v>
      </c>
      <c r="BF414" s="66">
        <v>0.02</v>
      </c>
      <c r="BG414" s="63">
        <v>44075</v>
      </c>
      <c r="BH414" s="2"/>
      <c r="BI414" s="2"/>
      <c r="BJ414" s="2"/>
      <c r="BK414" s="2"/>
      <c r="BL414" s="1" t="s">
        <v>56</v>
      </c>
    </row>
    <row r="415" spans="1:64" x14ac:dyDescent="0.25">
      <c r="A415" s="56" t="s">
        <v>902</v>
      </c>
      <c r="B415" s="54" t="s">
        <v>902</v>
      </c>
      <c r="C415" s="56" t="s">
        <v>903</v>
      </c>
      <c r="D415" s="16">
        <v>45529</v>
      </c>
      <c r="E415" s="17"/>
      <c r="F415" s="2" t="s">
        <v>904</v>
      </c>
      <c r="G415" s="2" t="s">
        <v>906</v>
      </c>
      <c r="H415" s="10" t="s">
        <v>57</v>
      </c>
      <c r="I415" s="11" t="s">
        <v>905</v>
      </c>
      <c r="J415" s="11" t="s">
        <v>87</v>
      </c>
      <c r="K415" s="61" t="s">
        <v>88</v>
      </c>
      <c r="L415" s="11" t="s">
        <v>67</v>
      </c>
      <c r="M415" s="25"/>
      <c r="N415" s="54"/>
      <c r="O415" s="3" t="str">
        <f t="shared" si="96"/>
        <v>A</v>
      </c>
      <c r="P415" s="48">
        <v>191542</v>
      </c>
      <c r="Q415" s="48">
        <v>42879</v>
      </c>
      <c r="R415" s="32"/>
      <c r="S415" s="3" t="str">
        <f t="shared" si="97"/>
        <v>A</v>
      </c>
      <c r="T415" s="48">
        <v>165929</v>
      </c>
      <c r="U415" s="48">
        <v>41743</v>
      </c>
      <c r="V415" s="32"/>
      <c r="W415" s="3" t="str">
        <f t="shared" si="89"/>
        <v>A</v>
      </c>
      <c r="X415" s="48">
        <v>173972.8</v>
      </c>
      <c r="Y415" s="48">
        <v>35394</v>
      </c>
      <c r="Z415" s="32"/>
      <c r="AA415" s="3" t="str">
        <f t="shared" si="90"/>
        <v>A</v>
      </c>
      <c r="AB415" s="48">
        <v>158601.60000000001</v>
      </c>
      <c r="AC415" s="48">
        <v>34916</v>
      </c>
      <c r="AD415" s="36"/>
      <c r="AE415" s="54"/>
      <c r="AF415" s="3" t="str">
        <f t="shared" si="91"/>
        <v>A</v>
      </c>
      <c r="AG415" s="48">
        <v>0</v>
      </c>
      <c r="AH415" s="48">
        <v>0</v>
      </c>
      <c r="AI415" s="39"/>
      <c r="AJ415" s="79" t="s">
        <v>1801</v>
      </c>
      <c r="AK415" s="39"/>
      <c r="AL415" s="4">
        <f t="shared" si="98"/>
        <v>690045.4</v>
      </c>
      <c r="AM415" s="4">
        <f t="shared" si="98"/>
        <v>154932</v>
      </c>
      <c r="AN415" s="4">
        <f t="shared" si="92"/>
        <v>844977.4</v>
      </c>
      <c r="AO415" s="39"/>
      <c r="AP415" s="8">
        <f t="shared" si="99"/>
        <v>0</v>
      </c>
      <c r="AQ415" s="8">
        <f t="shared" si="99"/>
        <v>0</v>
      </c>
      <c r="AR415" s="8">
        <f t="shared" si="93"/>
        <v>0</v>
      </c>
      <c r="AS415" s="42"/>
      <c r="AT415" s="48">
        <v>690045.4</v>
      </c>
      <c r="AU415" s="48">
        <v>154932</v>
      </c>
      <c r="AV415" s="4">
        <f t="shared" si="94"/>
        <v>844977.4</v>
      </c>
      <c r="AW415" s="50" t="str">
        <f t="shared" si="95"/>
        <v/>
      </c>
      <c r="AX415" s="1" t="s">
        <v>1740</v>
      </c>
      <c r="AY415" s="2" t="s">
        <v>1741</v>
      </c>
      <c r="AZ415" s="2">
        <v>0</v>
      </c>
      <c r="BA415" s="73">
        <v>0</v>
      </c>
      <c r="BB415" s="73">
        <v>0</v>
      </c>
      <c r="BC415" s="73">
        <v>0</v>
      </c>
      <c r="BD415" s="73"/>
      <c r="BE415" s="66">
        <v>0</v>
      </c>
      <c r="BF415" s="66">
        <v>0</v>
      </c>
      <c r="BG415" s="63">
        <v>45516</v>
      </c>
      <c r="BH415" s="2"/>
      <c r="BI415" s="2"/>
      <c r="BJ415" s="2"/>
      <c r="BK415" s="2"/>
      <c r="BL415" s="1" t="s">
        <v>56</v>
      </c>
    </row>
    <row r="416" spans="1:64" x14ac:dyDescent="0.25">
      <c r="A416" s="56" t="s">
        <v>911</v>
      </c>
      <c r="B416" s="54" t="s">
        <v>911</v>
      </c>
      <c r="C416" s="56" t="s">
        <v>912</v>
      </c>
      <c r="D416" s="16">
        <v>0</v>
      </c>
      <c r="E416" s="17"/>
      <c r="F416" s="2" t="s">
        <v>243</v>
      </c>
      <c r="G416" s="2" t="s">
        <v>245</v>
      </c>
      <c r="H416" s="10" t="s">
        <v>98</v>
      </c>
      <c r="I416" s="11" t="s">
        <v>244</v>
      </c>
      <c r="J416" s="11" t="s">
        <v>246</v>
      </c>
      <c r="K416" s="61" t="s">
        <v>247</v>
      </c>
      <c r="L416" s="11" t="s">
        <v>67</v>
      </c>
      <c r="M416" s="25"/>
      <c r="N416" s="54"/>
      <c r="O416" s="3" t="str">
        <f t="shared" si="96"/>
        <v>A</v>
      </c>
      <c r="P416" s="48">
        <v>96014</v>
      </c>
      <c r="Q416" s="48">
        <v>2119</v>
      </c>
      <c r="R416" s="32"/>
      <c r="S416" s="3" t="str">
        <f t="shared" si="97"/>
        <v>A</v>
      </c>
      <c r="T416" s="48">
        <v>96188</v>
      </c>
      <c r="U416" s="48">
        <v>3423</v>
      </c>
      <c r="V416" s="32"/>
      <c r="W416" s="3" t="str">
        <f t="shared" si="89"/>
        <v>A</v>
      </c>
      <c r="X416" s="48">
        <v>134602</v>
      </c>
      <c r="Y416" s="48">
        <v>2119</v>
      </c>
      <c r="Z416" s="32"/>
      <c r="AA416" s="3" t="str">
        <f t="shared" si="90"/>
        <v>A</v>
      </c>
      <c r="AB416" s="48">
        <v>201571</v>
      </c>
      <c r="AC416" s="48">
        <v>3637</v>
      </c>
      <c r="AD416" s="36"/>
      <c r="AE416" s="54"/>
      <c r="AF416" s="3" t="str">
        <f t="shared" si="91"/>
        <v>A</v>
      </c>
      <c r="AG416" s="48">
        <v>0</v>
      </c>
      <c r="AH416" s="48">
        <v>0</v>
      </c>
      <c r="AI416" s="39"/>
      <c r="AJ416" s="79" t="s">
        <v>1801</v>
      </c>
      <c r="AK416" s="39"/>
      <c r="AL416" s="4">
        <f t="shared" si="98"/>
        <v>528375</v>
      </c>
      <c r="AM416" s="4">
        <f t="shared" si="98"/>
        <v>11298</v>
      </c>
      <c r="AN416" s="4">
        <f t="shared" si="92"/>
        <v>539673</v>
      </c>
      <c r="AO416" s="39"/>
      <c r="AP416" s="8">
        <f t="shared" si="99"/>
        <v>0</v>
      </c>
      <c r="AQ416" s="8">
        <f t="shared" si="99"/>
        <v>0</v>
      </c>
      <c r="AR416" s="8">
        <f t="shared" si="93"/>
        <v>0</v>
      </c>
      <c r="AS416" s="42"/>
      <c r="AT416" s="48">
        <v>528375</v>
      </c>
      <c r="AU416" s="48">
        <v>11298</v>
      </c>
      <c r="AV416" s="4">
        <f t="shared" si="94"/>
        <v>539673</v>
      </c>
      <c r="AW416" s="50" t="str">
        <f t="shared" si="95"/>
        <v/>
      </c>
      <c r="AX416" s="1" t="s">
        <v>1639</v>
      </c>
      <c r="AY416" s="2" t="s">
        <v>1640</v>
      </c>
      <c r="AZ416" s="2">
        <v>36890.480000000003</v>
      </c>
      <c r="BA416" s="73">
        <v>32279.17</v>
      </c>
      <c r="BB416" s="73">
        <v>32279.17</v>
      </c>
      <c r="BC416" s="73">
        <v>36890.480000000003</v>
      </c>
      <c r="BD416" s="73"/>
      <c r="BE416" s="66">
        <v>0</v>
      </c>
      <c r="BF416" s="66">
        <v>0.02</v>
      </c>
      <c r="BG416" s="63">
        <v>45716</v>
      </c>
      <c r="BH416" s="74">
        <v>43909</v>
      </c>
      <c r="BI416" s="74">
        <v>43935</v>
      </c>
      <c r="BJ416" s="2"/>
      <c r="BK416" s="2"/>
      <c r="BL416" s="1" t="s">
        <v>97</v>
      </c>
    </row>
    <row r="417" spans="1:64" x14ac:dyDescent="0.25">
      <c r="A417" s="56" t="s">
        <v>911</v>
      </c>
      <c r="B417" s="54" t="s">
        <v>991</v>
      </c>
      <c r="C417" s="56" t="s">
        <v>992</v>
      </c>
      <c r="D417" s="16">
        <v>0</v>
      </c>
      <c r="E417" s="17"/>
      <c r="F417" s="2" t="s">
        <v>243</v>
      </c>
      <c r="G417" s="2" t="s">
        <v>245</v>
      </c>
      <c r="H417" s="10" t="s">
        <v>98</v>
      </c>
      <c r="I417" s="11" t="s">
        <v>244</v>
      </c>
      <c r="J417" s="11" t="s">
        <v>246</v>
      </c>
      <c r="K417" s="61" t="s">
        <v>247</v>
      </c>
      <c r="L417" s="11" t="s">
        <v>67</v>
      </c>
      <c r="M417" s="25"/>
      <c r="N417" s="54"/>
      <c r="O417" s="3" t="str">
        <f t="shared" si="96"/>
        <v>A</v>
      </c>
      <c r="P417" s="48">
        <v>102725</v>
      </c>
      <c r="Q417" s="48">
        <v>2390</v>
      </c>
      <c r="R417" s="32"/>
      <c r="S417" s="3" t="str">
        <f t="shared" si="97"/>
        <v>A</v>
      </c>
      <c r="T417" s="48">
        <v>94898</v>
      </c>
      <c r="U417" s="48">
        <v>3000</v>
      </c>
      <c r="V417" s="32"/>
      <c r="W417" s="3" t="str">
        <f t="shared" si="89"/>
        <v>A</v>
      </c>
      <c r="X417" s="48">
        <v>87797</v>
      </c>
      <c r="Y417" s="48">
        <v>1280</v>
      </c>
      <c r="Z417" s="32"/>
      <c r="AA417" s="3" t="str">
        <f t="shared" si="90"/>
        <v>A</v>
      </c>
      <c r="AB417" s="48">
        <v>102153</v>
      </c>
      <c r="AC417" s="48">
        <v>2830</v>
      </c>
      <c r="AD417" s="36"/>
      <c r="AE417" s="54"/>
      <c r="AF417" s="3" t="str">
        <f t="shared" si="91"/>
        <v>A</v>
      </c>
      <c r="AG417" s="48">
        <v>0</v>
      </c>
      <c r="AH417" s="48">
        <v>0</v>
      </c>
      <c r="AI417" s="39"/>
      <c r="AJ417" s="79" t="s">
        <v>1801</v>
      </c>
      <c r="AK417" s="39"/>
      <c r="AL417" s="4">
        <f t="shared" si="98"/>
        <v>387573</v>
      </c>
      <c r="AM417" s="4">
        <f t="shared" si="98"/>
        <v>9500</v>
      </c>
      <c r="AN417" s="4">
        <f t="shared" si="92"/>
        <v>397073</v>
      </c>
      <c r="AO417" s="39"/>
      <c r="AP417" s="8">
        <f t="shared" si="99"/>
        <v>0</v>
      </c>
      <c r="AQ417" s="8">
        <f t="shared" si="99"/>
        <v>0</v>
      </c>
      <c r="AR417" s="8">
        <f t="shared" si="93"/>
        <v>0</v>
      </c>
      <c r="AS417" s="42"/>
      <c r="AT417" s="48">
        <v>387573</v>
      </c>
      <c r="AU417" s="48">
        <v>9500</v>
      </c>
      <c r="AV417" s="4">
        <f t="shared" si="94"/>
        <v>397073</v>
      </c>
      <c r="AW417" s="50" t="str">
        <f t="shared" si="95"/>
        <v/>
      </c>
      <c r="AX417" s="1" t="s">
        <v>1639</v>
      </c>
      <c r="AY417" s="2" t="s">
        <v>1640</v>
      </c>
      <c r="AZ417" s="2">
        <v>41232.639999999999</v>
      </c>
      <c r="BA417" s="73">
        <v>36078.559999999998</v>
      </c>
      <c r="BB417" s="73">
        <v>36078.559999999998</v>
      </c>
      <c r="BC417" s="73">
        <v>41232.639999999999</v>
      </c>
      <c r="BD417" s="73"/>
      <c r="BE417" s="66">
        <v>0</v>
      </c>
      <c r="BF417" s="66">
        <v>0.02</v>
      </c>
      <c r="BG417" s="63">
        <v>45716</v>
      </c>
      <c r="BH417" s="2"/>
      <c r="BI417" s="2"/>
      <c r="BJ417" s="2">
        <v>151200</v>
      </c>
      <c r="BK417" s="2"/>
      <c r="BL417" s="1" t="s">
        <v>97</v>
      </c>
    </row>
    <row r="418" spans="1:64" x14ac:dyDescent="0.25">
      <c r="A418" s="56" t="s">
        <v>913</v>
      </c>
      <c r="B418" s="54" t="s">
        <v>913</v>
      </c>
      <c r="C418" s="56" t="s">
        <v>914</v>
      </c>
      <c r="D418" s="16">
        <v>0</v>
      </c>
      <c r="E418" s="17"/>
      <c r="F418" s="2" t="s">
        <v>423</v>
      </c>
      <c r="G418" s="2" t="s">
        <v>424</v>
      </c>
      <c r="H418" s="10" t="s">
        <v>105</v>
      </c>
      <c r="I418" s="11" t="s">
        <v>53</v>
      </c>
      <c r="J418" s="11" t="s">
        <v>312</v>
      </c>
      <c r="K418" s="61"/>
      <c r="L418" s="11" t="s">
        <v>67</v>
      </c>
      <c r="M418" s="25"/>
      <c r="N418" s="54"/>
      <c r="O418" s="3" t="str">
        <f t="shared" si="96"/>
        <v>A</v>
      </c>
      <c r="P418" s="48">
        <v>80223</v>
      </c>
      <c r="Q418" s="48">
        <v>15090</v>
      </c>
      <c r="R418" s="32"/>
      <c r="S418" s="3" t="str">
        <f t="shared" si="97"/>
        <v>A</v>
      </c>
      <c r="T418" s="48">
        <v>68681</v>
      </c>
      <c r="U418" s="48">
        <v>13015</v>
      </c>
      <c r="V418" s="32"/>
      <c r="W418" s="3" t="str">
        <f t="shared" si="89"/>
        <v>A</v>
      </c>
      <c r="X418" s="48">
        <v>56544</v>
      </c>
      <c r="Y418" s="48">
        <v>10160</v>
      </c>
      <c r="Z418" s="32"/>
      <c r="AA418" s="3" t="str">
        <f t="shared" si="90"/>
        <v>A</v>
      </c>
      <c r="AB418" s="48">
        <v>53365</v>
      </c>
      <c r="AC418" s="48">
        <v>9905</v>
      </c>
      <c r="AD418" s="36"/>
      <c r="AE418" s="54"/>
      <c r="AF418" s="3" t="str">
        <f t="shared" si="91"/>
        <v>A</v>
      </c>
      <c r="AG418" s="48">
        <v>0</v>
      </c>
      <c r="AH418" s="48">
        <v>0</v>
      </c>
      <c r="AI418" s="39"/>
      <c r="AJ418" s="79" t="s">
        <v>1801</v>
      </c>
      <c r="AK418" s="39"/>
      <c r="AL418" s="4">
        <f t="shared" si="98"/>
        <v>258813</v>
      </c>
      <c r="AM418" s="4">
        <f t="shared" si="98"/>
        <v>48170</v>
      </c>
      <c r="AN418" s="4">
        <f t="shared" si="92"/>
        <v>306983</v>
      </c>
      <c r="AO418" s="39"/>
      <c r="AP418" s="8">
        <f t="shared" si="99"/>
        <v>0</v>
      </c>
      <c r="AQ418" s="8">
        <f t="shared" si="99"/>
        <v>0</v>
      </c>
      <c r="AR418" s="8">
        <f t="shared" si="93"/>
        <v>0</v>
      </c>
      <c r="AS418" s="42"/>
      <c r="AT418" s="48">
        <v>258813</v>
      </c>
      <c r="AU418" s="48">
        <v>48170</v>
      </c>
      <c r="AV418" s="4">
        <f t="shared" si="94"/>
        <v>306983</v>
      </c>
      <c r="AW418" s="50" t="str">
        <f t="shared" si="95"/>
        <v/>
      </c>
      <c r="AX418" s="1" t="s">
        <v>1705</v>
      </c>
      <c r="AY418" s="2" t="s">
        <v>1706</v>
      </c>
      <c r="AZ418" s="2">
        <v>172508.48</v>
      </c>
      <c r="BA418" s="73">
        <v>150944.92000000001</v>
      </c>
      <c r="BB418" s="73">
        <v>150944.92000000001</v>
      </c>
      <c r="BC418" s="73">
        <v>172508.48</v>
      </c>
      <c r="BD418" s="73"/>
      <c r="BE418" s="66">
        <v>0</v>
      </c>
      <c r="BF418" s="66">
        <v>0.05</v>
      </c>
      <c r="BG418" s="63">
        <v>44051</v>
      </c>
      <c r="BH418" s="2"/>
      <c r="BI418" s="2"/>
      <c r="BJ418" s="2"/>
      <c r="BK418" s="2"/>
      <c r="BL418" s="1" t="s">
        <v>104</v>
      </c>
    </row>
    <row r="419" spans="1:64" x14ac:dyDescent="0.25">
      <c r="A419" s="56" t="s">
        <v>915</v>
      </c>
      <c r="B419" s="54" t="s">
        <v>915</v>
      </c>
      <c r="C419" s="56" t="s">
        <v>916</v>
      </c>
      <c r="D419" s="16">
        <v>0</v>
      </c>
      <c r="E419" s="17"/>
      <c r="F419" s="2" t="s">
        <v>52</v>
      </c>
      <c r="G419" s="2" t="s">
        <v>55</v>
      </c>
      <c r="H419" s="10" t="s">
        <v>57</v>
      </c>
      <c r="I419" s="11" t="s">
        <v>54</v>
      </c>
      <c r="J419" s="11" t="s">
        <v>620</v>
      </c>
      <c r="K419" s="61" t="s">
        <v>621</v>
      </c>
      <c r="L419" s="11" t="s">
        <v>67</v>
      </c>
      <c r="M419" s="25"/>
      <c r="N419" s="54"/>
      <c r="O419" s="3" t="str">
        <f t="shared" si="96"/>
        <v>A</v>
      </c>
      <c r="P419" s="48">
        <v>23249</v>
      </c>
      <c r="Q419" s="48">
        <v>4711</v>
      </c>
      <c r="R419" s="32"/>
      <c r="S419" s="3" t="str">
        <f t="shared" si="97"/>
        <v>A</v>
      </c>
      <c r="T419" s="48">
        <v>19674</v>
      </c>
      <c r="U419" s="48">
        <v>4552</v>
      </c>
      <c r="V419" s="32"/>
      <c r="W419" s="3" t="str">
        <f t="shared" si="89"/>
        <v>A</v>
      </c>
      <c r="X419" s="48">
        <v>20020</v>
      </c>
      <c r="Y419" s="48">
        <v>2560</v>
      </c>
      <c r="Z419" s="32"/>
      <c r="AA419" s="3" t="str">
        <f t="shared" si="90"/>
        <v>A</v>
      </c>
      <c r="AB419" s="48">
        <v>18305</v>
      </c>
      <c r="AC419" s="48">
        <v>3509</v>
      </c>
      <c r="AD419" s="36"/>
      <c r="AE419" s="54"/>
      <c r="AF419" s="3" t="str">
        <f t="shared" si="91"/>
        <v>A</v>
      </c>
      <c r="AG419" s="48">
        <v>0</v>
      </c>
      <c r="AH419" s="48">
        <v>0</v>
      </c>
      <c r="AI419" s="39"/>
      <c r="AJ419" s="79" t="s">
        <v>1801</v>
      </c>
      <c r="AK419" s="39"/>
      <c r="AL419" s="4">
        <f t="shared" si="98"/>
        <v>81248</v>
      </c>
      <c r="AM419" s="4">
        <f t="shared" si="98"/>
        <v>15332</v>
      </c>
      <c r="AN419" s="4">
        <f t="shared" si="92"/>
        <v>96580</v>
      </c>
      <c r="AO419" s="39"/>
      <c r="AP419" s="8">
        <f t="shared" si="99"/>
        <v>0</v>
      </c>
      <c r="AQ419" s="8">
        <f t="shared" si="99"/>
        <v>0</v>
      </c>
      <c r="AR419" s="8">
        <f t="shared" si="93"/>
        <v>0</v>
      </c>
      <c r="AS419" s="42"/>
      <c r="AT419" s="48">
        <v>81248</v>
      </c>
      <c r="AU419" s="48">
        <v>15332</v>
      </c>
      <c r="AV419" s="4">
        <f t="shared" si="94"/>
        <v>96580</v>
      </c>
      <c r="AW419" s="50" t="str">
        <f t="shared" si="95"/>
        <v/>
      </c>
      <c r="AX419" s="1" t="s">
        <v>1639</v>
      </c>
      <c r="AY419" s="2" t="s">
        <v>1640</v>
      </c>
      <c r="AZ419" s="2">
        <v>172508.48</v>
      </c>
      <c r="BA419" s="73">
        <v>150944.92000000001</v>
      </c>
      <c r="BB419" s="73">
        <v>150944.92000000001</v>
      </c>
      <c r="BC419" s="73">
        <v>172508.48</v>
      </c>
      <c r="BD419" s="73"/>
      <c r="BE419" s="66">
        <v>0</v>
      </c>
      <c r="BF419" s="66">
        <v>0.02</v>
      </c>
      <c r="BG419" s="63">
        <v>44163</v>
      </c>
      <c r="BH419" s="2"/>
      <c r="BI419" s="2"/>
      <c r="BJ419" s="2"/>
      <c r="BK419" s="2"/>
      <c r="BL419" s="1" t="s">
        <v>56</v>
      </c>
    </row>
    <row r="420" spans="1:64" x14ac:dyDescent="0.25">
      <c r="A420" s="56" t="s">
        <v>921</v>
      </c>
      <c r="B420" s="54" t="s">
        <v>921</v>
      </c>
      <c r="C420" s="56" t="s">
        <v>922</v>
      </c>
      <c r="D420" s="16">
        <v>44334</v>
      </c>
      <c r="E420" s="17"/>
      <c r="F420" s="2" t="s">
        <v>171</v>
      </c>
      <c r="G420" s="2" t="s">
        <v>172</v>
      </c>
      <c r="H420" s="10" t="s">
        <v>105</v>
      </c>
      <c r="I420" s="11" t="s">
        <v>53</v>
      </c>
      <c r="J420" s="11" t="s">
        <v>145</v>
      </c>
      <c r="K420" s="61"/>
      <c r="L420" s="11" t="s">
        <v>67</v>
      </c>
      <c r="M420" s="25"/>
      <c r="N420" s="54"/>
      <c r="O420" s="3" t="str">
        <f t="shared" si="96"/>
        <v>A</v>
      </c>
      <c r="P420" s="48">
        <v>123315</v>
      </c>
      <c r="Q420" s="48">
        <v>37017</v>
      </c>
      <c r="R420" s="32"/>
      <c r="S420" s="3" t="str">
        <f t="shared" si="97"/>
        <v>A</v>
      </c>
      <c r="T420" s="48">
        <v>103446</v>
      </c>
      <c r="U420" s="48">
        <v>31521</v>
      </c>
      <c r="V420" s="32"/>
      <c r="W420" s="3" t="str">
        <f t="shared" si="89"/>
        <v>A</v>
      </c>
      <c r="X420" s="48">
        <v>91491</v>
      </c>
      <c r="Y420" s="48">
        <v>26740</v>
      </c>
      <c r="Z420" s="32"/>
      <c r="AA420" s="3" t="str">
        <f t="shared" si="90"/>
        <v>A</v>
      </c>
      <c r="AB420" s="48">
        <v>92467</v>
      </c>
      <c r="AC420" s="48">
        <v>25126</v>
      </c>
      <c r="AD420" s="36"/>
      <c r="AE420" s="54"/>
      <c r="AF420" s="3" t="str">
        <f t="shared" si="91"/>
        <v>A</v>
      </c>
      <c r="AG420" s="48">
        <v>0</v>
      </c>
      <c r="AH420" s="48">
        <v>0</v>
      </c>
      <c r="AI420" s="39"/>
      <c r="AJ420" s="79" t="s">
        <v>1801</v>
      </c>
      <c r="AK420" s="39"/>
      <c r="AL420" s="4">
        <f t="shared" si="98"/>
        <v>410719</v>
      </c>
      <c r="AM420" s="4">
        <f t="shared" si="98"/>
        <v>120404</v>
      </c>
      <c r="AN420" s="4">
        <f t="shared" si="92"/>
        <v>531123</v>
      </c>
      <c r="AO420" s="39"/>
      <c r="AP420" s="8">
        <f t="shared" si="99"/>
        <v>0</v>
      </c>
      <c r="AQ420" s="8">
        <f t="shared" si="99"/>
        <v>0</v>
      </c>
      <c r="AR420" s="8">
        <f t="shared" si="93"/>
        <v>0</v>
      </c>
      <c r="AS420" s="42"/>
      <c r="AT420" s="48">
        <v>410719</v>
      </c>
      <c r="AU420" s="48">
        <v>120404</v>
      </c>
      <c r="AV420" s="4">
        <f t="shared" si="94"/>
        <v>531123</v>
      </c>
      <c r="AW420" s="50" t="str">
        <f t="shared" si="95"/>
        <v/>
      </c>
      <c r="AX420" s="1" t="s">
        <v>1654</v>
      </c>
      <c r="AY420" s="2" t="s">
        <v>1655</v>
      </c>
      <c r="AZ420" s="2">
        <v>131989.51999999999</v>
      </c>
      <c r="BA420" s="73">
        <v>115490.83</v>
      </c>
      <c r="BB420" s="73">
        <v>115490.83</v>
      </c>
      <c r="BC420" s="73">
        <v>131989.51999999999</v>
      </c>
      <c r="BD420" s="73"/>
      <c r="BE420" s="66">
        <v>0</v>
      </c>
      <c r="BF420" s="66">
        <v>0.05</v>
      </c>
      <c r="BG420" s="63">
        <v>44330</v>
      </c>
      <c r="BH420" s="2"/>
      <c r="BI420" s="2"/>
      <c r="BJ420" s="2">
        <v>476613.4</v>
      </c>
      <c r="BK420" s="2">
        <v>52957</v>
      </c>
      <c r="BL420" s="1" t="s">
        <v>104</v>
      </c>
    </row>
    <row r="421" spans="1:64" x14ac:dyDescent="0.25">
      <c r="A421" s="56" t="s">
        <v>923</v>
      </c>
      <c r="B421" s="54" t="s">
        <v>923</v>
      </c>
      <c r="C421" s="56" t="s">
        <v>924</v>
      </c>
      <c r="D421" s="16">
        <v>44447</v>
      </c>
      <c r="E421" s="17"/>
      <c r="F421" s="2" t="s">
        <v>171</v>
      </c>
      <c r="G421" s="2" t="s">
        <v>172</v>
      </c>
      <c r="H421" s="10" t="s">
        <v>105</v>
      </c>
      <c r="I421" s="11" t="s">
        <v>53</v>
      </c>
      <c r="J421" s="11" t="s">
        <v>145</v>
      </c>
      <c r="K421" s="61"/>
      <c r="L421" s="11" t="s">
        <v>67</v>
      </c>
      <c r="M421" s="25"/>
      <c r="N421" s="54"/>
      <c r="O421" s="3" t="str">
        <f t="shared" si="96"/>
        <v>A</v>
      </c>
      <c r="P421" s="48">
        <v>242432</v>
      </c>
      <c r="Q421" s="48">
        <v>35888</v>
      </c>
      <c r="R421" s="32"/>
      <c r="S421" s="3" t="str">
        <f t="shared" si="97"/>
        <v>A</v>
      </c>
      <c r="T421" s="48">
        <v>217145</v>
      </c>
      <c r="U421" s="48">
        <v>31386</v>
      </c>
      <c r="V421" s="32"/>
      <c r="W421" s="3" t="str">
        <f t="shared" si="89"/>
        <v>A</v>
      </c>
      <c r="X421" s="48">
        <v>196817</v>
      </c>
      <c r="Y421" s="48">
        <v>31093</v>
      </c>
      <c r="Z421" s="32"/>
      <c r="AA421" s="3" t="str">
        <f t="shared" si="90"/>
        <v>A</v>
      </c>
      <c r="AB421" s="48">
        <v>227896</v>
      </c>
      <c r="AC421" s="48">
        <v>29770</v>
      </c>
      <c r="AD421" s="36"/>
      <c r="AE421" s="54"/>
      <c r="AF421" s="3" t="str">
        <f t="shared" si="91"/>
        <v>A</v>
      </c>
      <c r="AG421" s="48">
        <v>0</v>
      </c>
      <c r="AH421" s="48">
        <v>0</v>
      </c>
      <c r="AI421" s="39"/>
      <c r="AJ421" s="79" t="s">
        <v>1801</v>
      </c>
      <c r="AK421" s="39"/>
      <c r="AL421" s="4">
        <f t="shared" si="98"/>
        <v>884290</v>
      </c>
      <c r="AM421" s="4">
        <f t="shared" si="98"/>
        <v>128137</v>
      </c>
      <c r="AN421" s="4">
        <f t="shared" si="92"/>
        <v>1012427</v>
      </c>
      <c r="AO421" s="39"/>
      <c r="AP421" s="8">
        <f t="shared" si="99"/>
        <v>0</v>
      </c>
      <c r="AQ421" s="8">
        <f t="shared" si="99"/>
        <v>0</v>
      </c>
      <c r="AR421" s="8">
        <f t="shared" si="93"/>
        <v>0</v>
      </c>
      <c r="AS421" s="42"/>
      <c r="AT421" s="48">
        <v>884290</v>
      </c>
      <c r="AU421" s="48">
        <v>128137</v>
      </c>
      <c r="AV421" s="4">
        <f t="shared" si="94"/>
        <v>1012427</v>
      </c>
      <c r="AW421" s="50" t="str">
        <f t="shared" si="95"/>
        <v/>
      </c>
      <c r="AX421" s="1" t="s">
        <v>1654</v>
      </c>
      <c r="AY421" s="2" t="s">
        <v>1655</v>
      </c>
      <c r="AZ421" s="2">
        <v>139801.51999999999</v>
      </c>
      <c r="BA421" s="73">
        <v>122326.33</v>
      </c>
      <c r="BB421" s="73">
        <v>122326.33</v>
      </c>
      <c r="BC421" s="73">
        <v>139801.51999999999</v>
      </c>
      <c r="BD421" s="73"/>
      <c r="BE421" s="66">
        <v>0</v>
      </c>
      <c r="BF421" s="66">
        <v>0.05</v>
      </c>
      <c r="BG421" s="63">
        <v>44441</v>
      </c>
      <c r="BH421" s="2"/>
      <c r="BI421" s="2"/>
      <c r="BJ421" s="2">
        <v>498314.25</v>
      </c>
      <c r="BK421" s="2">
        <v>55368.25</v>
      </c>
      <c r="BL421" s="1" t="s">
        <v>311</v>
      </c>
    </row>
    <row r="422" spans="1:64" x14ac:dyDescent="0.25">
      <c r="A422" s="56" t="s">
        <v>929</v>
      </c>
      <c r="B422" s="54" t="s">
        <v>929</v>
      </c>
      <c r="C422" s="56" t="s">
        <v>930</v>
      </c>
      <c r="D422" s="16">
        <v>0</v>
      </c>
      <c r="E422" s="17">
        <v>45777</v>
      </c>
      <c r="F422" s="2" t="s">
        <v>171</v>
      </c>
      <c r="G422" s="2" t="s">
        <v>172</v>
      </c>
      <c r="H422" s="10" t="s">
        <v>105</v>
      </c>
      <c r="I422" s="11" t="s">
        <v>53</v>
      </c>
      <c r="J422" s="11" t="s">
        <v>145</v>
      </c>
      <c r="K422" s="61"/>
      <c r="L422" s="11" t="s">
        <v>67</v>
      </c>
      <c r="M422" s="25"/>
      <c r="N422" s="54"/>
      <c r="O422" s="3" t="str">
        <f t="shared" si="96"/>
        <v>A</v>
      </c>
      <c r="P422" s="48"/>
      <c r="Q422" s="48"/>
      <c r="R422" s="32"/>
      <c r="S422" s="3" t="str">
        <f t="shared" si="97"/>
        <v>A</v>
      </c>
      <c r="T422" s="48"/>
      <c r="U422" s="48"/>
      <c r="V422" s="32"/>
      <c r="W422" s="3" t="str">
        <f t="shared" si="89"/>
        <v>A</v>
      </c>
      <c r="X422" s="48"/>
      <c r="Y422" s="48"/>
      <c r="Z422" s="32"/>
      <c r="AA422" s="3" t="str">
        <f t="shared" si="90"/>
        <v>A</v>
      </c>
      <c r="AB422" s="48"/>
      <c r="AC422" s="48"/>
      <c r="AD422" s="36"/>
      <c r="AE422" s="54"/>
      <c r="AF422" s="3" t="str">
        <f t="shared" si="91"/>
        <v>A</v>
      </c>
      <c r="AG422" s="48"/>
      <c r="AH422" s="48"/>
      <c r="AI422" s="39"/>
      <c r="AJ422" s="79" t="s">
        <v>1801</v>
      </c>
      <c r="AK422" s="39"/>
      <c r="AL422" s="4">
        <f t="shared" si="98"/>
        <v>0</v>
      </c>
      <c r="AM422" s="4">
        <f t="shared" si="98"/>
        <v>0</v>
      </c>
      <c r="AN422" s="4">
        <f t="shared" si="92"/>
        <v>0</v>
      </c>
      <c r="AO422" s="39"/>
      <c r="AP422" s="8">
        <f t="shared" si="99"/>
        <v>0</v>
      </c>
      <c r="AQ422" s="8">
        <f t="shared" si="99"/>
        <v>0</v>
      </c>
      <c r="AR422" s="8">
        <f t="shared" si="93"/>
        <v>0</v>
      </c>
      <c r="AS422" s="42"/>
      <c r="AT422" s="48"/>
      <c r="AU422" s="48"/>
      <c r="AV422" s="4">
        <f t="shared" si="94"/>
        <v>0</v>
      </c>
      <c r="AW422" s="50" t="str">
        <f t="shared" si="95"/>
        <v/>
      </c>
      <c r="AX422" s="1" t="s">
        <v>1654</v>
      </c>
      <c r="AY422" s="2" t="s">
        <v>1655</v>
      </c>
      <c r="AZ422" s="2"/>
      <c r="BA422" s="73"/>
      <c r="BB422" s="73"/>
      <c r="BC422" s="73"/>
      <c r="BD422" s="73"/>
      <c r="BE422" s="66">
        <v>0</v>
      </c>
      <c r="BF422" s="66">
        <v>0.05</v>
      </c>
      <c r="BG422" s="63">
        <v>44239</v>
      </c>
      <c r="BH422" s="74">
        <v>45777</v>
      </c>
      <c r="BI422" s="2"/>
      <c r="BJ422" s="2">
        <v>453251.25</v>
      </c>
      <c r="BK422" s="2">
        <v>50361.25</v>
      </c>
      <c r="BL422" s="1" t="s">
        <v>104</v>
      </c>
    </row>
    <row r="423" spans="1:64" x14ac:dyDescent="0.25">
      <c r="A423" s="56" t="s">
        <v>931</v>
      </c>
      <c r="B423" s="54" t="s">
        <v>931</v>
      </c>
      <c r="C423" s="56" t="s">
        <v>932</v>
      </c>
      <c r="D423" s="16">
        <v>0</v>
      </c>
      <c r="E423" s="17"/>
      <c r="F423" s="2" t="s">
        <v>414</v>
      </c>
      <c r="G423" s="2" t="s">
        <v>415</v>
      </c>
      <c r="H423" s="10" t="s">
        <v>105</v>
      </c>
      <c r="I423" s="11" t="s">
        <v>53</v>
      </c>
      <c r="J423" s="11" t="s">
        <v>312</v>
      </c>
      <c r="K423" s="61"/>
      <c r="L423" s="11" t="s">
        <v>67</v>
      </c>
      <c r="M423" s="25"/>
      <c r="N423" s="54"/>
      <c r="O423" s="3" t="str">
        <f t="shared" si="96"/>
        <v>E</v>
      </c>
      <c r="P423" s="48">
        <v>100789.36</v>
      </c>
      <c r="Q423" s="48">
        <v>11930.08</v>
      </c>
      <c r="R423" s="32"/>
      <c r="S423" s="3" t="str">
        <f t="shared" si="97"/>
        <v>E</v>
      </c>
      <c r="T423" s="48">
        <v>88190.69</v>
      </c>
      <c r="U423" s="48">
        <v>10438.82</v>
      </c>
      <c r="V423" s="32"/>
      <c r="W423" s="3" t="str">
        <f t="shared" si="89"/>
        <v>E</v>
      </c>
      <c r="X423" s="48">
        <v>88190.69</v>
      </c>
      <c r="Y423" s="48">
        <v>10438.82</v>
      </c>
      <c r="Z423" s="32"/>
      <c r="AA423" s="3" t="str">
        <f t="shared" si="90"/>
        <v>E</v>
      </c>
      <c r="AB423" s="48">
        <v>100789.36</v>
      </c>
      <c r="AC423" s="48">
        <v>11930.08</v>
      </c>
      <c r="AD423" s="36"/>
      <c r="AE423" s="54"/>
      <c r="AF423" s="3" t="str">
        <f t="shared" si="91"/>
        <v>A</v>
      </c>
      <c r="AG423" s="48"/>
      <c r="AH423" s="48"/>
      <c r="AI423" s="39"/>
      <c r="AJ423" s="79" t="s">
        <v>38</v>
      </c>
      <c r="AK423" s="39"/>
      <c r="AL423" s="4">
        <f t="shared" si="98"/>
        <v>0</v>
      </c>
      <c r="AM423" s="4">
        <f t="shared" si="98"/>
        <v>0</v>
      </c>
      <c r="AN423" s="4">
        <f t="shared" si="92"/>
        <v>0</v>
      </c>
      <c r="AO423" s="39"/>
      <c r="AP423" s="8">
        <f t="shared" si="99"/>
        <v>377960.1</v>
      </c>
      <c r="AQ423" s="8">
        <f t="shared" si="99"/>
        <v>44737.8</v>
      </c>
      <c r="AR423" s="8">
        <f t="shared" si="93"/>
        <v>422697.89999999997</v>
      </c>
      <c r="AS423" s="42"/>
      <c r="AT423" s="48"/>
      <c r="AU423" s="48"/>
      <c r="AV423" s="4">
        <f t="shared" si="94"/>
        <v>0</v>
      </c>
      <c r="AW423" s="50" t="str">
        <f t="shared" si="95"/>
        <v/>
      </c>
      <c r="AX423" s="1" t="s">
        <v>1703</v>
      </c>
      <c r="AY423" s="2" t="s">
        <v>1704</v>
      </c>
      <c r="AZ423" s="2">
        <v>100789.36</v>
      </c>
      <c r="BA423" s="73">
        <v>88190.69</v>
      </c>
      <c r="BB423" s="73">
        <v>88190.69</v>
      </c>
      <c r="BC423" s="73">
        <v>100789.36</v>
      </c>
      <c r="BD423" s="73"/>
      <c r="BE423" s="66">
        <v>0</v>
      </c>
      <c r="BF423" s="66">
        <v>0.05</v>
      </c>
      <c r="BG423" s="63">
        <v>44092</v>
      </c>
      <c r="BH423" s="2"/>
      <c r="BI423" s="2"/>
      <c r="BJ423" s="2">
        <v>405741.15</v>
      </c>
      <c r="BK423" s="2">
        <v>45082.35</v>
      </c>
      <c r="BL423" s="1" t="s">
        <v>104</v>
      </c>
    </row>
    <row r="424" spans="1:64" x14ac:dyDescent="0.25">
      <c r="A424" s="56" t="s">
        <v>935</v>
      </c>
      <c r="B424" s="54" t="s">
        <v>935</v>
      </c>
      <c r="C424" s="56" t="s">
        <v>936</v>
      </c>
      <c r="D424" s="16">
        <v>0</v>
      </c>
      <c r="E424" s="17"/>
      <c r="F424" s="2" t="s">
        <v>456</v>
      </c>
      <c r="G424" s="2" t="s">
        <v>457</v>
      </c>
      <c r="H424" s="10" t="s">
        <v>105</v>
      </c>
      <c r="I424" s="11" t="s">
        <v>53</v>
      </c>
      <c r="J424" s="11" t="s">
        <v>312</v>
      </c>
      <c r="K424" s="61"/>
      <c r="L424" s="11" t="s">
        <v>67</v>
      </c>
      <c r="M424" s="25"/>
      <c r="N424" s="54"/>
      <c r="O424" s="3" t="str">
        <f t="shared" si="96"/>
        <v>A</v>
      </c>
      <c r="P424" s="48">
        <v>121187</v>
      </c>
      <c r="Q424" s="48">
        <v>36794</v>
      </c>
      <c r="R424" s="32"/>
      <c r="S424" s="3" t="str">
        <f t="shared" si="97"/>
        <v>A</v>
      </c>
      <c r="T424" s="48">
        <v>117839</v>
      </c>
      <c r="U424" s="48">
        <v>32255</v>
      </c>
      <c r="V424" s="32"/>
      <c r="W424" s="3" t="str">
        <f t="shared" si="89"/>
        <v>A</v>
      </c>
      <c r="X424" s="48">
        <v>101801</v>
      </c>
      <c r="Y424" s="48">
        <v>26541</v>
      </c>
      <c r="Z424" s="32"/>
      <c r="AA424" s="3" t="str">
        <f t="shared" si="90"/>
        <v>A</v>
      </c>
      <c r="AB424" s="48">
        <v>115239</v>
      </c>
      <c r="AC424" s="48">
        <v>27904</v>
      </c>
      <c r="AD424" s="36"/>
      <c r="AE424" s="54"/>
      <c r="AF424" s="3" t="str">
        <f t="shared" si="91"/>
        <v>A</v>
      </c>
      <c r="AG424" s="48">
        <v>0</v>
      </c>
      <c r="AH424" s="48">
        <v>0</v>
      </c>
      <c r="AI424" s="39"/>
      <c r="AJ424" s="79" t="s">
        <v>1801</v>
      </c>
      <c r="AK424" s="39"/>
      <c r="AL424" s="4">
        <f t="shared" si="98"/>
        <v>456066</v>
      </c>
      <c r="AM424" s="4">
        <f t="shared" si="98"/>
        <v>123494</v>
      </c>
      <c r="AN424" s="4">
        <f t="shared" si="92"/>
        <v>579560</v>
      </c>
      <c r="AO424" s="39"/>
      <c r="AP424" s="8">
        <f t="shared" si="99"/>
        <v>0</v>
      </c>
      <c r="AQ424" s="8">
        <f t="shared" si="99"/>
        <v>0</v>
      </c>
      <c r="AR424" s="8">
        <f t="shared" si="93"/>
        <v>0</v>
      </c>
      <c r="AS424" s="42"/>
      <c r="AT424" s="48">
        <v>456066</v>
      </c>
      <c r="AU424" s="48">
        <v>123494</v>
      </c>
      <c r="AV424" s="4">
        <f t="shared" si="94"/>
        <v>579560</v>
      </c>
      <c r="AW424" s="50" t="str">
        <f t="shared" si="95"/>
        <v/>
      </c>
      <c r="AX424" s="1" t="s">
        <v>1711</v>
      </c>
      <c r="AY424" s="2" t="s">
        <v>1712</v>
      </c>
      <c r="AZ424" s="2">
        <v>73365.679999999993</v>
      </c>
      <c r="BA424" s="73">
        <v>64194.97</v>
      </c>
      <c r="BB424" s="73">
        <v>64194.97</v>
      </c>
      <c r="BC424" s="73">
        <v>73365.679999999993</v>
      </c>
      <c r="BD424" s="73"/>
      <c r="BE424" s="66">
        <v>0</v>
      </c>
      <c r="BF424" s="66">
        <v>0.05</v>
      </c>
      <c r="BG424" s="63">
        <v>44170</v>
      </c>
      <c r="BH424" s="2"/>
      <c r="BI424" s="2"/>
      <c r="BJ424" s="2">
        <v>497880</v>
      </c>
      <c r="BK424" s="2">
        <v>49788</v>
      </c>
      <c r="BL424" s="1" t="s">
        <v>219</v>
      </c>
    </row>
    <row r="425" spans="1:64" x14ac:dyDescent="0.25">
      <c r="A425" s="56" t="s">
        <v>939</v>
      </c>
      <c r="B425" s="54" t="s">
        <v>939</v>
      </c>
      <c r="C425" s="56" t="s">
        <v>940</v>
      </c>
      <c r="D425" s="16">
        <v>37053</v>
      </c>
      <c r="E425" s="17"/>
      <c r="F425" s="2" t="s">
        <v>52</v>
      </c>
      <c r="G425" s="2" t="s">
        <v>55</v>
      </c>
      <c r="H425" s="10" t="s">
        <v>57</v>
      </c>
      <c r="I425" s="11" t="s">
        <v>54</v>
      </c>
      <c r="J425" s="11" t="s">
        <v>636</v>
      </c>
      <c r="K425" s="61" t="s">
        <v>637</v>
      </c>
      <c r="L425" s="11" t="s">
        <v>67</v>
      </c>
      <c r="M425" s="25"/>
      <c r="N425" s="54"/>
      <c r="O425" s="3" t="str">
        <f t="shared" si="96"/>
        <v>A</v>
      </c>
      <c r="P425" s="48">
        <v>41916.99</v>
      </c>
      <c r="Q425" s="48">
        <v>10491</v>
      </c>
      <c r="R425" s="32"/>
      <c r="S425" s="3" t="str">
        <f t="shared" si="97"/>
        <v>A</v>
      </c>
      <c r="T425" s="48">
        <v>33440.54</v>
      </c>
      <c r="U425" s="48">
        <v>7176.6</v>
      </c>
      <c r="V425" s="32"/>
      <c r="W425" s="3" t="str">
        <f t="shared" si="89"/>
        <v>A</v>
      </c>
      <c r="X425" s="48">
        <v>30937.019999999997</v>
      </c>
      <c r="Y425" s="48">
        <v>7246.92</v>
      </c>
      <c r="Z425" s="32"/>
      <c r="AA425" s="3" t="str">
        <f t="shared" si="90"/>
        <v>A</v>
      </c>
      <c r="AB425" s="48">
        <v>40479.67</v>
      </c>
      <c r="AC425" s="48">
        <v>9260</v>
      </c>
      <c r="AD425" s="36"/>
      <c r="AE425" s="54"/>
      <c r="AF425" s="3" t="str">
        <f t="shared" si="91"/>
        <v>A</v>
      </c>
      <c r="AG425" s="48">
        <v>0</v>
      </c>
      <c r="AH425" s="48">
        <v>0</v>
      </c>
      <c r="AI425" s="39"/>
      <c r="AJ425" s="79" t="s">
        <v>1801</v>
      </c>
      <c r="AK425" s="39"/>
      <c r="AL425" s="4">
        <f t="shared" si="98"/>
        <v>146774.21999999997</v>
      </c>
      <c r="AM425" s="4">
        <f t="shared" si="98"/>
        <v>34174.519999999997</v>
      </c>
      <c r="AN425" s="4">
        <f t="shared" si="92"/>
        <v>180948.73999999996</v>
      </c>
      <c r="AO425" s="39"/>
      <c r="AP425" s="8">
        <f t="shared" si="99"/>
        <v>0</v>
      </c>
      <c r="AQ425" s="8">
        <f t="shared" si="99"/>
        <v>0</v>
      </c>
      <c r="AR425" s="8">
        <f t="shared" si="93"/>
        <v>0</v>
      </c>
      <c r="AS425" s="42"/>
      <c r="AT425" s="48">
        <v>146774.22</v>
      </c>
      <c r="AU425" s="48">
        <v>34174.519999999997</v>
      </c>
      <c r="AV425" s="4">
        <f t="shared" si="94"/>
        <v>180948.74</v>
      </c>
      <c r="AW425" s="50" t="str">
        <f t="shared" si="95"/>
        <v/>
      </c>
      <c r="AX425" s="1" t="s">
        <v>1639</v>
      </c>
      <c r="AY425" s="2" t="s">
        <v>1640</v>
      </c>
      <c r="AZ425" s="2">
        <v>41561.120000000003</v>
      </c>
      <c r="BA425" s="73">
        <v>36365.980000000003</v>
      </c>
      <c r="BB425" s="73">
        <v>36365.980000000003</v>
      </c>
      <c r="BC425" s="73">
        <v>41561.120000000003</v>
      </c>
      <c r="BD425" s="73"/>
      <c r="BE425" s="66">
        <v>0</v>
      </c>
      <c r="BF425" s="66">
        <v>0.02</v>
      </c>
      <c r="BG425" s="63">
        <v>44358</v>
      </c>
      <c r="BH425" s="2"/>
      <c r="BI425" s="2"/>
      <c r="BJ425" s="2">
        <v>282045.59999999998</v>
      </c>
      <c r="BK425" s="2">
        <v>31338.400000000001</v>
      </c>
      <c r="BL425" s="1" t="s">
        <v>56</v>
      </c>
    </row>
    <row r="426" spans="1:64" x14ac:dyDescent="0.25">
      <c r="A426" s="56" t="s">
        <v>941</v>
      </c>
      <c r="B426" s="54" t="s">
        <v>941</v>
      </c>
      <c r="C426" s="56" t="s">
        <v>942</v>
      </c>
      <c r="D426" s="16">
        <v>0</v>
      </c>
      <c r="E426" s="17"/>
      <c r="F426" s="2" t="s">
        <v>828</v>
      </c>
      <c r="G426" s="2" t="s">
        <v>829</v>
      </c>
      <c r="H426" s="10" t="s">
        <v>98</v>
      </c>
      <c r="I426" s="11" t="s">
        <v>53</v>
      </c>
      <c r="J426" s="11" t="s">
        <v>830</v>
      </c>
      <c r="K426" s="61"/>
      <c r="L426" s="11" t="s">
        <v>67</v>
      </c>
      <c r="M426" s="25"/>
      <c r="N426" s="54"/>
      <c r="O426" s="3" t="str">
        <f t="shared" si="96"/>
        <v>E</v>
      </c>
      <c r="P426" s="48">
        <v>82174.64</v>
      </c>
      <c r="Q426" s="48">
        <v>10856.64</v>
      </c>
      <c r="R426" s="32"/>
      <c r="S426" s="3" t="str">
        <f t="shared" si="97"/>
        <v>E</v>
      </c>
      <c r="T426" s="48">
        <v>71902.81</v>
      </c>
      <c r="U426" s="48">
        <v>9499.56</v>
      </c>
      <c r="V426" s="32"/>
      <c r="W426" s="3" t="str">
        <f t="shared" si="89"/>
        <v>E</v>
      </c>
      <c r="X426" s="48">
        <v>71902.81</v>
      </c>
      <c r="Y426" s="48">
        <v>9499.56</v>
      </c>
      <c r="Z426" s="32"/>
      <c r="AA426" s="3" t="str">
        <f t="shared" si="90"/>
        <v>E</v>
      </c>
      <c r="AB426" s="48">
        <v>82174.64</v>
      </c>
      <c r="AC426" s="48">
        <v>10856.64</v>
      </c>
      <c r="AD426" s="36"/>
      <c r="AE426" s="54"/>
      <c r="AF426" s="3" t="str">
        <f t="shared" si="91"/>
        <v>A</v>
      </c>
      <c r="AG426" s="48"/>
      <c r="AH426" s="48"/>
      <c r="AI426" s="39"/>
      <c r="AJ426" s="79" t="s">
        <v>38</v>
      </c>
      <c r="AK426" s="39"/>
      <c r="AL426" s="4">
        <f t="shared" si="98"/>
        <v>0</v>
      </c>
      <c r="AM426" s="4">
        <f t="shared" si="98"/>
        <v>0</v>
      </c>
      <c r="AN426" s="4">
        <f t="shared" si="92"/>
        <v>0</v>
      </c>
      <c r="AO426" s="39"/>
      <c r="AP426" s="8">
        <f t="shared" si="99"/>
        <v>308154.90000000002</v>
      </c>
      <c r="AQ426" s="8">
        <f t="shared" si="99"/>
        <v>40712.399999999994</v>
      </c>
      <c r="AR426" s="8">
        <f t="shared" si="93"/>
        <v>348867.30000000005</v>
      </c>
      <c r="AS426" s="42"/>
      <c r="AT426" s="48"/>
      <c r="AU426" s="48"/>
      <c r="AV426" s="4">
        <f t="shared" si="94"/>
        <v>0</v>
      </c>
      <c r="AW426" s="50" t="str">
        <f t="shared" si="95"/>
        <v/>
      </c>
      <c r="AX426" s="1" t="s">
        <v>1732</v>
      </c>
      <c r="AY426" s="2" t="s">
        <v>1733</v>
      </c>
      <c r="AZ426" s="2">
        <v>82174.64</v>
      </c>
      <c r="BA426" s="73">
        <v>71902.81</v>
      </c>
      <c r="BB426" s="73">
        <v>71902.81</v>
      </c>
      <c r="BC426" s="73">
        <v>82174.64</v>
      </c>
      <c r="BD426" s="73"/>
      <c r="BE426" s="66">
        <v>0</v>
      </c>
      <c r="BF426" s="66">
        <v>0.05</v>
      </c>
      <c r="BG426" s="63">
        <v>44204</v>
      </c>
      <c r="BH426" s="2"/>
      <c r="BI426" s="2"/>
      <c r="BJ426" s="2">
        <v>402488.84</v>
      </c>
      <c r="BK426" s="2">
        <v>50311.1</v>
      </c>
      <c r="BL426" s="1" t="s">
        <v>97</v>
      </c>
    </row>
    <row r="427" spans="1:64" x14ac:dyDescent="0.25">
      <c r="A427" s="56" t="s">
        <v>945</v>
      </c>
      <c r="B427" s="54" t="s">
        <v>945</v>
      </c>
      <c r="C427" s="56" t="s">
        <v>946</v>
      </c>
      <c r="D427" s="16">
        <v>44490</v>
      </c>
      <c r="E427" s="17"/>
      <c r="F427" s="2" t="s">
        <v>947</v>
      </c>
      <c r="G427" s="2" t="s">
        <v>948</v>
      </c>
      <c r="H427" s="10" t="s">
        <v>98</v>
      </c>
      <c r="I427" s="11" t="s">
        <v>53</v>
      </c>
      <c r="J427" s="11" t="s">
        <v>99</v>
      </c>
      <c r="K427" s="61"/>
      <c r="L427" s="11" t="s">
        <v>67</v>
      </c>
      <c r="M427" s="25"/>
      <c r="N427" s="54"/>
      <c r="O427" s="3" t="str">
        <f t="shared" si="96"/>
        <v>A</v>
      </c>
      <c r="P427" s="48">
        <v>96145</v>
      </c>
      <c r="Q427" s="48">
        <v>660</v>
      </c>
      <c r="R427" s="32"/>
      <c r="S427" s="3" t="str">
        <f t="shared" si="97"/>
        <v>A</v>
      </c>
      <c r="T427" s="48">
        <v>134779</v>
      </c>
      <c r="U427" s="48">
        <v>7350</v>
      </c>
      <c r="V427" s="32"/>
      <c r="W427" s="3" t="str">
        <f t="shared" si="89"/>
        <v>A</v>
      </c>
      <c r="X427" s="48">
        <v>134696</v>
      </c>
      <c r="Y427" s="48">
        <v>8475</v>
      </c>
      <c r="Z427" s="32"/>
      <c r="AA427" s="3" t="str">
        <f t="shared" si="90"/>
        <v>A</v>
      </c>
      <c r="AB427" s="48">
        <v>122082</v>
      </c>
      <c r="AC427" s="48">
        <v>795</v>
      </c>
      <c r="AD427" s="36"/>
      <c r="AE427" s="54"/>
      <c r="AF427" s="3" t="str">
        <f t="shared" si="91"/>
        <v>A</v>
      </c>
      <c r="AG427" s="48">
        <v>0</v>
      </c>
      <c r="AH427" s="48">
        <v>0</v>
      </c>
      <c r="AI427" s="39"/>
      <c r="AJ427" s="79" t="s">
        <v>1801</v>
      </c>
      <c r="AK427" s="39"/>
      <c r="AL427" s="4">
        <f t="shared" si="98"/>
        <v>487702</v>
      </c>
      <c r="AM427" s="4">
        <f t="shared" si="98"/>
        <v>17280</v>
      </c>
      <c r="AN427" s="4">
        <f t="shared" si="92"/>
        <v>504982</v>
      </c>
      <c r="AO427" s="39"/>
      <c r="AP427" s="8">
        <f t="shared" si="99"/>
        <v>0</v>
      </c>
      <c r="AQ427" s="8">
        <f t="shared" si="99"/>
        <v>0</v>
      </c>
      <c r="AR427" s="8">
        <f t="shared" si="93"/>
        <v>0</v>
      </c>
      <c r="AS427" s="42"/>
      <c r="AT427" s="48">
        <v>487702</v>
      </c>
      <c r="AU427" s="48">
        <v>17280</v>
      </c>
      <c r="AV427" s="4">
        <f t="shared" si="94"/>
        <v>504982</v>
      </c>
      <c r="AW427" s="50" t="str">
        <f t="shared" si="95"/>
        <v/>
      </c>
      <c r="AX427" s="1" t="s">
        <v>1742</v>
      </c>
      <c r="AY427" s="2" t="s">
        <v>1743</v>
      </c>
      <c r="AZ427" s="2">
        <v>190999.52</v>
      </c>
      <c r="BA427" s="73">
        <v>167124.57999999999</v>
      </c>
      <c r="BB427" s="73">
        <v>167124.57999999999</v>
      </c>
      <c r="BC427" s="73">
        <v>190999.52</v>
      </c>
      <c r="BD427" s="73"/>
      <c r="BE427" s="66">
        <v>0</v>
      </c>
      <c r="BF427" s="66">
        <v>0.05</v>
      </c>
      <c r="BG427" s="63">
        <v>44482</v>
      </c>
      <c r="BH427" s="74">
        <v>45439</v>
      </c>
      <c r="BI427" s="74">
        <v>45455</v>
      </c>
      <c r="BJ427" s="2">
        <v>688747.5</v>
      </c>
      <c r="BK427" s="2">
        <v>86093.440000000002</v>
      </c>
      <c r="BL427" s="1" t="s">
        <v>97</v>
      </c>
    </row>
    <row r="428" spans="1:64" x14ac:dyDescent="0.25">
      <c r="A428" s="56" t="s">
        <v>951</v>
      </c>
      <c r="B428" s="54" t="s">
        <v>951</v>
      </c>
      <c r="C428" s="56" t="s">
        <v>952</v>
      </c>
      <c r="D428" s="16">
        <v>44333</v>
      </c>
      <c r="E428" s="17"/>
      <c r="F428" s="2" t="s">
        <v>953</v>
      </c>
      <c r="G428" s="2" t="s">
        <v>954</v>
      </c>
      <c r="H428" s="10" t="s">
        <v>98</v>
      </c>
      <c r="I428" s="11" t="s">
        <v>53</v>
      </c>
      <c r="J428" s="11" t="s">
        <v>265</v>
      </c>
      <c r="K428" s="61"/>
      <c r="L428" s="11" t="s">
        <v>67</v>
      </c>
      <c r="M428" s="25"/>
      <c r="N428" s="54"/>
      <c r="O428" s="3" t="str">
        <f t="shared" si="96"/>
        <v>A</v>
      </c>
      <c r="P428" s="48">
        <v>104747</v>
      </c>
      <c r="Q428" s="48">
        <v>3955</v>
      </c>
      <c r="R428" s="32"/>
      <c r="S428" s="3" t="str">
        <f t="shared" si="97"/>
        <v>A</v>
      </c>
      <c r="T428" s="48">
        <v>92255</v>
      </c>
      <c r="U428" s="48">
        <v>3070</v>
      </c>
      <c r="V428" s="32"/>
      <c r="W428" s="3" t="str">
        <f t="shared" si="89"/>
        <v>A</v>
      </c>
      <c r="X428" s="48">
        <v>95249</v>
      </c>
      <c r="Y428" s="48">
        <v>1780</v>
      </c>
      <c r="Z428" s="32"/>
      <c r="AA428" s="3" t="str">
        <f t="shared" si="90"/>
        <v>A</v>
      </c>
      <c r="AB428" s="48">
        <v>116162</v>
      </c>
      <c r="AC428" s="48">
        <v>5510</v>
      </c>
      <c r="AD428" s="36"/>
      <c r="AE428" s="54"/>
      <c r="AF428" s="3" t="str">
        <f t="shared" si="91"/>
        <v>A</v>
      </c>
      <c r="AG428" s="48">
        <v>0</v>
      </c>
      <c r="AH428" s="48">
        <v>0</v>
      </c>
      <c r="AI428" s="39"/>
      <c r="AJ428" s="79" t="s">
        <v>1801</v>
      </c>
      <c r="AK428" s="39"/>
      <c r="AL428" s="4">
        <f t="shared" si="98"/>
        <v>408413</v>
      </c>
      <c r="AM428" s="4">
        <f t="shared" si="98"/>
        <v>14315</v>
      </c>
      <c r="AN428" s="4">
        <f t="shared" si="92"/>
        <v>422728</v>
      </c>
      <c r="AO428" s="39"/>
      <c r="AP428" s="8">
        <f t="shared" si="99"/>
        <v>0</v>
      </c>
      <c r="AQ428" s="8">
        <f t="shared" si="99"/>
        <v>0</v>
      </c>
      <c r="AR428" s="8">
        <f t="shared" si="93"/>
        <v>0</v>
      </c>
      <c r="AS428" s="42"/>
      <c r="AT428" s="48">
        <v>408413</v>
      </c>
      <c r="AU428" s="48">
        <v>14315</v>
      </c>
      <c r="AV428" s="4">
        <f t="shared" si="94"/>
        <v>422728</v>
      </c>
      <c r="AW428" s="50" t="str">
        <f t="shared" si="95"/>
        <v/>
      </c>
      <c r="AX428" s="1" t="s">
        <v>1744</v>
      </c>
      <c r="AY428" s="2" t="s">
        <v>1745</v>
      </c>
      <c r="AZ428" s="2">
        <v>188807.67999999999</v>
      </c>
      <c r="BA428" s="73">
        <v>165206.72</v>
      </c>
      <c r="BB428" s="73">
        <v>165206.72</v>
      </c>
      <c r="BC428" s="73">
        <v>188807.67999999999</v>
      </c>
      <c r="BD428" s="73"/>
      <c r="BE428" s="66">
        <v>0</v>
      </c>
      <c r="BF428" s="66">
        <v>0.05</v>
      </c>
      <c r="BG428" s="63">
        <v>44326</v>
      </c>
      <c r="BH428" s="2"/>
      <c r="BI428" s="2"/>
      <c r="BJ428" s="2">
        <v>681783.75</v>
      </c>
      <c r="BK428" s="2">
        <v>85222.97</v>
      </c>
      <c r="BL428" s="1" t="s">
        <v>97</v>
      </c>
    </row>
    <row r="429" spans="1:64" x14ac:dyDescent="0.25">
      <c r="A429" s="56" t="s">
        <v>951</v>
      </c>
      <c r="B429" s="54" t="s">
        <v>1398</v>
      </c>
      <c r="C429" s="56" t="s">
        <v>1399</v>
      </c>
      <c r="D429" s="16">
        <v>45245</v>
      </c>
      <c r="E429" s="17"/>
      <c r="F429" s="2" t="s">
        <v>953</v>
      </c>
      <c r="G429" s="2" t="s">
        <v>954</v>
      </c>
      <c r="H429" s="10" t="s">
        <v>98</v>
      </c>
      <c r="I429" s="11" t="s">
        <v>53</v>
      </c>
      <c r="J429" s="11" t="s">
        <v>265</v>
      </c>
      <c r="K429" s="61"/>
      <c r="L429" s="11" t="s">
        <v>67</v>
      </c>
      <c r="M429" s="25"/>
      <c r="N429" s="54"/>
      <c r="O429" s="3" t="str">
        <f>IF($A429="","",IF(P429=AZ429,"E","A"))</f>
        <v>A</v>
      </c>
      <c r="P429" s="48">
        <v>36213</v>
      </c>
      <c r="Q429" s="48">
        <v>6914</v>
      </c>
      <c r="R429" s="32"/>
      <c r="S429" s="3" t="str">
        <f>IF($A429="","",IF(T429=BA429,"E","A"))</f>
        <v>A</v>
      </c>
      <c r="T429" s="48">
        <v>37862</v>
      </c>
      <c r="U429" s="48">
        <v>3468</v>
      </c>
      <c r="V429" s="32"/>
      <c r="W429" s="3" t="str">
        <f t="shared" si="89"/>
        <v>A</v>
      </c>
      <c r="X429" s="48">
        <v>37613</v>
      </c>
      <c r="Y429" s="48">
        <v>5658</v>
      </c>
      <c r="Z429" s="32"/>
      <c r="AA429" s="3" t="str">
        <f t="shared" si="90"/>
        <v>A</v>
      </c>
      <c r="AB429" s="48">
        <v>44230</v>
      </c>
      <c r="AC429" s="48">
        <v>6936</v>
      </c>
      <c r="AD429" s="36"/>
      <c r="AE429" s="54"/>
      <c r="AF429" s="3" t="str">
        <f t="shared" si="91"/>
        <v>A</v>
      </c>
      <c r="AG429" s="48">
        <v>0</v>
      </c>
      <c r="AH429" s="48">
        <v>0</v>
      </c>
      <c r="AI429" s="39"/>
      <c r="AJ429" s="79" t="s">
        <v>1801</v>
      </c>
      <c r="AK429" s="39"/>
      <c r="AL429" s="4">
        <f t="shared" si="98"/>
        <v>155918</v>
      </c>
      <c r="AM429" s="4">
        <f t="shared" si="98"/>
        <v>22976</v>
      </c>
      <c r="AN429" s="4">
        <f t="shared" si="92"/>
        <v>178894</v>
      </c>
      <c r="AO429" s="39"/>
      <c r="AP429" s="8">
        <f t="shared" si="99"/>
        <v>0</v>
      </c>
      <c r="AQ429" s="8">
        <f t="shared" si="99"/>
        <v>0</v>
      </c>
      <c r="AR429" s="8">
        <f t="shared" si="93"/>
        <v>0</v>
      </c>
      <c r="AS429" s="42"/>
      <c r="AT429" s="48">
        <v>155918</v>
      </c>
      <c r="AU429" s="48">
        <v>22976</v>
      </c>
      <c r="AV429" s="4">
        <f t="shared" si="94"/>
        <v>178894</v>
      </c>
      <c r="AW429" s="50" t="str">
        <f t="shared" si="95"/>
        <v/>
      </c>
      <c r="AX429" s="1" t="s">
        <v>1744</v>
      </c>
      <c r="AY429" s="2" t="s">
        <v>1745</v>
      </c>
      <c r="AZ429" s="2">
        <v>101316.64</v>
      </c>
      <c r="BA429" s="73">
        <v>88652.06</v>
      </c>
      <c r="BB429" s="73">
        <v>88652.06</v>
      </c>
      <c r="BC429" s="73">
        <v>101316.64</v>
      </c>
      <c r="BD429" s="73"/>
      <c r="BE429" s="66">
        <v>0</v>
      </c>
      <c r="BF429" s="66">
        <v>0.05</v>
      </c>
      <c r="BG429" s="63">
        <v>45227</v>
      </c>
      <c r="BH429" s="2"/>
      <c r="BI429" s="2"/>
      <c r="BJ429" s="2">
        <v>378000</v>
      </c>
      <c r="BK429" s="2">
        <v>11340</v>
      </c>
      <c r="BL429" s="1" t="s">
        <v>97</v>
      </c>
    </row>
    <row r="430" spans="1:64" x14ac:dyDescent="0.25">
      <c r="A430" s="56" t="s">
        <v>951</v>
      </c>
      <c r="B430" s="54" t="s">
        <v>1450</v>
      </c>
      <c r="C430" s="56" t="s">
        <v>1451</v>
      </c>
      <c r="D430" s="16">
        <v>45322</v>
      </c>
      <c r="E430" s="17"/>
      <c r="F430" s="2" t="s">
        <v>953</v>
      </c>
      <c r="G430" s="2" t="s">
        <v>954</v>
      </c>
      <c r="H430" s="10" t="s">
        <v>98</v>
      </c>
      <c r="I430" s="11" t="s">
        <v>53</v>
      </c>
      <c r="J430" s="11" t="s">
        <v>265</v>
      </c>
      <c r="K430" s="61"/>
      <c r="L430" s="11" t="s">
        <v>67</v>
      </c>
      <c r="M430" s="25"/>
      <c r="N430" s="54"/>
      <c r="O430" s="3" t="str">
        <f>IF($A430="","",IF(P430=AZ430,"E","A"))</f>
        <v>A</v>
      </c>
      <c r="P430" s="48">
        <v>30776</v>
      </c>
      <c r="Q430" s="48">
        <v>3446</v>
      </c>
      <c r="R430" s="32"/>
      <c r="S430" s="3" t="str">
        <f>IF($A430="","",IF(T430=BA430,"E","A"))</f>
        <v>A</v>
      </c>
      <c r="T430" s="48">
        <v>30790</v>
      </c>
      <c r="U430" s="48">
        <v>3104</v>
      </c>
      <c r="V430" s="32"/>
      <c r="W430" s="3" t="str">
        <f t="shared" si="89"/>
        <v>A</v>
      </c>
      <c r="X430" s="48">
        <v>27935</v>
      </c>
      <c r="Y430" s="48">
        <v>3184</v>
      </c>
      <c r="Z430" s="32"/>
      <c r="AA430" s="3" t="str">
        <f t="shared" si="90"/>
        <v>A</v>
      </c>
      <c r="AB430" s="48">
        <v>36964</v>
      </c>
      <c r="AC430" s="48">
        <v>2732</v>
      </c>
      <c r="AD430" s="36"/>
      <c r="AE430" s="54"/>
      <c r="AF430" s="3" t="str">
        <f t="shared" si="91"/>
        <v>A</v>
      </c>
      <c r="AG430" s="48">
        <v>0</v>
      </c>
      <c r="AH430" s="48">
        <v>0</v>
      </c>
      <c r="AI430" s="39"/>
      <c r="AJ430" s="79" t="s">
        <v>1801</v>
      </c>
      <c r="AK430" s="39"/>
      <c r="AL430" s="4">
        <f t="shared" si="98"/>
        <v>126465</v>
      </c>
      <c r="AM430" s="4">
        <f t="shared" si="98"/>
        <v>12466</v>
      </c>
      <c r="AN430" s="4">
        <f t="shared" si="92"/>
        <v>138931</v>
      </c>
      <c r="AO430" s="39"/>
      <c r="AP430" s="8">
        <f t="shared" si="99"/>
        <v>0</v>
      </c>
      <c r="AQ430" s="8">
        <f t="shared" si="99"/>
        <v>0</v>
      </c>
      <c r="AR430" s="8">
        <f t="shared" si="93"/>
        <v>0</v>
      </c>
      <c r="AS430" s="42"/>
      <c r="AT430" s="48">
        <v>126465</v>
      </c>
      <c r="AU430" s="48">
        <v>12466</v>
      </c>
      <c r="AV430" s="4">
        <f t="shared" si="94"/>
        <v>138931</v>
      </c>
      <c r="AW430" s="50" t="str">
        <f t="shared" si="95"/>
        <v/>
      </c>
      <c r="AX430" s="1" t="s">
        <v>1744</v>
      </c>
      <c r="AY430" s="2" t="s">
        <v>1745</v>
      </c>
      <c r="AZ430" s="2">
        <v>75045.679999999993</v>
      </c>
      <c r="BA430" s="73">
        <v>65664.97</v>
      </c>
      <c r="BB430" s="73">
        <v>65664.97</v>
      </c>
      <c r="BC430" s="73">
        <v>75045.679999999993</v>
      </c>
      <c r="BD430" s="73"/>
      <c r="BE430" s="66">
        <v>0</v>
      </c>
      <c r="BF430" s="66">
        <v>0.05</v>
      </c>
      <c r="BG430" s="63">
        <v>45315</v>
      </c>
      <c r="BH430" s="2"/>
      <c r="BI430" s="2"/>
      <c r="BJ430" s="2">
        <v>277200</v>
      </c>
      <c r="BK430" s="2">
        <v>8316</v>
      </c>
      <c r="BL430" s="1" t="s">
        <v>97</v>
      </c>
    </row>
    <row r="431" spans="1:64" x14ac:dyDescent="0.25">
      <c r="A431" s="56" t="s">
        <v>955</v>
      </c>
      <c r="B431" s="54" t="s">
        <v>956</v>
      </c>
      <c r="C431" s="56" t="s">
        <v>957</v>
      </c>
      <c r="D431" s="16">
        <v>0</v>
      </c>
      <c r="E431" s="17"/>
      <c r="F431" s="2" t="s">
        <v>52</v>
      </c>
      <c r="G431" s="2" t="s">
        <v>55</v>
      </c>
      <c r="H431" s="10" t="s">
        <v>57</v>
      </c>
      <c r="I431" s="11" t="s">
        <v>54</v>
      </c>
      <c r="J431" s="11" t="s">
        <v>135</v>
      </c>
      <c r="K431" s="61" t="s">
        <v>136</v>
      </c>
      <c r="L431" s="11" t="s">
        <v>67</v>
      </c>
      <c r="M431" s="25"/>
      <c r="N431" s="54"/>
      <c r="O431" s="3" t="str">
        <f t="shared" ref="O431:O446" si="100">IF($A431="","",IF(P431=0,"A",IF(P431=AZ431,"E","A")))</f>
        <v>A</v>
      </c>
      <c r="P431" s="48">
        <v>37400</v>
      </c>
      <c r="Q431" s="48">
        <v>7680</v>
      </c>
      <c r="R431" s="32"/>
      <c r="S431" s="3" t="str">
        <f t="shared" ref="S431:S454" si="101">IF($A431="","",IF(T431=0,"A",IF(T431=BA431,"E","A")))</f>
        <v>A</v>
      </c>
      <c r="T431" s="48">
        <v>32217</v>
      </c>
      <c r="U431" s="48">
        <v>6910</v>
      </c>
      <c r="V431" s="32"/>
      <c r="W431" s="3" t="str">
        <f t="shared" si="89"/>
        <v>A</v>
      </c>
      <c r="X431" s="48">
        <v>30453</v>
      </c>
      <c r="Y431" s="48">
        <v>8615</v>
      </c>
      <c r="Z431" s="32"/>
      <c r="AA431" s="3" t="str">
        <f t="shared" si="90"/>
        <v>A</v>
      </c>
      <c r="AB431" s="48">
        <v>31588</v>
      </c>
      <c r="AC431" s="48">
        <v>9064</v>
      </c>
      <c r="AD431" s="36"/>
      <c r="AE431" s="54"/>
      <c r="AF431" s="3" t="str">
        <f t="shared" si="91"/>
        <v>A</v>
      </c>
      <c r="AG431" s="48">
        <v>0</v>
      </c>
      <c r="AH431" s="48">
        <v>0</v>
      </c>
      <c r="AI431" s="39"/>
      <c r="AJ431" s="79" t="s">
        <v>1801</v>
      </c>
      <c r="AK431" s="39"/>
      <c r="AL431" s="4">
        <f t="shared" si="98"/>
        <v>131658</v>
      </c>
      <c r="AM431" s="4">
        <f t="shared" si="98"/>
        <v>32269</v>
      </c>
      <c r="AN431" s="4">
        <f t="shared" si="92"/>
        <v>163927</v>
      </c>
      <c r="AO431" s="39"/>
      <c r="AP431" s="8">
        <f t="shared" si="99"/>
        <v>0</v>
      </c>
      <c r="AQ431" s="8">
        <f t="shared" si="99"/>
        <v>0</v>
      </c>
      <c r="AR431" s="8">
        <f t="shared" si="93"/>
        <v>0</v>
      </c>
      <c r="AS431" s="42"/>
      <c r="AT431" s="48">
        <v>131658</v>
      </c>
      <c r="AU431" s="48">
        <v>32269</v>
      </c>
      <c r="AV431" s="4">
        <f t="shared" si="94"/>
        <v>163927</v>
      </c>
      <c r="AW431" s="50" t="str">
        <f t="shared" si="95"/>
        <v/>
      </c>
      <c r="AX431" s="1" t="s">
        <v>1639</v>
      </c>
      <c r="AY431" s="2" t="s">
        <v>1640</v>
      </c>
      <c r="AZ431" s="2">
        <v>70248.56</v>
      </c>
      <c r="BA431" s="73">
        <v>61467.49</v>
      </c>
      <c r="BB431" s="73">
        <v>61467.49</v>
      </c>
      <c r="BC431" s="73">
        <v>70248.56</v>
      </c>
      <c r="BD431" s="73"/>
      <c r="BE431" s="66">
        <v>0</v>
      </c>
      <c r="BF431" s="66">
        <v>0.02</v>
      </c>
      <c r="BG431" s="63">
        <v>44377</v>
      </c>
      <c r="BH431" s="2"/>
      <c r="BI431" s="2"/>
      <c r="BJ431" s="2">
        <v>254350.8</v>
      </c>
      <c r="BK431" s="2">
        <v>28261.200000000001</v>
      </c>
      <c r="BL431" s="1" t="s">
        <v>56</v>
      </c>
    </row>
    <row r="432" spans="1:64" x14ac:dyDescent="0.25">
      <c r="A432" s="56" t="s">
        <v>955</v>
      </c>
      <c r="B432" s="54" t="s">
        <v>955</v>
      </c>
      <c r="C432" s="56" t="s">
        <v>958</v>
      </c>
      <c r="D432" s="16">
        <v>42887</v>
      </c>
      <c r="E432" s="17"/>
      <c r="F432" s="2" t="s">
        <v>52</v>
      </c>
      <c r="G432" s="2" t="s">
        <v>55</v>
      </c>
      <c r="H432" s="10" t="s">
        <v>57</v>
      </c>
      <c r="I432" s="11" t="s">
        <v>54</v>
      </c>
      <c r="J432" s="11" t="s">
        <v>135</v>
      </c>
      <c r="K432" s="61" t="s">
        <v>136</v>
      </c>
      <c r="L432" s="11" t="s">
        <v>67</v>
      </c>
      <c r="M432" s="25"/>
      <c r="N432" s="54"/>
      <c r="O432" s="3" t="str">
        <f t="shared" si="100"/>
        <v>A</v>
      </c>
      <c r="P432" s="48">
        <v>96662.99</v>
      </c>
      <c r="Q432" s="48">
        <v>16675</v>
      </c>
      <c r="R432" s="32"/>
      <c r="S432" s="3" t="str">
        <f t="shared" si="101"/>
        <v>A</v>
      </c>
      <c r="T432" s="48">
        <v>82569.3</v>
      </c>
      <c r="U432" s="48">
        <v>15974</v>
      </c>
      <c r="V432" s="32"/>
      <c r="W432" s="3" t="str">
        <f t="shared" si="89"/>
        <v>A</v>
      </c>
      <c r="X432" s="48">
        <v>80874.95</v>
      </c>
      <c r="Y432" s="48">
        <v>17303</v>
      </c>
      <c r="Z432" s="32"/>
      <c r="AA432" s="3" t="str">
        <f t="shared" si="90"/>
        <v>A</v>
      </c>
      <c r="AB432" s="48">
        <v>95059.71</v>
      </c>
      <c r="AC432" s="48">
        <v>18479.239999999998</v>
      </c>
      <c r="AD432" s="36"/>
      <c r="AE432" s="54"/>
      <c r="AF432" s="3" t="str">
        <f t="shared" si="91"/>
        <v>A</v>
      </c>
      <c r="AG432" s="48">
        <v>0</v>
      </c>
      <c r="AH432" s="48">
        <v>0</v>
      </c>
      <c r="AI432" s="39"/>
      <c r="AJ432" s="79" t="s">
        <v>1801</v>
      </c>
      <c r="AK432" s="39"/>
      <c r="AL432" s="4">
        <f t="shared" si="98"/>
        <v>355166.95</v>
      </c>
      <c r="AM432" s="4">
        <f t="shared" si="98"/>
        <v>68431.239999999991</v>
      </c>
      <c r="AN432" s="4">
        <f t="shared" si="92"/>
        <v>423598.19</v>
      </c>
      <c r="AO432" s="39"/>
      <c r="AP432" s="8">
        <f t="shared" si="99"/>
        <v>0</v>
      </c>
      <c r="AQ432" s="8">
        <f t="shared" si="99"/>
        <v>0</v>
      </c>
      <c r="AR432" s="8">
        <f t="shared" si="93"/>
        <v>0</v>
      </c>
      <c r="AS432" s="42"/>
      <c r="AT432" s="48">
        <v>355166.95000000007</v>
      </c>
      <c r="AU432" s="48">
        <v>68431.239999999991</v>
      </c>
      <c r="AV432" s="4">
        <f t="shared" si="94"/>
        <v>423598.19000000006</v>
      </c>
      <c r="AW432" s="50" t="str">
        <f t="shared" si="95"/>
        <v/>
      </c>
      <c r="AX432" s="1" t="s">
        <v>1639</v>
      </c>
      <c r="AY432" s="2" t="s">
        <v>1640</v>
      </c>
      <c r="AZ432" s="2">
        <v>72217.919999999998</v>
      </c>
      <c r="BA432" s="73">
        <v>63190.68</v>
      </c>
      <c r="BB432" s="73">
        <v>63190.68</v>
      </c>
      <c r="BC432" s="73">
        <v>72217.919999999998</v>
      </c>
      <c r="BD432" s="73"/>
      <c r="BE432" s="66">
        <v>0</v>
      </c>
      <c r="BF432" s="66">
        <v>0.02</v>
      </c>
      <c r="BG432" s="63">
        <v>44468</v>
      </c>
      <c r="BH432" s="2"/>
      <c r="BI432" s="2"/>
      <c r="BJ432" s="2">
        <v>256478.4</v>
      </c>
      <c r="BK432" s="2">
        <v>28497.599999999999</v>
      </c>
      <c r="BL432" s="1" t="s">
        <v>56</v>
      </c>
    </row>
    <row r="433" spans="1:64" x14ac:dyDescent="0.25">
      <c r="A433" s="56" t="s">
        <v>955</v>
      </c>
      <c r="B433" s="54" t="s">
        <v>1195</v>
      </c>
      <c r="C433" s="56" t="s">
        <v>1196</v>
      </c>
      <c r="D433" s="16">
        <v>42755</v>
      </c>
      <c r="E433" s="17"/>
      <c r="F433" s="2" t="s">
        <v>52</v>
      </c>
      <c r="G433" s="2" t="s">
        <v>55</v>
      </c>
      <c r="H433" s="10" t="s">
        <v>57</v>
      </c>
      <c r="I433" s="11" t="s">
        <v>54</v>
      </c>
      <c r="J433" s="11" t="s">
        <v>135</v>
      </c>
      <c r="K433" s="61" t="s">
        <v>136</v>
      </c>
      <c r="L433" s="11" t="s">
        <v>67</v>
      </c>
      <c r="M433" s="25"/>
      <c r="N433" s="54"/>
      <c r="O433" s="3" t="str">
        <f t="shared" si="100"/>
        <v>A</v>
      </c>
      <c r="P433" s="48">
        <v>7054</v>
      </c>
      <c r="Q433" s="48">
        <v>2672</v>
      </c>
      <c r="R433" s="32"/>
      <c r="S433" s="3" t="str">
        <f t="shared" si="101"/>
        <v>E</v>
      </c>
      <c r="T433" s="48">
        <v>66802.12</v>
      </c>
      <c r="U433" s="48">
        <v>17717.77</v>
      </c>
      <c r="V433" s="32"/>
      <c r="W433" s="3" t="str">
        <f t="shared" si="89"/>
        <v>E</v>
      </c>
      <c r="X433" s="48">
        <v>66802.12</v>
      </c>
      <c r="Y433" s="48">
        <v>17717.77</v>
      </c>
      <c r="Z433" s="32"/>
      <c r="AA433" s="3" t="str">
        <f t="shared" si="90"/>
        <v>E</v>
      </c>
      <c r="AB433" s="48">
        <v>76345.279999999999</v>
      </c>
      <c r="AC433" s="48">
        <v>20248.88</v>
      </c>
      <c r="AD433" s="36"/>
      <c r="AE433" s="54"/>
      <c r="AF433" s="3" t="str">
        <f t="shared" si="91"/>
        <v>A</v>
      </c>
      <c r="AG433" s="48">
        <v>0</v>
      </c>
      <c r="AH433" s="48">
        <v>0</v>
      </c>
      <c r="AI433" s="39"/>
      <c r="AJ433" s="79" t="s">
        <v>38</v>
      </c>
      <c r="AK433" s="39"/>
      <c r="AL433" s="4">
        <f t="shared" si="98"/>
        <v>7054</v>
      </c>
      <c r="AM433" s="4">
        <f t="shared" si="98"/>
        <v>2672</v>
      </c>
      <c r="AN433" s="4">
        <f t="shared" si="92"/>
        <v>9726</v>
      </c>
      <c r="AO433" s="39"/>
      <c r="AP433" s="8">
        <f t="shared" si="99"/>
        <v>209949.52</v>
      </c>
      <c r="AQ433" s="8">
        <f t="shared" si="99"/>
        <v>55684.42</v>
      </c>
      <c r="AR433" s="8">
        <f t="shared" si="93"/>
        <v>265633.94</v>
      </c>
      <c r="AS433" s="42"/>
      <c r="AT433" s="48">
        <v>7054</v>
      </c>
      <c r="AU433" s="48">
        <v>2672</v>
      </c>
      <c r="AV433" s="4">
        <f t="shared" si="94"/>
        <v>9726</v>
      </c>
      <c r="AW433" s="50" t="str">
        <f t="shared" si="95"/>
        <v/>
      </c>
      <c r="AX433" s="1" t="s">
        <v>1639</v>
      </c>
      <c r="AY433" s="2" t="s">
        <v>1640</v>
      </c>
      <c r="AZ433" s="2">
        <v>76345.279999999999</v>
      </c>
      <c r="BA433" s="73">
        <v>66802.12</v>
      </c>
      <c r="BB433" s="73">
        <v>66802.12</v>
      </c>
      <c r="BC433" s="73">
        <v>76345.279999999999</v>
      </c>
      <c r="BD433" s="73"/>
      <c r="BE433" s="66">
        <v>0</v>
      </c>
      <c r="BF433" s="66">
        <v>0.02</v>
      </c>
      <c r="BG433" s="63">
        <v>44468</v>
      </c>
      <c r="BH433" s="2"/>
      <c r="BI433" s="2"/>
      <c r="BJ433" s="2">
        <v>275652.8</v>
      </c>
      <c r="BK433" s="2">
        <v>68913.2</v>
      </c>
      <c r="BL433" s="1" t="s">
        <v>56</v>
      </c>
    </row>
    <row r="434" spans="1:64" x14ac:dyDescent="0.25">
      <c r="A434" s="56" t="s">
        <v>959</v>
      </c>
      <c r="B434" s="54" t="s">
        <v>959</v>
      </c>
      <c r="C434" s="56" t="s">
        <v>960</v>
      </c>
      <c r="D434" s="16">
        <v>44365</v>
      </c>
      <c r="E434" s="17"/>
      <c r="F434" s="2" t="s">
        <v>423</v>
      </c>
      <c r="G434" s="2" t="s">
        <v>424</v>
      </c>
      <c r="H434" s="10" t="s">
        <v>105</v>
      </c>
      <c r="I434" s="11" t="s">
        <v>53</v>
      </c>
      <c r="J434" s="11" t="s">
        <v>312</v>
      </c>
      <c r="K434" s="61"/>
      <c r="L434" s="11" t="s">
        <v>67</v>
      </c>
      <c r="M434" s="25"/>
      <c r="N434" s="54"/>
      <c r="O434" s="3" t="str">
        <f t="shared" si="100"/>
        <v>A</v>
      </c>
      <c r="P434" s="48">
        <v>70461</v>
      </c>
      <c r="Q434" s="48">
        <v>18225</v>
      </c>
      <c r="R434" s="32"/>
      <c r="S434" s="3" t="str">
        <f t="shared" si="101"/>
        <v>A</v>
      </c>
      <c r="T434" s="48">
        <v>64321</v>
      </c>
      <c r="U434" s="48">
        <v>14830</v>
      </c>
      <c r="V434" s="32"/>
      <c r="W434" s="3" t="str">
        <f t="shared" si="89"/>
        <v>A</v>
      </c>
      <c r="X434" s="48">
        <v>52833</v>
      </c>
      <c r="Y434" s="48">
        <v>13107</v>
      </c>
      <c r="Z434" s="32"/>
      <c r="AA434" s="3" t="str">
        <f t="shared" si="90"/>
        <v>A</v>
      </c>
      <c r="AB434" s="48">
        <v>61489</v>
      </c>
      <c r="AC434" s="48">
        <v>13520</v>
      </c>
      <c r="AD434" s="36"/>
      <c r="AE434" s="54"/>
      <c r="AF434" s="3" t="str">
        <f t="shared" si="91"/>
        <v>A</v>
      </c>
      <c r="AG434" s="48">
        <v>0</v>
      </c>
      <c r="AH434" s="48">
        <v>0</v>
      </c>
      <c r="AI434" s="39"/>
      <c r="AJ434" s="79" t="s">
        <v>1801</v>
      </c>
      <c r="AK434" s="39"/>
      <c r="AL434" s="4">
        <f t="shared" si="98"/>
        <v>249104</v>
      </c>
      <c r="AM434" s="4">
        <f t="shared" si="98"/>
        <v>59682</v>
      </c>
      <c r="AN434" s="4">
        <f t="shared" si="92"/>
        <v>308786</v>
      </c>
      <c r="AO434" s="39"/>
      <c r="AP434" s="8">
        <f t="shared" si="99"/>
        <v>0</v>
      </c>
      <c r="AQ434" s="8">
        <f t="shared" si="99"/>
        <v>0</v>
      </c>
      <c r="AR434" s="8">
        <f t="shared" si="93"/>
        <v>0</v>
      </c>
      <c r="AS434" s="42"/>
      <c r="AT434" s="48">
        <v>249104</v>
      </c>
      <c r="AU434" s="48">
        <v>59682</v>
      </c>
      <c r="AV434" s="4">
        <f t="shared" si="94"/>
        <v>308786</v>
      </c>
      <c r="AW434" s="50" t="str">
        <f t="shared" si="95"/>
        <v/>
      </c>
      <c r="AX434" s="1" t="s">
        <v>1705</v>
      </c>
      <c r="AY434" s="2" t="s">
        <v>1706</v>
      </c>
      <c r="AZ434" s="2">
        <v>116383.28</v>
      </c>
      <c r="BA434" s="73">
        <v>101835.37</v>
      </c>
      <c r="BB434" s="73">
        <v>101835.37</v>
      </c>
      <c r="BC434" s="73">
        <v>116383.28</v>
      </c>
      <c r="BD434" s="73"/>
      <c r="BE434" s="66">
        <v>0</v>
      </c>
      <c r="BF434" s="66">
        <v>0.05</v>
      </c>
      <c r="BG434" s="63">
        <v>44354</v>
      </c>
      <c r="BH434" s="2"/>
      <c r="BI434" s="2"/>
      <c r="BJ434" s="2">
        <v>421394.4</v>
      </c>
      <c r="BK434" s="2">
        <v>46821.599999999999</v>
      </c>
      <c r="BL434" s="1" t="s">
        <v>104</v>
      </c>
    </row>
    <row r="435" spans="1:64" x14ac:dyDescent="0.25">
      <c r="A435" s="56" t="s">
        <v>961</v>
      </c>
      <c r="B435" s="54" t="s">
        <v>961</v>
      </c>
      <c r="C435" s="56" t="s">
        <v>962</v>
      </c>
      <c r="D435" s="16">
        <v>44365</v>
      </c>
      <c r="E435" s="17"/>
      <c r="F435" s="2" t="s">
        <v>414</v>
      </c>
      <c r="G435" s="2" t="s">
        <v>415</v>
      </c>
      <c r="H435" s="10" t="s">
        <v>105</v>
      </c>
      <c r="I435" s="11" t="s">
        <v>53</v>
      </c>
      <c r="J435" s="11" t="s">
        <v>312</v>
      </c>
      <c r="K435" s="61"/>
      <c r="L435" s="11" t="s">
        <v>67</v>
      </c>
      <c r="M435" s="25"/>
      <c r="N435" s="54"/>
      <c r="O435" s="3" t="str">
        <f t="shared" si="100"/>
        <v>E</v>
      </c>
      <c r="P435" s="48">
        <v>122618.8</v>
      </c>
      <c r="Q435" s="48">
        <v>10530.24</v>
      </c>
      <c r="R435" s="32"/>
      <c r="S435" s="3" t="str">
        <f t="shared" si="101"/>
        <v>E</v>
      </c>
      <c r="T435" s="48">
        <v>107291.45</v>
      </c>
      <c r="U435" s="48">
        <v>9213.9599999999991</v>
      </c>
      <c r="V435" s="32"/>
      <c r="W435" s="3" t="str">
        <f t="shared" si="89"/>
        <v>E</v>
      </c>
      <c r="X435" s="48">
        <v>107291.45</v>
      </c>
      <c r="Y435" s="48">
        <v>9213.9599999999991</v>
      </c>
      <c r="Z435" s="32"/>
      <c r="AA435" s="3" t="str">
        <f t="shared" si="90"/>
        <v>E</v>
      </c>
      <c r="AB435" s="48">
        <v>122618.8</v>
      </c>
      <c r="AC435" s="48">
        <v>10530.24</v>
      </c>
      <c r="AD435" s="36"/>
      <c r="AE435" s="54"/>
      <c r="AF435" s="3" t="str">
        <f t="shared" si="91"/>
        <v>A</v>
      </c>
      <c r="AG435" s="48"/>
      <c r="AH435" s="48"/>
      <c r="AI435" s="39"/>
      <c r="AJ435" s="79" t="s">
        <v>38</v>
      </c>
      <c r="AK435" s="39"/>
      <c r="AL435" s="4">
        <f t="shared" si="98"/>
        <v>0</v>
      </c>
      <c r="AM435" s="4">
        <f t="shared" si="98"/>
        <v>0</v>
      </c>
      <c r="AN435" s="4">
        <f t="shared" si="92"/>
        <v>0</v>
      </c>
      <c r="AO435" s="39"/>
      <c r="AP435" s="8">
        <f t="shared" si="99"/>
        <v>459820.5</v>
      </c>
      <c r="AQ435" s="8">
        <f t="shared" si="99"/>
        <v>39488.399999999994</v>
      </c>
      <c r="AR435" s="8">
        <f t="shared" si="93"/>
        <v>499308.9</v>
      </c>
      <c r="AS435" s="42"/>
      <c r="AT435" s="48"/>
      <c r="AU435" s="48"/>
      <c r="AV435" s="4">
        <f t="shared" si="94"/>
        <v>0</v>
      </c>
      <c r="AW435" s="50" t="str">
        <f t="shared" si="95"/>
        <v/>
      </c>
      <c r="AX435" s="1" t="s">
        <v>1703</v>
      </c>
      <c r="AY435" s="2" t="s">
        <v>1704</v>
      </c>
      <c r="AZ435" s="2">
        <v>122618.8</v>
      </c>
      <c r="BA435" s="73">
        <v>107291.45</v>
      </c>
      <c r="BB435" s="73">
        <v>107291.45</v>
      </c>
      <c r="BC435" s="73">
        <v>122618.8</v>
      </c>
      <c r="BD435" s="73"/>
      <c r="BE435" s="66">
        <v>0</v>
      </c>
      <c r="BF435" s="66">
        <v>0.05</v>
      </c>
      <c r="BG435" s="63">
        <v>44361</v>
      </c>
      <c r="BH435" s="2"/>
      <c r="BI435" s="2"/>
      <c r="BJ435" s="2">
        <v>443971.13</v>
      </c>
      <c r="BK435" s="2">
        <v>49330.13</v>
      </c>
      <c r="BL435" s="1" t="s">
        <v>104</v>
      </c>
    </row>
    <row r="436" spans="1:64" x14ac:dyDescent="0.25">
      <c r="A436" s="56" t="s">
        <v>783</v>
      </c>
      <c r="B436" s="54" t="s">
        <v>784</v>
      </c>
      <c r="C436" s="56" t="s">
        <v>785</v>
      </c>
      <c r="D436" s="16">
        <v>43340</v>
      </c>
      <c r="E436" s="17"/>
      <c r="F436" s="2" t="s">
        <v>187</v>
      </c>
      <c r="G436" s="2" t="s">
        <v>189</v>
      </c>
      <c r="H436" s="10" t="s">
        <v>57</v>
      </c>
      <c r="I436" s="11" t="s">
        <v>188</v>
      </c>
      <c r="J436" s="11" t="s">
        <v>190</v>
      </c>
      <c r="K436" s="61" t="s">
        <v>191</v>
      </c>
      <c r="L436" s="11" t="s">
        <v>67</v>
      </c>
      <c r="M436" s="25"/>
      <c r="N436" s="54"/>
      <c r="O436" s="3" t="str">
        <f t="shared" si="100"/>
        <v>A</v>
      </c>
      <c r="P436" s="48">
        <v>16856</v>
      </c>
      <c r="Q436" s="48">
        <v>15485</v>
      </c>
      <c r="R436" s="32"/>
      <c r="S436" s="3" t="str">
        <f t="shared" si="101"/>
        <v>A</v>
      </c>
      <c r="T436" s="48">
        <v>13403</v>
      </c>
      <c r="U436" s="48">
        <v>13094</v>
      </c>
      <c r="V436" s="32"/>
      <c r="W436" s="3" t="str">
        <f t="shared" si="89"/>
        <v>A</v>
      </c>
      <c r="X436" s="48">
        <v>12005</v>
      </c>
      <c r="Y436" s="48">
        <v>8407</v>
      </c>
      <c r="Z436" s="32"/>
      <c r="AA436" s="3" t="str">
        <f t="shared" si="90"/>
        <v>A</v>
      </c>
      <c r="AB436" s="48">
        <v>15195</v>
      </c>
      <c r="AC436" s="48">
        <v>10031</v>
      </c>
      <c r="AD436" s="36"/>
      <c r="AE436" s="54"/>
      <c r="AF436" s="3" t="str">
        <f t="shared" si="91"/>
        <v>A</v>
      </c>
      <c r="AG436" s="48">
        <v>0</v>
      </c>
      <c r="AH436" s="48">
        <v>0</v>
      </c>
      <c r="AI436" s="39"/>
      <c r="AJ436" s="79" t="s">
        <v>1801</v>
      </c>
      <c r="AK436" s="39"/>
      <c r="AL436" s="4">
        <f t="shared" si="98"/>
        <v>57459</v>
      </c>
      <c r="AM436" s="4">
        <f t="shared" si="98"/>
        <v>47017</v>
      </c>
      <c r="AN436" s="4">
        <f t="shared" si="92"/>
        <v>104476</v>
      </c>
      <c r="AO436" s="39"/>
      <c r="AP436" s="8">
        <f t="shared" si="99"/>
        <v>0</v>
      </c>
      <c r="AQ436" s="8">
        <f t="shared" si="99"/>
        <v>0</v>
      </c>
      <c r="AR436" s="8">
        <f t="shared" si="93"/>
        <v>0</v>
      </c>
      <c r="AS436" s="42"/>
      <c r="AT436" s="48">
        <v>57459</v>
      </c>
      <c r="AU436" s="48">
        <v>47017</v>
      </c>
      <c r="AV436" s="4">
        <f t="shared" si="94"/>
        <v>104476</v>
      </c>
      <c r="AW436" s="50" t="str">
        <f t="shared" si="95"/>
        <v/>
      </c>
      <c r="AX436" s="1" t="s">
        <v>1639</v>
      </c>
      <c r="AY436" s="2" t="s">
        <v>1640</v>
      </c>
      <c r="AZ436" s="2">
        <v>32054.560000000001</v>
      </c>
      <c r="BA436" s="73">
        <v>28047.74</v>
      </c>
      <c r="BB436" s="73">
        <v>28047.74</v>
      </c>
      <c r="BC436" s="73">
        <v>32054.560000000001</v>
      </c>
      <c r="BD436" s="73"/>
      <c r="BE436" s="66">
        <v>0</v>
      </c>
      <c r="BF436" s="66">
        <v>0.02</v>
      </c>
      <c r="BG436" s="63">
        <v>44454</v>
      </c>
      <c r="BH436" s="2"/>
      <c r="BI436" s="2"/>
      <c r="BJ436" s="2"/>
      <c r="BK436" s="2"/>
      <c r="BL436" s="1" t="s">
        <v>56</v>
      </c>
    </row>
    <row r="437" spans="1:64" x14ac:dyDescent="0.25">
      <c r="A437" s="56" t="s">
        <v>783</v>
      </c>
      <c r="B437" s="54" t="s">
        <v>783</v>
      </c>
      <c r="C437" s="56" t="s">
        <v>965</v>
      </c>
      <c r="D437" s="16">
        <v>0</v>
      </c>
      <c r="E437" s="17"/>
      <c r="F437" s="2" t="s">
        <v>187</v>
      </c>
      <c r="G437" s="2" t="s">
        <v>189</v>
      </c>
      <c r="H437" s="10" t="s">
        <v>57</v>
      </c>
      <c r="I437" s="11" t="s">
        <v>188</v>
      </c>
      <c r="J437" s="11" t="s">
        <v>190</v>
      </c>
      <c r="K437" s="61" t="s">
        <v>191</v>
      </c>
      <c r="L437" s="11" t="s">
        <v>67</v>
      </c>
      <c r="M437" s="25"/>
      <c r="N437" s="54"/>
      <c r="O437" s="3" t="str">
        <f t="shared" si="100"/>
        <v>A</v>
      </c>
      <c r="P437" s="48">
        <v>89854.15</v>
      </c>
      <c r="Q437" s="48">
        <v>23552</v>
      </c>
      <c r="R437" s="32"/>
      <c r="S437" s="3" t="str">
        <f t="shared" si="101"/>
        <v>A</v>
      </c>
      <c r="T437" s="48">
        <v>84919.3</v>
      </c>
      <c r="U437" s="48">
        <v>20259</v>
      </c>
      <c r="V437" s="32"/>
      <c r="W437" s="3" t="str">
        <f t="shared" si="89"/>
        <v>A</v>
      </c>
      <c r="X437" s="48">
        <v>71355.5</v>
      </c>
      <c r="Y437" s="48">
        <v>21972</v>
      </c>
      <c r="Z437" s="32"/>
      <c r="AA437" s="3" t="str">
        <f t="shared" si="90"/>
        <v>A</v>
      </c>
      <c r="AB437" s="48">
        <v>84113.600000000006</v>
      </c>
      <c r="AC437" s="48">
        <v>19972</v>
      </c>
      <c r="AD437" s="36"/>
      <c r="AE437" s="54"/>
      <c r="AF437" s="3" t="str">
        <f t="shared" si="91"/>
        <v>A</v>
      </c>
      <c r="AG437" s="48">
        <v>0</v>
      </c>
      <c r="AH437" s="48">
        <v>0</v>
      </c>
      <c r="AI437" s="39"/>
      <c r="AJ437" s="79" t="s">
        <v>1801</v>
      </c>
      <c r="AK437" s="39"/>
      <c r="AL437" s="4">
        <f t="shared" si="98"/>
        <v>330242.55000000005</v>
      </c>
      <c r="AM437" s="4">
        <f t="shared" si="98"/>
        <v>85755</v>
      </c>
      <c r="AN437" s="4">
        <f t="shared" si="92"/>
        <v>415997.55000000005</v>
      </c>
      <c r="AO437" s="39"/>
      <c r="AP437" s="8">
        <f t="shared" si="99"/>
        <v>0</v>
      </c>
      <c r="AQ437" s="8">
        <f t="shared" si="99"/>
        <v>0</v>
      </c>
      <c r="AR437" s="8">
        <f t="shared" si="93"/>
        <v>0</v>
      </c>
      <c r="AS437" s="42"/>
      <c r="AT437" s="48">
        <v>330242.55</v>
      </c>
      <c r="AU437" s="48">
        <v>85755</v>
      </c>
      <c r="AV437" s="4">
        <f t="shared" si="94"/>
        <v>415997.55</v>
      </c>
      <c r="AW437" s="50" t="str">
        <f t="shared" si="95"/>
        <v/>
      </c>
      <c r="AX437" s="1" t="s">
        <v>1639</v>
      </c>
      <c r="AY437" s="2" t="s">
        <v>1640</v>
      </c>
      <c r="AZ437" s="2">
        <v>254184.88</v>
      </c>
      <c r="BA437" s="73">
        <v>222411.77</v>
      </c>
      <c r="BB437" s="73">
        <v>222411.77</v>
      </c>
      <c r="BC437" s="73">
        <v>254184.88</v>
      </c>
      <c r="BD437" s="73"/>
      <c r="BE437" s="66">
        <v>0</v>
      </c>
      <c r="BF437" s="66">
        <v>0.02</v>
      </c>
      <c r="BG437" s="63">
        <v>44454</v>
      </c>
      <c r="BH437" s="2"/>
      <c r="BI437" s="2"/>
      <c r="BJ437" s="2">
        <v>906028.07</v>
      </c>
      <c r="BK437" s="2">
        <v>100669.79</v>
      </c>
      <c r="BL437" s="1" t="s">
        <v>56</v>
      </c>
    </row>
    <row r="438" spans="1:64" x14ac:dyDescent="0.25">
      <c r="A438" s="56" t="s">
        <v>783</v>
      </c>
      <c r="B438" s="54" t="s">
        <v>1049</v>
      </c>
      <c r="C438" s="56" t="s">
        <v>1050</v>
      </c>
      <c r="D438" s="16">
        <v>44720</v>
      </c>
      <c r="E438" s="17"/>
      <c r="F438" s="2" t="s">
        <v>187</v>
      </c>
      <c r="G438" s="2" t="s">
        <v>189</v>
      </c>
      <c r="H438" s="10" t="s">
        <v>57</v>
      </c>
      <c r="I438" s="11" t="s">
        <v>188</v>
      </c>
      <c r="J438" s="11" t="s">
        <v>190</v>
      </c>
      <c r="K438" s="61" t="s">
        <v>191</v>
      </c>
      <c r="L438" s="11" t="s">
        <v>67</v>
      </c>
      <c r="M438" s="25"/>
      <c r="N438" s="54"/>
      <c r="O438" s="3" t="str">
        <f t="shared" si="100"/>
        <v>A</v>
      </c>
      <c r="P438" s="48">
        <v>8933</v>
      </c>
      <c r="Q438" s="48">
        <v>6535</v>
      </c>
      <c r="R438" s="32"/>
      <c r="S438" s="3" t="str">
        <f t="shared" si="101"/>
        <v>A</v>
      </c>
      <c r="T438" s="48">
        <v>9476</v>
      </c>
      <c r="U438" s="48">
        <v>6995</v>
      </c>
      <c r="V438" s="32"/>
      <c r="W438" s="3" t="str">
        <f t="shared" si="89"/>
        <v>A</v>
      </c>
      <c r="X438" s="48">
        <v>9671</v>
      </c>
      <c r="Y438" s="48">
        <v>6970</v>
      </c>
      <c r="Z438" s="32"/>
      <c r="AA438" s="3" t="str">
        <f t="shared" si="90"/>
        <v>A</v>
      </c>
      <c r="AB438" s="48">
        <v>11648</v>
      </c>
      <c r="AC438" s="48">
        <v>7081</v>
      </c>
      <c r="AD438" s="36"/>
      <c r="AE438" s="54"/>
      <c r="AF438" s="3" t="str">
        <f t="shared" si="91"/>
        <v>A</v>
      </c>
      <c r="AG438" s="48">
        <v>0</v>
      </c>
      <c r="AH438" s="48">
        <v>0</v>
      </c>
      <c r="AI438" s="39"/>
      <c r="AJ438" s="79" t="s">
        <v>1801</v>
      </c>
      <c r="AK438" s="39"/>
      <c r="AL438" s="4">
        <f t="shared" si="98"/>
        <v>39728</v>
      </c>
      <c r="AM438" s="4">
        <f t="shared" si="98"/>
        <v>27581</v>
      </c>
      <c r="AN438" s="4">
        <f t="shared" si="92"/>
        <v>67309</v>
      </c>
      <c r="AO438" s="39"/>
      <c r="AP438" s="8">
        <f t="shared" si="99"/>
        <v>0</v>
      </c>
      <c r="AQ438" s="8">
        <f t="shared" si="99"/>
        <v>0</v>
      </c>
      <c r="AR438" s="8">
        <f t="shared" si="93"/>
        <v>0</v>
      </c>
      <c r="AS438" s="42"/>
      <c r="AT438" s="48">
        <v>39728</v>
      </c>
      <c r="AU438" s="48">
        <v>27581</v>
      </c>
      <c r="AV438" s="4">
        <f t="shared" si="94"/>
        <v>67309</v>
      </c>
      <c r="AW438" s="50" t="str">
        <f t="shared" si="95"/>
        <v/>
      </c>
      <c r="AX438" s="1" t="s">
        <v>1639</v>
      </c>
      <c r="AY438" s="2" t="s">
        <v>1640</v>
      </c>
      <c r="AZ438" s="2">
        <v>105455.2</v>
      </c>
      <c r="BA438" s="73">
        <v>92273.3</v>
      </c>
      <c r="BB438" s="73">
        <v>92273.3</v>
      </c>
      <c r="BC438" s="73">
        <v>105455.2</v>
      </c>
      <c r="BD438" s="73"/>
      <c r="BE438" s="66">
        <v>0</v>
      </c>
      <c r="BF438" s="66">
        <v>0.02</v>
      </c>
      <c r="BG438" s="63">
        <v>44714</v>
      </c>
      <c r="BH438" s="2"/>
      <c r="BI438" s="2"/>
      <c r="BJ438" s="2">
        <v>385136.78</v>
      </c>
      <c r="BK438" s="2">
        <v>42792.98</v>
      </c>
      <c r="BL438" s="1" t="s">
        <v>56</v>
      </c>
    </row>
    <row r="439" spans="1:64" x14ac:dyDescent="0.25">
      <c r="A439" s="56" t="s">
        <v>966</v>
      </c>
      <c r="B439" s="54" t="s">
        <v>966</v>
      </c>
      <c r="C439" s="56" t="s">
        <v>967</v>
      </c>
      <c r="D439" s="16">
        <v>43228</v>
      </c>
      <c r="E439" s="17"/>
      <c r="F439" s="2" t="s">
        <v>263</v>
      </c>
      <c r="G439" s="2" t="s">
        <v>264</v>
      </c>
      <c r="H439" s="10" t="s">
        <v>98</v>
      </c>
      <c r="I439" s="11" t="s">
        <v>53</v>
      </c>
      <c r="J439" s="11" t="s">
        <v>118</v>
      </c>
      <c r="K439" s="61"/>
      <c r="L439" s="11" t="s">
        <v>67</v>
      </c>
      <c r="M439" s="25"/>
      <c r="N439" s="54"/>
      <c r="O439" s="3" t="str">
        <f t="shared" si="100"/>
        <v>E</v>
      </c>
      <c r="P439" s="48">
        <v>111687.44</v>
      </c>
      <c r="Q439" s="48">
        <v>22658</v>
      </c>
      <c r="R439" s="32"/>
      <c r="S439" s="3" t="str">
        <f t="shared" si="101"/>
        <v>E</v>
      </c>
      <c r="T439" s="48">
        <v>97726.51</v>
      </c>
      <c r="U439" s="48">
        <v>19825.75</v>
      </c>
      <c r="V439" s="32"/>
      <c r="W439" s="3" t="str">
        <f t="shared" si="89"/>
        <v>E</v>
      </c>
      <c r="X439" s="48">
        <v>97726.51</v>
      </c>
      <c r="Y439" s="48">
        <v>19825.75</v>
      </c>
      <c r="Z439" s="32"/>
      <c r="AA439" s="3" t="str">
        <f t="shared" si="90"/>
        <v>E</v>
      </c>
      <c r="AB439" s="48">
        <v>111687.44</v>
      </c>
      <c r="AC439" s="48">
        <v>22658</v>
      </c>
      <c r="AD439" s="36"/>
      <c r="AE439" s="54"/>
      <c r="AF439" s="3" t="str">
        <f t="shared" si="91"/>
        <v>A</v>
      </c>
      <c r="AG439" s="48"/>
      <c r="AH439" s="48"/>
      <c r="AI439" s="39"/>
      <c r="AJ439" s="79" t="s">
        <v>38</v>
      </c>
      <c r="AK439" s="39"/>
      <c r="AL439" s="4">
        <f t="shared" si="98"/>
        <v>0</v>
      </c>
      <c r="AM439" s="4">
        <f t="shared" si="98"/>
        <v>0</v>
      </c>
      <c r="AN439" s="4">
        <f t="shared" si="92"/>
        <v>0</v>
      </c>
      <c r="AO439" s="39"/>
      <c r="AP439" s="8">
        <f t="shared" si="99"/>
        <v>418827.9</v>
      </c>
      <c r="AQ439" s="8">
        <f t="shared" si="99"/>
        <v>84967.5</v>
      </c>
      <c r="AR439" s="8">
        <f t="shared" si="93"/>
        <v>503795.4</v>
      </c>
      <c r="AS439" s="42"/>
      <c r="AT439" s="48"/>
      <c r="AU439" s="48"/>
      <c r="AV439" s="4">
        <f t="shared" si="94"/>
        <v>0</v>
      </c>
      <c r="AW439" s="50" t="str">
        <f t="shared" si="95"/>
        <v/>
      </c>
      <c r="AX439" s="1" t="s">
        <v>1668</v>
      </c>
      <c r="AY439" s="2" t="s">
        <v>1669</v>
      </c>
      <c r="AZ439" s="2">
        <v>111687.44</v>
      </c>
      <c r="BA439" s="73">
        <v>97726.51</v>
      </c>
      <c r="BB439" s="73">
        <v>97726.51</v>
      </c>
      <c r="BC439" s="73">
        <v>111687.44</v>
      </c>
      <c r="BD439" s="73"/>
      <c r="BE439" s="66">
        <v>4.4999999999999998E-2</v>
      </c>
      <c r="BF439" s="66">
        <v>0.05</v>
      </c>
      <c r="BG439" s="63">
        <v>45559</v>
      </c>
      <c r="BH439" s="2"/>
      <c r="BI439" s="2"/>
      <c r="BJ439" s="2">
        <v>393574.28</v>
      </c>
      <c r="BK439" s="2">
        <v>98393.57</v>
      </c>
      <c r="BL439" s="1" t="s">
        <v>97</v>
      </c>
    </row>
    <row r="440" spans="1:64" x14ac:dyDescent="0.25">
      <c r="A440" s="56" t="s">
        <v>966</v>
      </c>
      <c r="B440" s="54" t="s">
        <v>1003</v>
      </c>
      <c r="C440" s="56" t="s">
        <v>1004</v>
      </c>
      <c r="D440" s="16">
        <v>0</v>
      </c>
      <c r="E440" s="17"/>
      <c r="F440" s="2" t="s">
        <v>263</v>
      </c>
      <c r="G440" s="2" t="s">
        <v>264</v>
      </c>
      <c r="H440" s="10" t="s">
        <v>98</v>
      </c>
      <c r="I440" s="11" t="s">
        <v>53</v>
      </c>
      <c r="J440" s="11" t="s">
        <v>265</v>
      </c>
      <c r="K440" s="61"/>
      <c r="L440" s="11" t="s">
        <v>67</v>
      </c>
      <c r="M440" s="25"/>
      <c r="N440" s="54"/>
      <c r="O440" s="3" t="str">
        <f t="shared" si="100"/>
        <v>E</v>
      </c>
      <c r="P440" s="48">
        <v>38513.279999999999</v>
      </c>
      <c r="Q440" s="48">
        <v>0</v>
      </c>
      <c r="R440" s="32"/>
      <c r="S440" s="3" t="str">
        <f t="shared" si="101"/>
        <v>E</v>
      </c>
      <c r="T440" s="48">
        <v>33699.120000000003</v>
      </c>
      <c r="U440" s="48">
        <v>0</v>
      </c>
      <c r="V440" s="32"/>
      <c r="W440" s="3" t="str">
        <f t="shared" si="89"/>
        <v>E</v>
      </c>
      <c r="X440" s="48">
        <v>33699.120000000003</v>
      </c>
      <c r="Y440" s="48">
        <v>0</v>
      </c>
      <c r="Z440" s="32"/>
      <c r="AA440" s="3" t="str">
        <f t="shared" si="90"/>
        <v>E</v>
      </c>
      <c r="AB440" s="48">
        <v>38513.279999999999</v>
      </c>
      <c r="AC440" s="48">
        <v>0</v>
      </c>
      <c r="AD440" s="36"/>
      <c r="AE440" s="54"/>
      <c r="AF440" s="3" t="str">
        <f t="shared" si="91"/>
        <v>A</v>
      </c>
      <c r="AG440" s="48"/>
      <c r="AH440" s="48"/>
      <c r="AI440" s="39"/>
      <c r="AJ440" s="79" t="s">
        <v>38</v>
      </c>
      <c r="AK440" s="39"/>
      <c r="AL440" s="4">
        <f t="shared" si="98"/>
        <v>0</v>
      </c>
      <c r="AM440" s="4">
        <f t="shared" si="98"/>
        <v>0</v>
      </c>
      <c r="AN440" s="4">
        <f t="shared" si="92"/>
        <v>0</v>
      </c>
      <c r="AO440" s="39"/>
      <c r="AP440" s="8">
        <f t="shared" si="99"/>
        <v>144424.79999999999</v>
      </c>
      <c r="AQ440" s="8">
        <f t="shared" si="99"/>
        <v>0</v>
      </c>
      <c r="AR440" s="8">
        <f t="shared" si="93"/>
        <v>144424.79999999999</v>
      </c>
      <c r="AS440" s="42"/>
      <c r="AT440" s="48"/>
      <c r="AU440" s="48"/>
      <c r="AV440" s="4">
        <f t="shared" si="94"/>
        <v>0</v>
      </c>
      <c r="AW440" s="50" t="str">
        <f t="shared" si="95"/>
        <v/>
      </c>
      <c r="AX440" s="1" t="s">
        <v>1668</v>
      </c>
      <c r="AY440" s="2" t="s">
        <v>1669</v>
      </c>
      <c r="AZ440" s="2">
        <v>38513.279999999999</v>
      </c>
      <c r="BA440" s="73">
        <v>33699.120000000003</v>
      </c>
      <c r="BB440" s="73">
        <v>33699.120000000003</v>
      </c>
      <c r="BC440" s="73">
        <v>38513.279999999999</v>
      </c>
      <c r="BD440" s="73"/>
      <c r="BE440" s="66">
        <v>0</v>
      </c>
      <c r="BF440" s="66">
        <v>0.05</v>
      </c>
      <c r="BG440" s="63">
        <v>45559</v>
      </c>
      <c r="BH440" s="2"/>
      <c r="BI440" s="2"/>
      <c r="BJ440" s="2">
        <v>144000</v>
      </c>
      <c r="BK440" s="2"/>
      <c r="BL440" s="1" t="s">
        <v>97</v>
      </c>
    </row>
    <row r="441" spans="1:64" x14ac:dyDescent="0.25">
      <c r="A441" s="56" t="s">
        <v>968</v>
      </c>
      <c r="B441" s="54" t="s">
        <v>968</v>
      </c>
      <c r="C441" s="56" t="s">
        <v>969</v>
      </c>
      <c r="D441" s="16">
        <v>0</v>
      </c>
      <c r="E441" s="17"/>
      <c r="F441" s="2" t="s">
        <v>109</v>
      </c>
      <c r="G441" s="2" t="s">
        <v>111</v>
      </c>
      <c r="H441" s="10" t="s">
        <v>105</v>
      </c>
      <c r="I441" s="11" t="s">
        <v>110</v>
      </c>
      <c r="J441" s="11" t="s">
        <v>229</v>
      </c>
      <c r="K441" s="61" t="s">
        <v>230</v>
      </c>
      <c r="L441" s="11" t="s">
        <v>67</v>
      </c>
      <c r="M441" s="25"/>
      <c r="N441" s="54"/>
      <c r="O441" s="3" t="str">
        <f t="shared" si="100"/>
        <v>A</v>
      </c>
      <c r="P441" s="48">
        <v>121588</v>
      </c>
      <c r="Q441" s="48">
        <v>8335</v>
      </c>
      <c r="R441" s="32"/>
      <c r="S441" s="3" t="str">
        <f t="shared" si="101"/>
        <v>A</v>
      </c>
      <c r="T441" s="48">
        <v>107946</v>
      </c>
      <c r="U441" s="48">
        <v>15284</v>
      </c>
      <c r="V441" s="32"/>
      <c r="W441" s="3" t="str">
        <f t="shared" si="89"/>
        <v>A</v>
      </c>
      <c r="X441" s="48">
        <v>114047</v>
      </c>
      <c r="Y441" s="48">
        <v>11747</v>
      </c>
      <c r="Z441" s="32"/>
      <c r="AA441" s="3" t="str">
        <f t="shared" si="90"/>
        <v>A</v>
      </c>
      <c r="AB441" s="48">
        <v>126562</v>
      </c>
      <c r="AC441" s="48">
        <v>10387</v>
      </c>
      <c r="AD441" s="36"/>
      <c r="AE441" s="54"/>
      <c r="AF441" s="3" t="str">
        <f t="shared" si="91"/>
        <v>A</v>
      </c>
      <c r="AG441" s="48">
        <v>0</v>
      </c>
      <c r="AH441" s="48">
        <v>0</v>
      </c>
      <c r="AI441" s="39"/>
      <c r="AJ441" s="79" t="s">
        <v>1801</v>
      </c>
      <c r="AK441" s="39"/>
      <c r="AL441" s="4">
        <f t="shared" si="98"/>
        <v>470143</v>
      </c>
      <c r="AM441" s="4">
        <f t="shared" si="98"/>
        <v>45753</v>
      </c>
      <c r="AN441" s="4">
        <f t="shared" si="92"/>
        <v>515896</v>
      </c>
      <c r="AO441" s="39"/>
      <c r="AP441" s="8">
        <f t="shared" si="99"/>
        <v>0</v>
      </c>
      <c r="AQ441" s="8">
        <f t="shared" si="99"/>
        <v>0</v>
      </c>
      <c r="AR441" s="8">
        <f t="shared" si="93"/>
        <v>0</v>
      </c>
      <c r="AS441" s="42"/>
      <c r="AT441" s="48">
        <v>470143</v>
      </c>
      <c r="AU441" s="48">
        <v>45753</v>
      </c>
      <c r="AV441" s="4">
        <f t="shared" si="94"/>
        <v>515896</v>
      </c>
      <c r="AW441" s="50" t="str">
        <f t="shared" si="95"/>
        <v/>
      </c>
      <c r="AX441" s="1" t="s">
        <v>1647</v>
      </c>
      <c r="AY441" s="2" t="s">
        <v>1640</v>
      </c>
      <c r="AZ441" s="2">
        <v>142605.76000000001</v>
      </c>
      <c r="BA441" s="73">
        <v>124780.04</v>
      </c>
      <c r="BB441" s="73">
        <v>124780.04</v>
      </c>
      <c r="BC441" s="73">
        <v>142605.76000000001</v>
      </c>
      <c r="BD441" s="73"/>
      <c r="BE441" s="66">
        <v>0</v>
      </c>
      <c r="BF441" s="66">
        <v>0.02</v>
      </c>
      <c r="BG441" s="63">
        <v>44500</v>
      </c>
      <c r="BH441" s="2"/>
      <c r="BI441" s="2"/>
      <c r="BJ441" s="2">
        <v>514238.63</v>
      </c>
      <c r="BK441" s="2">
        <v>57137.63</v>
      </c>
      <c r="BL441" s="1" t="s">
        <v>219</v>
      </c>
    </row>
    <row r="442" spans="1:64" x14ac:dyDescent="0.25">
      <c r="A442" s="56" t="s">
        <v>974</v>
      </c>
      <c r="B442" s="54" t="s">
        <v>974</v>
      </c>
      <c r="C442" s="56" t="s">
        <v>975</v>
      </c>
      <c r="D442" s="16">
        <v>44469</v>
      </c>
      <c r="E442" s="17"/>
      <c r="F442" s="2" t="s">
        <v>243</v>
      </c>
      <c r="G442" s="2" t="s">
        <v>245</v>
      </c>
      <c r="H442" s="10" t="s">
        <v>98</v>
      </c>
      <c r="I442" s="11" t="s">
        <v>244</v>
      </c>
      <c r="J442" s="11" t="s">
        <v>278</v>
      </c>
      <c r="K442" s="61" t="s">
        <v>279</v>
      </c>
      <c r="L442" s="11" t="s">
        <v>67</v>
      </c>
      <c r="M442" s="25"/>
      <c r="N442" s="54"/>
      <c r="O442" s="3" t="str">
        <f t="shared" si="100"/>
        <v>A</v>
      </c>
      <c r="P442" s="48">
        <v>190287.34</v>
      </c>
      <c r="Q442" s="48">
        <v>12245</v>
      </c>
      <c r="R442" s="32"/>
      <c r="S442" s="3" t="str">
        <f t="shared" si="101"/>
        <v>A</v>
      </c>
      <c r="T442" s="48">
        <v>163543.51</v>
      </c>
      <c r="U442" s="48">
        <v>8957</v>
      </c>
      <c r="V442" s="32"/>
      <c r="W442" s="3" t="str">
        <f t="shared" si="89"/>
        <v>A</v>
      </c>
      <c r="X442" s="48">
        <v>175797.56</v>
      </c>
      <c r="Y442" s="48">
        <v>9926.9599999999991</v>
      </c>
      <c r="Z442" s="32"/>
      <c r="AA442" s="3" t="str">
        <f t="shared" si="90"/>
        <v>A</v>
      </c>
      <c r="AB442" s="48">
        <v>205394.35</v>
      </c>
      <c r="AC442" s="48">
        <v>10170</v>
      </c>
      <c r="AD442" s="36"/>
      <c r="AE442" s="54"/>
      <c r="AF442" s="3" t="str">
        <f t="shared" si="91"/>
        <v>A</v>
      </c>
      <c r="AG442" s="48">
        <v>0</v>
      </c>
      <c r="AH442" s="48">
        <v>0</v>
      </c>
      <c r="AI442" s="39"/>
      <c r="AJ442" s="79" t="s">
        <v>1801</v>
      </c>
      <c r="AK442" s="39"/>
      <c r="AL442" s="4">
        <f t="shared" si="98"/>
        <v>735022.75999999989</v>
      </c>
      <c r="AM442" s="4">
        <f t="shared" si="98"/>
        <v>41298.959999999999</v>
      </c>
      <c r="AN442" s="4">
        <f t="shared" si="92"/>
        <v>776321.71999999986</v>
      </c>
      <c r="AO442" s="39"/>
      <c r="AP442" s="8">
        <f t="shared" si="99"/>
        <v>0</v>
      </c>
      <c r="AQ442" s="8">
        <f t="shared" si="99"/>
        <v>0</v>
      </c>
      <c r="AR442" s="8">
        <f t="shared" si="93"/>
        <v>0</v>
      </c>
      <c r="AS442" s="42"/>
      <c r="AT442" s="48">
        <v>735022.76</v>
      </c>
      <c r="AU442" s="48">
        <v>41298.959999999999</v>
      </c>
      <c r="AV442" s="4">
        <f t="shared" si="94"/>
        <v>776321.72</v>
      </c>
      <c r="AW442" s="50" t="str">
        <f t="shared" si="95"/>
        <v/>
      </c>
      <c r="AX442" s="1" t="s">
        <v>1639</v>
      </c>
      <c r="AY442" s="2" t="s">
        <v>1640</v>
      </c>
      <c r="AZ442" s="2">
        <v>160480.24</v>
      </c>
      <c r="BA442" s="73">
        <v>140420.21</v>
      </c>
      <c r="BB442" s="73">
        <v>140420.21</v>
      </c>
      <c r="BC442" s="73">
        <v>160480.24</v>
      </c>
      <c r="BD442" s="73"/>
      <c r="BE442" s="66">
        <v>0</v>
      </c>
      <c r="BF442" s="66">
        <v>0.02</v>
      </c>
      <c r="BG442" s="63">
        <v>44462</v>
      </c>
      <c r="BH442" s="2"/>
      <c r="BI442" s="2"/>
      <c r="BJ442" s="2">
        <v>572024.25</v>
      </c>
      <c r="BK442" s="2">
        <v>71503.03</v>
      </c>
      <c r="BL442" s="1" t="s">
        <v>97</v>
      </c>
    </row>
    <row r="443" spans="1:64" x14ac:dyDescent="0.25">
      <c r="A443" s="56" t="s">
        <v>974</v>
      </c>
      <c r="B443" s="54" t="s">
        <v>1035</v>
      </c>
      <c r="C443" s="56" t="s">
        <v>1036</v>
      </c>
      <c r="D443" s="16">
        <v>0</v>
      </c>
      <c r="E443" s="17"/>
      <c r="F443" s="2" t="s">
        <v>243</v>
      </c>
      <c r="G443" s="2" t="s">
        <v>245</v>
      </c>
      <c r="H443" s="10" t="s">
        <v>98</v>
      </c>
      <c r="I443" s="11" t="s">
        <v>244</v>
      </c>
      <c r="J443" s="11" t="s">
        <v>278</v>
      </c>
      <c r="K443" s="61" t="s">
        <v>279</v>
      </c>
      <c r="L443" s="11" t="s">
        <v>67</v>
      </c>
      <c r="M443" s="25"/>
      <c r="N443" s="54"/>
      <c r="O443" s="3" t="str">
        <f t="shared" si="100"/>
        <v>A</v>
      </c>
      <c r="P443" s="48">
        <v>51525</v>
      </c>
      <c r="Q443" s="48">
        <v>3719</v>
      </c>
      <c r="R443" s="32"/>
      <c r="S443" s="3" t="str">
        <f t="shared" si="101"/>
        <v>A</v>
      </c>
      <c r="T443" s="48">
        <v>47628</v>
      </c>
      <c r="U443" s="48">
        <v>3251</v>
      </c>
      <c r="V443" s="32"/>
      <c r="W443" s="3" t="str">
        <f t="shared" si="89"/>
        <v>A</v>
      </c>
      <c r="X443" s="48">
        <v>39341</v>
      </c>
      <c r="Y443" s="48">
        <v>3097</v>
      </c>
      <c r="Z443" s="32"/>
      <c r="AA443" s="3" t="str">
        <f t="shared" si="90"/>
        <v>A</v>
      </c>
      <c r="AB443" s="48">
        <v>48282</v>
      </c>
      <c r="AC443" s="48">
        <v>3237</v>
      </c>
      <c r="AD443" s="36"/>
      <c r="AE443" s="54"/>
      <c r="AF443" s="3" t="str">
        <f t="shared" si="91"/>
        <v>A</v>
      </c>
      <c r="AG443" s="48">
        <v>0</v>
      </c>
      <c r="AH443" s="48">
        <v>0</v>
      </c>
      <c r="AI443" s="39"/>
      <c r="AJ443" s="79" t="s">
        <v>1801</v>
      </c>
      <c r="AK443" s="39"/>
      <c r="AL443" s="4">
        <f t="shared" si="98"/>
        <v>186776</v>
      </c>
      <c r="AM443" s="4">
        <f t="shared" si="98"/>
        <v>13304</v>
      </c>
      <c r="AN443" s="4">
        <f t="shared" si="92"/>
        <v>200080</v>
      </c>
      <c r="AO443" s="39"/>
      <c r="AP443" s="8">
        <f t="shared" si="99"/>
        <v>0</v>
      </c>
      <c r="AQ443" s="8">
        <f t="shared" si="99"/>
        <v>0</v>
      </c>
      <c r="AR443" s="8">
        <f t="shared" si="93"/>
        <v>0</v>
      </c>
      <c r="AS443" s="42"/>
      <c r="AT443" s="48">
        <v>186776</v>
      </c>
      <c r="AU443" s="48">
        <v>13304</v>
      </c>
      <c r="AV443" s="4">
        <f t="shared" si="94"/>
        <v>200080</v>
      </c>
      <c r="AW443" s="50" t="str">
        <f t="shared" si="95"/>
        <v/>
      </c>
      <c r="AX443" s="1" t="s">
        <v>1639</v>
      </c>
      <c r="AY443" s="2" t="s">
        <v>1640</v>
      </c>
      <c r="AZ443" s="2">
        <v>104811.12</v>
      </c>
      <c r="BA443" s="73">
        <v>91709.73</v>
      </c>
      <c r="BB443" s="73">
        <v>91709.73</v>
      </c>
      <c r="BC443" s="73">
        <v>104811.12</v>
      </c>
      <c r="BD443" s="73"/>
      <c r="BE443" s="66">
        <v>0</v>
      </c>
      <c r="BF443" s="66">
        <v>0.02</v>
      </c>
      <c r="BG443" s="63">
        <v>44649</v>
      </c>
      <c r="BH443" s="2"/>
      <c r="BI443" s="2"/>
      <c r="BJ443" s="2">
        <v>369616.5</v>
      </c>
      <c r="BK443" s="2">
        <v>46202.06</v>
      </c>
      <c r="BL443" s="1" t="s">
        <v>97</v>
      </c>
    </row>
    <row r="444" spans="1:64" x14ac:dyDescent="0.25">
      <c r="A444" s="56" t="s">
        <v>974</v>
      </c>
      <c r="B444" s="54" t="s">
        <v>1144</v>
      </c>
      <c r="C444" s="56" t="s">
        <v>1145</v>
      </c>
      <c r="D444" s="16">
        <v>0</v>
      </c>
      <c r="E444" s="17"/>
      <c r="F444" s="2" t="s">
        <v>243</v>
      </c>
      <c r="G444" s="2" t="s">
        <v>245</v>
      </c>
      <c r="H444" s="10" t="s">
        <v>98</v>
      </c>
      <c r="I444" s="11" t="s">
        <v>244</v>
      </c>
      <c r="J444" s="11" t="s">
        <v>278</v>
      </c>
      <c r="K444" s="61" t="s">
        <v>279</v>
      </c>
      <c r="L444" s="11" t="s">
        <v>67</v>
      </c>
      <c r="M444" s="25"/>
      <c r="N444" s="54"/>
      <c r="O444" s="3" t="str">
        <f t="shared" si="100"/>
        <v>A</v>
      </c>
      <c r="P444" s="48">
        <v>106461</v>
      </c>
      <c r="Q444" s="48">
        <v>936</v>
      </c>
      <c r="R444" s="32"/>
      <c r="S444" s="3" t="str">
        <f t="shared" si="101"/>
        <v>A</v>
      </c>
      <c r="T444" s="48">
        <v>94672</v>
      </c>
      <c r="U444" s="48">
        <v>741</v>
      </c>
      <c r="V444" s="32"/>
      <c r="W444" s="3" t="str">
        <f t="shared" si="89"/>
        <v>A</v>
      </c>
      <c r="X444" s="48">
        <v>91276</v>
      </c>
      <c r="Y444" s="48">
        <v>702</v>
      </c>
      <c r="Z444" s="32"/>
      <c r="AA444" s="3" t="str">
        <f t="shared" si="90"/>
        <v>A</v>
      </c>
      <c r="AB444" s="48">
        <v>109583</v>
      </c>
      <c r="AC444" s="48">
        <v>936</v>
      </c>
      <c r="AD444" s="36"/>
      <c r="AE444" s="54"/>
      <c r="AF444" s="3" t="str">
        <f t="shared" si="91"/>
        <v>A</v>
      </c>
      <c r="AG444" s="48">
        <v>0</v>
      </c>
      <c r="AH444" s="48">
        <v>0</v>
      </c>
      <c r="AI444" s="39"/>
      <c r="AJ444" s="79" t="s">
        <v>1801</v>
      </c>
      <c r="AK444" s="39"/>
      <c r="AL444" s="4">
        <f t="shared" si="98"/>
        <v>401992</v>
      </c>
      <c r="AM444" s="4">
        <f t="shared" si="98"/>
        <v>3315</v>
      </c>
      <c r="AN444" s="4">
        <f t="shared" si="92"/>
        <v>405307</v>
      </c>
      <c r="AO444" s="39"/>
      <c r="AP444" s="8">
        <f t="shared" si="99"/>
        <v>0</v>
      </c>
      <c r="AQ444" s="8">
        <f t="shared" si="99"/>
        <v>0</v>
      </c>
      <c r="AR444" s="8">
        <f t="shared" si="93"/>
        <v>0</v>
      </c>
      <c r="AS444" s="42"/>
      <c r="AT444" s="48">
        <v>401992</v>
      </c>
      <c r="AU444" s="48">
        <v>3315</v>
      </c>
      <c r="AV444" s="4">
        <f t="shared" si="94"/>
        <v>405307</v>
      </c>
      <c r="AW444" s="50" t="str">
        <f t="shared" si="95"/>
        <v/>
      </c>
      <c r="AX444" s="1" t="s">
        <v>1639</v>
      </c>
      <c r="AY444" s="2" t="s">
        <v>1640</v>
      </c>
      <c r="AZ444" s="2">
        <v>63254.080000000002</v>
      </c>
      <c r="BA444" s="73">
        <v>55347.32</v>
      </c>
      <c r="BB444" s="73">
        <v>55347.32</v>
      </c>
      <c r="BC444" s="73">
        <v>63254.080000000002</v>
      </c>
      <c r="BD444" s="73"/>
      <c r="BE444" s="66">
        <v>0</v>
      </c>
      <c r="BF444" s="66">
        <v>0.02</v>
      </c>
      <c r="BG444" s="63">
        <v>44995</v>
      </c>
      <c r="BH444" s="2"/>
      <c r="BI444" s="2"/>
      <c r="BJ444" s="2">
        <v>225000</v>
      </c>
      <c r="BK444" s="2"/>
      <c r="BL444" s="1" t="s">
        <v>97</v>
      </c>
    </row>
    <row r="445" spans="1:64" x14ac:dyDescent="0.25">
      <c r="A445" s="56" t="s">
        <v>974</v>
      </c>
      <c r="B445" s="54" t="s">
        <v>1207</v>
      </c>
      <c r="C445" s="56" t="s">
        <v>1208</v>
      </c>
      <c r="D445" s="16">
        <v>0</v>
      </c>
      <c r="E445" s="17"/>
      <c r="F445" s="2" t="s">
        <v>243</v>
      </c>
      <c r="G445" s="2" t="s">
        <v>245</v>
      </c>
      <c r="H445" s="10" t="s">
        <v>98</v>
      </c>
      <c r="I445" s="11" t="s">
        <v>244</v>
      </c>
      <c r="J445" s="11" t="s">
        <v>278</v>
      </c>
      <c r="K445" s="61" t="s">
        <v>279</v>
      </c>
      <c r="L445" s="11" t="s">
        <v>67</v>
      </c>
      <c r="M445" s="25"/>
      <c r="N445" s="54"/>
      <c r="O445" s="3" t="str">
        <f t="shared" si="100"/>
        <v>A</v>
      </c>
      <c r="P445" s="48">
        <v>55951.61</v>
      </c>
      <c r="Q445" s="48">
        <v>3444</v>
      </c>
      <c r="R445" s="32"/>
      <c r="S445" s="3" t="str">
        <f t="shared" si="101"/>
        <v>A</v>
      </c>
      <c r="T445" s="48">
        <v>49916.85</v>
      </c>
      <c r="U445" s="48">
        <v>3460</v>
      </c>
      <c r="V445" s="32"/>
      <c r="W445" s="3" t="str">
        <f t="shared" si="89"/>
        <v>A</v>
      </c>
      <c r="X445" s="48">
        <v>48674.6</v>
      </c>
      <c r="Y445" s="48">
        <v>3159</v>
      </c>
      <c r="Z445" s="32"/>
      <c r="AA445" s="3" t="str">
        <f t="shared" si="90"/>
        <v>A</v>
      </c>
      <c r="AB445" s="48">
        <v>56628.95</v>
      </c>
      <c r="AC445" s="48">
        <v>2870</v>
      </c>
      <c r="AD445" s="36"/>
      <c r="AE445" s="54"/>
      <c r="AF445" s="3" t="str">
        <f t="shared" si="91"/>
        <v>A</v>
      </c>
      <c r="AG445" s="48">
        <v>0</v>
      </c>
      <c r="AH445" s="48">
        <v>0</v>
      </c>
      <c r="AI445" s="39"/>
      <c r="AJ445" s="79" t="s">
        <v>1801</v>
      </c>
      <c r="AK445" s="39"/>
      <c r="AL445" s="4">
        <f t="shared" si="98"/>
        <v>211172.01</v>
      </c>
      <c r="AM445" s="4">
        <f t="shared" si="98"/>
        <v>12933</v>
      </c>
      <c r="AN445" s="4">
        <f t="shared" si="92"/>
        <v>224105.01</v>
      </c>
      <c r="AO445" s="39"/>
      <c r="AP445" s="8">
        <f t="shared" si="99"/>
        <v>0</v>
      </c>
      <c r="AQ445" s="8">
        <f t="shared" si="99"/>
        <v>0</v>
      </c>
      <c r="AR445" s="8">
        <f t="shared" si="93"/>
        <v>0</v>
      </c>
      <c r="AS445" s="42"/>
      <c r="AT445" s="48">
        <v>211172.01</v>
      </c>
      <c r="AU445" s="48">
        <v>12933</v>
      </c>
      <c r="AV445" s="4">
        <f t="shared" si="94"/>
        <v>224105.01</v>
      </c>
      <c r="AW445" s="50" t="str">
        <f t="shared" si="95"/>
        <v/>
      </c>
      <c r="AX445" s="1" t="s">
        <v>1639</v>
      </c>
      <c r="AY445" s="2" t="s">
        <v>1640</v>
      </c>
      <c r="AZ445" s="2">
        <v>80371.92</v>
      </c>
      <c r="BA445" s="73">
        <v>70325.429999999993</v>
      </c>
      <c r="BB445" s="73">
        <v>70325.429999999993</v>
      </c>
      <c r="BC445" s="73">
        <v>80371.92</v>
      </c>
      <c r="BD445" s="73"/>
      <c r="BE445" s="66">
        <v>0</v>
      </c>
      <c r="BF445" s="66">
        <v>0.02</v>
      </c>
      <c r="BG445" s="63">
        <v>45086</v>
      </c>
      <c r="BH445" s="2"/>
      <c r="BI445" s="2"/>
      <c r="BJ445" s="2">
        <v>296073</v>
      </c>
      <c r="BK445" s="2">
        <v>15543.83</v>
      </c>
      <c r="BL445" s="1" t="s">
        <v>97</v>
      </c>
    </row>
    <row r="446" spans="1:64" x14ac:dyDescent="0.25">
      <c r="A446" s="56" t="s">
        <v>974</v>
      </c>
      <c r="B446" s="54" t="s">
        <v>1260</v>
      </c>
      <c r="C446" s="56" t="s">
        <v>1261</v>
      </c>
      <c r="D446" s="16">
        <v>0</v>
      </c>
      <c r="E446" s="17"/>
      <c r="F446" s="2" t="s">
        <v>243</v>
      </c>
      <c r="G446" s="2" t="s">
        <v>245</v>
      </c>
      <c r="H446" s="10" t="s">
        <v>98</v>
      </c>
      <c r="I446" s="11" t="s">
        <v>244</v>
      </c>
      <c r="J446" s="11" t="s">
        <v>278</v>
      </c>
      <c r="K446" s="61" t="s">
        <v>279</v>
      </c>
      <c r="L446" s="11" t="s">
        <v>67</v>
      </c>
      <c r="M446" s="25"/>
      <c r="N446" s="54"/>
      <c r="O446" s="3" t="str">
        <f t="shared" si="100"/>
        <v>A</v>
      </c>
      <c r="P446" s="48">
        <v>36256.5</v>
      </c>
      <c r="Q446" s="48">
        <v>730</v>
      </c>
      <c r="R446" s="32"/>
      <c r="S446" s="3" t="str">
        <f t="shared" si="101"/>
        <v>A</v>
      </c>
      <c r="T446" s="48">
        <v>32339.25</v>
      </c>
      <c r="U446" s="48">
        <v>540</v>
      </c>
      <c r="V446" s="32"/>
      <c r="W446" s="3" t="str">
        <f t="shared" si="89"/>
        <v>A</v>
      </c>
      <c r="X446" s="48">
        <v>32297.05</v>
      </c>
      <c r="Y446" s="48">
        <v>685</v>
      </c>
      <c r="Z446" s="32"/>
      <c r="AA446" s="3" t="str">
        <f t="shared" si="90"/>
        <v>A</v>
      </c>
      <c r="AB446" s="48">
        <v>35806.5</v>
      </c>
      <c r="AC446" s="48">
        <v>865</v>
      </c>
      <c r="AD446" s="36"/>
      <c r="AE446" s="54"/>
      <c r="AF446" s="3" t="str">
        <f t="shared" si="91"/>
        <v>A</v>
      </c>
      <c r="AG446" s="48">
        <v>0</v>
      </c>
      <c r="AH446" s="48">
        <v>0</v>
      </c>
      <c r="AI446" s="39"/>
      <c r="AJ446" s="79" t="s">
        <v>1801</v>
      </c>
      <c r="AK446" s="39"/>
      <c r="AL446" s="4">
        <f t="shared" si="98"/>
        <v>136699.29999999999</v>
      </c>
      <c r="AM446" s="4">
        <f t="shared" si="98"/>
        <v>2820</v>
      </c>
      <c r="AN446" s="4">
        <f t="shared" si="92"/>
        <v>139519.29999999999</v>
      </c>
      <c r="AO446" s="39"/>
      <c r="AP446" s="8">
        <f t="shared" si="99"/>
        <v>0</v>
      </c>
      <c r="AQ446" s="8">
        <f t="shared" si="99"/>
        <v>0</v>
      </c>
      <c r="AR446" s="8">
        <f t="shared" si="93"/>
        <v>0</v>
      </c>
      <c r="AS446" s="42"/>
      <c r="AT446" s="48">
        <v>136699.29999999999</v>
      </c>
      <c r="AU446" s="48">
        <v>2820</v>
      </c>
      <c r="AV446" s="4">
        <f t="shared" si="94"/>
        <v>139519.29999999999</v>
      </c>
      <c r="AW446" s="50" t="str">
        <f t="shared" si="95"/>
        <v/>
      </c>
      <c r="AX446" s="1" t="s">
        <v>1639</v>
      </c>
      <c r="AY446" s="2" t="s">
        <v>1640</v>
      </c>
      <c r="AZ446" s="2">
        <v>58635.76</v>
      </c>
      <c r="BA446" s="73">
        <v>51306.29</v>
      </c>
      <c r="BB446" s="73">
        <v>51306.29</v>
      </c>
      <c r="BC446" s="73">
        <v>58635.76</v>
      </c>
      <c r="BD446" s="73"/>
      <c r="BE446" s="66">
        <v>0</v>
      </c>
      <c r="BF446" s="66">
        <v>0.02</v>
      </c>
      <c r="BG446" s="63">
        <v>45097</v>
      </c>
      <c r="BH446" s="2"/>
      <c r="BI446" s="2"/>
      <c r="BJ446" s="2">
        <v>216000</v>
      </c>
      <c r="BK446" s="2"/>
      <c r="BL446" s="1" t="s">
        <v>97</v>
      </c>
    </row>
    <row r="447" spans="1:64" x14ac:dyDescent="0.25">
      <c r="A447" s="56" t="s">
        <v>974</v>
      </c>
      <c r="B447" s="54" t="s">
        <v>1336</v>
      </c>
      <c r="C447" s="56" t="s">
        <v>1337</v>
      </c>
      <c r="D447" s="16">
        <v>0</v>
      </c>
      <c r="E447" s="17"/>
      <c r="F447" s="2" t="s">
        <v>243</v>
      </c>
      <c r="G447" s="2" t="s">
        <v>245</v>
      </c>
      <c r="H447" s="10" t="s">
        <v>98</v>
      </c>
      <c r="I447" s="11" t="s">
        <v>244</v>
      </c>
      <c r="J447" s="11" t="s">
        <v>278</v>
      </c>
      <c r="K447" s="61" t="s">
        <v>279</v>
      </c>
      <c r="L447" s="11" t="s">
        <v>67</v>
      </c>
      <c r="M447" s="25"/>
      <c r="N447" s="54"/>
      <c r="O447" s="3" t="str">
        <f>IF($A447="","",IF(P447=AZ447,"E","A"))</f>
        <v>A</v>
      </c>
      <c r="P447" s="48">
        <v>64972</v>
      </c>
      <c r="Q447" s="48">
        <v>2434</v>
      </c>
      <c r="R447" s="32"/>
      <c r="S447" s="3" t="str">
        <f t="shared" si="101"/>
        <v>A</v>
      </c>
      <c r="T447" s="48">
        <v>60076</v>
      </c>
      <c r="U447" s="48">
        <v>2637</v>
      </c>
      <c r="V447" s="32"/>
      <c r="W447" s="3" t="str">
        <f t="shared" si="89"/>
        <v>A</v>
      </c>
      <c r="X447" s="48">
        <v>59644</v>
      </c>
      <c r="Y447" s="48">
        <v>2160</v>
      </c>
      <c r="Z447" s="32"/>
      <c r="AA447" s="3" t="str">
        <f t="shared" si="90"/>
        <v>A</v>
      </c>
      <c r="AB447" s="48">
        <v>69694.5</v>
      </c>
      <c r="AC447" s="48">
        <v>2830</v>
      </c>
      <c r="AD447" s="36"/>
      <c r="AE447" s="54"/>
      <c r="AF447" s="3" t="str">
        <f t="shared" si="91"/>
        <v>A</v>
      </c>
      <c r="AG447" s="48">
        <v>0</v>
      </c>
      <c r="AH447" s="48">
        <v>0</v>
      </c>
      <c r="AI447" s="39"/>
      <c r="AJ447" s="79" t="s">
        <v>1801</v>
      </c>
      <c r="AK447" s="39"/>
      <c r="AL447" s="4">
        <f t="shared" si="98"/>
        <v>254386.5</v>
      </c>
      <c r="AM447" s="4">
        <f t="shared" si="98"/>
        <v>10061</v>
      </c>
      <c r="AN447" s="4">
        <f t="shared" si="92"/>
        <v>264447.5</v>
      </c>
      <c r="AO447" s="39"/>
      <c r="AP447" s="8">
        <f t="shared" si="99"/>
        <v>0</v>
      </c>
      <c r="AQ447" s="8">
        <f t="shared" si="99"/>
        <v>0</v>
      </c>
      <c r="AR447" s="8">
        <f t="shared" si="93"/>
        <v>0</v>
      </c>
      <c r="AS447" s="42"/>
      <c r="AT447" s="48">
        <v>254386.5</v>
      </c>
      <c r="AU447" s="48">
        <v>10061</v>
      </c>
      <c r="AV447" s="4">
        <f t="shared" si="94"/>
        <v>264447.5</v>
      </c>
      <c r="AW447" s="50" t="str">
        <f t="shared" si="95"/>
        <v/>
      </c>
      <c r="AX447" s="1" t="s">
        <v>1639</v>
      </c>
      <c r="AY447" s="2" t="s">
        <v>1640</v>
      </c>
      <c r="AZ447" s="2">
        <v>49673.52</v>
      </c>
      <c r="BA447" s="73">
        <v>43464.33</v>
      </c>
      <c r="BB447" s="73">
        <v>43464.33</v>
      </c>
      <c r="BC447" s="73">
        <v>49673.52</v>
      </c>
      <c r="BD447" s="73"/>
      <c r="BE447" s="66">
        <v>0</v>
      </c>
      <c r="BF447" s="66">
        <v>0.02</v>
      </c>
      <c r="BG447" s="63">
        <v>45098</v>
      </c>
      <c r="BH447" s="2"/>
      <c r="BI447" s="2"/>
      <c r="BJ447" s="2">
        <v>315000</v>
      </c>
      <c r="BK447" s="2"/>
      <c r="BL447" s="1" t="s">
        <v>97</v>
      </c>
    </row>
    <row r="448" spans="1:64" x14ac:dyDescent="0.25">
      <c r="A448" s="56" t="s">
        <v>980</v>
      </c>
      <c r="B448" s="54" t="s">
        <v>980</v>
      </c>
      <c r="C448" s="56" t="s">
        <v>981</v>
      </c>
      <c r="D448" s="16">
        <v>0</v>
      </c>
      <c r="E448" s="17"/>
      <c r="F448" s="2" t="s">
        <v>414</v>
      </c>
      <c r="G448" s="2" t="s">
        <v>415</v>
      </c>
      <c r="H448" s="10" t="s">
        <v>105</v>
      </c>
      <c r="I448" s="11" t="s">
        <v>53</v>
      </c>
      <c r="J448" s="11" t="s">
        <v>312</v>
      </c>
      <c r="K448" s="61"/>
      <c r="L448" s="11" t="s">
        <v>67</v>
      </c>
      <c r="M448" s="25"/>
      <c r="N448" s="54"/>
      <c r="O448" s="3" t="str">
        <f t="shared" ref="O448:O454" si="102">IF($A448="","",IF(P448=0,"A",IF(P448=AZ448,"E","A")))</f>
        <v>E</v>
      </c>
      <c r="P448" s="48">
        <v>131871.84</v>
      </c>
      <c r="Q448" s="48">
        <v>11813.04</v>
      </c>
      <c r="R448" s="32"/>
      <c r="S448" s="3" t="str">
        <f t="shared" si="101"/>
        <v>E</v>
      </c>
      <c r="T448" s="48">
        <v>115387.86</v>
      </c>
      <c r="U448" s="48">
        <v>10336.41</v>
      </c>
      <c r="V448" s="32"/>
      <c r="W448" s="3" t="str">
        <f t="shared" si="89"/>
        <v>E</v>
      </c>
      <c r="X448" s="48">
        <v>115387.86</v>
      </c>
      <c r="Y448" s="48">
        <v>10336.41</v>
      </c>
      <c r="Z448" s="32"/>
      <c r="AA448" s="3" t="str">
        <f t="shared" si="90"/>
        <v>E</v>
      </c>
      <c r="AB448" s="48">
        <v>131871.84</v>
      </c>
      <c r="AC448" s="48">
        <v>11813.04</v>
      </c>
      <c r="AD448" s="36"/>
      <c r="AE448" s="54"/>
      <c r="AF448" s="3" t="str">
        <f t="shared" si="91"/>
        <v>A</v>
      </c>
      <c r="AG448" s="48"/>
      <c r="AH448" s="48"/>
      <c r="AI448" s="39"/>
      <c r="AJ448" s="79" t="s">
        <v>38</v>
      </c>
      <c r="AK448" s="39"/>
      <c r="AL448" s="4">
        <f t="shared" si="98"/>
        <v>0</v>
      </c>
      <c r="AM448" s="4">
        <f t="shared" si="98"/>
        <v>0</v>
      </c>
      <c r="AN448" s="4">
        <f t="shared" si="92"/>
        <v>0</v>
      </c>
      <c r="AO448" s="39"/>
      <c r="AP448" s="8">
        <f t="shared" si="99"/>
        <v>494519.4</v>
      </c>
      <c r="AQ448" s="8">
        <f t="shared" si="99"/>
        <v>44298.9</v>
      </c>
      <c r="AR448" s="8">
        <f t="shared" si="93"/>
        <v>538818.30000000005</v>
      </c>
      <c r="AS448" s="42"/>
      <c r="AT448" s="48"/>
      <c r="AU448" s="48"/>
      <c r="AV448" s="4">
        <f t="shared" si="94"/>
        <v>0</v>
      </c>
      <c r="AW448" s="50" t="str">
        <f t="shared" si="95"/>
        <v/>
      </c>
      <c r="AX448" s="1" t="s">
        <v>1703</v>
      </c>
      <c r="AY448" s="2" t="s">
        <v>1704</v>
      </c>
      <c r="AZ448" s="2">
        <v>131871.84</v>
      </c>
      <c r="BA448" s="73">
        <v>115387.86</v>
      </c>
      <c r="BB448" s="73">
        <v>115387.86</v>
      </c>
      <c r="BC448" s="73">
        <v>131871.84</v>
      </c>
      <c r="BD448" s="73"/>
      <c r="BE448" s="66">
        <v>0</v>
      </c>
      <c r="BF448" s="66">
        <v>0.05</v>
      </c>
      <c r="BG448" s="63">
        <v>44497</v>
      </c>
      <c r="BH448" s="2"/>
      <c r="BI448" s="2"/>
      <c r="BJ448" s="2">
        <v>475531.2</v>
      </c>
      <c r="BK448" s="2">
        <v>52836.800000000003</v>
      </c>
      <c r="BL448" s="1" t="s">
        <v>104</v>
      </c>
    </row>
    <row r="449" spans="1:64" x14ac:dyDescent="0.25">
      <c r="A449" s="56" t="s">
        <v>982</v>
      </c>
      <c r="B449" s="54" t="s">
        <v>982</v>
      </c>
      <c r="C449" s="56" t="s">
        <v>983</v>
      </c>
      <c r="D449" s="16">
        <v>44542</v>
      </c>
      <c r="E449" s="17"/>
      <c r="F449" s="2" t="s">
        <v>423</v>
      </c>
      <c r="G449" s="2" t="s">
        <v>424</v>
      </c>
      <c r="H449" s="10" t="s">
        <v>105</v>
      </c>
      <c r="I449" s="11" t="s">
        <v>53</v>
      </c>
      <c r="J449" s="11" t="s">
        <v>312</v>
      </c>
      <c r="K449" s="61"/>
      <c r="L449" s="11" t="s">
        <v>67</v>
      </c>
      <c r="M449" s="25"/>
      <c r="N449" s="54"/>
      <c r="O449" s="3" t="str">
        <f t="shared" si="102"/>
        <v>E</v>
      </c>
      <c r="P449" s="48">
        <v>123838.88</v>
      </c>
      <c r="Q449" s="48">
        <v>10732.72</v>
      </c>
      <c r="R449" s="32"/>
      <c r="S449" s="3" t="str">
        <f t="shared" si="101"/>
        <v>E</v>
      </c>
      <c r="T449" s="48">
        <v>108359.02</v>
      </c>
      <c r="U449" s="48">
        <v>9391.1299999999992</v>
      </c>
      <c r="V449" s="32"/>
      <c r="W449" s="3" t="str">
        <f t="shared" si="89"/>
        <v>E</v>
      </c>
      <c r="X449" s="48">
        <v>108359.02</v>
      </c>
      <c r="Y449" s="48">
        <v>9391.1299999999992</v>
      </c>
      <c r="Z449" s="32"/>
      <c r="AA449" s="3" t="str">
        <f t="shared" si="90"/>
        <v>E</v>
      </c>
      <c r="AB449" s="48">
        <v>123838.88</v>
      </c>
      <c r="AC449" s="48">
        <v>10732.72</v>
      </c>
      <c r="AD449" s="36"/>
      <c r="AE449" s="54"/>
      <c r="AF449" s="3" t="str">
        <f t="shared" si="91"/>
        <v>A</v>
      </c>
      <c r="AG449" s="48"/>
      <c r="AH449" s="48"/>
      <c r="AI449" s="39"/>
      <c r="AJ449" s="79" t="s">
        <v>38</v>
      </c>
      <c r="AK449" s="39"/>
      <c r="AL449" s="4">
        <f t="shared" si="98"/>
        <v>0</v>
      </c>
      <c r="AM449" s="4">
        <f t="shared" si="98"/>
        <v>0</v>
      </c>
      <c r="AN449" s="4">
        <f t="shared" si="92"/>
        <v>0</v>
      </c>
      <c r="AO449" s="39"/>
      <c r="AP449" s="8">
        <f t="shared" si="99"/>
        <v>464395.80000000005</v>
      </c>
      <c r="AQ449" s="8">
        <f t="shared" si="99"/>
        <v>40247.699999999997</v>
      </c>
      <c r="AR449" s="8">
        <f t="shared" si="93"/>
        <v>504643.50000000006</v>
      </c>
      <c r="AS449" s="42"/>
      <c r="AT449" s="48"/>
      <c r="AU449" s="48"/>
      <c r="AV449" s="4">
        <f t="shared" si="94"/>
        <v>0</v>
      </c>
      <c r="AW449" s="50" t="str">
        <f t="shared" si="95"/>
        <v/>
      </c>
      <c r="AX449" s="1" t="s">
        <v>1705</v>
      </c>
      <c r="AY449" s="2" t="s">
        <v>1706</v>
      </c>
      <c r="AZ449" s="2">
        <v>123838.88</v>
      </c>
      <c r="BA449" s="73">
        <v>108359.02</v>
      </c>
      <c r="BB449" s="73">
        <v>108359.02</v>
      </c>
      <c r="BC449" s="73">
        <v>123838.88</v>
      </c>
      <c r="BD449" s="73"/>
      <c r="BE449" s="66">
        <v>0</v>
      </c>
      <c r="BF449" s="66">
        <v>0.05</v>
      </c>
      <c r="BG449" s="63">
        <v>44540</v>
      </c>
      <c r="BH449" s="2"/>
      <c r="BI449" s="2"/>
      <c r="BJ449" s="2">
        <v>463029.12</v>
      </c>
      <c r="BK449" s="2">
        <v>51477.68</v>
      </c>
      <c r="BL449" s="1" t="s">
        <v>104</v>
      </c>
    </row>
    <row r="450" spans="1:64" x14ac:dyDescent="0.25">
      <c r="A450" s="56" t="s">
        <v>993</v>
      </c>
      <c r="B450" s="54" t="s">
        <v>993</v>
      </c>
      <c r="C450" s="56" t="s">
        <v>994</v>
      </c>
      <c r="D450" s="16">
        <v>0</v>
      </c>
      <c r="E450" s="17"/>
      <c r="F450" s="2" t="s">
        <v>423</v>
      </c>
      <c r="G450" s="2" t="s">
        <v>424</v>
      </c>
      <c r="H450" s="10" t="s">
        <v>105</v>
      </c>
      <c r="I450" s="11" t="s">
        <v>53</v>
      </c>
      <c r="J450" s="11" t="s">
        <v>312</v>
      </c>
      <c r="K450" s="61"/>
      <c r="L450" s="11" t="s">
        <v>67</v>
      </c>
      <c r="M450" s="25"/>
      <c r="N450" s="54"/>
      <c r="O450" s="3" t="str">
        <f t="shared" si="102"/>
        <v>E</v>
      </c>
      <c r="P450" s="48">
        <v>121108.16</v>
      </c>
      <c r="Q450" s="48">
        <v>14324.48</v>
      </c>
      <c r="R450" s="32"/>
      <c r="S450" s="3" t="str">
        <f t="shared" si="101"/>
        <v>E</v>
      </c>
      <c r="T450" s="48">
        <v>105969.64</v>
      </c>
      <c r="U450" s="48">
        <v>12533.92</v>
      </c>
      <c r="V450" s="32"/>
      <c r="W450" s="3" t="str">
        <f t="shared" si="89"/>
        <v>E</v>
      </c>
      <c r="X450" s="48">
        <v>105969.64</v>
      </c>
      <c r="Y450" s="48">
        <v>12533.92</v>
      </c>
      <c r="Z450" s="32"/>
      <c r="AA450" s="3" t="str">
        <f t="shared" si="90"/>
        <v>E</v>
      </c>
      <c r="AB450" s="48">
        <v>121108.16</v>
      </c>
      <c r="AC450" s="48">
        <v>14324.48</v>
      </c>
      <c r="AD450" s="36"/>
      <c r="AE450" s="54"/>
      <c r="AF450" s="3" t="str">
        <f t="shared" si="91"/>
        <v>A</v>
      </c>
      <c r="AG450" s="48"/>
      <c r="AH450" s="48"/>
      <c r="AI450" s="39"/>
      <c r="AJ450" s="79" t="s">
        <v>38</v>
      </c>
      <c r="AK450" s="39"/>
      <c r="AL450" s="4">
        <f t="shared" si="98"/>
        <v>0</v>
      </c>
      <c r="AM450" s="4">
        <f t="shared" si="98"/>
        <v>0</v>
      </c>
      <c r="AN450" s="4">
        <f t="shared" si="92"/>
        <v>0</v>
      </c>
      <c r="AO450" s="39"/>
      <c r="AP450" s="8">
        <f t="shared" si="99"/>
        <v>454155.6</v>
      </c>
      <c r="AQ450" s="8">
        <f t="shared" si="99"/>
        <v>53716.800000000003</v>
      </c>
      <c r="AR450" s="8">
        <f t="shared" si="93"/>
        <v>507872.39999999997</v>
      </c>
      <c r="AS450" s="42"/>
      <c r="AT450" s="48"/>
      <c r="AU450" s="48"/>
      <c r="AV450" s="4">
        <f t="shared" si="94"/>
        <v>0</v>
      </c>
      <c r="AW450" s="50" t="str">
        <f t="shared" si="95"/>
        <v/>
      </c>
      <c r="AX450" s="1" t="s">
        <v>1705</v>
      </c>
      <c r="AY450" s="2" t="s">
        <v>1706</v>
      </c>
      <c r="AZ450" s="2">
        <v>121108.16</v>
      </c>
      <c r="BA450" s="73">
        <v>105969.64</v>
      </c>
      <c r="BB450" s="73">
        <v>105969.64</v>
      </c>
      <c r="BC450" s="73">
        <v>121108.16</v>
      </c>
      <c r="BD450" s="73"/>
      <c r="BE450" s="66">
        <v>0</v>
      </c>
      <c r="BF450" s="66">
        <v>0.05</v>
      </c>
      <c r="BG450" s="63">
        <v>44642</v>
      </c>
      <c r="BH450" s="2"/>
      <c r="BI450" s="2"/>
      <c r="BJ450" s="2">
        <v>427089.6</v>
      </c>
      <c r="BK450" s="2">
        <v>47454.400000000001</v>
      </c>
      <c r="BL450" s="1" t="s">
        <v>104</v>
      </c>
    </row>
    <row r="451" spans="1:64" x14ac:dyDescent="0.25">
      <c r="A451" s="56" t="s">
        <v>995</v>
      </c>
      <c r="B451" s="54" t="s">
        <v>995</v>
      </c>
      <c r="C451" s="56" t="s">
        <v>996</v>
      </c>
      <c r="D451" s="16">
        <v>44574</v>
      </c>
      <c r="E451" s="17"/>
      <c r="F451" s="2" t="s">
        <v>328</v>
      </c>
      <c r="G451" s="2" t="s">
        <v>329</v>
      </c>
      <c r="H451" s="10" t="s">
        <v>105</v>
      </c>
      <c r="I451" s="11" t="s">
        <v>53</v>
      </c>
      <c r="J451" s="11" t="s">
        <v>145</v>
      </c>
      <c r="K451" s="61"/>
      <c r="L451" s="11" t="s">
        <v>67</v>
      </c>
      <c r="M451" s="25"/>
      <c r="N451" s="54"/>
      <c r="O451" s="3" t="str">
        <f t="shared" si="102"/>
        <v>E</v>
      </c>
      <c r="P451" s="48">
        <v>107828.96</v>
      </c>
      <c r="Q451" s="48">
        <v>10520</v>
      </c>
      <c r="R451" s="32"/>
      <c r="S451" s="3" t="str">
        <f t="shared" si="101"/>
        <v>E</v>
      </c>
      <c r="T451" s="48">
        <v>94350.34</v>
      </c>
      <c r="U451" s="48">
        <v>9205</v>
      </c>
      <c r="V451" s="32"/>
      <c r="W451" s="3" t="str">
        <f t="shared" si="89"/>
        <v>E</v>
      </c>
      <c r="X451" s="48">
        <v>94350.34</v>
      </c>
      <c r="Y451" s="48">
        <v>9205</v>
      </c>
      <c r="Z451" s="32"/>
      <c r="AA451" s="3" t="str">
        <f t="shared" si="90"/>
        <v>E</v>
      </c>
      <c r="AB451" s="48">
        <v>107828.96</v>
      </c>
      <c r="AC451" s="48">
        <v>10520</v>
      </c>
      <c r="AD451" s="36"/>
      <c r="AE451" s="54"/>
      <c r="AF451" s="3" t="str">
        <f t="shared" si="91"/>
        <v>A</v>
      </c>
      <c r="AG451" s="48"/>
      <c r="AH451" s="48"/>
      <c r="AI451" s="39"/>
      <c r="AJ451" s="79" t="s">
        <v>38</v>
      </c>
      <c r="AK451" s="39"/>
      <c r="AL451" s="4">
        <f t="shared" si="98"/>
        <v>0</v>
      </c>
      <c r="AM451" s="4">
        <f t="shared" si="98"/>
        <v>0</v>
      </c>
      <c r="AN451" s="4">
        <f t="shared" si="92"/>
        <v>0</v>
      </c>
      <c r="AO451" s="39"/>
      <c r="AP451" s="8">
        <f t="shared" si="99"/>
        <v>404358.60000000003</v>
      </c>
      <c r="AQ451" s="8">
        <f t="shared" si="99"/>
        <v>39450</v>
      </c>
      <c r="AR451" s="8">
        <f t="shared" si="93"/>
        <v>443808.60000000003</v>
      </c>
      <c r="AS451" s="42"/>
      <c r="AT451" s="48"/>
      <c r="AU451" s="48"/>
      <c r="AV451" s="4">
        <f t="shared" si="94"/>
        <v>0</v>
      </c>
      <c r="AW451" s="50" t="str">
        <f t="shared" si="95"/>
        <v/>
      </c>
      <c r="AX451" s="1" t="s">
        <v>1684</v>
      </c>
      <c r="AY451" s="2" t="s">
        <v>1685</v>
      </c>
      <c r="AZ451" s="2">
        <v>107828.96</v>
      </c>
      <c r="BA451" s="73">
        <v>94350.34</v>
      </c>
      <c r="BB451" s="73">
        <v>94350.34</v>
      </c>
      <c r="BC451" s="73">
        <v>107828.96</v>
      </c>
      <c r="BD451" s="73"/>
      <c r="BE451" s="66">
        <v>0</v>
      </c>
      <c r="BF451" s="66">
        <v>0.05</v>
      </c>
      <c r="BG451" s="63">
        <v>44572</v>
      </c>
      <c r="BH451" s="2"/>
      <c r="BI451" s="2"/>
      <c r="BJ451" s="2">
        <v>405582.39</v>
      </c>
      <c r="BK451" s="2">
        <v>45064.71</v>
      </c>
      <c r="BL451" s="1" t="s">
        <v>104</v>
      </c>
    </row>
    <row r="452" spans="1:64" x14ac:dyDescent="0.25">
      <c r="A452" s="56" t="s">
        <v>997</v>
      </c>
      <c r="B452" s="54" t="s">
        <v>997</v>
      </c>
      <c r="C452" s="56" t="s">
        <v>998</v>
      </c>
      <c r="D452" s="16">
        <v>0</v>
      </c>
      <c r="E452" s="17"/>
      <c r="F452" s="2" t="s">
        <v>171</v>
      </c>
      <c r="G452" s="2" t="s">
        <v>172</v>
      </c>
      <c r="H452" s="10" t="s">
        <v>105</v>
      </c>
      <c r="I452" s="11" t="s">
        <v>53</v>
      </c>
      <c r="J452" s="11" t="s">
        <v>145</v>
      </c>
      <c r="K452" s="61"/>
      <c r="L452" s="11" t="s">
        <v>67</v>
      </c>
      <c r="M452" s="25"/>
      <c r="N452" s="54"/>
      <c r="O452" s="3" t="str">
        <f t="shared" si="102"/>
        <v>A</v>
      </c>
      <c r="P452" s="48">
        <v>93848</v>
      </c>
      <c r="Q452" s="48">
        <v>23460</v>
      </c>
      <c r="R452" s="32"/>
      <c r="S452" s="3" t="str">
        <f t="shared" si="101"/>
        <v>A</v>
      </c>
      <c r="T452" s="48">
        <v>88417</v>
      </c>
      <c r="U452" s="48">
        <v>20728</v>
      </c>
      <c r="V452" s="32"/>
      <c r="W452" s="3" t="str">
        <f t="shared" si="89"/>
        <v>A</v>
      </c>
      <c r="X452" s="48">
        <v>68914</v>
      </c>
      <c r="Y452" s="48">
        <v>14626</v>
      </c>
      <c r="Z452" s="32"/>
      <c r="AA452" s="3" t="str">
        <f t="shared" si="90"/>
        <v>A</v>
      </c>
      <c r="AB452" s="48">
        <v>72614</v>
      </c>
      <c r="AC452" s="48">
        <v>12886</v>
      </c>
      <c r="AD452" s="36"/>
      <c r="AE452" s="54"/>
      <c r="AF452" s="3" t="str">
        <f t="shared" si="91"/>
        <v>A</v>
      </c>
      <c r="AG452" s="48">
        <v>0</v>
      </c>
      <c r="AH452" s="48">
        <v>0</v>
      </c>
      <c r="AI452" s="39"/>
      <c r="AJ452" s="79" t="s">
        <v>1801</v>
      </c>
      <c r="AK452" s="39"/>
      <c r="AL452" s="4">
        <f t="shared" si="98"/>
        <v>323793</v>
      </c>
      <c r="AM452" s="4">
        <f t="shared" si="98"/>
        <v>71700</v>
      </c>
      <c r="AN452" s="4">
        <f t="shared" si="92"/>
        <v>395493</v>
      </c>
      <c r="AO452" s="39"/>
      <c r="AP452" s="8">
        <f t="shared" si="99"/>
        <v>0</v>
      </c>
      <c r="AQ452" s="8">
        <f t="shared" si="99"/>
        <v>0</v>
      </c>
      <c r="AR452" s="8">
        <f t="shared" si="93"/>
        <v>0</v>
      </c>
      <c r="AS452" s="42"/>
      <c r="AT452" s="48">
        <v>323793</v>
      </c>
      <c r="AU452" s="48">
        <v>71700</v>
      </c>
      <c r="AV452" s="4">
        <f t="shared" si="94"/>
        <v>395493</v>
      </c>
      <c r="AW452" s="50" t="str">
        <f t="shared" si="95"/>
        <v/>
      </c>
      <c r="AX452" s="1" t="s">
        <v>1654</v>
      </c>
      <c r="AY452" s="2" t="s">
        <v>1655</v>
      </c>
      <c r="AZ452" s="2">
        <v>112323.04</v>
      </c>
      <c r="BA452" s="73">
        <v>98282.66</v>
      </c>
      <c r="BB452" s="73">
        <v>98282.66</v>
      </c>
      <c r="BC452" s="73">
        <v>112323.04</v>
      </c>
      <c r="BD452" s="73"/>
      <c r="BE452" s="66">
        <v>0</v>
      </c>
      <c r="BF452" s="66">
        <v>0.05</v>
      </c>
      <c r="BG452" s="63">
        <v>44548</v>
      </c>
      <c r="BH452" s="2"/>
      <c r="BI452" s="2"/>
      <c r="BJ452" s="2">
        <v>419972.54</v>
      </c>
      <c r="BK452" s="2">
        <v>46663.62</v>
      </c>
      <c r="BL452" s="1" t="s">
        <v>104</v>
      </c>
    </row>
    <row r="453" spans="1:64" x14ac:dyDescent="0.25">
      <c r="A453" s="56" t="s">
        <v>1005</v>
      </c>
      <c r="B453" s="54" t="s">
        <v>1005</v>
      </c>
      <c r="C453" s="56" t="s">
        <v>1006</v>
      </c>
      <c r="D453" s="16">
        <v>44855</v>
      </c>
      <c r="E453" s="17"/>
      <c r="F453" s="2" t="s">
        <v>1007</v>
      </c>
      <c r="G453" s="2" t="s">
        <v>1008</v>
      </c>
      <c r="H453" s="10" t="s">
        <v>98</v>
      </c>
      <c r="I453" s="11" t="s">
        <v>53</v>
      </c>
      <c r="J453" s="11" t="s">
        <v>224</v>
      </c>
      <c r="K453" s="61"/>
      <c r="L453" s="11" t="s">
        <v>67</v>
      </c>
      <c r="M453" s="25"/>
      <c r="N453" s="54"/>
      <c r="O453" s="3" t="str">
        <f t="shared" si="102"/>
        <v>A</v>
      </c>
      <c r="P453" s="48">
        <v>136408</v>
      </c>
      <c r="Q453" s="48">
        <v>0</v>
      </c>
      <c r="R453" s="32"/>
      <c r="S453" s="3" t="str">
        <f t="shared" si="101"/>
        <v>A</v>
      </c>
      <c r="T453" s="48">
        <v>132666</v>
      </c>
      <c r="U453" s="48"/>
      <c r="V453" s="32"/>
      <c r="W453" s="3" t="str">
        <f t="shared" si="89"/>
        <v>A</v>
      </c>
      <c r="X453" s="48">
        <v>137502</v>
      </c>
      <c r="Y453" s="48"/>
      <c r="Z453" s="32"/>
      <c r="AA453" s="3" t="str">
        <f t="shared" si="90"/>
        <v>A</v>
      </c>
      <c r="AB453" s="48">
        <v>168350</v>
      </c>
      <c r="AC453" s="48"/>
      <c r="AD453" s="36"/>
      <c r="AE453" s="54"/>
      <c r="AF453" s="3" t="str">
        <f t="shared" si="91"/>
        <v>A</v>
      </c>
      <c r="AG453" s="48">
        <v>0</v>
      </c>
      <c r="AH453" s="48">
        <v>0</v>
      </c>
      <c r="AI453" s="39"/>
      <c r="AJ453" s="79" t="s">
        <v>1801</v>
      </c>
      <c r="AK453" s="39"/>
      <c r="AL453" s="4">
        <f t="shared" si="98"/>
        <v>574926</v>
      </c>
      <c r="AM453" s="4">
        <f t="shared" si="98"/>
        <v>0</v>
      </c>
      <c r="AN453" s="4">
        <f t="shared" si="92"/>
        <v>574926</v>
      </c>
      <c r="AO453" s="39"/>
      <c r="AP453" s="8">
        <f t="shared" si="99"/>
        <v>0</v>
      </c>
      <c r="AQ453" s="8">
        <f t="shared" si="99"/>
        <v>0</v>
      </c>
      <c r="AR453" s="8">
        <f t="shared" si="93"/>
        <v>0</v>
      </c>
      <c r="AS453" s="42"/>
      <c r="AT453" s="48">
        <v>574926</v>
      </c>
      <c r="AU453" s="48"/>
      <c r="AV453" s="4">
        <f t="shared" si="94"/>
        <v>574926</v>
      </c>
      <c r="AW453" s="50" t="str">
        <f t="shared" si="95"/>
        <v/>
      </c>
      <c r="AX453" s="1" t="s">
        <v>1746</v>
      </c>
      <c r="AY453" s="2" t="s">
        <v>1747</v>
      </c>
      <c r="AZ453" s="2">
        <v>137010.48000000001</v>
      </c>
      <c r="BA453" s="73">
        <v>119884.17</v>
      </c>
      <c r="BB453" s="73">
        <v>119884.17</v>
      </c>
      <c r="BC453" s="73">
        <v>137010.48000000001</v>
      </c>
      <c r="BD453" s="73"/>
      <c r="BE453" s="66">
        <v>0</v>
      </c>
      <c r="BF453" s="66">
        <v>0.05</v>
      </c>
      <c r="BG453" s="63">
        <v>44851</v>
      </c>
      <c r="BH453" s="2"/>
      <c r="BI453" s="2"/>
      <c r="BJ453" s="2">
        <v>498344.4</v>
      </c>
      <c r="BK453" s="2">
        <v>62293.05</v>
      </c>
      <c r="BL453" s="1" t="s">
        <v>97</v>
      </c>
    </row>
    <row r="454" spans="1:64" x14ac:dyDescent="0.25">
      <c r="A454" s="56" t="s">
        <v>1015</v>
      </c>
      <c r="B454" s="54" t="s">
        <v>1015</v>
      </c>
      <c r="C454" s="56" t="s">
        <v>1016</v>
      </c>
      <c r="D454" s="16">
        <v>0</v>
      </c>
      <c r="E454" s="17"/>
      <c r="F454" s="2" t="s">
        <v>1017</v>
      </c>
      <c r="G454" s="2" t="s">
        <v>1018</v>
      </c>
      <c r="H454" s="10" t="s">
        <v>98</v>
      </c>
      <c r="I454" s="11" t="s">
        <v>53</v>
      </c>
      <c r="J454" s="11" t="s">
        <v>99</v>
      </c>
      <c r="K454" s="61"/>
      <c r="L454" s="11" t="s">
        <v>67</v>
      </c>
      <c r="M454" s="25"/>
      <c r="N454" s="54"/>
      <c r="O454" s="3" t="str">
        <f t="shared" si="102"/>
        <v>A</v>
      </c>
      <c r="P454" s="48">
        <v>184894</v>
      </c>
      <c r="Q454" s="48">
        <v>8548</v>
      </c>
      <c r="R454" s="32"/>
      <c r="S454" s="3" t="str">
        <f t="shared" si="101"/>
        <v>A</v>
      </c>
      <c r="T454" s="48">
        <v>153182</v>
      </c>
      <c r="U454" s="48">
        <v>7416</v>
      </c>
      <c r="V454" s="32"/>
      <c r="W454" s="3" t="str">
        <f t="shared" si="89"/>
        <v>A</v>
      </c>
      <c r="X454" s="48">
        <v>159306</v>
      </c>
      <c r="Y454" s="48">
        <v>7328</v>
      </c>
      <c r="Z454" s="32"/>
      <c r="AA454" s="3" t="str">
        <f t="shared" si="90"/>
        <v>A</v>
      </c>
      <c r="AB454" s="48">
        <v>169474</v>
      </c>
      <c r="AC454" s="48">
        <v>8483</v>
      </c>
      <c r="AD454" s="36"/>
      <c r="AE454" s="54"/>
      <c r="AF454" s="3" t="str">
        <f t="shared" si="91"/>
        <v>A</v>
      </c>
      <c r="AG454" s="48">
        <v>0</v>
      </c>
      <c r="AH454" s="48">
        <v>0</v>
      </c>
      <c r="AI454" s="39"/>
      <c r="AJ454" s="79" t="s">
        <v>1801</v>
      </c>
      <c r="AK454" s="39"/>
      <c r="AL454" s="4">
        <f t="shared" si="98"/>
        <v>666856</v>
      </c>
      <c r="AM454" s="4">
        <f t="shared" si="98"/>
        <v>31775</v>
      </c>
      <c r="AN454" s="4">
        <f t="shared" si="92"/>
        <v>698631</v>
      </c>
      <c r="AO454" s="39"/>
      <c r="AP454" s="8">
        <f t="shared" si="99"/>
        <v>0</v>
      </c>
      <c r="AQ454" s="8">
        <f t="shared" si="99"/>
        <v>0</v>
      </c>
      <c r="AR454" s="8">
        <f t="shared" si="93"/>
        <v>0</v>
      </c>
      <c r="AS454" s="42"/>
      <c r="AT454" s="48">
        <v>666856</v>
      </c>
      <c r="AU454" s="48">
        <v>31775</v>
      </c>
      <c r="AV454" s="4">
        <f t="shared" si="94"/>
        <v>698631</v>
      </c>
      <c r="AW454" s="50" t="str">
        <f t="shared" si="95"/>
        <v/>
      </c>
      <c r="AX454" s="1" t="s">
        <v>1748</v>
      </c>
      <c r="AY454" s="2" t="s">
        <v>1749</v>
      </c>
      <c r="AZ454" s="2">
        <v>143074.96</v>
      </c>
      <c r="BA454" s="73">
        <v>125190.59</v>
      </c>
      <c r="BB454" s="73">
        <v>125190.59</v>
      </c>
      <c r="BC454" s="73">
        <v>143074.96</v>
      </c>
      <c r="BD454" s="73"/>
      <c r="BE454" s="66">
        <v>0</v>
      </c>
      <c r="BF454" s="66">
        <v>0.05</v>
      </c>
      <c r="BG454" s="63">
        <v>44550</v>
      </c>
      <c r="BH454" s="74">
        <v>45498</v>
      </c>
      <c r="BI454" s="74">
        <v>45513</v>
      </c>
      <c r="BJ454" s="2">
        <v>534951</v>
      </c>
      <c r="BK454" s="2">
        <v>66756.38</v>
      </c>
      <c r="BL454" s="1" t="s">
        <v>97</v>
      </c>
    </row>
    <row r="455" spans="1:64" x14ac:dyDescent="0.25">
      <c r="A455" s="56" t="s">
        <v>1015</v>
      </c>
      <c r="B455" s="54" t="s">
        <v>1606</v>
      </c>
      <c r="C455" s="56" t="s">
        <v>1607</v>
      </c>
      <c r="D455" s="16">
        <v>45778</v>
      </c>
      <c r="E455" s="17"/>
      <c r="F455" s="2" t="s">
        <v>1017</v>
      </c>
      <c r="G455" s="2" t="s">
        <v>1018</v>
      </c>
      <c r="H455" s="10" t="s">
        <v>98</v>
      </c>
      <c r="I455" s="11" t="s">
        <v>53</v>
      </c>
      <c r="J455" s="11" t="s">
        <v>99</v>
      </c>
      <c r="K455" s="61"/>
      <c r="L455" s="11" t="s">
        <v>67</v>
      </c>
      <c r="M455" s="25"/>
      <c r="N455" s="54"/>
      <c r="O455" s="3" t="str">
        <f>IF($A455="","",IF(P455=AZ455,"E","A"))</f>
        <v>A</v>
      </c>
      <c r="P455" s="48">
        <v>108286</v>
      </c>
      <c r="Q455" s="48">
        <v>2004</v>
      </c>
      <c r="R455" s="32"/>
      <c r="S455" s="3" t="str">
        <f>IF($A455="","",IF(T455=BA455,"E","A"))</f>
        <v>A</v>
      </c>
      <c r="T455" s="48">
        <v>117240</v>
      </c>
      <c r="U455" s="48">
        <v>2190</v>
      </c>
      <c r="V455" s="32"/>
      <c r="W455" s="3" t="str">
        <f t="shared" si="89"/>
        <v>A</v>
      </c>
      <c r="X455" s="48">
        <v>119105</v>
      </c>
      <c r="Y455" s="48">
        <v>1528</v>
      </c>
      <c r="Z455" s="32"/>
      <c r="AA455" s="3" t="str">
        <f t="shared" si="90"/>
        <v>A</v>
      </c>
      <c r="AB455" s="48">
        <v>127969</v>
      </c>
      <c r="AC455" s="48">
        <v>2711</v>
      </c>
      <c r="AD455" s="36"/>
      <c r="AE455" s="54"/>
      <c r="AF455" s="3" t="str">
        <f t="shared" si="91"/>
        <v>A</v>
      </c>
      <c r="AG455" s="48">
        <v>0</v>
      </c>
      <c r="AH455" s="48">
        <v>0</v>
      </c>
      <c r="AI455" s="39"/>
      <c r="AJ455" s="79" t="s">
        <v>1801</v>
      </c>
      <c r="AK455" s="39"/>
      <c r="AL455" s="4">
        <f t="shared" si="98"/>
        <v>472600</v>
      </c>
      <c r="AM455" s="4">
        <f t="shared" si="98"/>
        <v>8433</v>
      </c>
      <c r="AN455" s="4">
        <f t="shared" si="92"/>
        <v>481033</v>
      </c>
      <c r="AO455" s="39"/>
      <c r="AP455" s="8">
        <f t="shared" si="99"/>
        <v>0</v>
      </c>
      <c r="AQ455" s="8">
        <f t="shared" si="99"/>
        <v>0</v>
      </c>
      <c r="AR455" s="8">
        <f t="shared" si="93"/>
        <v>0</v>
      </c>
      <c r="AS455" s="42"/>
      <c r="AT455" s="48">
        <v>472600</v>
      </c>
      <c r="AU455" s="48">
        <v>8433</v>
      </c>
      <c r="AV455" s="4">
        <f t="shared" si="94"/>
        <v>481033</v>
      </c>
      <c r="AW455" s="50" t="str">
        <f t="shared" si="95"/>
        <v/>
      </c>
      <c r="AX455" s="1" t="s">
        <v>1748</v>
      </c>
      <c r="AY455" s="2" t="s">
        <v>1749</v>
      </c>
      <c r="AZ455" s="2">
        <v>49194.8</v>
      </c>
      <c r="BA455" s="73">
        <v>43045.45</v>
      </c>
      <c r="BB455" s="73">
        <v>43045.45</v>
      </c>
      <c r="BC455" s="73">
        <v>49194.8</v>
      </c>
      <c r="BD455" s="73"/>
      <c r="BE455" s="66">
        <v>0</v>
      </c>
      <c r="BF455" s="66">
        <v>0.05</v>
      </c>
      <c r="BG455" s="63">
        <v>45775</v>
      </c>
      <c r="BH455" s="2"/>
      <c r="BI455" s="2"/>
      <c r="BJ455" s="2">
        <v>183140.7</v>
      </c>
      <c r="BK455" s="2">
        <v>9614.89</v>
      </c>
      <c r="BL455" s="1" t="s">
        <v>97</v>
      </c>
    </row>
    <row r="456" spans="1:64" x14ac:dyDescent="0.25">
      <c r="A456" s="56" t="s">
        <v>1019</v>
      </c>
      <c r="B456" s="54" t="s">
        <v>1019</v>
      </c>
      <c r="C456" s="56" t="s">
        <v>1020</v>
      </c>
      <c r="D456" s="16">
        <v>0</v>
      </c>
      <c r="E456" s="17"/>
      <c r="F456" s="2" t="s">
        <v>109</v>
      </c>
      <c r="G456" s="2" t="s">
        <v>111</v>
      </c>
      <c r="H456" s="10" t="s">
        <v>98</v>
      </c>
      <c r="I456" s="11" t="s">
        <v>110</v>
      </c>
      <c r="J456" s="11" t="s">
        <v>286</v>
      </c>
      <c r="K456" s="61" t="s">
        <v>287</v>
      </c>
      <c r="L456" s="11" t="s">
        <v>67</v>
      </c>
      <c r="M456" s="25"/>
      <c r="N456" s="54"/>
      <c r="O456" s="3" t="str">
        <f t="shared" ref="O456:O469" si="103">IF($A456="","",IF(P456=0,"A",IF(P456=AZ456,"E","A")))</f>
        <v>A</v>
      </c>
      <c r="P456" s="48">
        <v>74294</v>
      </c>
      <c r="Q456" s="48">
        <v>8710</v>
      </c>
      <c r="R456" s="32"/>
      <c r="S456" s="3" t="str">
        <f t="shared" ref="S456:S469" si="104">IF($A456="","",IF(T456=0,"A",IF(T456=BA456,"E","A")))</f>
        <v>A</v>
      </c>
      <c r="T456" s="48">
        <v>64651.5</v>
      </c>
      <c r="U456" s="48">
        <v>6792</v>
      </c>
      <c r="V456" s="32"/>
      <c r="W456" s="3" t="str">
        <f t="shared" ref="W456:W519" si="105">IF($A456="","",IF(X456=0,"A",IF(X456=BB456,"E","A")))</f>
        <v>A</v>
      </c>
      <c r="X456" s="48">
        <v>65309.5</v>
      </c>
      <c r="Y456" s="48">
        <v>5648</v>
      </c>
      <c r="Z456" s="32"/>
      <c r="AA456" s="3" t="str">
        <f t="shared" ref="AA456:AA519" si="106">IF($A456="","",IF(AB456=0,"A",IF(AB456=BC456,"E","A")))</f>
        <v>A</v>
      </c>
      <c r="AB456" s="48">
        <v>91517.5</v>
      </c>
      <c r="AC456" s="48">
        <v>7166</v>
      </c>
      <c r="AD456" s="36"/>
      <c r="AE456" s="54"/>
      <c r="AF456" s="3" t="str">
        <f t="shared" ref="AF456:AF519" si="107">IF($A456="","",IF(AG456=0,"A",IF(AG456=BD456,"E","A")))</f>
        <v>A</v>
      </c>
      <c r="AG456" s="48">
        <v>0</v>
      </c>
      <c r="AH456" s="48">
        <v>0</v>
      </c>
      <c r="AI456" s="39"/>
      <c r="AJ456" s="79" t="s">
        <v>1801</v>
      </c>
      <c r="AK456" s="39"/>
      <c r="AL456" s="4">
        <f t="shared" si="98"/>
        <v>295772.5</v>
      </c>
      <c r="AM456" s="4">
        <f t="shared" si="98"/>
        <v>28316</v>
      </c>
      <c r="AN456" s="4">
        <f t="shared" ref="AN456:AN519" si="108">SUM(AL456:AM456)</f>
        <v>324088.5</v>
      </c>
      <c r="AO456" s="39"/>
      <c r="AP456" s="8">
        <f t="shared" si="99"/>
        <v>0</v>
      </c>
      <c r="AQ456" s="8">
        <f t="shared" si="99"/>
        <v>0</v>
      </c>
      <c r="AR456" s="8">
        <f t="shared" ref="AR456:AR519" si="109">SUM(AP456:AQ456)</f>
        <v>0</v>
      </c>
      <c r="AS456" s="42"/>
      <c r="AT456" s="48">
        <v>295772.5</v>
      </c>
      <c r="AU456" s="48">
        <v>28316</v>
      </c>
      <c r="AV456" s="4">
        <f t="shared" ref="AV456:AV519" si="110">SUM(AT456:AU456)</f>
        <v>324088.5</v>
      </c>
      <c r="AW456" s="50" t="str">
        <f t="shared" ref="AW456:AW519" si="111">IF(AV456=0,"",IF(AN456=AV456,"","W"))</f>
        <v/>
      </c>
      <c r="AX456" s="1" t="s">
        <v>1647</v>
      </c>
      <c r="AY456" s="2" t="s">
        <v>1640</v>
      </c>
      <c r="AZ456" s="2">
        <v>114180.08</v>
      </c>
      <c r="BA456" s="73">
        <v>99907.57</v>
      </c>
      <c r="BB456" s="73">
        <v>99907.57</v>
      </c>
      <c r="BC456" s="73">
        <v>114180.08</v>
      </c>
      <c r="BD456" s="73"/>
      <c r="BE456" s="66">
        <v>0</v>
      </c>
      <c r="BF456" s="66">
        <v>0.02</v>
      </c>
      <c r="BG456" s="63">
        <v>44548</v>
      </c>
      <c r="BH456" s="2"/>
      <c r="BI456" s="2"/>
      <c r="BJ456" s="2">
        <v>426915</v>
      </c>
      <c r="BK456" s="2">
        <v>53364.38</v>
      </c>
      <c r="BL456" s="1" t="s">
        <v>237</v>
      </c>
    </row>
    <row r="457" spans="1:64" x14ac:dyDescent="0.25">
      <c r="A457" s="56" t="s">
        <v>1021</v>
      </c>
      <c r="B457" s="54" t="s">
        <v>1021</v>
      </c>
      <c r="C457" s="56" t="s">
        <v>1022</v>
      </c>
      <c r="D457" s="16">
        <v>44709</v>
      </c>
      <c r="E457" s="17"/>
      <c r="F457" s="2" t="s">
        <v>52</v>
      </c>
      <c r="G457" s="2" t="s">
        <v>55</v>
      </c>
      <c r="H457" s="10" t="s">
        <v>57</v>
      </c>
      <c r="I457" s="11" t="s">
        <v>54</v>
      </c>
      <c r="J457" s="11" t="s">
        <v>620</v>
      </c>
      <c r="K457" s="61" t="s">
        <v>621</v>
      </c>
      <c r="L457" s="11" t="s">
        <v>67</v>
      </c>
      <c r="M457" s="25"/>
      <c r="N457" s="54"/>
      <c r="O457" s="3" t="str">
        <f t="shared" si="103"/>
        <v>A</v>
      </c>
      <c r="P457" s="48">
        <v>26013</v>
      </c>
      <c r="Q457" s="48">
        <v>8005</v>
      </c>
      <c r="R457" s="32"/>
      <c r="S457" s="3" t="str">
        <f t="shared" si="104"/>
        <v>A</v>
      </c>
      <c r="T457" s="48">
        <v>25016</v>
      </c>
      <c r="U457" s="48">
        <v>6980</v>
      </c>
      <c r="V457" s="32"/>
      <c r="W457" s="3" t="str">
        <f t="shared" si="105"/>
        <v>A</v>
      </c>
      <c r="X457" s="48">
        <v>25735</v>
      </c>
      <c r="Y457" s="48">
        <v>7020</v>
      </c>
      <c r="Z457" s="32"/>
      <c r="AA457" s="3" t="str">
        <f t="shared" si="106"/>
        <v>A</v>
      </c>
      <c r="AB457" s="48">
        <v>30141</v>
      </c>
      <c r="AC457" s="48">
        <v>9975</v>
      </c>
      <c r="AD457" s="36"/>
      <c r="AE457" s="54"/>
      <c r="AF457" s="3" t="str">
        <f t="shared" si="107"/>
        <v>A</v>
      </c>
      <c r="AG457" s="48">
        <v>0</v>
      </c>
      <c r="AH457" s="48">
        <v>0</v>
      </c>
      <c r="AI457" s="39"/>
      <c r="AJ457" s="79" t="s">
        <v>1801</v>
      </c>
      <c r="AK457" s="39"/>
      <c r="AL457" s="4">
        <f t="shared" si="98"/>
        <v>106905</v>
      </c>
      <c r="AM457" s="4">
        <f t="shared" si="98"/>
        <v>31980</v>
      </c>
      <c r="AN457" s="4">
        <f t="shared" si="108"/>
        <v>138885</v>
      </c>
      <c r="AO457" s="39"/>
      <c r="AP457" s="8">
        <f t="shared" si="99"/>
        <v>0</v>
      </c>
      <c r="AQ457" s="8">
        <f t="shared" si="99"/>
        <v>0</v>
      </c>
      <c r="AR457" s="8">
        <f t="shared" si="109"/>
        <v>0</v>
      </c>
      <c r="AS457" s="42"/>
      <c r="AT457" s="48">
        <v>106905</v>
      </c>
      <c r="AU457" s="48">
        <v>31980</v>
      </c>
      <c r="AV457" s="4">
        <f t="shared" si="110"/>
        <v>138885</v>
      </c>
      <c r="AW457" s="50" t="str">
        <f t="shared" si="111"/>
        <v/>
      </c>
      <c r="AX457" s="1" t="s">
        <v>1639</v>
      </c>
      <c r="AY457" s="2" t="s">
        <v>1640</v>
      </c>
      <c r="AZ457" s="2">
        <v>96311.44</v>
      </c>
      <c r="BA457" s="73">
        <v>84272.51</v>
      </c>
      <c r="BB457" s="73">
        <v>84272.51</v>
      </c>
      <c r="BC457" s="73">
        <v>96311.44</v>
      </c>
      <c r="BD457" s="73"/>
      <c r="BE457" s="66">
        <v>0</v>
      </c>
      <c r="BF457" s="66">
        <v>0.02</v>
      </c>
      <c r="BG457" s="63">
        <v>44709</v>
      </c>
      <c r="BH457" s="2"/>
      <c r="BI457" s="2"/>
      <c r="BJ457" s="2">
        <v>350794.8</v>
      </c>
      <c r="BK457" s="2">
        <v>38977.199999999997</v>
      </c>
      <c r="BL457" s="1" t="s">
        <v>56</v>
      </c>
    </row>
    <row r="458" spans="1:64" x14ac:dyDescent="0.25">
      <c r="A458" s="56" t="s">
        <v>1027</v>
      </c>
      <c r="B458" s="54" t="s">
        <v>1027</v>
      </c>
      <c r="C458" s="56" t="s">
        <v>1028</v>
      </c>
      <c r="D458" s="16">
        <v>0</v>
      </c>
      <c r="E458" s="17"/>
      <c r="F458" s="2" t="s">
        <v>109</v>
      </c>
      <c r="G458" s="2" t="s">
        <v>111</v>
      </c>
      <c r="H458" s="10" t="s">
        <v>98</v>
      </c>
      <c r="I458" s="11" t="s">
        <v>110</v>
      </c>
      <c r="J458" s="11" t="s">
        <v>286</v>
      </c>
      <c r="K458" s="61" t="s">
        <v>287</v>
      </c>
      <c r="L458" s="11" t="s">
        <v>67</v>
      </c>
      <c r="M458" s="25"/>
      <c r="N458" s="54"/>
      <c r="O458" s="3" t="str">
        <f t="shared" si="103"/>
        <v>A</v>
      </c>
      <c r="P458" s="48">
        <v>84265</v>
      </c>
      <c r="Q458" s="48">
        <v>17309</v>
      </c>
      <c r="R458" s="32"/>
      <c r="S458" s="3" t="str">
        <f t="shared" si="104"/>
        <v>A</v>
      </c>
      <c r="T458" s="48">
        <v>68994</v>
      </c>
      <c r="U458" s="48">
        <v>15317</v>
      </c>
      <c r="V458" s="32"/>
      <c r="W458" s="3" t="str">
        <f t="shared" si="105"/>
        <v>A</v>
      </c>
      <c r="X458" s="48">
        <v>59375</v>
      </c>
      <c r="Y458" s="48">
        <v>13574</v>
      </c>
      <c r="Z458" s="32"/>
      <c r="AA458" s="3" t="str">
        <f t="shared" si="106"/>
        <v>A</v>
      </c>
      <c r="AB458" s="48">
        <v>80418</v>
      </c>
      <c r="AC458" s="48">
        <v>12761</v>
      </c>
      <c r="AD458" s="36"/>
      <c r="AE458" s="54"/>
      <c r="AF458" s="3" t="str">
        <f t="shared" si="107"/>
        <v>A</v>
      </c>
      <c r="AG458" s="48">
        <v>0</v>
      </c>
      <c r="AH458" s="48">
        <v>0</v>
      </c>
      <c r="AI458" s="39"/>
      <c r="AJ458" s="79" t="s">
        <v>1801</v>
      </c>
      <c r="AK458" s="39"/>
      <c r="AL458" s="4">
        <f t="shared" si="98"/>
        <v>293052</v>
      </c>
      <c r="AM458" s="4">
        <f t="shared" si="98"/>
        <v>58961</v>
      </c>
      <c r="AN458" s="4">
        <f t="shared" si="108"/>
        <v>352013</v>
      </c>
      <c r="AO458" s="39"/>
      <c r="AP458" s="8">
        <f t="shared" si="99"/>
        <v>0</v>
      </c>
      <c r="AQ458" s="8">
        <f t="shared" si="99"/>
        <v>0</v>
      </c>
      <c r="AR458" s="8">
        <f t="shared" si="109"/>
        <v>0</v>
      </c>
      <c r="AS458" s="42"/>
      <c r="AT458" s="48">
        <v>293052</v>
      </c>
      <c r="AU458" s="48">
        <v>58961</v>
      </c>
      <c r="AV458" s="4">
        <f t="shared" si="110"/>
        <v>352013</v>
      </c>
      <c r="AW458" s="50" t="str">
        <f t="shared" si="111"/>
        <v/>
      </c>
      <c r="AX458" s="1" t="s">
        <v>1647</v>
      </c>
      <c r="AY458" s="2" t="s">
        <v>1640</v>
      </c>
      <c r="AZ458" s="2">
        <v>120515.92</v>
      </c>
      <c r="BA458" s="73">
        <v>105451.43</v>
      </c>
      <c r="BB458" s="73">
        <v>105451.43</v>
      </c>
      <c r="BC458" s="73">
        <v>120515.92</v>
      </c>
      <c r="BD458" s="73"/>
      <c r="BE458" s="66">
        <v>0</v>
      </c>
      <c r="BF458" s="66">
        <v>0.02</v>
      </c>
      <c r="BG458" s="63">
        <v>44576</v>
      </c>
      <c r="BH458" s="2"/>
      <c r="BI458" s="2"/>
      <c r="BJ458" s="2">
        <v>453303</v>
      </c>
      <c r="BK458" s="2">
        <v>56662.879999999997</v>
      </c>
      <c r="BL458" s="1" t="s">
        <v>237</v>
      </c>
    </row>
    <row r="459" spans="1:64" x14ac:dyDescent="0.25">
      <c r="A459" s="56" t="s">
        <v>1029</v>
      </c>
      <c r="B459" s="54" t="s">
        <v>1029</v>
      </c>
      <c r="C459" s="56" t="s">
        <v>1030</v>
      </c>
      <c r="D459" s="16">
        <v>44659</v>
      </c>
      <c r="E459" s="17"/>
      <c r="F459" s="2" t="s">
        <v>1031</v>
      </c>
      <c r="G459" s="2" t="s">
        <v>1032</v>
      </c>
      <c r="H459" s="10" t="s">
        <v>57</v>
      </c>
      <c r="I459" s="11" t="s">
        <v>53</v>
      </c>
      <c r="J459" s="11" t="s">
        <v>319</v>
      </c>
      <c r="K459" s="61"/>
      <c r="L459" s="11" t="s">
        <v>67</v>
      </c>
      <c r="M459" s="25"/>
      <c r="N459" s="54"/>
      <c r="O459" s="3" t="str">
        <f t="shared" si="103"/>
        <v>A</v>
      </c>
      <c r="P459" s="48">
        <v>79246</v>
      </c>
      <c r="Q459" s="48">
        <v>14945</v>
      </c>
      <c r="R459" s="32"/>
      <c r="S459" s="3" t="str">
        <f t="shared" si="104"/>
        <v>A</v>
      </c>
      <c r="T459" s="48">
        <v>63509</v>
      </c>
      <c r="U459" s="48">
        <v>11209</v>
      </c>
      <c r="V459" s="32"/>
      <c r="W459" s="3" t="str">
        <f t="shared" si="105"/>
        <v>A</v>
      </c>
      <c r="X459" s="48">
        <v>54221</v>
      </c>
      <c r="Y459" s="48">
        <v>5923</v>
      </c>
      <c r="Z459" s="32"/>
      <c r="AA459" s="3" t="str">
        <f t="shared" si="106"/>
        <v>A</v>
      </c>
      <c r="AB459" s="48">
        <v>67530</v>
      </c>
      <c r="AC459" s="48">
        <v>8122</v>
      </c>
      <c r="AD459" s="36"/>
      <c r="AE459" s="54"/>
      <c r="AF459" s="3" t="str">
        <f t="shared" si="107"/>
        <v>A</v>
      </c>
      <c r="AG459" s="48">
        <v>0</v>
      </c>
      <c r="AH459" s="48">
        <v>0</v>
      </c>
      <c r="AI459" s="39"/>
      <c r="AJ459" s="79" t="s">
        <v>1801</v>
      </c>
      <c r="AK459" s="39"/>
      <c r="AL459" s="4">
        <f t="shared" si="98"/>
        <v>264506</v>
      </c>
      <c r="AM459" s="4">
        <f t="shared" si="98"/>
        <v>40199</v>
      </c>
      <c r="AN459" s="4">
        <f t="shared" si="108"/>
        <v>304705</v>
      </c>
      <c r="AO459" s="39"/>
      <c r="AP459" s="8">
        <f t="shared" si="99"/>
        <v>0</v>
      </c>
      <c r="AQ459" s="8">
        <f t="shared" si="99"/>
        <v>0</v>
      </c>
      <c r="AR459" s="8">
        <f t="shared" si="109"/>
        <v>0</v>
      </c>
      <c r="AS459" s="42"/>
      <c r="AT459" s="48">
        <v>264506</v>
      </c>
      <c r="AU459" s="48">
        <v>40199</v>
      </c>
      <c r="AV459" s="4">
        <f t="shared" si="110"/>
        <v>304705</v>
      </c>
      <c r="AW459" s="50" t="str">
        <f t="shared" si="111"/>
        <v/>
      </c>
      <c r="AX459" s="1" t="s">
        <v>1750</v>
      </c>
      <c r="AY459" s="2" t="s">
        <v>1751</v>
      </c>
      <c r="AZ459" s="2">
        <v>153422.64000000001</v>
      </c>
      <c r="BA459" s="73">
        <v>134244.81</v>
      </c>
      <c r="BB459" s="73">
        <v>134244.81</v>
      </c>
      <c r="BC459" s="73">
        <v>153422.64000000001</v>
      </c>
      <c r="BD459" s="73"/>
      <c r="BE459" s="66">
        <v>0</v>
      </c>
      <c r="BF459" s="66">
        <v>0.05</v>
      </c>
      <c r="BG459" s="63">
        <v>44655</v>
      </c>
      <c r="BH459" s="2"/>
      <c r="BI459" s="2"/>
      <c r="BJ459" s="2">
        <v>549187.5</v>
      </c>
      <c r="BK459" s="2">
        <v>122041.67</v>
      </c>
      <c r="BL459" s="1" t="s">
        <v>56</v>
      </c>
    </row>
    <row r="460" spans="1:64" x14ac:dyDescent="0.25">
      <c r="A460" s="56" t="s">
        <v>1039</v>
      </c>
      <c r="B460" s="54" t="s">
        <v>1039</v>
      </c>
      <c r="C460" s="56" t="s">
        <v>1040</v>
      </c>
      <c r="D460" s="16">
        <v>44750</v>
      </c>
      <c r="E460" s="17"/>
      <c r="F460" s="2" t="s">
        <v>52</v>
      </c>
      <c r="G460" s="2" t="s">
        <v>55</v>
      </c>
      <c r="H460" s="10" t="s">
        <v>57</v>
      </c>
      <c r="I460" s="11" t="s">
        <v>54</v>
      </c>
      <c r="J460" s="11" t="s">
        <v>131</v>
      </c>
      <c r="K460" s="61" t="s">
        <v>132</v>
      </c>
      <c r="L460" s="11" t="s">
        <v>67</v>
      </c>
      <c r="M460" s="25"/>
      <c r="N460" s="54"/>
      <c r="O460" s="3" t="str">
        <f t="shared" si="103"/>
        <v>A</v>
      </c>
      <c r="P460" s="48">
        <v>112261.95</v>
      </c>
      <c r="Q460" s="48">
        <v>17310</v>
      </c>
      <c r="R460" s="32"/>
      <c r="S460" s="3" t="str">
        <f t="shared" si="104"/>
        <v>A</v>
      </c>
      <c r="T460" s="48">
        <v>98644.2</v>
      </c>
      <c r="U460" s="48">
        <v>13565</v>
      </c>
      <c r="V460" s="32"/>
      <c r="W460" s="3" t="str">
        <f t="shared" si="105"/>
        <v>A</v>
      </c>
      <c r="X460" s="48">
        <v>88955.7</v>
      </c>
      <c r="Y460" s="48">
        <v>10049</v>
      </c>
      <c r="Z460" s="32"/>
      <c r="AA460" s="3" t="str">
        <f t="shared" si="106"/>
        <v>A</v>
      </c>
      <c r="AB460" s="48">
        <v>102000.25</v>
      </c>
      <c r="AC460" s="48">
        <v>14897</v>
      </c>
      <c r="AD460" s="36"/>
      <c r="AE460" s="54"/>
      <c r="AF460" s="3" t="str">
        <f t="shared" si="107"/>
        <v>A</v>
      </c>
      <c r="AG460" s="48">
        <v>0</v>
      </c>
      <c r="AH460" s="48">
        <v>0</v>
      </c>
      <c r="AI460" s="39"/>
      <c r="AJ460" s="79" t="s">
        <v>1801</v>
      </c>
      <c r="AK460" s="39"/>
      <c r="AL460" s="4">
        <f t="shared" si="98"/>
        <v>401862.1</v>
      </c>
      <c r="AM460" s="4">
        <f t="shared" si="98"/>
        <v>55821</v>
      </c>
      <c r="AN460" s="4">
        <f t="shared" si="108"/>
        <v>457683.1</v>
      </c>
      <c r="AO460" s="39"/>
      <c r="AP460" s="8">
        <f t="shared" si="99"/>
        <v>0</v>
      </c>
      <c r="AQ460" s="8">
        <f t="shared" si="99"/>
        <v>0</v>
      </c>
      <c r="AR460" s="8">
        <f t="shared" si="109"/>
        <v>0</v>
      </c>
      <c r="AS460" s="42"/>
      <c r="AT460" s="48">
        <v>401862.10000000003</v>
      </c>
      <c r="AU460" s="48">
        <v>55821</v>
      </c>
      <c r="AV460" s="4">
        <f t="shared" si="110"/>
        <v>457683.10000000003</v>
      </c>
      <c r="AW460" s="50" t="str">
        <f t="shared" si="111"/>
        <v/>
      </c>
      <c r="AX460" s="1" t="s">
        <v>1639</v>
      </c>
      <c r="AY460" s="2" t="s">
        <v>1640</v>
      </c>
      <c r="AZ460" s="2">
        <v>57703.519999999997</v>
      </c>
      <c r="BA460" s="73">
        <v>50490.58</v>
      </c>
      <c r="BB460" s="73">
        <v>50490.58</v>
      </c>
      <c r="BC460" s="73">
        <v>57703.519999999997</v>
      </c>
      <c r="BD460" s="73"/>
      <c r="BE460" s="66">
        <v>0</v>
      </c>
      <c r="BF460" s="66">
        <v>0.02</v>
      </c>
      <c r="BG460" s="63">
        <v>44743</v>
      </c>
      <c r="BH460" s="2"/>
      <c r="BI460" s="2"/>
      <c r="BJ460" s="2">
        <v>206334</v>
      </c>
      <c r="BK460" s="2">
        <v>22926</v>
      </c>
      <c r="BL460" s="1" t="s">
        <v>56</v>
      </c>
    </row>
    <row r="461" spans="1:64" x14ac:dyDescent="0.25">
      <c r="A461" s="56" t="s">
        <v>1041</v>
      </c>
      <c r="B461" s="54" t="s">
        <v>1041</v>
      </c>
      <c r="C461" s="56" t="s">
        <v>1042</v>
      </c>
      <c r="D461" s="16">
        <v>44738</v>
      </c>
      <c r="E461" s="17"/>
      <c r="F461" s="2" t="s">
        <v>1043</v>
      </c>
      <c r="G461" s="2" t="s">
        <v>1044</v>
      </c>
      <c r="H461" s="10" t="s">
        <v>57</v>
      </c>
      <c r="I461" s="11" t="s">
        <v>53</v>
      </c>
      <c r="J461" s="11" t="s">
        <v>319</v>
      </c>
      <c r="K461" s="61"/>
      <c r="L461" s="11" t="s">
        <v>67</v>
      </c>
      <c r="M461" s="25"/>
      <c r="N461" s="54"/>
      <c r="O461" s="3" t="str">
        <f t="shared" si="103"/>
        <v>A</v>
      </c>
      <c r="P461" s="48">
        <v>39792</v>
      </c>
      <c r="Q461" s="48">
        <v>13407</v>
      </c>
      <c r="R461" s="32"/>
      <c r="S461" s="3" t="str">
        <f t="shared" si="104"/>
        <v>A</v>
      </c>
      <c r="T461" s="48">
        <v>42806</v>
      </c>
      <c r="U461" s="48">
        <v>8666</v>
      </c>
      <c r="V461" s="32"/>
      <c r="W461" s="3" t="str">
        <f t="shared" si="105"/>
        <v>A</v>
      </c>
      <c r="X461" s="48">
        <v>28217</v>
      </c>
      <c r="Y461" s="48">
        <v>10798</v>
      </c>
      <c r="Z461" s="32"/>
      <c r="AA461" s="3" t="str">
        <f t="shared" si="106"/>
        <v>A</v>
      </c>
      <c r="AB461" s="48">
        <v>36541</v>
      </c>
      <c r="AC461" s="48">
        <v>11437</v>
      </c>
      <c r="AD461" s="36"/>
      <c r="AE461" s="54"/>
      <c r="AF461" s="3" t="str">
        <f t="shared" si="107"/>
        <v>A</v>
      </c>
      <c r="AG461" s="48">
        <v>0</v>
      </c>
      <c r="AH461" s="48">
        <v>0</v>
      </c>
      <c r="AI461" s="39"/>
      <c r="AJ461" s="79" t="s">
        <v>1801</v>
      </c>
      <c r="AK461" s="39"/>
      <c r="AL461" s="4">
        <f t="shared" si="98"/>
        <v>147356</v>
      </c>
      <c r="AM461" s="4">
        <f t="shared" si="98"/>
        <v>44308</v>
      </c>
      <c r="AN461" s="4">
        <f t="shared" si="108"/>
        <v>191664</v>
      </c>
      <c r="AO461" s="39"/>
      <c r="AP461" s="8">
        <f t="shared" si="99"/>
        <v>0</v>
      </c>
      <c r="AQ461" s="8">
        <f t="shared" si="99"/>
        <v>0</v>
      </c>
      <c r="AR461" s="8">
        <f t="shared" si="109"/>
        <v>0</v>
      </c>
      <c r="AS461" s="42"/>
      <c r="AT461" s="48">
        <v>147356</v>
      </c>
      <c r="AU461" s="48">
        <v>44308</v>
      </c>
      <c r="AV461" s="4">
        <f t="shared" si="110"/>
        <v>191664</v>
      </c>
      <c r="AW461" s="50" t="str">
        <f t="shared" si="111"/>
        <v/>
      </c>
      <c r="AX461" s="1" t="s">
        <v>1752</v>
      </c>
      <c r="AY461" s="2" t="s">
        <v>1753</v>
      </c>
      <c r="AZ461" s="2">
        <v>169488.08</v>
      </c>
      <c r="BA461" s="73">
        <v>148302.07</v>
      </c>
      <c r="BB461" s="73">
        <v>148302.07</v>
      </c>
      <c r="BC461" s="73">
        <v>169488.08</v>
      </c>
      <c r="BD461" s="73"/>
      <c r="BE461" s="66">
        <v>0</v>
      </c>
      <c r="BF461" s="66">
        <v>0.05</v>
      </c>
      <c r="BG461" s="63">
        <v>44735</v>
      </c>
      <c r="BH461" s="2"/>
      <c r="BI461" s="2"/>
      <c r="BJ461" s="2">
        <v>618992.11</v>
      </c>
      <c r="BK461" s="2">
        <v>68776.899999999994</v>
      </c>
      <c r="BL461" s="1" t="s">
        <v>56</v>
      </c>
    </row>
    <row r="462" spans="1:64" x14ac:dyDescent="0.25">
      <c r="A462" s="56" t="s">
        <v>1051</v>
      </c>
      <c r="B462" s="54" t="s">
        <v>1051</v>
      </c>
      <c r="C462" s="56" t="s">
        <v>1052</v>
      </c>
      <c r="D462" s="16">
        <v>0</v>
      </c>
      <c r="E462" s="17"/>
      <c r="F462" s="2" t="s">
        <v>52</v>
      </c>
      <c r="G462" s="2" t="s">
        <v>55</v>
      </c>
      <c r="H462" s="10" t="s">
        <v>57</v>
      </c>
      <c r="I462" s="11" t="s">
        <v>54</v>
      </c>
      <c r="J462" s="11" t="s">
        <v>68</v>
      </c>
      <c r="K462" s="61" t="s">
        <v>69</v>
      </c>
      <c r="L462" s="11" t="s">
        <v>67</v>
      </c>
      <c r="M462" s="25"/>
      <c r="N462" s="54"/>
      <c r="O462" s="3" t="str">
        <f t="shared" si="103"/>
        <v>A</v>
      </c>
      <c r="P462" s="48">
        <v>83046.58</v>
      </c>
      <c r="Q462" s="48">
        <v>17025.29</v>
      </c>
      <c r="R462" s="32"/>
      <c r="S462" s="3" t="str">
        <f t="shared" si="104"/>
        <v>A</v>
      </c>
      <c r="T462" s="48">
        <v>68453.100000000006</v>
      </c>
      <c r="U462" s="48">
        <v>22980.9</v>
      </c>
      <c r="V462" s="32"/>
      <c r="W462" s="3" t="str">
        <f t="shared" si="105"/>
        <v>A</v>
      </c>
      <c r="X462" s="48">
        <v>60768.75</v>
      </c>
      <c r="Y462" s="48">
        <v>15587</v>
      </c>
      <c r="Z462" s="32"/>
      <c r="AA462" s="3" t="str">
        <f t="shared" si="106"/>
        <v>A</v>
      </c>
      <c r="AB462" s="48">
        <v>60218.85</v>
      </c>
      <c r="AC462" s="48">
        <v>18448</v>
      </c>
      <c r="AD462" s="36"/>
      <c r="AE462" s="54"/>
      <c r="AF462" s="3" t="str">
        <f t="shared" si="107"/>
        <v>A</v>
      </c>
      <c r="AG462" s="48">
        <v>0</v>
      </c>
      <c r="AH462" s="48">
        <v>0</v>
      </c>
      <c r="AI462" s="39"/>
      <c r="AJ462" s="79" t="s">
        <v>1801</v>
      </c>
      <c r="AK462" s="39"/>
      <c r="AL462" s="4">
        <f t="shared" si="98"/>
        <v>272487.27999999997</v>
      </c>
      <c r="AM462" s="4">
        <f t="shared" si="98"/>
        <v>74041.19</v>
      </c>
      <c r="AN462" s="4">
        <f t="shared" si="108"/>
        <v>346528.47</v>
      </c>
      <c r="AO462" s="39"/>
      <c r="AP462" s="8">
        <f t="shared" si="99"/>
        <v>0</v>
      </c>
      <c r="AQ462" s="8">
        <f t="shared" si="99"/>
        <v>0</v>
      </c>
      <c r="AR462" s="8">
        <f t="shared" si="109"/>
        <v>0</v>
      </c>
      <c r="AS462" s="42"/>
      <c r="AT462" s="48">
        <v>272487.28000000003</v>
      </c>
      <c r="AU462" s="48">
        <v>74041.19</v>
      </c>
      <c r="AV462" s="4">
        <f t="shared" si="110"/>
        <v>346528.47000000003</v>
      </c>
      <c r="AW462" s="50" t="str">
        <f t="shared" si="111"/>
        <v/>
      </c>
      <c r="AX462" s="1" t="s">
        <v>1639</v>
      </c>
      <c r="AY462" s="2" t="s">
        <v>1640</v>
      </c>
      <c r="AZ462" s="2">
        <v>163650.79999999999</v>
      </c>
      <c r="BA462" s="73">
        <v>143194.45000000001</v>
      </c>
      <c r="BB462" s="73">
        <v>143194.45000000001</v>
      </c>
      <c r="BC462" s="73">
        <v>163650.79999999999</v>
      </c>
      <c r="BD462" s="73"/>
      <c r="BE462" s="66">
        <v>0</v>
      </c>
      <c r="BF462" s="66">
        <v>0.02</v>
      </c>
      <c r="BG462" s="63">
        <v>44760</v>
      </c>
      <c r="BH462" s="2"/>
      <c r="BI462" s="2"/>
      <c r="BJ462" s="2">
        <v>585175.38</v>
      </c>
      <c r="BK462" s="2">
        <v>103266.25</v>
      </c>
      <c r="BL462" s="1" t="s">
        <v>56</v>
      </c>
    </row>
    <row r="463" spans="1:64" x14ac:dyDescent="0.25">
      <c r="A463" s="56" t="s">
        <v>1053</v>
      </c>
      <c r="B463" s="54" t="s">
        <v>1053</v>
      </c>
      <c r="C463" s="56" t="s">
        <v>1054</v>
      </c>
      <c r="D463" s="16">
        <v>44671</v>
      </c>
      <c r="E463" s="17"/>
      <c r="F463" s="2" t="s">
        <v>143</v>
      </c>
      <c r="G463" s="2" t="s">
        <v>144</v>
      </c>
      <c r="H463" s="10" t="s">
        <v>105</v>
      </c>
      <c r="I463" s="11" t="s">
        <v>53</v>
      </c>
      <c r="J463" s="11" t="s">
        <v>145</v>
      </c>
      <c r="K463" s="61"/>
      <c r="L463" s="11" t="s">
        <v>67</v>
      </c>
      <c r="M463" s="25"/>
      <c r="N463" s="54"/>
      <c r="O463" s="3" t="str">
        <f t="shared" si="103"/>
        <v>E</v>
      </c>
      <c r="P463" s="48">
        <v>145802.4</v>
      </c>
      <c r="Q463" s="48">
        <v>13379.76</v>
      </c>
      <c r="R463" s="32"/>
      <c r="S463" s="3" t="str">
        <f t="shared" si="104"/>
        <v>E</v>
      </c>
      <c r="T463" s="48">
        <v>127577.1</v>
      </c>
      <c r="U463" s="48">
        <v>11707.29</v>
      </c>
      <c r="V463" s="32"/>
      <c r="W463" s="3" t="str">
        <f t="shared" si="105"/>
        <v>E</v>
      </c>
      <c r="X463" s="48">
        <v>127577.1</v>
      </c>
      <c r="Y463" s="48">
        <v>11707.29</v>
      </c>
      <c r="Z463" s="32"/>
      <c r="AA463" s="3" t="str">
        <f t="shared" si="106"/>
        <v>E</v>
      </c>
      <c r="AB463" s="48">
        <v>145802.4</v>
      </c>
      <c r="AC463" s="48">
        <v>13379.76</v>
      </c>
      <c r="AD463" s="36"/>
      <c r="AE463" s="54"/>
      <c r="AF463" s="3" t="str">
        <f t="shared" si="107"/>
        <v>A</v>
      </c>
      <c r="AG463" s="48"/>
      <c r="AH463" s="48"/>
      <c r="AI463" s="39"/>
      <c r="AJ463" s="79" t="s">
        <v>38</v>
      </c>
      <c r="AK463" s="39"/>
      <c r="AL463" s="4">
        <f t="shared" si="98"/>
        <v>0</v>
      </c>
      <c r="AM463" s="4">
        <f t="shared" si="98"/>
        <v>0</v>
      </c>
      <c r="AN463" s="4">
        <f t="shared" si="108"/>
        <v>0</v>
      </c>
      <c r="AO463" s="39"/>
      <c r="AP463" s="8">
        <f t="shared" si="99"/>
        <v>546759</v>
      </c>
      <c r="AQ463" s="8">
        <f t="shared" si="99"/>
        <v>50174.100000000006</v>
      </c>
      <c r="AR463" s="8">
        <f t="shared" si="109"/>
        <v>596933.1</v>
      </c>
      <c r="AS463" s="42"/>
      <c r="AT463" s="48"/>
      <c r="AU463" s="48"/>
      <c r="AV463" s="4">
        <f t="shared" si="110"/>
        <v>0</v>
      </c>
      <c r="AW463" s="50" t="str">
        <f t="shared" si="111"/>
        <v/>
      </c>
      <c r="AX463" s="1" t="s">
        <v>1650</v>
      </c>
      <c r="AY463" s="2" t="s">
        <v>1651</v>
      </c>
      <c r="AZ463" s="2">
        <v>145802.4</v>
      </c>
      <c r="BA463" s="73">
        <v>127577.1</v>
      </c>
      <c r="BB463" s="73">
        <v>127577.1</v>
      </c>
      <c r="BC463" s="73">
        <v>145802.4</v>
      </c>
      <c r="BD463" s="73"/>
      <c r="BE463" s="66">
        <v>0</v>
      </c>
      <c r="BF463" s="66">
        <v>0.05</v>
      </c>
      <c r="BG463" s="63">
        <v>44669</v>
      </c>
      <c r="BH463" s="2"/>
      <c r="BI463" s="2"/>
      <c r="BJ463" s="2">
        <v>521910</v>
      </c>
      <c r="BK463" s="2">
        <v>48860.4</v>
      </c>
      <c r="BL463" s="1" t="s">
        <v>104</v>
      </c>
    </row>
    <row r="464" spans="1:64" x14ac:dyDescent="0.25">
      <c r="A464" s="56" t="s">
        <v>1055</v>
      </c>
      <c r="B464" s="54" t="s">
        <v>1055</v>
      </c>
      <c r="C464" s="56" t="s">
        <v>1056</v>
      </c>
      <c r="D464" s="16">
        <v>0</v>
      </c>
      <c r="E464" s="17"/>
      <c r="F464" s="2" t="s">
        <v>414</v>
      </c>
      <c r="G464" s="2" t="s">
        <v>415</v>
      </c>
      <c r="H464" s="10" t="s">
        <v>105</v>
      </c>
      <c r="I464" s="11" t="s">
        <v>53</v>
      </c>
      <c r="J464" s="11" t="s">
        <v>312</v>
      </c>
      <c r="K464" s="61"/>
      <c r="L464" s="11" t="s">
        <v>67</v>
      </c>
      <c r="M464" s="25"/>
      <c r="N464" s="54"/>
      <c r="O464" s="3" t="str">
        <f t="shared" si="103"/>
        <v>E</v>
      </c>
      <c r="P464" s="48">
        <v>117987.84</v>
      </c>
      <c r="Q464" s="48">
        <v>14070.32</v>
      </c>
      <c r="R464" s="32"/>
      <c r="S464" s="3" t="str">
        <f t="shared" si="104"/>
        <v>E</v>
      </c>
      <c r="T464" s="48">
        <v>103239.36</v>
      </c>
      <c r="U464" s="48">
        <v>12311.53</v>
      </c>
      <c r="V464" s="32"/>
      <c r="W464" s="3" t="str">
        <f t="shared" si="105"/>
        <v>E</v>
      </c>
      <c r="X464" s="48">
        <v>103239.36</v>
      </c>
      <c r="Y464" s="48">
        <v>12311.53</v>
      </c>
      <c r="Z464" s="32"/>
      <c r="AA464" s="3" t="str">
        <f t="shared" si="106"/>
        <v>E</v>
      </c>
      <c r="AB464" s="48">
        <v>117987.84</v>
      </c>
      <c r="AC464" s="48">
        <v>14070.32</v>
      </c>
      <c r="AD464" s="36"/>
      <c r="AE464" s="54"/>
      <c r="AF464" s="3" t="str">
        <f t="shared" si="107"/>
        <v>A</v>
      </c>
      <c r="AG464" s="48"/>
      <c r="AH464" s="48"/>
      <c r="AI464" s="39"/>
      <c r="AJ464" s="79" t="s">
        <v>38</v>
      </c>
      <c r="AK464" s="39"/>
      <c r="AL464" s="4">
        <f t="shared" si="98"/>
        <v>0</v>
      </c>
      <c r="AM464" s="4">
        <f t="shared" si="98"/>
        <v>0</v>
      </c>
      <c r="AN464" s="4">
        <f t="shared" si="108"/>
        <v>0</v>
      </c>
      <c r="AO464" s="39"/>
      <c r="AP464" s="8">
        <f t="shared" si="99"/>
        <v>442454.4</v>
      </c>
      <c r="AQ464" s="8">
        <f t="shared" si="99"/>
        <v>52763.7</v>
      </c>
      <c r="AR464" s="8">
        <f t="shared" si="109"/>
        <v>495218.10000000003</v>
      </c>
      <c r="AS464" s="42"/>
      <c r="AT464" s="48"/>
      <c r="AU464" s="48"/>
      <c r="AV464" s="4">
        <f t="shared" si="110"/>
        <v>0</v>
      </c>
      <c r="AW464" s="50" t="str">
        <f t="shared" si="111"/>
        <v/>
      </c>
      <c r="AX464" s="1" t="s">
        <v>1703</v>
      </c>
      <c r="AY464" s="2" t="s">
        <v>1704</v>
      </c>
      <c r="AZ464" s="2">
        <v>117987.84</v>
      </c>
      <c r="BA464" s="73">
        <v>103239.36</v>
      </c>
      <c r="BB464" s="73">
        <v>103239.36</v>
      </c>
      <c r="BC464" s="73">
        <v>117987.84</v>
      </c>
      <c r="BD464" s="73"/>
      <c r="BE464" s="66">
        <v>0</v>
      </c>
      <c r="BF464" s="66">
        <v>0.05</v>
      </c>
      <c r="BG464" s="63">
        <v>44628</v>
      </c>
      <c r="BH464" s="74">
        <v>45218</v>
      </c>
      <c r="BI464" s="74">
        <v>45222</v>
      </c>
      <c r="BJ464" s="2">
        <v>416085</v>
      </c>
      <c r="BK464" s="2">
        <v>46611.72</v>
      </c>
      <c r="BL464" s="1" t="s">
        <v>104</v>
      </c>
    </row>
    <row r="465" spans="1:64" x14ac:dyDescent="0.25">
      <c r="A465" s="56" t="s">
        <v>1061</v>
      </c>
      <c r="B465" s="54" t="s">
        <v>1061</v>
      </c>
      <c r="C465" s="56" t="s">
        <v>1062</v>
      </c>
      <c r="D465" s="16">
        <v>0</v>
      </c>
      <c r="E465" s="17">
        <v>45821</v>
      </c>
      <c r="F465" s="2" t="s">
        <v>243</v>
      </c>
      <c r="G465" s="2" t="s">
        <v>245</v>
      </c>
      <c r="H465" s="10" t="s">
        <v>98</v>
      </c>
      <c r="I465" s="11" t="s">
        <v>244</v>
      </c>
      <c r="J465" s="11" t="s">
        <v>246</v>
      </c>
      <c r="K465" s="61" t="s">
        <v>247</v>
      </c>
      <c r="L465" s="11" t="s">
        <v>67</v>
      </c>
      <c r="M465" s="25"/>
      <c r="N465" s="54"/>
      <c r="O465" s="3" t="str">
        <f t="shared" si="103"/>
        <v>A</v>
      </c>
      <c r="P465" s="48">
        <v>79993</v>
      </c>
      <c r="Q465" s="48">
        <v>6704</v>
      </c>
      <c r="R465" s="32"/>
      <c r="S465" s="3" t="str">
        <f t="shared" si="104"/>
        <v>A</v>
      </c>
      <c r="T465" s="48">
        <v>37788</v>
      </c>
      <c r="U465" s="48">
        <v>3173</v>
      </c>
      <c r="V465" s="32"/>
      <c r="W465" s="3" t="str">
        <f t="shared" si="105"/>
        <v>A</v>
      </c>
      <c r="X465" s="48">
        <v>0</v>
      </c>
      <c r="Y465" s="48">
        <v>0</v>
      </c>
      <c r="Z465" s="32"/>
      <c r="AA465" s="3" t="str">
        <f t="shared" si="106"/>
        <v>A</v>
      </c>
      <c r="AB465" s="48">
        <v>0</v>
      </c>
      <c r="AC465" s="48">
        <v>0</v>
      </c>
      <c r="AD465" s="36"/>
      <c r="AE465" s="54"/>
      <c r="AF465" s="3" t="str">
        <f t="shared" si="107"/>
        <v>A</v>
      </c>
      <c r="AG465" s="48">
        <v>0</v>
      </c>
      <c r="AH465" s="48">
        <v>0</v>
      </c>
      <c r="AI465" s="39"/>
      <c r="AJ465" s="79" t="s">
        <v>1801</v>
      </c>
      <c r="AK465" s="39"/>
      <c r="AL465" s="4">
        <f t="shared" si="98"/>
        <v>117781</v>
      </c>
      <c r="AM465" s="4">
        <f t="shared" si="98"/>
        <v>9877</v>
      </c>
      <c r="AN465" s="4">
        <f t="shared" si="108"/>
        <v>127658</v>
      </c>
      <c r="AO465" s="39"/>
      <c r="AP465" s="8">
        <f t="shared" si="99"/>
        <v>0</v>
      </c>
      <c r="AQ465" s="8">
        <f t="shared" si="99"/>
        <v>0</v>
      </c>
      <c r="AR465" s="8">
        <f t="shared" si="109"/>
        <v>0</v>
      </c>
      <c r="AS465" s="42"/>
      <c r="AT465" s="48">
        <v>117781</v>
      </c>
      <c r="AU465" s="48">
        <v>9877</v>
      </c>
      <c r="AV465" s="4">
        <f t="shared" si="110"/>
        <v>127658</v>
      </c>
      <c r="AW465" s="50" t="str">
        <f t="shared" si="111"/>
        <v/>
      </c>
      <c r="AX465" s="1" t="s">
        <v>1639</v>
      </c>
      <c r="AY465" s="2" t="s">
        <v>1640</v>
      </c>
      <c r="AZ465" s="2">
        <v>227305.12</v>
      </c>
      <c r="BA465" s="73">
        <v>198891.98</v>
      </c>
      <c r="BB465" s="73"/>
      <c r="BC465" s="73"/>
      <c r="BD465" s="73"/>
      <c r="BE465" s="66">
        <v>0</v>
      </c>
      <c r="BF465" s="66">
        <v>0.02</v>
      </c>
      <c r="BG465" s="63">
        <v>44729</v>
      </c>
      <c r="BH465" s="2"/>
      <c r="BI465" s="2"/>
      <c r="BJ465" s="2">
        <v>830148</v>
      </c>
      <c r="BK465" s="2">
        <v>103768.5</v>
      </c>
      <c r="BL465" s="1" t="s">
        <v>97</v>
      </c>
    </row>
    <row r="466" spans="1:64" x14ac:dyDescent="0.25">
      <c r="A466" s="56" t="s">
        <v>1068</v>
      </c>
      <c r="B466" s="54" t="s">
        <v>1068</v>
      </c>
      <c r="C466" s="56" t="s">
        <v>1069</v>
      </c>
      <c r="D466" s="16">
        <v>44772</v>
      </c>
      <c r="E466" s="17"/>
      <c r="F466" s="2" t="s">
        <v>52</v>
      </c>
      <c r="G466" s="2" t="s">
        <v>55</v>
      </c>
      <c r="H466" s="10" t="s">
        <v>57</v>
      </c>
      <c r="I466" s="11" t="s">
        <v>54</v>
      </c>
      <c r="J466" s="11" t="s">
        <v>620</v>
      </c>
      <c r="K466" s="61" t="s">
        <v>621</v>
      </c>
      <c r="L466" s="11" t="s">
        <v>67</v>
      </c>
      <c r="M466" s="25"/>
      <c r="N466" s="54"/>
      <c r="O466" s="3" t="str">
        <f t="shared" si="103"/>
        <v>A</v>
      </c>
      <c r="P466" s="48">
        <v>50176</v>
      </c>
      <c r="Q466" s="48">
        <v>11715</v>
      </c>
      <c r="R466" s="32"/>
      <c r="S466" s="3" t="str">
        <f t="shared" si="104"/>
        <v>A</v>
      </c>
      <c r="T466" s="48">
        <v>48162</v>
      </c>
      <c r="U466" s="48">
        <v>11231</v>
      </c>
      <c r="V466" s="32"/>
      <c r="W466" s="3" t="str">
        <f t="shared" si="105"/>
        <v>A</v>
      </c>
      <c r="X466" s="48">
        <v>40624</v>
      </c>
      <c r="Y466" s="48">
        <v>8166</v>
      </c>
      <c r="Z466" s="32"/>
      <c r="AA466" s="3" t="str">
        <f t="shared" si="106"/>
        <v>A</v>
      </c>
      <c r="AB466" s="48">
        <v>51916</v>
      </c>
      <c r="AC466" s="48">
        <v>10217</v>
      </c>
      <c r="AD466" s="36"/>
      <c r="AE466" s="54"/>
      <c r="AF466" s="3" t="str">
        <f t="shared" si="107"/>
        <v>A</v>
      </c>
      <c r="AG466" s="48">
        <v>0</v>
      </c>
      <c r="AH466" s="48">
        <v>0</v>
      </c>
      <c r="AI466" s="39"/>
      <c r="AJ466" s="79" t="s">
        <v>1801</v>
      </c>
      <c r="AK466" s="39"/>
      <c r="AL466" s="4">
        <f t="shared" si="98"/>
        <v>190878</v>
      </c>
      <c r="AM466" s="4">
        <f t="shared" si="98"/>
        <v>41329</v>
      </c>
      <c r="AN466" s="4">
        <f t="shared" si="108"/>
        <v>232207</v>
      </c>
      <c r="AO466" s="39"/>
      <c r="AP466" s="8">
        <f t="shared" si="99"/>
        <v>0</v>
      </c>
      <c r="AQ466" s="8">
        <f t="shared" si="99"/>
        <v>0</v>
      </c>
      <c r="AR466" s="8">
        <f t="shared" si="109"/>
        <v>0</v>
      </c>
      <c r="AS466" s="42"/>
      <c r="AT466" s="48">
        <v>190878</v>
      </c>
      <c r="AU466" s="48">
        <v>41329</v>
      </c>
      <c r="AV466" s="4">
        <f t="shared" si="110"/>
        <v>232207</v>
      </c>
      <c r="AW466" s="50" t="str">
        <f t="shared" si="111"/>
        <v/>
      </c>
      <c r="AX466" s="1" t="s">
        <v>1639</v>
      </c>
      <c r="AY466" s="2" t="s">
        <v>1640</v>
      </c>
      <c r="AZ466" s="2">
        <v>51441.919999999998</v>
      </c>
      <c r="BA466" s="73">
        <v>45011.68</v>
      </c>
      <c r="BB466" s="73">
        <v>45011.68</v>
      </c>
      <c r="BC466" s="73">
        <v>51441.919999999998</v>
      </c>
      <c r="BD466" s="73"/>
      <c r="BE466" s="66">
        <v>0</v>
      </c>
      <c r="BF466" s="66">
        <v>0.02</v>
      </c>
      <c r="BG466" s="63">
        <v>44771</v>
      </c>
      <c r="BH466" s="2"/>
      <c r="BI466" s="2"/>
      <c r="BJ466" s="2">
        <v>183943.65</v>
      </c>
      <c r="BK466" s="2">
        <v>20438.189999999999</v>
      </c>
      <c r="BL466" s="1" t="s">
        <v>56</v>
      </c>
    </row>
    <row r="467" spans="1:64" x14ac:dyDescent="0.25">
      <c r="A467" s="56" t="s">
        <v>1070</v>
      </c>
      <c r="B467" s="54" t="s">
        <v>1070</v>
      </c>
      <c r="C467" s="56" t="s">
        <v>1071</v>
      </c>
      <c r="D467" s="16">
        <v>44727</v>
      </c>
      <c r="E467" s="17"/>
      <c r="F467" s="2" t="s">
        <v>52</v>
      </c>
      <c r="G467" s="2" t="s">
        <v>55</v>
      </c>
      <c r="H467" s="10" t="s">
        <v>57</v>
      </c>
      <c r="I467" s="11" t="s">
        <v>54</v>
      </c>
      <c r="J467" s="11" t="s">
        <v>636</v>
      </c>
      <c r="K467" s="61" t="s">
        <v>637</v>
      </c>
      <c r="L467" s="11" t="s">
        <v>67</v>
      </c>
      <c r="M467" s="25"/>
      <c r="N467" s="54"/>
      <c r="O467" s="3" t="str">
        <f t="shared" si="103"/>
        <v>A</v>
      </c>
      <c r="P467" s="48">
        <v>46794</v>
      </c>
      <c r="Q467" s="48">
        <v>17273</v>
      </c>
      <c r="R467" s="32"/>
      <c r="S467" s="3" t="str">
        <f t="shared" si="104"/>
        <v>A</v>
      </c>
      <c r="T467" s="48">
        <v>40548</v>
      </c>
      <c r="U467" s="48">
        <v>14838</v>
      </c>
      <c r="V467" s="32"/>
      <c r="W467" s="3" t="str">
        <f t="shared" si="105"/>
        <v>A</v>
      </c>
      <c r="X467" s="48">
        <v>36006</v>
      </c>
      <c r="Y467" s="48">
        <v>13848</v>
      </c>
      <c r="Z467" s="32"/>
      <c r="AA467" s="3" t="str">
        <f t="shared" si="106"/>
        <v>A</v>
      </c>
      <c r="AB467" s="48">
        <v>39990</v>
      </c>
      <c r="AC467" s="48">
        <v>15670</v>
      </c>
      <c r="AD467" s="36"/>
      <c r="AE467" s="54"/>
      <c r="AF467" s="3" t="str">
        <f t="shared" si="107"/>
        <v>A</v>
      </c>
      <c r="AG467" s="48">
        <v>0</v>
      </c>
      <c r="AH467" s="48">
        <v>0</v>
      </c>
      <c r="AI467" s="39"/>
      <c r="AJ467" s="79" t="s">
        <v>1801</v>
      </c>
      <c r="AK467" s="39"/>
      <c r="AL467" s="4">
        <f t="shared" si="98"/>
        <v>163338</v>
      </c>
      <c r="AM467" s="4">
        <f t="shared" si="98"/>
        <v>61629</v>
      </c>
      <c r="AN467" s="4">
        <f t="shared" si="108"/>
        <v>224967</v>
      </c>
      <c r="AO467" s="39"/>
      <c r="AP467" s="8">
        <f t="shared" si="99"/>
        <v>0</v>
      </c>
      <c r="AQ467" s="8">
        <f t="shared" si="99"/>
        <v>0</v>
      </c>
      <c r="AR467" s="8">
        <f t="shared" si="109"/>
        <v>0</v>
      </c>
      <c r="AS467" s="42"/>
      <c r="AT467" s="48">
        <v>163338</v>
      </c>
      <c r="AU467" s="48">
        <v>61629</v>
      </c>
      <c r="AV467" s="4">
        <f t="shared" si="110"/>
        <v>224967</v>
      </c>
      <c r="AW467" s="50" t="str">
        <f t="shared" si="111"/>
        <v/>
      </c>
      <c r="AX467" s="1" t="s">
        <v>1639</v>
      </c>
      <c r="AY467" s="2" t="s">
        <v>1640</v>
      </c>
      <c r="AZ467" s="2">
        <v>76941.039999999994</v>
      </c>
      <c r="BA467" s="73">
        <v>67323.41</v>
      </c>
      <c r="BB467" s="73">
        <v>67323.41</v>
      </c>
      <c r="BC467" s="73">
        <v>76941.039999999994</v>
      </c>
      <c r="BD467" s="73"/>
      <c r="BE467" s="66">
        <v>0</v>
      </c>
      <c r="BF467" s="66">
        <v>0.02</v>
      </c>
      <c r="BG467" s="63">
        <v>45003</v>
      </c>
      <c r="BH467" s="2"/>
      <c r="BI467" s="2"/>
      <c r="BJ467" s="2">
        <v>280241.87</v>
      </c>
      <c r="BK467" s="2">
        <v>49454.45</v>
      </c>
      <c r="BL467" s="1" t="s">
        <v>56</v>
      </c>
    </row>
    <row r="468" spans="1:64" x14ac:dyDescent="0.25">
      <c r="A468" s="56" t="s">
        <v>1072</v>
      </c>
      <c r="B468" s="54" t="s">
        <v>1072</v>
      </c>
      <c r="C468" s="56" t="s">
        <v>1073</v>
      </c>
      <c r="D468" s="16">
        <v>44890</v>
      </c>
      <c r="E468" s="17"/>
      <c r="F468" s="2" t="s">
        <v>348</v>
      </c>
      <c r="G468" s="2" t="s">
        <v>349</v>
      </c>
      <c r="H468" s="10" t="s">
        <v>105</v>
      </c>
      <c r="I468" s="11" t="s">
        <v>53</v>
      </c>
      <c r="J468" s="11" t="s">
        <v>1074</v>
      </c>
      <c r="K468" s="61"/>
      <c r="L468" s="11" t="s">
        <v>67</v>
      </c>
      <c r="M468" s="25"/>
      <c r="N468" s="54"/>
      <c r="O468" s="3" t="str">
        <f t="shared" si="103"/>
        <v>A</v>
      </c>
      <c r="P468" s="48">
        <v>200858</v>
      </c>
      <c r="Q468" s="48">
        <v>13222</v>
      </c>
      <c r="R468" s="32"/>
      <c r="S468" s="3" t="str">
        <f t="shared" si="104"/>
        <v>A</v>
      </c>
      <c r="T468" s="48">
        <v>179145</v>
      </c>
      <c r="U468" s="48">
        <v>11905</v>
      </c>
      <c r="V468" s="32"/>
      <c r="W468" s="3" t="str">
        <f t="shared" si="105"/>
        <v>A</v>
      </c>
      <c r="X468" s="48">
        <v>168034</v>
      </c>
      <c r="Y468" s="48">
        <v>10340</v>
      </c>
      <c r="Z468" s="32"/>
      <c r="AA468" s="3" t="str">
        <f t="shared" si="106"/>
        <v>A</v>
      </c>
      <c r="AB468" s="48">
        <v>180027</v>
      </c>
      <c r="AC468" s="48">
        <v>13811</v>
      </c>
      <c r="AD468" s="36"/>
      <c r="AE468" s="54"/>
      <c r="AF468" s="3" t="str">
        <f t="shared" si="107"/>
        <v>A</v>
      </c>
      <c r="AG468" s="48">
        <v>0</v>
      </c>
      <c r="AH468" s="48">
        <v>0</v>
      </c>
      <c r="AI468" s="39"/>
      <c r="AJ468" s="79" t="s">
        <v>1801</v>
      </c>
      <c r="AK468" s="39"/>
      <c r="AL468" s="4">
        <f t="shared" si="98"/>
        <v>728064</v>
      </c>
      <c r="AM468" s="4">
        <f t="shared" si="98"/>
        <v>49278</v>
      </c>
      <c r="AN468" s="4">
        <f t="shared" si="108"/>
        <v>777342</v>
      </c>
      <c r="AO468" s="39"/>
      <c r="AP468" s="8">
        <f t="shared" si="99"/>
        <v>0</v>
      </c>
      <c r="AQ468" s="8">
        <f t="shared" si="99"/>
        <v>0</v>
      </c>
      <c r="AR468" s="8">
        <f t="shared" si="109"/>
        <v>0</v>
      </c>
      <c r="AS468" s="42"/>
      <c r="AT468" s="48">
        <v>728064</v>
      </c>
      <c r="AU468" s="48">
        <v>49278</v>
      </c>
      <c r="AV468" s="4">
        <f t="shared" si="110"/>
        <v>777342</v>
      </c>
      <c r="AW468" s="50" t="str">
        <f t="shared" si="111"/>
        <v/>
      </c>
      <c r="AX468" s="1" t="s">
        <v>1688</v>
      </c>
      <c r="AY468" s="2" t="s">
        <v>1689</v>
      </c>
      <c r="AZ468" s="2">
        <v>219960.95999999999</v>
      </c>
      <c r="BA468" s="73">
        <v>192465.84</v>
      </c>
      <c r="BB468" s="73">
        <v>192465.84</v>
      </c>
      <c r="BC468" s="73">
        <v>219960.95999999999</v>
      </c>
      <c r="BD468" s="73"/>
      <c r="BE468" s="66">
        <v>0</v>
      </c>
      <c r="BF468" s="66">
        <v>0.05</v>
      </c>
      <c r="BG468" s="63">
        <v>44887</v>
      </c>
      <c r="BH468" s="2"/>
      <c r="BI468" s="2"/>
      <c r="BJ468" s="2">
        <v>813594.25</v>
      </c>
      <c r="BK468" s="2">
        <v>90398.25</v>
      </c>
      <c r="BL468" s="1" t="s">
        <v>104</v>
      </c>
    </row>
    <row r="469" spans="1:64" x14ac:dyDescent="0.25">
      <c r="A469" s="56" t="s">
        <v>1075</v>
      </c>
      <c r="B469" s="54" t="s">
        <v>1075</v>
      </c>
      <c r="C469" s="56" t="s">
        <v>1076</v>
      </c>
      <c r="D469" s="16">
        <v>44770</v>
      </c>
      <c r="E469" s="17"/>
      <c r="F469" s="2" t="s">
        <v>1077</v>
      </c>
      <c r="G469" s="2" t="s">
        <v>1078</v>
      </c>
      <c r="H469" s="10" t="s">
        <v>105</v>
      </c>
      <c r="I469" s="11" t="s">
        <v>53</v>
      </c>
      <c r="J469" s="11" t="s">
        <v>106</v>
      </c>
      <c r="K469" s="61"/>
      <c r="L469" s="11" t="s">
        <v>67</v>
      </c>
      <c r="M469" s="25"/>
      <c r="N469" s="54"/>
      <c r="O469" s="3" t="str">
        <f t="shared" si="103"/>
        <v>A</v>
      </c>
      <c r="P469" s="48">
        <v>76515</v>
      </c>
      <c r="Q469" s="48">
        <v>5707</v>
      </c>
      <c r="R469" s="32"/>
      <c r="S469" s="3" t="str">
        <f t="shared" si="104"/>
        <v>A</v>
      </c>
      <c r="T469" s="48">
        <v>73151</v>
      </c>
      <c r="U469" s="48">
        <v>6246</v>
      </c>
      <c r="V469" s="32"/>
      <c r="W469" s="3" t="str">
        <f t="shared" si="105"/>
        <v>A</v>
      </c>
      <c r="X469" s="48">
        <v>63527</v>
      </c>
      <c r="Y469" s="48">
        <v>5248</v>
      </c>
      <c r="Z469" s="32"/>
      <c r="AA469" s="3" t="str">
        <f t="shared" si="106"/>
        <v>A</v>
      </c>
      <c r="AB469" s="48">
        <v>69155</v>
      </c>
      <c r="AC469" s="48">
        <v>6093</v>
      </c>
      <c r="AD469" s="36"/>
      <c r="AE469" s="54"/>
      <c r="AF469" s="3" t="str">
        <f t="shared" si="107"/>
        <v>A</v>
      </c>
      <c r="AG469" s="48">
        <v>0</v>
      </c>
      <c r="AH469" s="48">
        <v>0</v>
      </c>
      <c r="AI469" s="39"/>
      <c r="AJ469" s="79" t="s">
        <v>1801</v>
      </c>
      <c r="AK469" s="39"/>
      <c r="AL469" s="4">
        <f t="shared" si="98"/>
        <v>282348</v>
      </c>
      <c r="AM469" s="4">
        <f t="shared" si="98"/>
        <v>23294</v>
      </c>
      <c r="AN469" s="4">
        <f t="shared" si="108"/>
        <v>305642</v>
      </c>
      <c r="AO469" s="39"/>
      <c r="AP469" s="8">
        <f t="shared" si="99"/>
        <v>0</v>
      </c>
      <c r="AQ469" s="8">
        <f t="shared" si="99"/>
        <v>0</v>
      </c>
      <c r="AR469" s="8">
        <f t="shared" si="109"/>
        <v>0</v>
      </c>
      <c r="AS469" s="42"/>
      <c r="AT469" s="48">
        <v>282348</v>
      </c>
      <c r="AU469" s="48">
        <v>23294</v>
      </c>
      <c r="AV469" s="4">
        <f t="shared" si="110"/>
        <v>305642</v>
      </c>
      <c r="AW469" s="50" t="str">
        <f t="shared" si="111"/>
        <v/>
      </c>
      <c r="AX469" s="1" t="s">
        <v>1754</v>
      </c>
      <c r="AY469" s="2" t="s">
        <v>1755</v>
      </c>
      <c r="AZ469" s="2">
        <v>232560.8</v>
      </c>
      <c r="BA469" s="73">
        <v>203490.7</v>
      </c>
      <c r="BB469" s="73">
        <v>203490.7</v>
      </c>
      <c r="BC469" s="73">
        <v>232560.8</v>
      </c>
      <c r="BD469" s="73"/>
      <c r="BE469" s="66">
        <v>0</v>
      </c>
      <c r="BF469" s="66">
        <v>0.05</v>
      </c>
      <c r="BG469" s="63">
        <v>44767</v>
      </c>
      <c r="BH469" s="2"/>
      <c r="BI469" s="2"/>
      <c r="BJ469" s="2">
        <v>831580</v>
      </c>
      <c r="BK469" s="2">
        <v>92397.79</v>
      </c>
      <c r="BL469" s="1" t="s">
        <v>104</v>
      </c>
    </row>
    <row r="470" spans="1:64" x14ac:dyDescent="0.25">
      <c r="A470" s="56" t="s">
        <v>1075</v>
      </c>
      <c r="B470" s="54" t="s">
        <v>1462</v>
      </c>
      <c r="C470" s="56" t="s">
        <v>1463</v>
      </c>
      <c r="D470" s="16">
        <v>0</v>
      </c>
      <c r="E470" s="17"/>
      <c r="F470" s="2" t="s">
        <v>1077</v>
      </c>
      <c r="G470" s="2" t="s">
        <v>1078</v>
      </c>
      <c r="H470" s="10" t="s">
        <v>105</v>
      </c>
      <c r="I470" s="11" t="s">
        <v>53</v>
      </c>
      <c r="J470" s="11" t="s">
        <v>106</v>
      </c>
      <c r="K470" s="61"/>
      <c r="L470" s="11" t="s">
        <v>67</v>
      </c>
      <c r="M470" s="25"/>
      <c r="N470" s="54"/>
      <c r="O470" s="3" t="str">
        <f>IF($A470="","",IF(P470=AZ470,"E","A"))</f>
        <v>A</v>
      </c>
      <c r="P470" s="48">
        <v>19465</v>
      </c>
      <c r="Q470" s="48">
        <v>3375</v>
      </c>
      <c r="R470" s="32"/>
      <c r="S470" s="3" t="str">
        <f>IF($A470="","",IF(T470=BA470,"E","A"))</f>
        <v>A</v>
      </c>
      <c r="T470" s="48">
        <v>15256</v>
      </c>
      <c r="U470" s="48">
        <v>2510</v>
      </c>
      <c r="V470" s="32"/>
      <c r="W470" s="3" t="str">
        <f t="shared" si="105"/>
        <v>A</v>
      </c>
      <c r="X470" s="48">
        <v>15521</v>
      </c>
      <c r="Y470" s="48">
        <v>1799</v>
      </c>
      <c r="Z470" s="32"/>
      <c r="AA470" s="3" t="str">
        <f t="shared" si="106"/>
        <v>A</v>
      </c>
      <c r="AB470" s="48">
        <v>15526</v>
      </c>
      <c r="AC470" s="48">
        <v>3087</v>
      </c>
      <c r="AD470" s="36"/>
      <c r="AE470" s="54"/>
      <c r="AF470" s="3" t="str">
        <f t="shared" si="107"/>
        <v>A</v>
      </c>
      <c r="AG470" s="48">
        <v>0</v>
      </c>
      <c r="AH470" s="48">
        <v>0</v>
      </c>
      <c r="AI470" s="39"/>
      <c r="AJ470" s="79" t="s">
        <v>1801</v>
      </c>
      <c r="AK470" s="39"/>
      <c r="AL470" s="4">
        <f t="shared" si="98"/>
        <v>65768</v>
      </c>
      <c r="AM470" s="4">
        <f t="shared" si="98"/>
        <v>10771</v>
      </c>
      <c r="AN470" s="4">
        <f t="shared" si="108"/>
        <v>76539</v>
      </c>
      <c r="AO470" s="39"/>
      <c r="AP470" s="8">
        <f t="shared" si="99"/>
        <v>0</v>
      </c>
      <c r="AQ470" s="8">
        <f t="shared" si="99"/>
        <v>0</v>
      </c>
      <c r="AR470" s="8">
        <f t="shared" si="109"/>
        <v>0</v>
      </c>
      <c r="AS470" s="42"/>
      <c r="AT470" s="48">
        <v>65768</v>
      </c>
      <c r="AU470" s="48">
        <v>10771</v>
      </c>
      <c r="AV470" s="4">
        <f t="shared" si="110"/>
        <v>76539</v>
      </c>
      <c r="AW470" s="50" t="str">
        <f t="shared" si="111"/>
        <v/>
      </c>
      <c r="AX470" s="1" t="s">
        <v>1754</v>
      </c>
      <c r="AY470" s="2" t="s">
        <v>1755</v>
      </c>
      <c r="AZ470" s="2">
        <v>98907.36</v>
      </c>
      <c r="BA470" s="73">
        <v>86543.94</v>
      </c>
      <c r="BB470" s="73">
        <v>86543.94</v>
      </c>
      <c r="BC470" s="73">
        <v>98907.36</v>
      </c>
      <c r="BD470" s="73"/>
      <c r="BE470" s="66">
        <v>0</v>
      </c>
      <c r="BF470" s="66">
        <v>0.05</v>
      </c>
      <c r="BG470" s="63">
        <v>44967</v>
      </c>
      <c r="BH470" s="2"/>
      <c r="BI470" s="2"/>
      <c r="BJ470" s="2">
        <v>360210.24</v>
      </c>
      <c r="BK470" s="2">
        <v>18911.04</v>
      </c>
      <c r="BL470" s="1" t="s">
        <v>104</v>
      </c>
    </row>
    <row r="471" spans="1:64" x14ac:dyDescent="0.25">
      <c r="A471" s="56" t="s">
        <v>1079</v>
      </c>
      <c r="B471" s="54" t="s">
        <v>1079</v>
      </c>
      <c r="C471" s="56" t="s">
        <v>1080</v>
      </c>
      <c r="D471" s="16">
        <v>42641</v>
      </c>
      <c r="E471" s="17">
        <v>45809</v>
      </c>
      <c r="F471" s="2" t="s">
        <v>803</v>
      </c>
      <c r="G471" s="2" t="s">
        <v>804</v>
      </c>
      <c r="H471" s="10" t="s">
        <v>105</v>
      </c>
      <c r="I471" s="11" t="s">
        <v>53</v>
      </c>
      <c r="J471" s="11" t="s">
        <v>106</v>
      </c>
      <c r="K471" s="61"/>
      <c r="L471" s="11" t="s">
        <v>67</v>
      </c>
      <c r="M471" s="25"/>
      <c r="N471" s="54"/>
      <c r="O471" s="3" t="str">
        <f t="shared" ref="O471:O481" si="112">IF($A471="","",IF(P471=0,"A",IF(P471=AZ471,"E","A")))</f>
        <v>A</v>
      </c>
      <c r="P471" s="48"/>
      <c r="Q471" s="48"/>
      <c r="R471" s="32"/>
      <c r="S471" s="3" t="str">
        <f t="shared" ref="S471:S482" si="113">IF($A471="","",IF(T471=0,"A",IF(T471=BA471,"E","A")))</f>
        <v>A</v>
      </c>
      <c r="T471" s="48"/>
      <c r="U471" s="48"/>
      <c r="V471" s="32"/>
      <c r="W471" s="3" t="str">
        <f t="shared" si="105"/>
        <v>A</v>
      </c>
      <c r="X471" s="48"/>
      <c r="Y471" s="48"/>
      <c r="Z471" s="32"/>
      <c r="AA471" s="3" t="str">
        <f t="shared" si="106"/>
        <v>A</v>
      </c>
      <c r="AB471" s="48"/>
      <c r="AC471" s="48"/>
      <c r="AD471" s="36"/>
      <c r="AE471" s="54"/>
      <c r="AF471" s="3" t="str">
        <f t="shared" si="107"/>
        <v>A</v>
      </c>
      <c r="AG471" s="48"/>
      <c r="AH471" s="48"/>
      <c r="AI471" s="39"/>
      <c r="AJ471" s="79" t="s">
        <v>1801</v>
      </c>
      <c r="AK471" s="39"/>
      <c r="AL471" s="4">
        <f t="shared" si="98"/>
        <v>0</v>
      </c>
      <c r="AM471" s="4">
        <f t="shared" si="98"/>
        <v>0</v>
      </c>
      <c r="AN471" s="4">
        <f t="shared" si="108"/>
        <v>0</v>
      </c>
      <c r="AO471" s="39"/>
      <c r="AP471" s="8">
        <f t="shared" si="99"/>
        <v>0</v>
      </c>
      <c r="AQ471" s="8">
        <f t="shared" si="99"/>
        <v>0</v>
      </c>
      <c r="AR471" s="8">
        <f t="shared" si="109"/>
        <v>0</v>
      </c>
      <c r="AS471" s="42"/>
      <c r="AT471" s="48"/>
      <c r="AU471" s="48"/>
      <c r="AV471" s="4">
        <f t="shared" si="110"/>
        <v>0</v>
      </c>
      <c r="AW471" s="50" t="str">
        <f t="shared" si="111"/>
        <v/>
      </c>
      <c r="AX471" s="1" t="s">
        <v>1730</v>
      </c>
      <c r="AY471" s="2" t="s">
        <v>1731</v>
      </c>
      <c r="AZ471" s="2"/>
      <c r="BA471" s="73"/>
      <c r="BB471" s="73"/>
      <c r="BC471" s="73"/>
      <c r="BD471" s="73"/>
      <c r="BE471" s="66">
        <v>3.5000000000000003E-2</v>
      </c>
      <c r="BF471" s="66">
        <v>0.05</v>
      </c>
      <c r="BG471" s="63">
        <v>44441</v>
      </c>
      <c r="BH471" s="74">
        <v>45809</v>
      </c>
      <c r="BI471" s="2"/>
      <c r="BJ471" s="2">
        <v>540729.54</v>
      </c>
      <c r="BK471" s="2">
        <v>60081.06</v>
      </c>
      <c r="BL471" s="1" t="s">
        <v>104</v>
      </c>
    </row>
    <row r="472" spans="1:64" x14ac:dyDescent="0.25">
      <c r="A472" s="56" t="s">
        <v>1081</v>
      </c>
      <c r="B472" s="54" t="s">
        <v>1081</v>
      </c>
      <c r="C472" s="56" t="s">
        <v>1082</v>
      </c>
      <c r="D472" s="16">
        <v>44772</v>
      </c>
      <c r="E472" s="17"/>
      <c r="F472" s="2" t="s">
        <v>1083</v>
      </c>
      <c r="G472" s="2" t="s">
        <v>1084</v>
      </c>
      <c r="H472" s="10" t="s">
        <v>105</v>
      </c>
      <c r="I472" s="11" t="s">
        <v>53</v>
      </c>
      <c r="J472" s="11" t="s">
        <v>1074</v>
      </c>
      <c r="K472" s="61"/>
      <c r="L472" s="11" t="s">
        <v>67</v>
      </c>
      <c r="M472" s="25"/>
      <c r="N472" s="54"/>
      <c r="O472" s="3" t="str">
        <f t="shared" si="112"/>
        <v>A</v>
      </c>
      <c r="P472" s="48">
        <v>241301</v>
      </c>
      <c r="Q472" s="48">
        <v>47478</v>
      </c>
      <c r="R472" s="32"/>
      <c r="S472" s="3" t="str">
        <f t="shared" si="113"/>
        <v>A</v>
      </c>
      <c r="T472" s="48">
        <v>211691</v>
      </c>
      <c r="U472" s="48">
        <v>27567</v>
      </c>
      <c r="V472" s="32"/>
      <c r="W472" s="3" t="str">
        <f t="shared" si="105"/>
        <v>A</v>
      </c>
      <c r="X472" s="48">
        <v>192194</v>
      </c>
      <c r="Y472" s="48">
        <v>29016</v>
      </c>
      <c r="Z472" s="32"/>
      <c r="AA472" s="3" t="str">
        <f t="shared" si="106"/>
        <v>A</v>
      </c>
      <c r="AB472" s="48">
        <v>219715</v>
      </c>
      <c r="AC472" s="48">
        <v>33461</v>
      </c>
      <c r="AD472" s="36"/>
      <c r="AE472" s="54"/>
      <c r="AF472" s="3" t="str">
        <f t="shared" si="107"/>
        <v>A</v>
      </c>
      <c r="AG472" s="48">
        <v>0</v>
      </c>
      <c r="AH472" s="48">
        <v>0</v>
      </c>
      <c r="AI472" s="39"/>
      <c r="AJ472" s="79" t="s">
        <v>1801</v>
      </c>
      <c r="AK472" s="39"/>
      <c r="AL472" s="4">
        <f t="shared" ref="AL472:AM535" si="114">IF($O472="A",P472,0)+IF($S472="A",T472,0)+IF($W472="A",X472,0)+IF($AA472="A",AB472,0)+IF($AF472="A",AG472,0)</f>
        <v>864901</v>
      </c>
      <c r="AM472" s="4">
        <f t="shared" si="114"/>
        <v>137522</v>
      </c>
      <c r="AN472" s="4">
        <f t="shared" si="108"/>
        <v>1002423</v>
      </c>
      <c r="AO472" s="39"/>
      <c r="AP472" s="8">
        <f t="shared" ref="AP472:AQ535" si="115">IF($O472="E",P472,0)+IF($S472="E",T472,0)+IF($W472="E",X472,0)+IF($AA472="E",AB472,0)+IF($AF472="E",AG472,0)</f>
        <v>0</v>
      </c>
      <c r="AQ472" s="8">
        <f t="shared" si="115"/>
        <v>0</v>
      </c>
      <c r="AR472" s="8">
        <f t="shared" si="109"/>
        <v>0</v>
      </c>
      <c r="AS472" s="42"/>
      <c r="AT472" s="48">
        <v>864901</v>
      </c>
      <c r="AU472" s="48">
        <v>137522</v>
      </c>
      <c r="AV472" s="4">
        <f t="shared" si="110"/>
        <v>1002423</v>
      </c>
      <c r="AW472" s="50" t="str">
        <f t="shared" si="111"/>
        <v/>
      </c>
      <c r="AX472" s="1" t="s">
        <v>1756</v>
      </c>
      <c r="AY472" s="2" t="s">
        <v>1757</v>
      </c>
      <c r="AZ472" s="2">
        <v>204826</v>
      </c>
      <c r="BA472" s="73">
        <v>179222.75</v>
      </c>
      <c r="BB472" s="73">
        <v>179222.75</v>
      </c>
      <c r="BC472" s="73">
        <v>204826</v>
      </c>
      <c r="BD472" s="73"/>
      <c r="BE472" s="66">
        <v>0</v>
      </c>
      <c r="BF472" s="66">
        <v>0.05</v>
      </c>
      <c r="BG472" s="63">
        <v>44770</v>
      </c>
      <c r="BH472" s="2"/>
      <c r="BI472" s="2"/>
      <c r="BJ472" s="2">
        <v>732408</v>
      </c>
      <c r="BK472" s="2">
        <v>81378.67</v>
      </c>
      <c r="BL472" s="1" t="s">
        <v>104</v>
      </c>
    </row>
    <row r="473" spans="1:64" x14ac:dyDescent="0.25">
      <c r="A473" s="56" t="s">
        <v>1087</v>
      </c>
      <c r="B473" s="54" t="s">
        <v>1087</v>
      </c>
      <c r="C473" s="56" t="s">
        <v>1088</v>
      </c>
      <c r="D473" s="16">
        <v>0</v>
      </c>
      <c r="E473" s="17"/>
      <c r="F473" s="2" t="s">
        <v>76</v>
      </c>
      <c r="G473" s="2" t="s">
        <v>78</v>
      </c>
      <c r="H473" s="10" t="s">
        <v>57</v>
      </c>
      <c r="I473" s="11" t="s">
        <v>77</v>
      </c>
      <c r="J473" s="11" t="s">
        <v>87</v>
      </c>
      <c r="K473" s="61" t="s">
        <v>88</v>
      </c>
      <c r="L473" s="11" t="s">
        <v>67</v>
      </c>
      <c r="M473" s="25"/>
      <c r="N473" s="54"/>
      <c r="O473" s="3" t="str">
        <f t="shared" si="112"/>
        <v>A</v>
      </c>
      <c r="P473" s="48">
        <v>95595</v>
      </c>
      <c r="Q473" s="48">
        <v>16909</v>
      </c>
      <c r="R473" s="32"/>
      <c r="S473" s="3" t="str">
        <f t="shared" si="113"/>
        <v>A</v>
      </c>
      <c r="T473" s="48">
        <v>89072.5</v>
      </c>
      <c r="U473" s="48">
        <v>14591</v>
      </c>
      <c r="V473" s="32"/>
      <c r="W473" s="3" t="str">
        <f t="shared" si="105"/>
        <v>A</v>
      </c>
      <c r="X473" s="48">
        <v>69598</v>
      </c>
      <c r="Y473" s="48">
        <v>10395</v>
      </c>
      <c r="Z473" s="32"/>
      <c r="AA473" s="3" t="str">
        <f t="shared" si="106"/>
        <v>A</v>
      </c>
      <c r="AB473" s="48">
        <v>107213</v>
      </c>
      <c r="AC473" s="48">
        <v>15778</v>
      </c>
      <c r="AD473" s="36"/>
      <c r="AE473" s="54"/>
      <c r="AF473" s="3" t="str">
        <f t="shared" si="107"/>
        <v>A</v>
      </c>
      <c r="AG473" s="48">
        <v>0</v>
      </c>
      <c r="AH473" s="48">
        <v>0</v>
      </c>
      <c r="AI473" s="39"/>
      <c r="AJ473" s="79" t="s">
        <v>1801</v>
      </c>
      <c r="AK473" s="39"/>
      <c r="AL473" s="4">
        <f t="shared" si="114"/>
        <v>361478.5</v>
      </c>
      <c r="AM473" s="4">
        <f t="shared" si="114"/>
        <v>57673</v>
      </c>
      <c r="AN473" s="4">
        <f t="shared" si="108"/>
        <v>419151.5</v>
      </c>
      <c r="AO473" s="39"/>
      <c r="AP473" s="8">
        <f t="shared" si="115"/>
        <v>0</v>
      </c>
      <c r="AQ473" s="8">
        <f t="shared" si="115"/>
        <v>0</v>
      </c>
      <c r="AR473" s="8">
        <f t="shared" si="109"/>
        <v>0</v>
      </c>
      <c r="AS473" s="42"/>
      <c r="AT473" s="48">
        <v>361478.5</v>
      </c>
      <c r="AU473" s="48">
        <v>57673</v>
      </c>
      <c r="AV473" s="4">
        <f t="shared" si="110"/>
        <v>419151.5</v>
      </c>
      <c r="AW473" s="50" t="str">
        <f t="shared" si="111"/>
        <v/>
      </c>
      <c r="AX473" s="1" t="s">
        <v>1639</v>
      </c>
      <c r="AY473" s="2" t="s">
        <v>1640</v>
      </c>
      <c r="AZ473" s="2">
        <v>171088.16</v>
      </c>
      <c r="BA473" s="73">
        <v>149702.14000000001</v>
      </c>
      <c r="BB473" s="73">
        <v>149702.14000000001</v>
      </c>
      <c r="BC473" s="73">
        <v>171088.16</v>
      </c>
      <c r="BD473" s="73"/>
      <c r="BE473" s="66">
        <v>0</v>
      </c>
      <c r="BF473" s="66">
        <v>0.02</v>
      </c>
      <c r="BG473" s="63">
        <v>44916</v>
      </c>
      <c r="BH473" s="2"/>
      <c r="BI473" s="2"/>
      <c r="BJ473" s="2">
        <v>645237.80000000005</v>
      </c>
      <c r="BK473" s="2">
        <v>71693.09</v>
      </c>
      <c r="BL473" s="1" t="s">
        <v>56</v>
      </c>
    </row>
    <row r="474" spans="1:64" x14ac:dyDescent="0.25">
      <c r="A474" s="56" t="s">
        <v>1087</v>
      </c>
      <c r="B474" s="54" t="s">
        <v>1223</v>
      </c>
      <c r="C474" s="56" t="s">
        <v>1224</v>
      </c>
      <c r="D474" s="16">
        <v>0</v>
      </c>
      <c r="E474" s="17"/>
      <c r="F474" s="2" t="s">
        <v>76</v>
      </c>
      <c r="G474" s="2" t="s">
        <v>78</v>
      </c>
      <c r="H474" s="10" t="s">
        <v>57</v>
      </c>
      <c r="I474" s="11" t="s">
        <v>77</v>
      </c>
      <c r="J474" s="11" t="s">
        <v>87</v>
      </c>
      <c r="K474" s="61" t="s">
        <v>88</v>
      </c>
      <c r="L474" s="11" t="s">
        <v>67</v>
      </c>
      <c r="M474" s="25"/>
      <c r="N474" s="54"/>
      <c r="O474" s="3" t="str">
        <f t="shared" si="112"/>
        <v>A</v>
      </c>
      <c r="P474" s="48">
        <v>21379</v>
      </c>
      <c r="Q474" s="48">
        <v>8271</v>
      </c>
      <c r="R474" s="32"/>
      <c r="S474" s="3" t="str">
        <f t="shared" si="113"/>
        <v>A</v>
      </c>
      <c r="T474" s="48">
        <v>20223</v>
      </c>
      <c r="U474" s="48">
        <v>6768</v>
      </c>
      <c r="V474" s="32"/>
      <c r="W474" s="3" t="str">
        <f t="shared" si="105"/>
        <v>A</v>
      </c>
      <c r="X474" s="48">
        <v>23709</v>
      </c>
      <c r="Y474" s="48">
        <v>5990</v>
      </c>
      <c r="Z474" s="32"/>
      <c r="AA474" s="3" t="str">
        <f t="shared" si="106"/>
        <v>A</v>
      </c>
      <c r="AB474" s="48">
        <v>23666</v>
      </c>
      <c r="AC474" s="48">
        <v>6114</v>
      </c>
      <c r="AD474" s="36"/>
      <c r="AE474" s="54"/>
      <c r="AF474" s="3" t="str">
        <f t="shared" si="107"/>
        <v>A</v>
      </c>
      <c r="AG474" s="48">
        <v>0</v>
      </c>
      <c r="AH474" s="48">
        <v>0</v>
      </c>
      <c r="AI474" s="39"/>
      <c r="AJ474" s="79" t="s">
        <v>1801</v>
      </c>
      <c r="AK474" s="39"/>
      <c r="AL474" s="4">
        <f t="shared" si="114"/>
        <v>88977</v>
      </c>
      <c r="AM474" s="4">
        <f t="shared" si="114"/>
        <v>27143</v>
      </c>
      <c r="AN474" s="4">
        <f t="shared" si="108"/>
        <v>116120</v>
      </c>
      <c r="AO474" s="39"/>
      <c r="AP474" s="8">
        <f t="shared" si="115"/>
        <v>0</v>
      </c>
      <c r="AQ474" s="8">
        <f t="shared" si="115"/>
        <v>0</v>
      </c>
      <c r="AR474" s="8">
        <f t="shared" si="109"/>
        <v>0</v>
      </c>
      <c r="AS474" s="42"/>
      <c r="AT474" s="48">
        <v>88977</v>
      </c>
      <c r="AU474" s="48">
        <v>27143</v>
      </c>
      <c r="AV474" s="4">
        <f t="shared" si="110"/>
        <v>116120</v>
      </c>
      <c r="AW474" s="50" t="str">
        <f t="shared" si="111"/>
        <v/>
      </c>
      <c r="AX474" s="1" t="s">
        <v>1639</v>
      </c>
      <c r="AY474" s="2" t="s">
        <v>1640</v>
      </c>
      <c r="AZ474" s="2">
        <v>41362.080000000002</v>
      </c>
      <c r="BA474" s="73">
        <v>36191.82</v>
      </c>
      <c r="BB474" s="73">
        <v>36191.82</v>
      </c>
      <c r="BC474" s="73">
        <v>41362.080000000002</v>
      </c>
      <c r="BD474" s="73"/>
      <c r="BE474" s="66">
        <v>0</v>
      </c>
      <c r="BF474" s="66">
        <v>0.02</v>
      </c>
      <c r="BG474" s="63">
        <v>45196</v>
      </c>
      <c r="BH474" s="2"/>
      <c r="BI474" s="2"/>
      <c r="BJ474" s="2">
        <v>150000</v>
      </c>
      <c r="BK474" s="2">
        <v>50000</v>
      </c>
      <c r="BL474" s="1" t="s">
        <v>56</v>
      </c>
    </row>
    <row r="475" spans="1:64" x14ac:dyDescent="0.25">
      <c r="A475" s="56" t="s">
        <v>868</v>
      </c>
      <c r="B475" s="54" t="s">
        <v>869</v>
      </c>
      <c r="C475" s="56" t="s">
        <v>870</v>
      </c>
      <c r="D475" s="16">
        <v>43733</v>
      </c>
      <c r="E475" s="17"/>
      <c r="F475" s="2" t="s">
        <v>859</v>
      </c>
      <c r="G475" s="2" t="s">
        <v>860</v>
      </c>
      <c r="H475" s="10" t="s">
        <v>98</v>
      </c>
      <c r="I475" s="11" t="s">
        <v>53</v>
      </c>
      <c r="J475" s="11" t="s">
        <v>224</v>
      </c>
      <c r="K475" s="61"/>
      <c r="L475" s="11" t="s">
        <v>67</v>
      </c>
      <c r="M475" s="25"/>
      <c r="N475" s="54"/>
      <c r="O475" s="3" t="str">
        <f t="shared" si="112"/>
        <v>A</v>
      </c>
      <c r="P475" s="48">
        <v>80675</v>
      </c>
      <c r="Q475" s="48">
        <v>0</v>
      </c>
      <c r="R475" s="32"/>
      <c r="S475" s="3" t="str">
        <f t="shared" si="113"/>
        <v>A</v>
      </c>
      <c r="T475" s="48">
        <v>79969</v>
      </c>
      <c r="U475" s="48"/>
      <c r="V475" s="32"/>
      <c r="W475" s="3" t="str">
        <f t="shared" si="105"/>
        <v>A</v>
      </c>
      <c r="X475" s="48">
        <v>69557</v>
      </c>
      <c r="Y475" s="48"/>
      <c r="Z475" s="32"/>
      <c r="AA475" s="3" t="str">
        <f t="shared" si="106"/>
        <v>A</v>
      </c>
      <c r="AB475" s="48">
        <v>84616</v>
      </c>
      <c r="AC475" s="48"/>
      <c r="AD475" s="36"/>
      <c r="AE475" s="54"/>
      <c r="AF475" s="3" t="str">
        <f t="shared" si="107"/>
        <v>A</v>
      </c>
      <c r="AG475" s="48">
        <v>0</v>
      </c>
      <c r="AH475" s="48">
        <v>0</v>
      </c>
      <c r="AI475" s="39"/>
      <c r="AJ475" s="79" t="s">
        <v>1801</v>
      </c>
      <c r="AK475" s="39"/>
      <c r="AL475" s="4">
        <f t="shared" si="114"/>
        <v>314817</v>
      </c>
      <c r="AM475" s="4">
        <f t="shared" si="114"/>
        <v>0</v>
      </c>
      <c r="AN475" s="4">
        <f t="shared" si="108"/>
        <v>314817</v>
      </c>
      <c r="AO475" s="39"/>
      <c r="AP475" s="8">
        <f t="shared" si="115"/>
        <v>0</v>
      </c>
      <c r="AQ475" s="8">
        <f t="shared" si="115"/>
        <v>0</v>
      </c>
      <c r="AR475" s="8">
        <f t="shared" si="109"/>
        <v>0</v>
      </c>
      <c r="AS475" s="42"/>
      <c r="AT475" s="48">
        <v>314817</v>
      </c>
      <c r="AU475" s="48"/>
      <c r="AV475" s="4">
        <f t="shared" si="110"/>
        <v>314817</v>
      </c>
      <c r="AW475" s="50" t="str">
        <f t="shared" si="111"/>
        <v/>
      </c>
      <c r="AX475" s="1" t="s">
        <v>1736</v>
      </c>
      <c r="AY475" s="2" t="s">
        <v>1737</v>
      </c>
      <c r="AZ475" s="2">
        <v>88093.440000000002</v>
      </c>
      <c r="BA475" s="73">
        <v>77081.759999999995</v>
      </c>
      <c r="BB475" s="73">
        <v>77081.759999999995</v>
      </c>
      <c r="BC475" s="73">
        <v>88093.440000000002</v>
      </c>
      <c r="BD475" s="73"/>
      <c r="BE475" s="66">
        <v>0</v>
      </c>
      <c r="BF475" s="66">
        <v>0.05</v>
      </c>
      <c r="BG475" s="63">
        <v>44755</v>
      </c>
      <c r="BH475" s="74">
        <v>43911</v>
      </c>
      <c r="BI475" s="74">
        <v>43971</v>
      </c>
      <c r="BJ475" s="2"/>
      <c r="BK475" s="2"/>
      <c r="BL475" s="1" t="s">
        <v>97</v>
      </c>
    </row>
    <row r="476" spans="1:64" x14ac:dyDescent="0.25">
      <c r="A476" s="56" t="s">
        <v>868</v>
      </c>
      <c r="B476" s="54" t="s">
        <v>1059</v>
      </c>
      <c r="C476" s="56" t="s">
        <v>1060</v>
      </c>
      <c r="D476" s="16">
        <v>0</v>
      </c>
      <c r="E476" s="17"/>
      <c r="F476" s="2" t="s">
        <v>859</v>
      </c>
      <c r="G476" s="2" t="s">
        <v>860</v>
      </c>
      <c r="H476" s="10" t="s">
        <v>98</v>
      </c>
      <c r="I476" s="11" t="s">
        <v>53</v>
      </c>
      <c r="J476" s="11" t="s">
        <v>224</v>
      </c>
      <c r="K476" s="61"/>
      <c r="L476" s="11" t="s">
        <v>67</v>
      </c>
      <c r="M476" s="25"/>
      <c r="N476" s="54"/>
      <c r="O476" s="3" t="str">
        <f t="shared" si="112"/>
        <v>A</v>
      </c>
      <c r="P476" s="48">
        <v>69531</v>
      </c>
      <c r="Q476" s="48">
        <v>0</v>
      </c>
      <c r="R476" s="32"/>
      <c r="S476" s="3" t="str">
        <f t="shared" si="113"/>
        <v>A</v>
      </c>
      <c r="T476" s="48">
        <v>70020</v>
      </c>
      <c r="U476" s="48"/>
      <c r="V476" s="32"/>
      <c r="W476" s="3" t="str">
        <f t="shared" si="105"/>
        <v>A</v>
      </c>
      <c r="X476" s="48">
        <v>54057</v>
      </c>
      <c r="Y476" s="48"/>
      <c r="Z476" s="32"/>
      <c r="AA476" s="3" t="str">
        <f t="shared" si="106"/>
        <v>A</v>
      </c>
      <c r="AB476" s="48">
        <v>64947</v>
      </c>
      <c r="AC476" s="48"/>
      <c r="AD476" s="36"/>
      <c r="AE476" s="54"/>
      <c r="AF476" s="3" t="str">
        <f t="shared" si="107"/>
        <v>A</v>
      </c>
      <c r="AG476" s="48">
        <v>0</v>
      </c>
      <c r="AH476" s="48">
        <v>0</v>
      </c>
      <c r="AI476" s="39"/>
      <c r="AJ476" s="79" t="s">
        <v>1801</v>
      </c>
      <c r="AK476" s="39"/>
      <c r="AL476" s="4">
        <f t="shared" si="114"/>
        <v>258555</v>
      </c>
      <c r="AM476" s="4">
        <f t="shared" si="114"/>
        <v>0</v>
      </c>
      <c r="AN476" s="4">
        <f t="shared" si="108"/>
        <v>258555</v>
      </c>
      <c r="AO476" s="39"/>
      <c r="AP476" s="8">
        <f t="shared" si="115"/>
        <v>0</v>
      </c>
      <c r="AQ476" s="8">
        <f t="shared" si="115"/>
        <v>0</v>
      </c>
      <c r="AR476" s="8">
        <f t="shared" si="109"/>
        <v>0</v>
      </c>
      <c r="AS476" s="42"/>
      <c r="AT476" s="48">
        <v>258555</v>
      </c>
      <c r="AU476" s="48"/>
      <c r="AV476" s="4">
        <f t="shared" si="110"/>
        <v>258555</v>
      </c>
      <c r="AW476" s="50" t="str">
        <f t="shared" si="111"/>
        <v/>
      </c>
      <c r="AX476" s="1" t="s">
        <v>1736</v>
      </c>
      <c r="AY476" s="2" t="s">
        <v>1737</v>
      </c>
      <c r="AZ476" s="2">
        <v>30625.040000000001</v>
      </c>
      <c r="BA476" s="73">
        <v>26796.91</v>
      </c>
      <c r="BB476" s="73">
        <v>26796.91</v>
      </c>
      <c r="BC476" s="73">
        <v>30625.040000000001</v>
      </c>
      <c r="BD476" s="73"/>
      <c r="BE476" s="66">
        <v>0</v>
      </c>
      <c r="BF476" s="66">
        <v>0.05</v>
      </c>
      <c r="BG476" s="63">
        <v>44755</v>
      </c>
      <c r="BH476" s="2"/>
      <c r="BI476" s="2"/>
      <c r="BJ476" s="2">
        <v>108000</v>
      </c>
      <c r="BK476" s="2"/>
      <c r="BL476" s="1" t="s">
        <v>97</v>
      </c>
    </row>
    <row r="477" spans="1:64" x14ac:dyDescent="0.25">
      <c r="A477" s="56" t="s">
        <v>868</v>
      </c>
      <c r="B477" s="54" t="s">
        <v>868</v>
      </c>
      <c r="C477" s="56" t="s">
        <v>1089</v>
      </c>
      <c r="D477" s="16">
        <v>37450</v>
      </c>
      <c r="E477" s="17"/>
      <c r="F477" s="2" t="s">
        <v>859</v>
      </c>
      <c r="G477" s="2" t="s">
        <v>860</v>
      </c>
      <c r="H477" s="10" t="s">
        <v>98</v>
      </c>
      <c r="I477" s="11" t="s">
        <v>53</v>
      </c>
      <c r="J477" s="11" t="s">
        <v>224</v>
      </c>
      <c r="K477" s="61"/>
      <c r="L477" s="11" t="s">
        <v>67</v>
      </c>
      <c r="M477" s="25"/>
      <c r="N477" s="54"/>
      <c r="O477" s="3" t="str">
        <f t="shared" si="112"/>
        <v>A</v>
      </c>
      <c r="P477" s="48">
        <v>96178</v>
      </c>
      <c r="Q477" s="48">
        <v>0</v>
      </c>
      <c r="R477" s="32"/>
      <c r="S477" s="3" t="str">
        <f t="shared" si="113"/>
        <v>A</v>
      </c>
      <c r="T477" s="48">
        <v>81825</v>
      </c>
      <c r="U477" s="48"/>
      <c r="V477" s="32"/>
      <c r="W477" s="3" t="str">
        <f t="shared" si="105"/>
        <v>A</v>
      </c>
      <c r="X477" s="48">
        <v>84276</v>
      </c>
      <c r="Y477" s="48"/>
      <c r="Z477" s="32"/>
      <c r="AA477" s="3" t="str">
        <f t="shared" si="106"/>
        <v>A</v>
      </c>
      <c r="AB477" s="48">
        <v>101357</v>
      </c>
      <c r="AC477" s="48">
        <v>3005</v>
      </c>
      <c r="AD477" s="36"/>
      <c r="AE477" s="54"/>
      <c r="AF477" s="3" t="str">
        <f t="shared" si="107"/>
        <v>A</v>
      </c>
      <c r="AG477" s="48">
        <v>0</v>
      </c>
      <c r="AH477" s="48">
        <v>0</v>
      </c>
      <c r="AI477" s="39"/>
      <c r="AJ477" s="79" t="s">
        <v>1801</v>
      </c>
      <c r="AK477" s="39"/>
      <c r="AL477" s="4">
        <f t="shared" si="114"/>
        <v>363636</v>
      </c>
      <c r="AM477" s="4">
        <f t="shared" si="114"/>
        <v>3005</v>
      </c>
      <c r="AN477" s="4">
        <f t="shared" si="108"/>
        <v>366641</v>
      </c>
      <c r="AO477" s="39"/>
      <c r="AP477" s="8">
        <f t="shared" si="115"/>
        <v>0</v>
      </c>
      <c r="AQ477" s="8">
        <f t="shared" si="115"/>
        <v>0</v>
      </c>
      <c r="AR477" s="8">
        <f t="shared" si="109"/>
        <v>0</v>
      </c>
      <c r="AS477" s="42"/>
      <c r="AT477" s="48">
        <v>363636</v>
      </c>
      <c r="AU477" s="48">
        <v>3005</v>
      </c>
      <c r="AV477" s="4">
        <f t="shared" si="110"/>
        <v>366641</v>
      </c>
      <c r="AW477" s="50" t="str">
        <f t="shared" si="111"/>
        <v/>
      </c>
      <c r="AX477" s="1" t="s">
        <v>1736</v>
      </c>
      <c r="AY477" s="2" t="s">
        <v>1737</v>
      </c>
      <c r="AZ477" s="2">
        <v>129422.96</v>
      </c>
      <c r="BA477" s="73">
        <v>113245.09</v>
      </c>
      <c r="BB477" s="73">
        <v>113245.09</v>
      </c>
      <c r="BC477" s="73">
        <v>129422.96</v>
      </c>
      <c r="BD477" s="73"/>
      <c r="BE477" s="66">
        <v>0.04</v>
      </c>
      <c r="BF477" s="66">
        <v>0.05</v>
      </c>
      <c r="BG477" s="63">
        <v>44755</v>
      </c>
      <c r="BH477" s="2"/>
      <c r="BI477" s="2"/>
      <c r="BJ477" s="2">
        <v>472668</v>
      </c>
      <c r="BK477" s="2">
        <v>59083.5</v>
      </c>
      <c r="BL477" s="1" t="s">
        <v>97</v>
      </c>
    </row>
    <row r="478" spans="1:64" x14ac:dyDescent="0.25">
      <c r="A478" s="56" t="s">
        <v>868</v>
      </c>
      <c r="B478" s="54" t="s">
        <v>1098</v>
      </c>
      <c r="C478" s="56" t="s">
        <v>1099</v>
      </c>
      <c r="D478" s="16">
        <v>0</v>
      </c>
      <c r="E478" s="17"/>
      <c r="F478" s="2" t="s">
        <v>859</v>
      </c>
      <c r="G478" s="2" t="s">
        <v>860</v>
      </c>
      <c r="H478" s="10" t="s">
        <v>98</v>
      </c>
      <c r="I478" s="11" t="s">
        <v>53</v>
      </c>
      <c r="J478" s="11" t="s">
        <v>224</v>
      </c>
      <c r="K478" s="61"/>
      <c r="L478" s="11" t="s">
        <v>67</v>
      </c>
      <c r="M478" s="25"/>
      <c r="N478" s="54"/>
      <c r="O478" s="3" t="str">
        <f t="shared" si="112"/>
        <v>A</v>
      </c>
      <c r="P478" s="48">
        <v>116904</v>
      </c>
      <c r="Q478" s="48">
        <v>0</v>
      </c>
      <c r="R478" s="32"/>
      <c r="S478" s="3" t="str">
        <f t="shared" si="113"/>
        <v>A</v>
      </c>
      <c r="T478" s="48">
        <v>107812</v>
      </c>
      <c r="U478" s="48"/>
      <c r="V478" s="32"/>
      <c r="W478" s="3" t="str">
        <f t="shared" si="105"/>
        <v>A</v>
      </c>
      <c r="X478" s="48">
        <v>90978</v>
      </c>
      <c r="Y478" s="48"/>
      <c r="Z478" s="32"/>
      <c r="AA478" s="3" t="str">
        <f t="shared" si="106"/>
        <v>A</v>
      </c>
      <c r="AB478" s="48">
        <v>111250</v>
      </c>
      <c r="AC478" s="48"/>
      <c r="AD478" s="36"/>
      <c r="AE478" s="54"/>
      <c r="AF478" s="3" t="str">
        <f t="shared" si="107"/>
        <v>A</v>
      </c>
      <c r="AG478" s="48">
        <v>0</v>
      </c>
      <c r="AH478" s="48">
        <v>0</v>
      </c>
      <c r="AI478" s="39"/>
      <c r="AJ478" s="79" t="s">
        <v>1801</v>
      </c>
      <c r="AK478" s="39"/>
      <c r="AL478" s="4">
        <f t="shared" si="114"/>
        <v>426944</v>
      </c>
      <c r="AM478" s="4">
        <f t="shared" si="114"/>
        <v>0</v>
      </c>
      <c r="AN478" s="4">
        <f t="shared" si="108"/>
        <v>426944</v>
      </c>
      <c r="AO478" s="39"/>
      <c r="AP478" s="8">
        <f t="shared" si="115"/>
        <v>0</v>
      </c>
      <c r="AQ478" s="8">
        <f t="shared" si="115"/>
        <v>0</v>
      </c>
      <c r="AR478" s="8">
        <f t="shared" si="109"/>
        <v>0</v>
      </c>
      <c r="AS478" s="42"/>
      <c r="AT478" s="48">
        <v>426944</v>
      </c>
      <c r="AU478" s="48"/>
      <c r="AV478" s="4">
        <f t="shared" si="110"/>
        <v>426944</v>
      </c>
      <c r="AW478" s="50" t="str">
        <f t="shared" si="111"/>
        <v/>
      </c>
      <c r="AX478" s="1" t="s">
        <v>1736</v>
      </c>
      <c r="AY478" s="2" t="s">
        <v>1737</v>
      </c>
      <c r="AZ478" s="2">
        <v>69000.88</v>
      </c>
      <c r="BA478" s="73">
        <v>60375.77</v>
      </c>
      <c r="BB478" s="73">
        <v>60375.77</v>
      </c>
      <c r="BC478" s="73">
        <v>69000.88</v>
      </c>
      <c r="BD478" s="73"/>
      <c r="BE478" s="66">
        <v>0</v>
      </c>
      <c r="BF478" s="66">
        <v>0.05</v>
      </c>
      <c r="BG478" s="63">
        <v>44755</v>
      </c>
      <c r="BH478" s="2"/>
      <c r="BI478" s="2"/>
      <c r="BJ478" s="2">
        <v>252000</v>
      </c>
      <c r="BK478" s="2"/>
      <c r="BL478" s="1" t="s">
        <v>97</v>
      </c>
    </row>
    <row r="479" spans="1:64" x14ac:dyDescent="0.25">
      <c r="A479" s="56" t="s">
        <v>868</v>
      </c>
      <c r="B479" s="54" t="s">
        <v>1126</v>
      </c>
      <c r="C479" s="56" t="s">
        <v>1127</v>
      </c>
      <c r="D479" s="16">
        <v>0</v>
      </c>
      <c r="E479" s="17"/>
      <c r="F479" s="2" t="s">
        <v>859</v>
      </c>
      <c r="G479" s="2" t="s">
        <v>860</v>
      </c>
      <c r="H479" s="10" t="s">
        <v>98</v>
      </c>
      <c r="I479" s="11" t="s">
        <v>53</v>
      </c>
      <c r="J479" s="11" t="s">
        <v>224</v>
      </c>
      <c r="K479" s="61"/>
      <c r="L479" s="11" t="s">
        <v>67</v>
      </c>
      <c r="M479" s="25"/>
      <c r="N479" s="54"/>
      <c r="O479" s="3" t="str">
        <f t="shared" si="112"/>
        <v>A</v>
      </c>
      <c r="P479" s="48">
        <v>68449</v>
      </c>
      <c r="Q479" s="48">
        <v>9345</v>
      </c>
      <c r="R479" s="32"/>
      <c r="S479" s="3" t="str">
        <f t="shared" si="113"/>
        <v>A</v>
      </c>
      <c r="T479" s="48">
        <v>64003</v>
      </c>
      <c r="U479" s="48">
        <v>10240</v>
      </c>
      <c r="V479" s="32"/>
      <c r="W479" s="3" t="str">
        <f t="shared" si="105"/>
        <v>A</v>
      </c>
      <c r="X479" s="48">
        <v>45454</v>
      </c>
      <c r="Y479" s="48">
        <v>7555</v>
      </c>
      <c r="Z479" s="32"/>
      <c r="AA479" s="3" t="str">
        <f t="shared" si="106"/>
        <v>A</v>
      </c>
      <c r="AB479" s="48">
        <v>48893</v>
      </c>
      <c r="AC479" s="48">
        <v>5575</v>
      </c>
      <c r="AD479" s="36"/>
      <c r="AE479" s="54"/>
      <c r="AF479" s="3" t="str">
        <f t="shared" si="107"/>
        <v>A</v>
      </c>
      <c r="AG479" s="48">
        <v>0</v>
      </c>
      <c r="AH479" s="48">
        <v>0</v>
      </c>
      <c r="AI479" s="39"/>
      <c r="AJ479" s="79" t="s">
        <v>1801</v>
      </c>
      <c r="AK479" s="39"/>
      <c r="AL479" s="4">
        <f t="shared" si="114"/>
        <v>226799</v>
      </c>
      <c r="AM479" s="4">
        <f t="shared" si="114"/>
        <v>32715</v>
      </c>
      <c r="AN479" s="4">
        <f t="shared" si="108"/>
        <v>259514</v>
      </c>
      <c r="AO479" s="39"/>
      <c r="AP479" s="8">
        <f t="shared" si="115"/>
        <v>0</v>
      </c>
      <c r="AQ479" s="8">
        <f t="shared" si="115"/>
        <v>0</v>
      </c>
      <c r="AR479" s="8">
        <f t="shared" si="109"/>
        <v>0</v>
      </c>
      <c r="AS479" s="42"/>
      <c r="AT479" s="48">
        <v>226799</v>
      </c>
      <c r="AU479" s="48">
        <v>32715</v>
      </c>
      <c r="AV479" s="4">
        <f t="shared" si="110"/>
        <v>259514</v>
      </c>
      <c r="AW479" s="50" t="str">
        <f t="shared" si="111"/>
        <v/>
      </c>
      <c r="AX479" s="1" t="s">
        <v>1736</v>
      </c>
      <c r="AY479" s="2" t="s">
        <v>1737</v>
      </c>
      <c r="AZ479" s="2">
        <v>129126</v>
      </c>
      <c r="BA479" s="73">
        <v>112985.25</v>
      </c>
      <c r="BB479" s="73">
        <v>112985.25</v>
      </c>
      <c r="BC479" s="73">
        <v>129126</v>
      </c>
      <c r="BD479" s="73"/>
      <c r="BE479" s="66">
        <v>0</v>
      </c>
      <c r="BF479" s="66">
        <v>0.05</v>
      </c>
      <c r="BG479" s="63">
        <v>44765</v>
      </c>
      <c r="BH479" s="2"/>
      <c r="BI479" s="2"/>
      <c r="BJ479" s="2">
        <v>458970</v>
      </c>
      <c r="BK479" s="2">
        <v>57371.25</v>
      </c>
      <c r="BL479" s="1" t="s">
        <v>97</v>
      </c>
    </row>
    <row r="480" spans="1:64" x14ac:dyDescent="0.25">
      <c r="A480" s="56" t="s">
        <v>868</v>
      </c>
      <c r="B480" s="54" t="s">
        <v>1134</v>
      </c>
      <c r="C480" s="56" t="s">
        <v>1135</v>
      </c>
      <c r="D480" s="16">
        <v>0</v>
      </c>
      <c r="E480" s="17"/>
      <c r="F480" s="2" t="s">
        <v>859</v>
      </c>
      <c r="G480" s="2" t="s">
        <v>860</v>
      </c>
      <c r="H480" s="10" t="s">
        <v>98</v>
      </c>
      <c r="I480" s="11" t="s">
        <v>53</v>
      </c>
      <c r="J480" s="11" t="s">
        <v>224</v>
      </c>
      <c r="K480" s="61"/>
      <c r="L480" s="11" t="s">
        <v>67</v>
      </c>
      <c r="M480" s="25"/>
      <c r="N480" s="54"/>
      <c r="O480" s="3" t="str">
        <f t="shared" si="112"/>
        <v>A</v>
      </c>
      <c r="P480" s="48">
        <v>168692</v>
      </c>
      <c r="Q480" s="48">
        <v>0</v>
      </c>
      <c r="R480" s="32"/>
      <c r="S480" s="3" t="str">
        <f t="shared" si="113"/>
        <v>A</v>
      </c>
      <c r="T480" s="48">
        <v>162053</v>
      </c>
      <c r="U480" s="48"/>
      <c r="V480" s="32"/>
      <c r="W480" s="3" t="str">
        <f t="shared" si="105"/>
        <v>A</v>
      </c>
      <c r="X480" s="48">
        <v>131253</v>
      </c>
      <c r="Y480" s="48"/>
      <c r="Z480" s="32"/>
      <c r="AA480" s="3" t="str">
        <f t="shared" si="106"/>
        <v>A</v>
      </c>
      <c r="AB480" s="48">
        <v>143759</v>
      </c>
      <c r="AC480" s="48"/>
      <c r="AD480" s="36"/>
      <c r="AE480" s="54"/>
      <c r="AF480" s="3" t="str">
        <f t="shared" si="107"/>
        <v>A</v>
      </c>
      <c r="AG480" s="48">
        <v>0</v>
      </c>
      <c r="AH480" s="48">
        <v>0</v>
      </c>
      <c r="AI480" s="39"/>
      <c r="AJ480" s="79" t="s">
        <v>1801</v>
      </c>
      <c r="AK480" s="39"/>
      <c r="AL480" s="4">
        <f t="shared" si="114"/>
        <v>605757</v>
      </c>
      <c r="AM480" s="4">
        <f t="shared" si="114"/>
        <v>0</v>
      </c>
      <c r="AN480" s="4">
        <f t="shared" si="108"/>
        <v>605757</v>
      </c>
      <c r="AO480" s="39"/>
      <c r="AP480" s="8">
        <f t="shared" si="115"/>
        <v>0</v>
      </c>
      <c r="AQ480" s="8">
        <f t="shared" si="115"/>
        <v>0</v>
      </c>
      <c r="AR480" s="8">
        <f t="shared" si="109"/>
        <v>0</v>
      </c>
      <c r="AS480" s="42"/>
      <c r="AT480" s="48">
        <v>605757</v>
      </c>
      <c r="AU480" s="48"/>
      <c r="AV480" s="4">
        <f t="shared" si="110"/>
        <v>605757</v>
      </c>
      <c r="AW480" s="50" t="str">
        <f t="shared" si="111"/>
        <v/>
      </c>
      <c r="AX480" s="1" t="s">
        <v>1736</v>
      </c>
      <c r="AY480" s="2" t="s">
        <v>1737</v>
      </c>
      <c r="AZ480" s="2">
        <v>82479.44</v>
      </c>
      <c r="BA480" s="73">
        <v>72169.509999999995</v>
      </c>
      <c r="BB480" s="73">
        <v>72169.509999999995</v>
      </c>
      <c r="BC480" s="73">
        <v>82479.44</v>
      </c>
      <c r="BD480" s="73"/>
      <c r="BE480" s="66">
        <v>0</v>
      </c>
      <c r="BF480" s="66">
        <v>0.05</v>
      </c>
      <c r="BG480" s="63">
        <v>44848</v>
      </c>
      <c r="BH480" s="2"/>
      <c r="BI480" s="2"/>
      <c r="BJ480" s="2">
        <v>300000</v>
      </c>
      <c r="BK480" s="2"/>
      <c r="BL480" s="1" t="s">
        <v>97</v>
      </c>
    </row>
    <row r="481" spans="1:64" x14ac:dyDescent="0.25">
      <c r="A481" s="56" t="s">
        <v>868</v>
      </c>
      <c r="B481" s="54" t="s">
        <v>1150</v>
      </c>
      <c r="C481" s="56" t="s">
        <v>1151</v>
      </c>
      <c r="D481" s="16">
        <v>0</v>
      </c>
      <c r="E481" s="17"/>
      <c r="F481" s="2" t="s">
        <v>859</v>
      </c>
      <c r="G481" s="2" t="s">
        <v>860</v>
      </c>
      <c r="H481" s="10" t="s">
        <v>98</v>
      </c>
      <c r="I481" s="11" t="s">
        <v>53</v>
      </c>
      <c r="J481" s="11" t="s">
        <v>224</v>
      </c>
      <c r="K481" s="61"/>
      <c r="L481" s="11" t="s">
        <v>67</v>
      </c>
      <c r="M481" s="25"/>
      <c r="N481" s="54"/>
      <c r="O481" s="3" t="str">
        <f t="shared" si="112"/>
        <v>A</v>
      </c>
      <c r="P481" s="48">
        <v>113223</v>
      </c>
      <c r="Q481" s="48">
        <v>0</v>
      </c>
      <c r="R481" s="32"/>
      <c r="S481" s="3" t="str">
        <f t="shared" si="113"/>
        <v>A</v>
      </c>
      <c r="T481" s="48">
        <v>110381</v>
      </c>
      <c r="U481" s="48"/>
      <c r="V481" s="32"/>
      <c r="W481" s="3" t="str">
        <f t="shared" si="105"/>
        <v>A</v>
      </c>
      <c r="X481" s="48">
        <v>84705</v>
      </c>
      <c r="Y481" s="48"/>
      <c r="Z481" s="32"/>
      <c r="AA481" s="3" t="str">
        <f t="shared" si="106"/>
        <v>A</v>
      </c>
      <c r="AB481" s="48">
        <v>106893</v>
      </c>
      <c r="AC481" s="48"/>
      <c r="AD481" s="36"/>
      <c r="AE481" s="54"/>
      <c r="AF481" s="3" t="str">
        <f t="shared" si="107"/>
        <v>A</v>
      </c>
      <c r="AG481" s="48">
        <v>0</v>
      </c>
      <c r="AH481" s="48">
        <v>0</v>
      </c>
      <c r="AI481" s="39"/>
      <c r="AJ481" s="79" t="s">
        <v>1801</v>
      </c>
      <c r="AK481" s="39"/>
      <c r="AL481" s="4">
        <f t="shared" si="114"/>
        <v>415202</v>
      </c>
      <c r="AM481" s="4">
        <f t="shared" si="114"/>
        <v>0</v>
      </c>
      <c r="AN481" s="4">
        <f t="shared" si="108"/>
        <v>415202</v>
      </c>
      <c r="AO481" s="39"/>
      <c r="AP481" s="8">
        <f t="shared" si="115"/>
        <v>0</v>
      </c>
      <c r="AQ481" s="8">
        <f t="shared" si="115"/>
        <v>0</v>
      </c>
      <c r="AR481" s="8">
        <f t="shared" si="109"/>
        <v>0</v>
      </c>
      <c r="AS481" s="42"/>
      <c r="AT481" s="48">
        <v>415202</v>
      </c>
      <c r="AU481" s="48"/>
      <c r="AV481" s="4">
        <f t="shared" si="110"/>
        <v>415202</v>
      </c>
      <c r="AW481" s="50" t="str">
        <f t="shared" si="111"/>
        <v/>
      </c>
      <c r="AX481" s="1" t="s">
        <v>1736</v>
      </c>
      <c r="AY481" s="2" t="s">
        <v>1737</v>
      </c>
      <c r="AZ481" s="2">
        <v>64334.080000000002</v>
      </c>
      <c r="BA481" s="73">
        <v>56292.32</v>
      </c>
      <c r="BB481" s="73">
        <v>56292.32</v>
      </c>
      <c r="BC481" s="73">
        <v>64334.080000000002</v>
      </c>
      <c r="BD481" s="73"/>
      <c r="BE481" s="66">
        <v>0</v>
      </c>
      <c r="BF481" s="66">
        <v>0.05</v>
      </c>
      <c r="BG481" s="63">
        <v>44828</v>
      </c>
      <c r="BH481" s="2"/>
      <c r="BI481" s="2"/>
      <c r="BJ481" s="2">
        <v>234000</v>
      </c>
      <c r="BK481" s="2">
        <v>29250</v>
      </c>
      <c r="BL481" s="1" t="s">
        <v>97</v>
      </c>
    </row>
    <row r="482" spans="1:64" x14ac:dyDescent="0.25">
      <c r="A482" s="56" t="s">
        <v>868</v>
      </c>
      <c r="B482" s="54" t="s">
        <v>1354</v>
      </c>
      <c r="C482" s="56" t="s">
        <v>1355</v>
      </c>
      <c r="D482" s="16">
        <v>0</v>
      </c>
      <c r="E482" s="17"/>
      <c r="F482" s="2" t="s">
        <v>859</v>
      </c>
      <c r="G482" s="2" t="s">
        <v>860</v>
      </c>
      <c r="H482" s="10" t="s">
        <v>98</v>
      </c>
      <c r="I482" s="11" t="s">
        <v>53</v>
      </c>
      <c r="J482" s="11" t="s">
        <v>224</v>
      </c>
      <c r="K482" s="61"/>
      <c r="L482" s="11" t="s">
        <v>67</v>
      </c>
      <c r="M482" s="25"/>
      <c r="N482" s="54"/>
      <c r="O482" s="3" t="str">
        <f t="shared" ref="O482:O488" si="116">IF($A482="","",IF(P482=AZ482,"E","A"))</f>
        <v>A</v>
      </c>
      <c r="P482" s="48">
        <v>50354</v>
      </c>
      <c r="Q482" s="48">
        <v>0</v>
      </c>
      <c r="R482" s="32"/>
      <c r="S482" s="3" t="str">
        <f t="shared" si="113"/>
        <v>A</v>
      </c>
      <c r="T482" s="48">
        <v>58531</v>
      </c>
      <c r="U482" s="48"/>
      <c r="V482" s="32"/>
      <c r="W482" s="3" t="str">
        <f t="shared" si="105"/>
        <v>A</v>
      </c>
      <c r="X482" s="48">
        <v>44149</v>
      </c>
      <c r="Y482" s="48"/>
      <c r="Z482" s="32"/>
      <c r="AA482" s="3" t="str">
        <f t="shared" si="106"/>
        <v>A</v>
      </c>
      <c r="AB482" s="48">
        <v>57939</v>
      </c>
      <c r="AC482" s="48"/>
      <c r="AD482" s="36"/>
      <c r="AE482" s="54"/>
      <c r="AF482" s="3" t="str">
        <f t="shared" si="107"/>
        <v>A</v>
      </c>
      <c r="AG482" s="48">
        <v>0</v>
      </c>
      <c r="AH482" s="48">
        <v>0</v>
      </c>
      <c r="AI482" s="39"/>
      <c r="AJ482" s="79" t="s">
        <v>1801</v>
      </c>
      <c r="AK482" s="39"/>
      <c r="AL482" s="4">
        <f t="shared" si="114"/>
        <v>210973</v>
      </c>
      <c r="AM482" s="4">
        <f t="shared" si="114"/>
        <v>0</v>
      </c>
      <c r="AN482" s="4">
        <f t="shared" si="108"/>
        <v>210973</v>
      </c>
      <c r="AO482" s="39"/>
      <c r="AP482" s="8">
        <f t="shared" si="115"/>
        <v>0</v>
      </c>
      <c r="AQ482" s="8">
        <f t="shared" si="115"/>
        <v>0</v>
      </c>
      <c r="AR482" s="8">
        <f t="shared" si="109"/>
        <v>0</v>
      </c>
      <c r="AS482" s="42"/>
      <c r="AT482" s="48">
        <v>210973</v>
      </c>
      <c r="AU482" s="48"/>
      <c r="AV482" s="4">
        <f t="shared" si="110"/>
        <v>210973</v>
      </c>
      <c r="AW482" s="50" t="str">
        <f t="shared" si="111"/>
        <v/>
      </c>
      <c r="AX482" s="1" t="s">
        <v>1736</v>
      </c>
      <c r="AY482" s="2" t="s">
        <v>1737</v>
      </c>
      <c r="AZ482" s="2">
        <v>24305.360000000001</v>
      </c>
      <c r="BA482" s="73">
        <v>21267.19</v>
      </c>
      <c r="BB482" s="73">
        <v>21267.19</v>
      </c>
      <c r="BC482" s="73">
        <v>24305.360000000001</v>
      </c>
      <c r="BD482" s="73"/>
      <c r="BE482" s="66">
        <v>0</v>
      </c>
      <c r="BF482" s="66">
        <v>0.05</v>
      </c>
      <c r="BG482" s="63">
        <v>45107</v>
      </c>
      <c r="BH482" s="2"/>
      <c r="BI482" s="2"/>
      <c r="BJ482" s="2">
        <v>150000</v>
      </c>
      <c r="BK482" s="2"/>
      <c r="BL482" s="1" t="s">
        <v>97</v>
      </c>
    </row>
    <row r="483" spans="1:64" x14ac:dyDescent="0.25">
      <c r="A483" s="56" t="s">
        <v>868</v>
      </c>
      <c r="B483" s="54" t="s">
        <v>1396</v>
      </c>
      <c r="C483" s="56" t="s">
        <v>1397</v>
      </c>
      <c r="D483" s="16">
        <v>0</v>
      </c>
      <c r="E483" s="17"/>
      <c r="F483" s="2" t="s">
        <v>859</v>
      </c>
      <c r="G483" s="2" t="s">
        <v>860</v>
      </c>
      <c r="H483" s="10" t="s">
        <v>98</v>
      </c>
      <c r="I483" s="11" t="s">
        <v>53</v>
      </c>
      <c r="J483" s="11" t="s">
        <v>224</v>
      </c>
      <c r="K483" s="61"/>
      <c r="L483" s="11" t="s">
        <v>67</v>
      </c>
      <c r="M483" s="25"/>
      <c r="N483" s="54"/>
      <c r="O483" s="3" t="str">
        <f t="shared" si="116"/>
        <v>A</v>
      </c>
      <c r="P483" s="48">
        <v>55411</v>
      </c>
      <c r="Q483" s="48">
        <v>0</v>
      </c>
      <c r="R483" s="32"/>
      <c r="S483" s="3" t="str">
        <f t="shared" ref="S483:S488" si="117">IF($A483="","",IF(T483=BA483,"E","A"))</f>
        <v>A</v>
      </c>
      <c r="T483" s="48">
        <v>94694</v>
      </c>
      <c r="U483" s="48"/>
      <c r="V483" s="32"/>
      <c r="W483" s="3" t="str">
        <f t="shared" si="105"/>
        <v>A</v>
      </c>
      <c r="X483" s="48">
        <v>56055</v>
      </c>
      <c r="Y483" s="48"/>
      <c r="Z483" s="32"/>
      <c r="AA483" s="3" t="str">
        <f t="shared" si="106"/>
        <v>A</v>
      </c>
      <c r="AB483" s="48">
        <v>61374</v>
      </c>
      <c r="AC483" s="48"/>
      <c r="AD483" s="36"/>
      <c r="AE483" s="54"/>
      <c r="AF483" s="3" t="str">
        <f t="shared" si="107"/>
        <v>A</v>
      </c>
      <c r="AG483" s="48">
        <v>0</v>
      </c>
      <c r="AH483" s="48">
        <v>0</v>
      </c>
      <c r="AI483" s="39"/>
      <c r="AJ483" s="79" t="s">
        <v>1801</v>
      </c>
      <c r="AK483" s="39"/>
      <c r="AL483" s="4">
        <f t="shared" si="114"/>
        <v>267534</v>
      </c>
      <c r="AM483" s="4">
        <f t="shared" si="114"/>
        <v>0</v>
      </c>
      <c r="AN483" s="4">
        <f t="shared" si="108"/>
        <v>267534</v>
      </c>
      <c r="AO483" s="39"/>
      <c r="AP483" s="8">
        <f t="shared" si="115"/>
        <v>0</v>
      </c>
      <c r="AQ483" s="8">
        <f t="shared" si="115"/>
        <v>0</v>
      </c>
      <c r="AR483" s="8">
        <f t="shared" si="109"/>
        <v>0</v>
      </c>
      <c r="AS483" s="42"/>
      <c r="AT483" s="48">
        <v>267534</v>
      </c>
      <c r="AU483" s="48"/>
      <c r="AV483" s="4">
        <f t="shared" si="110"/>
        <v>267534</v>
      </c>
      <c r="AW483" s="50" t="str">
        <f t="shared" si="111"/>
        <v/>
      </c>
      <c r="AX483" s="1" t="s">
        <v>1736</v>
      </c>
      <c r="AY483" s="2" t="s">
        <v>1737</v>
      </c>
      <c r="AZ483" s="2"/>
      <c r="BA483" s="73"/>
      <c r="BB483" s="73"/>
      <c r="BC483" s="73"/>
      <c r="BD483" s="73"/>
      <c r="BE483" s="66">
        <v>0</v>
      </c>
      <c r="BF483" s="66">
        <v>0.05</v>
      </c>
      <c r="BG483" s="63">
        <v>45323</v>
      </c>
      <c r="BH483" s="74">
        <v>45231</v>
      </c>
      <c r="BI483" s="2"/>
      <c r="BJ483" s="2">
        <v>360000</v>
      </c>
      <c r="BK483" s="2">
        <v>18900</v>
      </c>
      <c r="BL483" s="1" t="s">
        <v>97</v>
      </c>
    </row>
    <row r="484" spans="1:64" x14ac:dyDescent="0.25">
      <c r="A484" s="56" t="s">
        <v>868</v>
      </c>
      <c r="B484" s="54" t="s">
        <v>1448</v>
      </c>
      <c r="C484" s="56" t="s">
        <v>1449</v>
      </c>
      <c r="D484" s="16">
        <v>0</v>
      </c>
      <c r="E484" s="17"/>
      <c r="F484" s="2" t="s">
        <v>859</v>
      </c>
      <c r="G484" s="2" t="s">
        <v>860</v>
      </c>
      <c r="H484" s="10" t="s">
        <v>98</v>
      </c>
      <c r="I484" s="11" t="s">
        <v>53</v>
      </c>
      <c r="J484" s="11" t="s">
        <v>224</v>
      </c>
      <c r="K484" s="61"/>
      <c r="L484" s="11" t="s">
        <v>67</v>
      </c>
      <c r="M484" s="25"/>
      <c r="N484" s="54"/>
      <c r="O484" s="3" t="str">
        <f t="shared" si="116"/>
        <v>A</v>
      </c>
      <c r="P484" s="48">
        <v>119097</v>
      </c>
      <c r="Q484" s="48">
        <v>0</v>
      </c>
      <c r="R484" s="32"/>
      <c r="S484" s="3" t="str">
        <f t="shared" si="117"/>
        <v>A</v>
      </c>
      <c r="T484" s="48">
        <v>115467</v>
      </c>
      <c r="U484" s="48"/>
      <c r="V484" s="32"/>
      <c r="W484" s="3" t="str">
        <f t="shared" si="105"/>
        <v>A</v>
      </c>
      <c r="X484" s="48">
        <v>93598</v>
      </c>
      <c r="Y484" s="48"/>
      <c r="Z484" s="32"/>
      <c r="AA484" s="3" t="str">
        <f t="shared" si="106"/>
        <v>A</v>
      </c>
      <c r="AB484" s="48">
        <v>90562</v>
      </c>
      <c r="AC484" s="48"/>
      <c r="AD484" s="36"/>
      <c r="AE484" s="54"/>
      <c r="AF484" s="3" t="str">
        <f t="shared" si="107"/>
        <v>A</v>
      </c>
      <c r="AG484" s="48">
        <v>0</v>
      </c>
      <c r="AH484" s="48">
        <v>0</v>
      </c>
      <c r="AI484" s="39"/>
      <c r="AJ484" s="79" t="s">
        <v>1801</v>
      </c>
      <c r="AK484" s="39"/>
      <c r="AL484" s="4">
        <f t="shared" si="114"/>
        <v>418724</v>
      </c>
      <c r="AM484" s="4">
        <f t="shared" si="114"/>
        <v>0</v>
      </c>
      <c r="AN484" s="4">
        <f t="shared" si="108"/>
        <v>418724</v>
      </c>
      <c r="AO484" s="39"/>
      <c r="AP484" s="8">
        <f t="shared" si="115"/>
        <v>0</v>
      </c>
      <c r="AQ484" s="8">
        <f t="shared" si="115"/>
        <v>0</v>
      </c>
      <c r="AR484" s="8">
        <f t="shared" si="109"/>
        <v>0</v>
      </c>
      <c r="AS484" s="42"/>
      <c r="AT484" s="48">
        <v>418724</v>
      </c>
      <c r="AU484" s="48"/>
      <c r="AV484" s="4">
        <f t="shared" si="110"/>
        <v>418724</v>
      </c>
      <c r="AW484" s="50" t="str">
        <f t="shared" si="111"/>
        <v/>
      </c>
      <c r="AX484" s="1" t="s">
        <v>1736</v>
      </c>
      <c r="AY484" s="2" t="s">
        <v>1737</v>
      </c>
      <c r="AZ484" s="2">
        <v>109889.44</v>
      </c>
      <c r="BA484" s="73">
        <v>96153.26</v>
      </c>
      <c r="BB484" s="73">
        <v>96153.26</v>
      </c>
      <c r="BC484" s="73">
        <v>109889.44</v>
      </c>
      <c r="BD484" s="73"/>
      <c r="BE484" s="66">
        <v>0</v>
      </c>
      <c r="BF484" s="66">
        <v>0.05</v>
      </c>
      <c r="BG484" s="63">
        <v>45281</v>
      </c>
      <c r="BH484" s="2"/>
      <c r="BI484" s="2"/>
      <c r="BJ484" s="2">
        <v>420530.15</v>
      </c>
      <c r="BK484" s="2"/>
      <c r="BL484" s="1" t="s">
        <v>97</v>
      </c>
    </row>
    <row r="485" spans="1:64" x14ac:dyDescent="0.25">
      <c r="A485" s="56" t="s">
        <v>868</v>
      </c>
      <c r="B485" s="54" t="s">
        <v>1529</v>
      </c>
      <c r="C485" s="56" t="s">
        <v>1530</v>
      </c>
      <c r="D485" s="16">
        <v>0</v>
      </c>
      <c r="E485" s="17"/>
      <c r="F485" s="2" t="s">
        <v>859</v>
      </c>
      <c r="G485" s="2" t="s">
        <v>860</v>
      </c>
      <c r="H485" s="10" t="s">
        <v>98</v>
      </c>
      <c r="I485" s="11" t="s">
        <v>53</v>
      </c>
      <c r="J485" s="11" t="s">
        <v>224</v>
      </c>
      <c r="K485" s="61"/>
      <c r="L485" s="11" t="s">
        <v>67</v>
      </c>
      <c r="M485" s="25"/>
      <c r="N485" s="54"/>
      <c r="O485" s="3" t="str">
        <f t="shared" si="116"/>
        <v>A</v>
      </c>
      <c r="P485" s="48">
        <v>69034</v>
      </c>
      <c r="Q485" s="48">
        <v>0</v>
      </c>
      <c r="R485" s="32"/>
      <c r="S485" s="3" t="str">
        <f t="shared" si="117"/>
        <v>A</v>
      </c>
      <c r="T485" s="48">
        <v>53591</v>
      </c>
      <c r="U485" s="48"/>
      <c r="V485" s="32"/>
      <c r="W485" s="3" t="str">
        <f t="shared" si="105"/>
        <v>A</v>
      </c>
      <c r="X485" s="48">
        <v>42147</v>
      </c>
      <c r="Y485" s="48"/>
      <c r="Z485" s="32"/>
      <c r="AA485" s="3" t="str">
        <f t="shared" si="106"/>
        <v>A</v>
      </c>
      <c r="AB485" s="48">
        <v>50449</v>
      </c>
      <c r="AC485" s="48"/>
      <c r="AD485" s="36"/>
      <c r="AE485" s="54"/>
      <c r="AF485" s="3" t="str">
        <f t="shared" si="107"/>
        <v>A</v>
      </c>
      <c r="AG485" s="48">
        <v>0</v>
      </c>
      <c r="AH485" s="48">
        <v>0</v>
      </c>
      <c r="AI485" s="39"/>
      <c r="AJ485" s="79" t="s">
        <v>1801</v>
      </c>
      <c r="AK485" s="39"/>
      <c r="AL485" s="4">
        <f t="shared" si="114"/>
        <v>215221</v>
      </c>
      <c r="AM485" s="4">
        <f t="shared" si="114"/>
        <v>0</v>
      </c>
      <c r="AN485" s="4">
        <f t="shared" si="108"/>
        <v>215221</v>
      </c>
      <c r="AO485" s="39"/>
      <c r="AP485" s="8">
        <f t="shared" si="115"/>
        <v>0</v>
      </c>
      <c r="AQ485" s="8">
        <f t="shared" si="115"/>
        <v>0</v>
      </c>
      <c r="AR485" s="8">
        <f t="shared" si="109"/>
        <v>0</v>
      </c>
      <c r="AS485" s="42"/>
      <c r="AT485" s="48">
        <v>215221</v>
      </c>
      <c r="AU485" s="48"/>
      <c r="AV485" s="4">
        <f t="shared" si="110"/>
        <v>215221</v>
      </c>
      <c r="AW485" s="50" t="str">
        <f t="shared" si="111"/>
        <v/>
      </c>
      <c r="AX485" s="1" t="s">
        <v>1736</v>
      </c>
      <c r="AY485" s="2" t="s">
        <v>1737</v>
      </c>
      <c r="AZ485" s="2">
        <v>105550</v>
      </c>
      <c r="BA485" s="73">
        <v>92356.25</v>
      </c>
      <c r="BB485" s="73">
        <v>92356.25</v>
      </c>
      <c r="BC485" s="73">
        <v>105550</v>
      </c>
      <c r="BD485" s="73"/>
      <c r="BE485" s="66">
        <v>0</v>
      </c>
      <c r="BF485" s="66">
        <v>0.05</v>
      </c>
      <c r="BG485" s="63">
        <v>45636</v>
      </c>
      <c r="BH485" s="2"/>
      <c r="BI485" s="2"/>
      <c r="BJ485" s="2">
        <v>405000</v>
      </c>
      <c r="BK485" s="2"/>
      <c r="BL485" s="1" t="s">
        <v>97</v>
      </c>
    </row>
    <row r="486" spans="1:64" x14ac:dyDescent="0.25">
      <c r="A486" s="56" t="s">
        <v>868</v>
      </c>
      <c r="B486" s="54" t="s">
        <v>1545</v>
      </c>
      <c r="C486" s="56" t="s">
        <v>1546</v>
      </c>
      <c r="D486" s="16">
        <v>0</v>
      </c>
      <c r="E486" s="17"/>
      <c r="F486" s="2" t="s">
        <v>859</v>
      </c>
      <c r="G486" s="2" t="s">
        <v>860</v>
      </c>
      <c r="H486" s="10" t="s">
        <v>98</v>
      </c>
      <c r="I486" s="11" t="s">
        <v>53</v>
      </c>
      <c r="J486" s="11" t="s">
        <v>224</v>
      </c>
      <c r="K486" s="61"/>
      <c r="L486" s="11" t="s">
        <v>67</v>
      </c>
      <c r="M486" s="25"/>
      <c r="N486" s="54"/>
      <c r="O486" s="3" t="str">
        <f t="shared" si="116"/>
        <v>E</v>
      </c>
      <c r="P486" s="48">
        <v>79719.039999999994</v>
      </c>
      <c r="Q486" s="48">
        <v>4173.4399999999996</v>
      </c>
      <c r="R486" s="32"/>
      <c r="S486" s="3" t="str">
        <f t="shared" si="117"/>
        <v>E</v>
      </c>
      <c r="T486" s="48">
        <v>69754.16</v>
      </c>
      <c r="U486" s="48">
        <v>3651.76</v>
      </c>
      <c r="V486" s="32"/>
      <c r="W486" s="3" t="str">
        <f t="shared" si="105"/>
        <v>E</v>
      </c>
      <c r="X486" s="48">
        <v>69754.16</v>
      </c>
      <c r="Y486" s="48">
        <v>3651.76</v>
      </c>
      <c r="Z486" s="32"/>
      <c r="AA486" s="3" t="str">
        <f t="shared" si="106"/>
        <v>E</v>
      </c>
      <c r="AB486" s="48">
        <v>79719.039999999994</v>
      </c>
      <c r="AC486" s="48">
        <v>4173.4399999999996</v>
      </c>
      <c r="AD486" s="36"/>
      <c r="AE486" s="54"/>
      <c r="AF486" s="3" t="str">
        <f t="shared" si="107"/>
        <v>A</v>
      </c>
      <c r="AG486" s="48"/>
      <c r="AH486" s="48"/>
      <c r="AI486" s="39"/>
      <c r="AJ486" s="79" t="s">
        <v>38</v>
      </c>
      <c r="AK486" s="39"/>
      <c r="AL486" s="4">
        <f t="shared" si="114"/>
        <v>0</v>
      </c>
      <c r="AM486" s="4">
        <f t="shared" si="114"/>
        <v>0</v>
      </c>
      <c r="AN486" s="4">
        <f t="shared" si="108"/>
        <v>0</v>
      </c>
      <c r="AO486" s="39"/>
      <c r="AP486" s="8">
        <f t="shared" si="115"/>
        <v>298946.40000000002</v>
      </c>
      <c r="AQ486" s="8">
        <f t="shared" si="115"/>
        <v>15650.399999999998</v>
      </c>
      <c r="AR486" s="8">
        <f t="shared" si="109"/>
        <v>314596.80000000005</v>
      </c>
      <c r="AS486" s="42"/>
      <c r="AT486" s="48"/>
      <c r="AU486" s="48"/>
      <c r="AV486" s="4">
        <f t="shared" si="110"/>
        <v>0</v>
      </c>
      <c r="AW486" s="50" t="str">
        <f t="shared" si="111"/>
        <v/>
      </c>
      <c r="AX486" s="1" t="s">
        <v>1736</v>
      </c>
      <c r="AY486" s="2" t="s">
        <v>1737</v>
      </c>
      <c r="AZ486" s="2">
        <v>79719.039999999994</v>
      </c>
      <c r="BA486" s="73">
        <v>69754.16</v>
      </c>
      <c r="BB486" s="73">
        <v>69754.16</v>
      </c>
      <c r="BC486" s="73">
        <v>79719.039999999994</v>
      </c>
      <c r="BD486" s="73"/>
      <c r="BE486" s="66">
        <v>0</v>
      </c>
      <c r="BF486" s="66">
        <v>0.05</v>
      </c>
      <c r="BG486" s="63">
        <v>45600</v>
      </c>
      <c r="BH486" s="2"/>
      <c r="BI486" s="2"/>
      <c r="BJ486" s="2">
        <v>300000</v>
      </c>
      <c r="BK486" s="2">
        <v>15750</v>
      </c>
      <c r="BL486" s="1" t="s">
        <v>97</v>
      </c>
    </row>
    <row r="487" spans="1:64" x14ac:dyDescent="0.25">
      <c r="A487" s="56" t="s">
        <v>868</v>
      </c>
      <c r="B487" s="54" t="s">
        <v>1584</v>
      </c>
      <c r="C487" s="56" t="s">
        <v>1585</v>
      </c>
      <c r="D487" s="16">
        <v>0</v>
      </c>
      <c r="E487" s="17"/>
      <c r="F487" s="2" t="s">
        <v>859</v>
      </c>
      <c r="G487" s="2" t="s">
        <v>860</v>
      </c>
      <c r="H487" s="10" t="s">
        <v>98</v>
      </c>
      <c r="I487" s="11" t="s">
        <v>53</v>
      </c>
      <c r="J487" s="11" t="s">
        <v>224</v>
      </c>
      <c r="K487" s="61"/>
      <c r="L487" s="11" t="s">
        <v>67</v>
      </c>
      <c r="M487" s="25"/>
      <c r="N487" s="54"/>
      <c r="O487" s="3" t="str">
        <f t="shared" si="116"/>
        <v>A</v>
      </c>
      <c r="P487" s="48">
        <v>41408</v>
      </c>
      <c r="Q487" s="48">
        <v>0</v>
      </c>
      <c r="R487" s="32"/>
      <c r="S487" s="3" t="str">
        <f t="shared" si="117"/>
        <v>A</v>
      </c>
      <c r="T487" s="48">
        <v>50261</v>
      </c>
      <c r="U487" s="48"/>
      <c r="V487" s="32"/>
      <c r="W487" s="3" t="str">
        <f t="shared" si="105"/>
        <v>A</v>
      </c>
      <c r="X487" s="48">
        <v>28457</v>
      </c>
      <c r="Y487" s="48"/>
      <c r="Z487" s="32"/>
      <c r="AA487" s="3" t="str">
        <f t="shared" si="106"/>
        <v>A</v>
      </c>
      <c r="AB487" s="48">
        <v>24217</v>
      </c>
      <c r="AC487" s="48"/>
      <c r="AD487" s="36"/>
      <c r="AE487" s="54"/>
      <c r="AF487" s="3" t="str">
        <f t="shared" si="107"/>
        <v>A</v>
      </c>
      <c r="AG487" s="48">
        <v>0</v>
      </c>
      <c r="AH487" s="48">
        <v>0</v>
      </c>
      <c r="AI487" s="39"/>
      <c r="AJ487" s="79" t="s">
        <v>1801</v>
      </c>
      <c r="AK487" s="39"/>
      <c r="AL487" s="4">
        <f t="shared" si="114"/>
        <v>144343</v>
      </c>
      <c r="AM487" s="4">
        <f t="shared" si="114"/>
        <v>0</v>
      </c>
      <c r="AN487" s="4">
        <f t="shared" si="108"/>
        <v>144343</v>
      </c>
      <c r="AO487" s="39"/>
      <c r="AP487" s="8">
        <f t="shared" si="115"/>
        <v>0</v>
      </c>
      <c r="AQ487" s="8">
        <f t="shared" si="115"/>
        <v>0</v>
      </c>
      <c r="AR487" s="8">
        <f t="shared" si="109"/>
        <v>0</v>
      </c>
      <c r="AS487" s="42"/>
      <c r="AT487" s="48">
        <v>144343</v>
      </c>
      <c r="AU487" s="48"/>
      <c r="AV487" s="4">
        <f t="shared" si="110"/>
        <v>144343</v>
      </c>
      <c r="AW487" s="50" t="str">
        <f t="shared" si="111"/>
        <v/>
      </c>
      <c r="AX487" s="1" t="s">
        <v>1736</v>
      </c>
      <c r="AY487" s="2" t="s">
        <v>1737</v>
      </c>
      <c r="AZ487" s="2">
        <v>50552.08</v>
      </c>
      <c r="BA487" s="73">
        <v>44233.07</v>
      </c>
      <c r="BB487" s="73">
        <v>44233.07</v>
      </c>
      <c r="BC487" s="73">
        <v>50552.08</v>
      </c>
      <c r="BD487" s="73"/>
      <c r="BE487" s="66">
        <v>0</v>
      </c>
      <c r="BF487" s="66">
        <v>0.05</v>
      </c>
      <c r="BG487" s="63">
        <v>45748</v>
      </c>
      <c r="BH487" s="2"/>
      <c r="BI487" s="2"/>
      <c r="BJ487" s="2">
        <v>187500</v>
      </c>
      <c r="BK487" s="2">
        <v>9843.75</v>
      </c>
      <c r="BL487" s="1" t="s">
        <v>97</v>
      </c>
    </row>
    <row r="488" spans="1:64" x14ac:dyDescent="0.25">
      <c r="A488" s="56" t="s">
        <v>868</v>
      </c>
      <c r="B488" s="54" t="s">
        <v>1604</v>
      </c>
      <c r="C488" s="56" t="s">
        <v>1605</v>
      </c>
      <c r="D488" s="16">
        <v>0</v>
      </c>
      <c r="E488" s="17"/>
      <c r="F488" s="2" t="s">
        <v>859</v>
      </c>
      <c r="G488" s="2" t="s">
        <v>860</v>
      </c>
      <c r="H488" s="10" t="s">
        <v>98</v>
      </c>
      <c r="I488" s="11" t="s">
        <v>53</v>
      </c>
      <c r="J488" s="11" t="s">
        <v>224</v>
      </c>
      <c r="K488" s="61"/>
      <c r="L488" s="11" t="s">
        <v>67</v>
      </c>
      <c r="M488" s="25"/>
      <c r="N488" s="54"/>
      <c r="O488" s="3" t="str">
        <f t="shared" si="116"/>
        <v>A</v>
      </c>
      <c r="P488" s="48">
        <v>56338</v>
      </c>
      <c r="Q488" s="48">
        <v>0</v>
      </c>
      <c r="R488" s="32"/>
      <c r="S488" s="3" t="str">
        <f t="shared" si="117"/>
        <v>A</v>
      </c>
      <c r="T488" s="48">
        <v>113831</v>
      </c>
      <c r="U488" s="48"/>
      <c r="V488" s="32"/>
      <c r="W488" s="3" t="str">
        <f t="shared" si="105"/>
        <v>A</v>
      </c>
      <c r="X488" s="48">
        <v>45510</v>
      </c>
      <c r="Y488" s="48"/>
      <c r="Z488" s="32"/>
      <c r="AA488" s="3" t="str">
        <f t="shared" si="106"/>
        <v>A</v>
      </c>
      <c r="AB488" s="48">
        <v>30874</v>
      </c>
      <c r="AC488" s="48"/>
      <c r="AD488" s="36"/>
      <c r="AE488" s="54"/>
      <c r="AF488" s="3" t="str">
        <f t="shared" si="107"/>
        <v>A</v>
      </c>
      <c r="AG488" s="48">
        <v>0</v>
      </c>
      <c r="AH488" s="48">
        <v>0</v>
      </c>
      <c r="AI488" s="39"/>
      <c r="AJ488" s="79" t="s">
        <v>1801</v>
      </c>
      <c r="AK488" s="39"/>
      <c r="AL488" s="4">
        <f t="shared" si="114"/>
        <v>246553</v>
      </c>
      <c r="AM488" s="4">
        <f t="shared" si="114"/>
        <v>0</v>
      </c>
      <c r="AN488" s="4">
        <f t="shared" si="108"/>
        <v>246553</v>
      </c>
      <c r="AO488" s="39"/>
      <c r="AP488" s="8">
        <f t="shared" si="115"/>
        <v>0</v>
      </c>
      <c r="AQ488" s="8">
        <f t="shared" si="115"/>
        <v>0</v>
      </c>
      <c r="AR488" s="8">
        <f t="shared" si="109"/>
        <v>0</v>
      </c>
      <c r="AS488" s="42"/>
      <c r="AT488" s="48">
        <v>246553</v>
      </c>
      <c r="AU488" s="48"/>
      <c r="AV488" s="4">
        <f t="shared" si="110"/>
        <v>246553</v>
      </c>
      <c r="AW488" s="50" t="str">
        <f t="shared" si="111"/>
        <v/>
      </c>
      <c r="AX488" s="1" t="s">
        <v>1736</v>
      </c>
      <c r="AY488" s="2" t="s">
        <v>1737</v>
      </c>
      <c r="AZ488" s="2">
        <v>55253.440000000002</v>
      </c>
      <c r="BA488" s="73">
        <v>48346.76</v>
      </c>
      <c r="BB488" s="73">
        <v>48346.76</v>
      </c>
      <c r="BC488" s="73">
        <v>55253.440000000002</v>
      </c>
      <c r="BD488" s="73"/>
      <c r="BE488" s="66">
        <v>0</v>
      </c>
      <c r="BF488" s="66">
        <v>0.05</v>
      </c>
      <c r="BG488" s="63">
        <v>45778</v>
      </c>
      <c r="BH488" s="2"/>
      <c r="BI488" s="2"/>
      <c r="BJ488" s="2">
        <v>208800</v>
      </c>
      <c r="BK488" s="2"/>
      <c r="BL488" s="1" t="s">
        <v>97</v>
      </c>
    </row>
    <row r="489" spans="1:64" x14ac:dyDescent="0.25">
      <c r="A489" s="56" t="s">
        <v>1090</v>
      </c>
      <c r="B489" s="54" t="s">
        <v>1090</v>
      </c>
      <c r="C489" s="56" t="s">
        <v>1091</v>
      </c>
      <c r="D489" s="16">
        <v>45000</v>
      </c>
      <c r="E489" s="17"/>
      <c r="F489" s="2" t="s">
        <v>1092</v>
      </c>
      <c r="G489" s="2" t="s">
        <v>1093</v>
      </c>
      <c r="H489" s="10" t="s">
        <v>57</v>
      </c>
      <c r="I489" s="11" t="s">
        <v>53</v>
      </c>
      <c r="J489" s="11" t="s">
        <v>384</v>
      </c>
      <c r="K489" s="61"/>
      <c r="L489" s="11" t="s">
        <v>67</v>
      </c>
      <c r="M489" s="25"/>
      <c r="N489" s="54"/>
      <c r="O489" s="3" t="str">
        <f t="shared" ref="O489:O494" si="118">IF($A489="","",IF(P489=0,"A",IF(P489=AZ489,"E","A")))</f>
        <v>E</v>
      </c>
      <c r="P489" s="48">
        <v>159457.20000000001</v>
      </c>
      <c r="Q489" s="48">
        <v>22965.119999999999</v>
      </c>
      <c r="R489" s="32"/>
      <c r="S489" s="3" t="str">
        <f t="shared" ref="S489:S532" si="119">IF($A489="","",IF(T489=0,"A",IF(T489=BA489,"E","A")))</f>
        <v>E</v>
      </c>
      <c r="T489" s="48">
        <v>139525.04999999999</v>
      </c>
      <c r="U489" s="48">
        <v>20094.48</v>
      </c>
      <c r="V489" s="32"/>
      <c r="W489" s="3" t="str">
        <f t="shared" si="105"/>
        <v>E</v>
      </c>
      <c r="X489" s="48">
        <v>139525.04999999999</v>
      </c>
      <c r="Y489" s="48">
        <v>20094.48</v>
      </c>
      <c r="Z489" s="32"/>
      <c r="AA489" s="3" t="str">
        <f t="shared" si="106"/>
        <v>E</v>
      </c>
      <c r="AB489" s="48">
        <v>159457.20000000001</v>
      </c>
      <c r="AC489" s="48">
        <v>22965.119999999999</v>
      </c>
      <c r="AD489" s="36"/>
      <c r="AE489" s="54"/>
      <c r="AF489" s="3" t="str">
        <f t="shared" si="107"/>
        <v>A</v>
      </c>
      <c r="AG489" s="48"/>
      <c r="AH489" s="48"/>
      <c r="AI489" s="39"/>
      <c r="AJ489" s="79" t="s">
        <v>38</v>
      </c>
      <c r="AK489" s="39"/>
      <c r="AL489" s="4">
        <f t="shared" si="114"/>
        <v>0</v>
      </c>
      <c r="AM489" s="4">
        <f t="shared" si="114"/>
        <v>0</v>
      </c>
      <c r="AN489" s="4">
        <f t="shared" si="108"/>
        <v>0</v>
      </c>
      <c r="AO489" s="39"/>
      <c r="AP489" s="8">
        <f t="shared" si="115"/>
        <v>597964.5</v>
      </c>
      <c r="AQ489" s="8">
        <f t="shared" si="115"/>
        <v>86119.2</v>
      </c>
      <c r="AR489" s="8">
        <f t="shared" si="109"/>
        <v>684083.7</v>
      </c>
      <c r="AS489" s="42"/>
      <c r="AT489" s="48"/>
      <c r="AU489" s="48"/>
      <c r="AV489" s="4">
        <f t="shared" si="110"/>
        <v>0</v>
      </c>
      <c r="AW489" s="50" t="str">
        <f t="shared" si="111"/>
        <v/>
      </c>
      <c r="AX489" s="1" t="s">
        <v>1758</v>
      </c>
      <c r="AY489" s="2" t="s">
        <v>1759</v>
      </c>
      <c r="AZ489" s="2">
        <v>159457.20000000001</v>
      </c>
      <c r="BA489" s="73">
        <v>139525.04999999999</v>
      </c>
      <c r="BB489" s="73">
        <v>139525.04999999999</v>
      </c>
      <c r="BC489" s="73">
        <v>159457.20000000001</v>
      </c>
      <c r="BD489" s="73"/>
      <c r="BE489" s="66">
        <v>0</v>
      </c>
      <c r="BF489" s="66">
        <v>0.05</v>
      </c>
      <c r="BG489" s="63">
        <v>45004</v>
      </c>
      <c r="BH489" s="2"/>
      <c r="BI489" s="2"/>
      <c r="BJ489" s="2">
        <v>567201.6</v>
      </c>
      <c r="BK489" s="2">
        <v>70900.2</v>
      </c>
      <c r="BL489" s="1" t="s">
        <v>56</v>
      </c>
    </row>
    <row r="490" spans="1:64" x14ac:dyDescent="0.25">
      <c r="A490" s="56" t="s">
        <v>1096</v>
      </c>
      <c r="B490" s="54" t="s">
        <v>1096</v>
      </c>
      <c r="C490" s="56" t="s">
        <v>1097</v>
      </c>
      <c r="D490" s="16">
        <v>44883</v>
      </c>
      <c r="E490" s="17"/>
      <c r="F490" s="2" t="s">
        <v>522</v>
      </c>
      <c r="G490" s="2" t="s">
        <v>523</v>
      </c>
      <c r="H490" s="10" t="s">
        <v>105</v>
      </c>
      <c r="I490" s="11" t="s">
        <v>53</v>
      </c>
      <c r="J490" s="11" t="s">
        <v>312</v>
      </c>
      <c r="K490" s="61"/>
      <c r="L490" s="11" t="s">
        <v>67</v>
      </c>
      <c r="M490" s="25"/>
      <c r="N490" s="54"/>
      <c r="O490" s="3" t="str">
        <f t="shared" si="118"/>
        <v>A</v>
      </c>
      <c r="P490" s="48">
        <v>259249</v>
      </c>
      <c r="Q490" s="48">
        <v>24415</v>
      </c>
      <c r="R490" s="32"/>
      <c r="S490" s="3" t="str">
        <f t="shared" si="119"/>
        <v>A</v>
      </c>
      <c r="T490" s="48">
        <v>225027</v>
      </c>
      <c r="U490" s="48">
        <v>28900</v>
      </c>
      <c r="V490" s="32"/>
      <c r="W490" s="3" t="str">
        <f t="shared" si="105"/>
        <v>A</v>
      </c>
      <c r="X490" s="48">
        <v>196213</v>
      </c>
      <c r="Y490" s="48">
        <v>26640</v>
      </c>
      <c r="Z490" s="32"/>
      <c r="AA490" s="3" t="str">
        <f t="shared" si="106"/>
        <v>A</v>
      </c>
      <c r="AB490" s="48">
        <v>231200</v>
      </c>
      <c r="AC490" s="48">
        <v>26166</v>
      </c>
      <c r="AD490" s="36"/>
      <c r="AE490" s="54"/>
      <c r="AF490" s="3" t="str">
        <f t="shared" si="107"/>
        <v>A</v>
      </c>
      <c r="AG490" s="48">
        <v>0</v>
      </c>
      <c r="AH490" s="48">
        <v>0</v>
      </c>
      <c r="AI490" s="39"/>
      <c r="AJ490" s="79" t="s">
        <v>1801</v>
      </c>
      <c r="AK490" s="39"/>
      <c r="AL490" s="4">
        <f t="shared" si="114"/>
        <v>911689</v>
      </c>
      <c r="AM490" s="4">
        <f t="shared" si="114"/>
        <v>106121</v>
      </c>
      <c r="AN490" s="4">
        <f t="shared" si="108"/>
        <v>1017810</v>
      </c>
      <c r="AO490" s="39"/>
      <c r="AP490" s="8">
        <f t="shared" si="115"/>
        <v>0</v>
      </c>
      <c r="AQ490" s="8">
        <f t="shared" si="115"/>
        <v>0</v>
      </c>
      <c r="AR490" s="8">
        <f t="shared" si="109"/>
        <v>0</v>
      </c>
      <c r="AS490" s="42"/>
      <c r="AT490" s="48">
        <v>911689</v>
      </c>
      <c r="AU490" s="48">
        <v>106121</v>
      </c>
      <c r="AV490" s="4">
        <f t="shared" si="110"/>
        <v>1017810</v>
      </c>
      <c r="AW490" s="50" t="str">
        <f t="shared" si="111"/>
        <v/>
      </c>
      <c r="AX490" s="1" t="s">
        <v>1719</v>
      </c>
      <c r="AY490" s="2" t="s">
        <v>1720</v>
      </c>
      <c r="AZ490" s="2">
        <v>155230.88</v>
      </c>
      <c r="BA490" s="73">
        <v>135827.01999999999</v>
      </c>
      <c r="BB490" s="73">
        <v>135827.01999999999</v>
      </c>
      <c r="BC490" s="73">
        <v>155230.88</v>
      </c>
      <c r="BD490" s="73"/>
      <c r="BE490" s="66">
        <v>0</v>
      </c>
      <c r="BF490" s="66">
        <v>0.05</v>
      </c>
      <c r="BG490" s="63">
        <v>44879</v>
      </c>
      <c r="BH490" s="2"/>
      <c r="BI490" s="2"/>
      <c r="BJ490" s="2">
        <v>574170.18999999994</v>
      </c>
      <c r="BK490" s="2">
        <v>63796.69</v>
      </c>
      <c r="BL490" s="1" t="s">
        <v>104</v>
      </c>
    </row>
    <row r="491" spans="1:64" x14ac:dyDescent="0.25">
      <c r="A491" s="56" t="s">
        <v>1102</v>
      </c>
      <c r="B491" s="54" t="s">
        <v>1102</v>
      </c>
      <c r="C491" s="56" t="s">
        <v>1103</v>
      </c>
      <c r="D491" s="16">
        <v>0</v>
      </c>
      <c r="E491" s="17"/>
      <c r="F491" s="2" t="s">
        <v>243</v>
      </c>
      <c r="G491" s="2" t="s">
        <v>245</v>
      </c>
      <c r="H491" s="10" t="s">
        <v>98</v>
      </c>
      <c r="I491" s="11" t="s">
        <v>244</v>
      </c>
      <c r="J491" s="11" t="s">
        <v>278</v>
      </c>
      <c r="K491" s="61" t="s">
        <v>279</v>
      </c>
      <c r="L491" s="11" t="s">
        <v>67</v>
      </c>
      <c r="M491" s="25"/>
      <c r="N491" s="54"/>
      <c r="O491" s="3" t="str">
        <f t="shared" si="118"/>
        <v>E</v>
      </c>
      <c r="P491" s="48">
        <v>118203.36</v>
      </c>
      <c r="Q491" s="48">
        <v>15123.04</v>
      </c>
      <c r="R491" s="32"/>
      <c r="S491" s="3" t="str">
        <f t="shared" si="119"/>
        <v>E</v>
      </c>
      <c r="T491" s="48">
        <v>103427.94</v>
      </c>
      <c r="U491" s="48">
        <v>13232.66</v>
      </c>
      <c r="V491" s="32"/>
      <c r="W491" s="3" t="str">
        <f t="shared" si="105"/>
        <v>A</v>
      </c>
      <c r="X491" s="48">
        <v>106339.25</v>
      </c>
      <c r="Y491" s="48">
        <v>1230</v>
      </c>
      <c r="Z491" s="32"/>
      <c r="AA491" s="3" t="str">
        <f t="shared" si="106"/>
        <v>A</v>
      </c>
      <c r="AB491" s="48">
        <v>248464.71</v>
      </c>
      <c r="AC491" s="48">
        <v>2995</v>
      </c>
      <c r="AD491" s="36"/>
      <c r="AE491" s="54"/>
      <c r="AF491" s="3" t="str">
        <f t="shared" si="107"/>
        <v>A</v>
      </c>
      <c r="AG491" s="48">
        <v>0</v>
      </c>
      <c r="AH491" s="48">
        <v>0</v>
      </c>
      <c r="AI491" s="39"/>
      <c r="AJ491" s="79" t="s">
        <v>38</v>
      </c>
      <c r="AK491" s="39"/>
      <c r="AL491" s="4">
        <f t="shared" si="114"/>
        <v>354803.95999999996</v>
      </c>
      <c r="AM491" s="4">
        <f t="shared" si="114"/>
        <v>4225</v>
      </c>
      <c r="AN491" s="4">
        <f t="shared" si="108"/>
        <v>359028.95999999996</v>
      </c>
      <c r="AO491" s="39"/>
      <c r="AP491" s="8">
        <f t="shared" si="115"/>
        <v>221631.3</v>
      </c>
      <c r="AQ491" s="8">
        <f t="shared" si="115"/>
        <v>28355.7</v>
      </c>
      <c r="AR491" s="8">
        <f t="shared" si="109"/>
        <v>249987</v>
      </c>
      <c r="AS491" s="42"/>
      <c r="AT491" s="48">
        <v>354803.96</v>
      </c>
      <c r="AU491" s="48">
        <v>4225</v>
      </c>
      <c r="AV491" s="4">
        <f t="shared" si="110"/>
        <v>359028.96</v>
      </c>
      <c r="AW491" s="50" t="str">
        <f t="shared" si="111"/>
        <v/>
      </c>
      <c r="AX491" s="1" t="s">
        <v>1639</v>
      </c>
      <c r="AY491" s="2" t="s">
        <v>1640</v>
      </c>
      <c r="AZ491" s="2">
        <v>118203.36</v>
      </c>
      <c r="BA491" s="73">
        <v>103427.94</v>
      </c>
      <c r="BB491" s="73">
        <v>103427.94</v>
      </c>
      <c r="BC491" s="73">
        <v>118203.36</v>
      </c>
      <c r="BD491" s="73"/>
      <c r="BE491" s="66">
        <v>0</v>
      </c>
      <c r="BF491" s="66">
        <v>0.02</v>
      </c>
      <c r="BG491" s="63">
        <v>45828</v>
      </c>
      <c r="BH491" s="2"/>
      <c r="BI491" s="2"/>
      <c r="BJ491" s="2">
        <v>456576</v>
      </c>
      <c r="BK491" s="2">
        <v>57072</v>
      </c>
      <c r="BL491" s="1" t="s">
        <v>97</v>
      </c>
    </row>
    <row r="492" spans="1:64" x14ac:dyDescent="0.25">
      <c r="A492" s="56" t="s">
        <v>1106</v>
      </c>
      <c r="B492" s="54" t="s">
        <v>1106</v>
      </c>
      <c r="C492" s="56" t="s">
        <v>1107</v>
      </c>
      <c r="D492" s="16">
        <v>0</v>
      </c>
      <c r="E492" s="17"/>
      <c r="F492" s="2" t="s">
        <v>52</v>
      </c>
      <c r="G492" s="2" t="s">
        <v>55</v>
      </c>
      <c r="H492" s="10" t="s">
        <v>57</v>
      </c>
      <c r="I492" s="11" t="s">
        <v>54</v>
      </c>
      <c r="J492" s="11" t="s">
        <v>620</v>
      </c>
      <c r="K492" s="61" t="s">
        <v>621</v>
      </c>
      <c r="L492" s="11" t="s">
        <v>67</v>
      </c>
      <c r="M492" s="25"/>
      <c r="N492" s="54"/>
      <c r="O492" s="3" t="str">
        <f t="shared" si="118"/>
        <v>A</v>
      </c>
      <c r="P492" s="48">
        <v>23294</v>
      </c>
      <c r="Q492" s="48">
        <v>7326</v>
      </c>
      <c r="R492" s="32"/>
      <c r="S492" s="3" t="str">
        <f t="shared" si="119"/>
        <v>A</v>
      </c>
      <c r="T492" s="48">
        <v>21954</v>
      </c>
      <c r="U492" s="48">
        <v>7346</v>
      </c>
      <c r="V492" s="32"/>
      <c r="W492" s="3" t="str">
        <f t="shared" si="105"/>
        <v>A</v>
      </c>
      <c r="X492" s="48">
        <v>20392</v>
      </c>
      <c r="Y492" s="48">
        <v>6452</v>
      </c>
      <c r="Z492" s="32"/>
      <c r="AA492" s="3" t="str">
        <f t="shared" si="106"/>
        <v>A</v>
      </c>
      <c r="AB492" s="48">
        <v>21287</v>
      </c>
      <c r="AC492" s="48">
        <v>4037</v>
      </c>
      <c r="AD492" s="36"/>
      <c r="AE492" s="54"/>
      <c r="AF492" s="3" t="str">
        <f t="shared" si="107"/>
        <v>A</v>
      </c>
      <c r="AG492" s="48">
        <v>0</v>
      </c>
      <c r="AH492" s="48">
        <v>0</v>
      </c>
      <c r="AI492" s="39"/>
      <c r="AJ492" s="79" t="s">
        <v>1801</v>
      </c>
      <c r="AK492" s="39"/>
      <c r="AL492" s="4">
        <f t="shared" si="114"/>
        <v>86927</v>
      </c>
      <c r="AM492" s="4">
        <f t="shared" si="114"/>
        <v>25161</v>
      </c>
      <c r="AN492" s="4">
        <f t="shared" si="108"/>
        <v>112088</v>
      </c>
      <c r="AO492" s="39"/>
      <c r="AP492" s="8">
        <f t="shared" si="115"/>
        <v>0</v>
      </c>
      <c r="AQ492" s="8">
        <f t="shared" si="115"/>
        <v>0</v>
      </c>
      <c r="AR492" s="8">
        <f t="shared" si="109"/>
        <v>0</v>
      </c>
      <c r="AS492" s="42"/>
      <c r="AT492" s="48">
        <v>86927</v>
      </c>
      <c r="AU492" s="48">
        <v>25161</v>
      </c>
      <c r="AV492" s="4">
        <f t="shared" si="110"/>
        <v>112088</v>
      </c>
      <c r="AW492" s="50" t="str">
        <f t="shared" si="111"/>
        <v/>
      </c>
      <c r="AX492" s="1" t="s">
        <v>1639</v>
      </c>
      <c r="AY492" s="2" t="s">
        <v>1640</v>
      </c>
      <c r="AZ492" s="2">
        <v>96378.4</v>
      </c>
      <c r="BA492" s="73">
        <v>84331.1</v>
      </c>
      <c r="BB492" s="73">
        <v>84331.1</v>
      </c>
      <c r="BC492" s="73">
        <v>96378.4</v>
      </c>
      <c r="BD492" s="73"/>
      <c r="BE492" s="66">
        <v>0</v>
      </c>
      <c r="BF492" s="66">
        <v>0.02</v>
      </c>
      <c r="BG492" s="63">
        <v>44832</v>
      </c>
      <c r="BH492" s="2"/>
      <c r="BI492" s="2"/>
      <c r="BJ492" s="2">
        <v>346514.07</v>
      </c>
      <c r="BK492" s="2">
        <v>38501.57</v>
      </c>
      <c r="BL492" s="1" t="s">
        <v>56</v>
      </c>
    </row>
    <row r="493" spans="1:64" x14ac:dyDescent="0.25">
      <c r="A493" s="56" t="s">
        <v>1108</v>
      </c>
      <c r="B493" s="54" t="s">
        <v>1108</v>
      </c>
      <c r="C493" s="56" t="s">
        <v>1109</v>
      </c>
      <c r="D493" s="16">
        <v>41197</v>
      </c>
      <c r="E493" s="17"/>
      <c r="F493" s="2" t="s">
        <v>52</v>
      </c>
      <c r="G493" s="2" t="s">
        <v>55</v>
      </c>
      <c r="H493" s="10" t="s">
        <v>57</v>
      </c>
      <c r="I493" s="11" t="s">
        <v>54</v>
      </c>
      <c r="J493" s="11" t="s">
        <v>72</v>
      </c>
      <c r="K493" s="61" t="s">
        <v>73</v>
      </c>
      <c r="L493" s="11" t="s">
        <v>67</v>
      </c>
      <c r="M493" s="25"/>
      <c r="N493" s="54"/>
      <c r="O493" s="3" t="str">
        <f t="shared" si="118"/>
        <v>A</v>
      </c>
      <c r="P493" s="48">
        <v>141294.25</v>
      </c>
      <c r="Q493" s="48">
        <v>49639</v>
      </c>
      <c r="R493" s="32"/>
      <c r="S493" s="3" t="str">
        <f t="shared" si="119"/>
        <v>A</v>
      </c>
      <c r="T493" s="48">
        <v>119156</v>
      </c>
      <c r="U493" s="48">
        <v>36856</v>
      </c>
      <c r="V493" s="32"/>
      <c r="W493" s="3" t="str">
        <f t="shared" si="105"/>
        <v>A</v>
      </c>
      <c r="X493" s="48">
        <v>110815</v>
      </c>
      <c r="Y493" s="48">
        <v>36779</v>
      </c>
      <c r="Z493" s="32"/>
      <c r="AA493" s="3" t="str">
        <f t="shared" si="106"/>
        <v>A</v>
      </c>
      <c r="AB493" s="48">
        <v>124756.4</v>
      </c>
      <c r="AC493" s="48">
        <v>39509.199999999997</v>
      </c>
      <c r="AD493" s="36"/>
      <c r="AE493" s="54"/>
      <c r="AF493" s="3" t="str">
        <f t="shared" si="107"/>
        <v>A</v>
      </c>
      <c r="AG493" s="48">
        <v>0</v>
      </c>
      <c r="AH493" s="48">
        <v>0</v>
      </c>
      <c r="AI493" s="39"/>
      <c r="AJ493" s="79" t="s">
        <v>1801</v>
      </c>
      <c r="AK493" s="39"/>
      <c r="AL493" s="4">
        <f t="shared" si="114"/>
        <v>496021.65</v>
      </c>
      <c r="AM493" s="4">
        <f t="shared" si="114"/>
        <v>162783.20000000001</v>
      </c>
      <c r="AN493" s="4">
        <f t="shared" si="108"/>
        <v>658804.85000000009</v>
      </c>
      <c r="AO493" s="39"/>
      <c r="AP493" s="8">
        <f t="shared" si="115"/>
        <v>0</v>
      </c>
      <c r="AQ493" s="8">
        <f t="shared" si="115"/>
        <v>0</v>
      </c>
      <c r="AR493" s="8">
        <f t="shared" si="109"/>
        <v>0</v>
      </c>
      <c r="AS493" s="42"/>
      <c r="AT493" s="48">
        <v>496021.65</v>
      </c>
      <c r="AU493" s="48">
        <v>162783.20000000001</v>
      </c>
      <c r="AV493" s="4">
        <f t="shared" si="110"/>
        <v>658804.85000000009</v>
      </c>
      <c r="AW493" s="50" t="str">
        <f t="shared" si="111"/>
        <v/>
      </c>
      <c r="AX493" s="1" t="s">
        <v>1639</v>
      </c>
      <c r="AY493" s="2" t="s">
        <v>1640</v>
      </c>
      <c r="AZ493" s="2">
        <v>162810.96</v>
      </c>
      <c r="BA493" s="73">
        <v>142459.59</v>
      </c>
      <c r="BB493" s="73">
        <v>142459.59</v>
      </c>
      <c r="BC493" s="73">
        <v>162810.96</v>
      </c>
      <c r="BD493" s="73"/>
      <c r="BE493" s="66">
        <v>0</v>
      </c>
      <c r="BF493" s="66">
        <v>0.02</v>
      </c>
      <c r="BG493" s="63">
        <v>44844</v>
      </c>
      <c r="BH493" s="2"/>
      <c r="BI493" s="2"/>
      <c r="BJ493" s="2">
        <v>579131.18999999994</v>
      </c>
      <c r="BK493" s="2">
        <v>65347.91</v>
      </c>
      <c r="BL493" s="1" t="s">
        <v>56</v>
      </c>
    </row>
    <row r="494" spans="1:64" x14ac:dyDescent="0.25">
      <c r="A494" s="56" t="s">
        <v>1110</v>
      </c>
      <c r="B494" s="54" t="s">
        <v>1110</v>
      </c>
      <c r="C494" s="56" t="s">
        <v>1111</v>
      </c>
      <c r="D494" s="16">
        <v>0</v>
      </c>
      <c r="E494" s="17"/>
      <c r="F494" s="2" t="s">
        <v>243</v>
      </c>
      <c r="G494" s="2" t="s">
        <v>245</v>
      </c>
      <c r="H494" s="10" t="s">
        <v>98</v>
      </c>
      <c r="I494" s="11" t="s">
        <v>244</v>
      </c>
      <c r="J494" s="11" t="s">
        <v>278</v>
      </c>
      <c r="K494" s="61" t="s">
        <v>279</v>
      </c>
      <c r="L494" s="11" t="s">
        <v>67</v>
      </c>
      <c r="M494" s="25"/>
      <c r="N494" s="54"/>
      <c r="O494" s="3" t="str">
        <f t="shared" si="118"/>
        <v>A</v>
      </c>
      <c r="P494" s="48">
        <v>176359.53</v>
      </c>
      <c r="Q494" s="48">
        <v>10701</v>
      </c>
      <c r="R494" s="32"/>
      <c r="S494" s="3" t="str">
        <f t="shared" si="119"/>
        <v>A</v>
      </c>
      <c r="T494" s="48">
        <v>146611.49</v>
      </c>
      <c r="U494" s="48">
        <v>8740.2200000000012</v>
      </c>
      <c r="V494" s="32"/>
      <c r="W494" s="3" t="str">
        <f t="shared" si="105"/>
        <v>A</v>
      </c>
      <c r="X494" s="48">
        <v>153697.45000000001</v>
      </c>
      <c r="Y494" s="48">
        <v>10667</v>
      </c>
      <c r="Z494" s="32"/>
      <c r="AA494" s="3" t="str">
        <f t="shared" si="106"/>
        <v>A</v>
      </c>
      <c r="AB494" s="48">
        <v>181522.87</v>
      </c>
      <c r="AC494" s="48">
        <v>12917</v>
      </c>
      <c r="AD494" s="36"/>
      <c r="AE494" s="54"/>
      <c r="AF494" s="3" t="str">
        <f t="shared" si="107"/>
        <v>A</v>
      </c>
      <c r="AG494" s="48">
        <v>0</v>
      </c>
      <c r="AH494" s="48">
        <v>0</v>
      </c>
      <c r="AI494" s="39"/>
      <c r="AJ494" s="79" t="s">
        <v>1801</v>
      </c>
      <c r="AK494" s="39"/>
      <c r="AL494" s="4">
        <f t="shared" si="114"/>
        <v>658191.34000000008</v>
      </c>
      <c r="AM494" s="4">
        <f t="shared" si="114"/>
        <v>43025.22</v>
      </c>
      <c r="AN494" s="4">
        <f t="shared" si="108"/>
        <v>701216.56</v>
      </c>
      <c r="AO494" s="39"/>
      <c r="AP494" s="8">
        <f t="shared" si="115"/>
        <v>0</v>
      </c>
      <c r="AQ494" s="8">
        <f t="shared" si="115"/>
        <v>0</v>
      </c>
      <c r="AR494" s="8">
        <f t="shared" si="109"/>
        <v>0</v>
      </c>
      <c r="AS494" s="42"/>
      <c r="AT494" s="48">
        <v>658191.34</v>
      </c>
      <c r="AU494" s="48">
        <v>43025.22</v>
      </c>
      <c r="AV494" s="4">
        <f t="shared" si="110"/>
        <v>701216.55999999994</v>
      </c>
      <c r="AW494" s="50" t="str">
        <f t="shared" si="111"/>
        <v/>
      </c>
      <c r="AX494" s="1" t="s">
        <v>1639</v>
      </c>
      <c r="AY494" s="2" t="s">
        <v>1640</v>
      </c>
      <c r="AZ494" s="2">
        <v>170075.12</v>
      </c>
      <c r="BA494" s="73">
        <v>148815.73000000001</v>
      </c>
      <c r="BB494" s="73">
        <v>148815.73000000001</v>
      </c>
      <c r="BC494" s="73">
        <v>170075.12</v>
      </c>
      <c r="BD494" s="73"/>
      <c r="BE494" s="66">
        <v>0</v>
      </c>
      <c r="BF494" s="66">
        <v>0.02</v>
      </c>
      <c r="BG494" s="63">
        <v>45016</v>
      </c>
      <c r="BH494" s="2"/>
      <c r="BI494" s="2"/>
      <c r="BJ494" s="2">
        <v>607368</v>
      </c>
      <c r="BK494" s="2">
        <v>75921</v>
      </c>
      <c r="BL494" s="1" t="s">
        <v>97</v>
      </c>
    </row>
    <row r="495" spans="1:64" x14ac:dyDescent="0.25">
      <c r="A495" s="56" t="s">
        <v>1110</v>
      </c>
      <c r="B495" s="54" t="s">
        <v>1306</v>
      </c>
      <c r="C495" s="56" t="s">
        <v>1307</v>
      </c>
      <c r="D495" s="16">
        <v>0</v>
      </c>
      <c r="E495" s="17"/>
      <c r="F495" s="2" t="s">
        <v>243</v>
      </c>
      <c r="G495" s="2" t="s">
        <v>245</v>
      </c>
      <c r="H495" s="10" t="s">
        <v>98</v>
      </c>
      <c r="I495" s="11" t="s">
        <v>244</v>
      </c>
      <c r="J495" s="11" t="s">
        <v>278</v>
      </c>
      <c r="K495" s="61" t="s">
        <v>279</v>
      </c>
      <c r="L495" s="11" t="s">
        <v>67</v>
      </c>
      <c r="M495" s="25"/>
      <c r="N495" s="54"/>
      <c r="O495" s="3" t="str">
        <f>IF($A495="","",IF(P495=AZ495,"E","A"))</f>
        <v>A</v>
      </c>
      <c r="P495" s="48">
        <v>76440</v>
      </c>
      <c r="Q495" s="48">
        <v>990</v>
      </c>
      <c r="R495" s="32"/>
      <c r="S495" s="3" t="str">
        <f t="shared" si="119"/>
        <v>A</v>
      </c>
      <c r="T495" s="48">
        <v>67837</v>
      </c>
      <c r="U495" s="48">
        <v>1000</v>
      </c>
      <c r="V495" s="32"/>
      <c r="W495" s="3" t="str">
        <f t="shared" si="105"/>
        <v>A</v>
      </c>
      <c r="X495" s="48">
        <v>72158</v>
      </c>
      <c r="Y495" s="48">
        <v>610</v>
      </c>
      <c r="Z495" s="32"/>
      <c r="AA495" s="3" t="str">
        <f t="shared" si="106"/>
        <v>A</v>
      </c>
      <c r="AB495" s="48">
        <v>74714</v>
      </c>
      <c r="AC495" s="48">
        <v>790</v>
      </c>
      <c r="AD495" s="36"/>
      <c r="AE495" s="54"/>
      <c r="AF495" s="3" t="str">
        <f t="shared" si="107"/>
        <v>A</v>
      </c>
      <c r="AG495" s="48">
        <v>0</v>
      </c>
      <c r="AH495" s="48">
        <v>0</v>
      </c>
      <c r="AI495" s="39"/>
      <c r="AJ495" s="79" t="s">
        <v>1801</v>
      </c>
      <c r="AK495" s="39"/>
      <c r="AL495" s="4">
        <f t="shared" si="114"/>
        <v>291149</v>
      </c>
      <c r="AM495" s="4">
        <f t="shared" si="114"/>
        <v>3390</v>
      </c>
      <c r="AN495" s="4">
        <f t="shared" si="108"/>
        <v>294539</v>
      </c>
      <c r="AO495" s="39"/>
      <c r="AP495" s="8">
        <f t="shared" si="115"/>
        <v>0</v>
      </c>
      <c r="AQ495" s="8">
        <f t="shared" si="115"/>
        <v>0</v>
      </c>
      <c r="AR495" s="8">
        <f t="shared" si="109"/>
        <v>0</v>
      </c>
      <c r="AS495" s="42"/>
      <c r="AT495" s="48">
        <v>291149</v>
      </c>
      <c r="AU495" s="48">
        <v>3390</v>
      </c>
      <c r="AV495" s="4">
        <f t="shared" si="110"/>
        <v>294539</v>
      </c>
      <c r="AW495" s="50" t="str">
        <f t="shared" si="111"/>
        <v/>
      </c>
      <c r="AX495" s="1" t="s">
        <v>1639</v>
      </c>
      <c r="AY495" s="2" t="s">
        <v>1640</v>
      </c>
      <c r="AZ495" s="2">
        <v>117146.8</v>
      </c>
      <c r="BA495" s="73">
        <v>102503.45</v>
      </c>
      <c r="BB495" s="73">
        <v>102503.45</v>
      </c>
      <c r="BC495" s="73">
        <v>117146.8</v>
      </c>
      <c r="BD495" s="73"/>
      <c r="BE495" s="66">
        <v>0</v>
      </c>
      <c r="BF495" s="66">
        <v>0.02</v>
      </c>
      <c r="BG495" s="63">
        <v>45147</v>
      </c>
      <c r="BH495" s="2"/>
      <c r="BI495" s="2"/>
      <c r="BJ495" s="2">
        <v>420000</v>
      </c>
      <c r="BK495" s="2"/>
      <c r="BL495" s="1" t="s">
        <v>97</v>
      </c>
    </row>
    <row r="496" spans="1:64" x14ac:dyDescent="0.25">
      <c r="A496" s="56" t="s">
        <v>1110</v>
      </c>
      <c r="B496" s="54" t="s">
        <v>1332</v>
      </c>
      <c r="C496" s="56" t="s">
        <v>1333</v>
      </c>
      <c r="D496" s="16">
        <v>45191</v>
      </c>
      <c r="E496" s="17"/>
      <c r="F496" s="2" t="s">
        <v>243</v>
      </c>
      <c r="G496" s="2" t="s">
        <v>245</v>
      </c>
      <c r="H496" s="10" t="s">
        <v>98</v>
      </c>
      <c r="I496" s="11" t="s">
        <v>244</v>
      </c>
      <c r="J496" s="11" t="s">
        <v>278</v>
      </c>
      <c r="K496" s="61" t="s">
        <v>279</v>
      </c>
      <c r="L496" s="11" t="s">
        <v>67</v>
      </c>
      <c r="M496" s="25"/>
      <c r="N496" s="54"/>
      <c r="O496" s="3" t="str">
        <f>IF($A496="","",IF(P496=AZ496,"E","A"))</f>
        <v>A</v>
      </c>
      <c r="P496" s="48">
        <v>22995.599999999999</v>
      </c>
      <c r="Q496" s="48">
        <v>565</v>
      </c>
      <c r="R496" s="32"/>
      <c r="S496" s="3" t="str">
        <f t="shared" si="119"/>
        <v>A</v>
      </c>
      <c r="T496" s="48">
        <v>20367.7</v>
      </c>
      <c r="U496" s="48">
        <v>430</v>
      </c>
      <c r="V496" s="32"/>
      <c r="W496" s="3" t="str">
        <f t="shared" si="105"/>
        <v>A</v>
      </c>
      <c r="X496" s="48">
        <v>22257.81</v>
      </c>
      <c r="Y496" s="48">
        <v>210</v>
      </c>
      <c r="Z496" s="32"/>
      <c r="AA496" s="3" t="str">
        <f t="shared" si="106"/>
        <v>A</v>
      </c>
      <c r="AB496" s="48">
        <v>25639.9</v>
      </c>
      <c r="AC496" s="48">
        <v>270</v>
      </c>
      <c r="AD496" s="36"/>
      <c r="AE496" s="54"/>
      <c r="AF496" s="3" t="str">
        <f t="shared" si="107"/>
        <v>A</v>
      </c>
      <c r="AG496" s="48">
        <v>0</v>
      </c>
      <c r="AH496" s="48">
        <v>0</v>
      </c>
      <c r="AI496" s="39"/>
      <c r="AJ496" s="79" t="s">
        <v>1801</v>
      </c>
      <c r="AK496" s="39"/>
      <c r="AL496" s="4">
        <f t="shared" si="114"/>
        <v>91261.010000000009</v>
      </c>
      <c r="AM496" s="4">
        <f t="shared" si="114"/>
        <v>1475</v>
      </c>
      <c r="AN496" s="4">
        <f t="shared" si="108"/>
        <v>92736.010000000009</v>
      </c>
      <c r="AO496" s="39"/>
      <c r="AP496" s="8">
        <f t="shared" si="115"/>
        <v>0</v>
      </c>
      <c r="AQ496" s="8">
        <f t="shared" si="115"/>
        <v>0</v>
      </c>
      <c r="AR496" s="8">
        <f t="shared" si="109"/>
        <v>0</v>
      </c>
      <c r="AS496" s="42"/>
      <c r="AT496" s="48">
        <v>91261.01</v>
      </c>
      <c r="AU496" s="48">
        <v>1475</v>
      </c>
      <c r="AV496" s="4">
        <f t="shared" si="110"/>
        <v>92736.01</v>
      </c>
      <c r="AW496" s="50" t="str">
        <f t="shared" si="111"/>
        <v/>
      </c>
      <c r="AX496" s="1" t="s">
        <v>1639</v>
      </c>
      <c r="AY496" s="2" t="s">
        <v>1640</v>
      </c>
      <c r="AZ496" s="2">
        <v>77898.64</v>
      </c>
      <c r="BA496" s="73">
        <v>68161.31</v>
      </c>
      <c r="BB496" s="73">
        <v>68161.31</v>
      </c>
      <c r="BC496" s="73">
        <v>77898.64</v>
      </c>
      <c r="BD496" s="73"/>
      <c r="BE496" s="66">
        <v>0</v>
      </c>
      <c r="BF496" s="66">
        <v>0.02</v>
      </c>
      <c r="BG496" s="63">
        <v>45191</v>
      </c>
      <c r="BH496" s="2"/>
      <c r="BI496" s="2"/>
      <c r="BJ496" s="2">
        <v>282500</v>
      </c>
      <c r="BK496" s="2"/>
      <c r="BL496" s="1" t="s">
        <v>97</v>
      </c>
    </row>
    <row r="497" spans="1:64" x14ac:dyDescent="0.25">
      <c r="A497" s="56" t="s">
        <v>1112</v>
      </c>
      <c r="B497" s="54" t="s">
        <v>1112</v>
      </c>
      <c r="C497" s="56" t="s">
        <v>1113</v>
      </c>
      <c r="D497" s="16">
        <v>0</v>
      </c>
      <c r="E497" s="17"/>
      <c r="F497" s="2" t="s">
        <v>243</v>
      </c>
      <c r="G497" s="2" t="s">
        <v>245</v>
      </c>
      <c r="H497" s="10" t="s">
        <v>98</v>
      </c>
      <c r="I497" s="11" t="s">
        <v>244</v>
      </c>
      <c r="J497" s="11" t="s">
        <v>278</v>
      </c>
      <c r="K497" s="61" t="s">
        <v>279</v>
      </c>
      <c r="L497" s="11" t="s">
        <v>67</v>
      </c>
      <c r="M497" s="25"/>
      <c r="N497" s="54"/>
      <c r="O497" s="3" t="str">
        <f t="shared" ref="O497:O525" si="120">IF($A497="","",IF(P497=0,"A",IF(P497=AZ497,"E","A")))</f>
        <v>A</v>
      </c>
      <c r="P497" s="48">
        <v>108440</v>
      </c>
      <c r="Q497" s="48">
        <v>8534</v>
      </c>
      <c r="R497" s="32"/>
      <c r="S497" s="3" t="str">
        <f t="shared" si="119"/>
        <v>A</v>
      </c>
      <c r="T497" s="48">
        <v>107962.70999999999</v>
      </c>
      <c r="U497" s="48">
        <v>12499</v>
      </c>
      <c r="V497" s="32"/>
      <c r="W497" s="3" t="str">
        <f t="shared" si="105"/>
        <v>A</v>
      </c>
      <c r="X497" s="48">
        <v>104102.1</v>
      </c>
      <c r="Y497" s="48">
        <v>10285</v>
      </c>
      <c r="Z497" s="32"/>
      <c r="AA497" s="3" t="str">
        <f t="shared" si="106"/>
        <v>A</v>
      </c>
      <c r="AB497" s="48">
        <v>124144.73000000001</v>
      </c>
      <c r="AC497" s="48">
        <v>10124</v>
      </c>
      <c r="AD497" s="36"/>
      <c r="AE497" s="54"/>
      <c r="AF497" s="3" t="str">
        <f t="shared" si="107"/>
        <v>A</v>
      </c>
      <c r="AG497" s="48">
        <v>0</v>
      </c>
      <c r="AH497" s="48">
        <v>0</v>
      </c>
      <c r="AI497" s="39"/>
      <c r="AJ497" s="79" t="s">
        <v>1801</v>
      </c>
      <c r="AK497" s="39"/>
      <c r="AL497" s="4">
        <f t="shared" si="114"/>
        <v>444649.54000000004</v>
      </c>
      <c r="AM497" s="4">
        <f t="shared" si="114"/>
        <v>41442</v>
      </c>
      <c r="AN497" s="4">
        <f t="shared" si="108"/>
        <v>486091.54000000004</v>
      </c>
      <c r="AO497" s="39"/>
      <c r="AP497" s="8">
        <f t="shared" si="115"/>
        <v>0</v>
      </c>
      <c r="AQ497" s="8">
        <f t="shared" si="115"/>
        <v>0</v>
      </c>
      <c r="AR497" s="8">
        <f t="shared" si="109"/>
        <v>0</v>
      </c>
      <c r="AS497" s="42"/>
      <c r="AT497" s="48">
        <v>444649.54</v>
      </c>
      <c r="AU497" s="48">
        <v>41442</v>
      </c>
      <c r="AV497" s="4">
        <f t="shared" si="110"/>
        <v>486091.54</v>
      </c>
      <c r="AW497" s="50" t="str">
        <f t="shared" si="111"/>
        <v/>
      </c>
      <c r="AX497" s="1" t="s">
        <v>1639</v>
      </c>
      <c r="AY497" s="2" t="s">
        <v>1640</v>
      </c>
      <c r="AZ497" s="2">
        <v>163534.96</v>
      </c>
      <c r="BA497" s="73">
        <v>143093.09</v>
      </c>
      <c r="BB497" s="73">
        <v>143093.09</v>
      </c>
      <c r="BC497" s="73">
        <v>163534.96</v>
      </c>
      <c r="BD497" s="73"/>
      <c r="BE497" s="66">
        <v>0</v>
      </c>
      <c r="BF497" s="66">
        <v>0.02</v>
      </c>
      <c r="BG497" s="63">
        <v>44918</v>
      </c>
      <c r="BH497" s="2"/>
      <c r="BI497" s="2"/>
      <c r="BJ497" s="2">
        <v>616752</v>
      </c>
      <c r="BK497" s="2">
        <v>77094</v>
      </c>
      <c r="BL497" s="1" t="s">
        <v>97</v>
      </c>
    </row>
    <row r="498" spans="1:64" x14ac:dyDescent="0.25">
      <c r="A498" s="56" t="s">
        <v>1112</v>
      </c>
      <c r="B498" s="54" t="s">
        <v>1148</v>
      </c>
      <c r="C498" s="56" t="s">
        <v>1149</v>
      </c>
      <c r="D498" s="16">
        <v>0</v>
      </c>
      <c r="E498" s="17"/>
      <c r="F498" s="2" t="s">
        <v>243</v>
      </c>
      <c r="G498" s="2" t="s">
        <v>245</v>
      </c>
      <c r="H498" s="10" t="s">
        <v>98</v>
      </c>
      <c r="I498" s="11" t="s">
        <v>244</v>
      </c>
      <c r="J498" s="11" t="s">
        <v>278</v>
      </c>
      <c r="K498" s="61" t="s">
        <v>279</v>
      </c>
      <c r="L498" s="11" t="s">
        <v>67</v>
      </c>
      <c r="M498" s="25"/>
      <c r="N498" s="54"/>
      <c r="O498" s="3" t="str">
        <f t="shared" si="120"/>
        <v>A</v>
      </c>
      <c r="P498" s="48">
        <v>73722</v>
      </c>
      <c r="Q498" s="48">
        <v>0</v>
      </c>
      <c r="R498" s="32"/>
      <c r="S498" s="3" t="str">
        <f t="shared" si="119"/>
        <v>A</v>
      </c>
      <c r="T498" s="48">
        <v>65320</v>
      </c>
      <c r="U498" s="48"/>
      <c r="V498" s="32"/>
      <c r="W498" s="3" t="str">
        <f t="shared" si="105"/>
        <v>A</v>
      </c>
      <c r="X498" s="48">
        <v>67070</v>
      </c>
      <c r="Y498" s="48"/>
      <c r="Z498" s="32"/>
      <c r="AA498" s="3" t="str">
        <f t="shared" si="106"/>
        <v>A</v>
      </c>
      <c r="AB498" s="48">
        <v>82249</v>
      </c>
      <c r="AC498" s="48"/>
      <c r="AD498" s="36"/>
      <c r="AE498" s="54"/>
      <c r="AF498" s="3" t="str">
        <f t="shared" si="107"/>
        <v>A</v>
      </c>
      <c r="AG498" s="48">
        <v>0</v>
      </c>
      <c r="AH498" s="48">
        <v>0</v>
      </c>
      <c r="AI498" s="39"/>
      <c r="AJ498" s="79" t="s">
        <v>1801</v>
      </c>
      <c r="AK498" s="39"/>
      <c r="AL498" s="4">
        <f t="shared" si="114"/>
        <v>288361</v>
      </c>
      <c r="AM498" s="4">
        <f t="shared" si="114"/>
        <v>0</v>
      </c>
      <c r="AN498" s="4">
        <f t="shared" si="108"/>
        <v>288361</v>
      </c>
      <c r="AO498" s="39"/>
      <c r="AP498" s="8">
        <f t="shared" si="115"/>
        <v>0</v>
      </c>
      <c r="AQ498" s="8">
        <f t="shared" si="115"/>
        <v>0</v>
      </c>
      <c r="AR498" s="8">
        <f t="shared" si="109"/>
        <v>0</v>
      </c>
      <c r="AS498" s="42"/>
      <c r="AT498" s="48">
        <v>288361</v>
      </c>
      <c r="AU498" s="48"/>
      <c r="AV498" s="4">
        <f t="shared" si="110"/>
        <v>288361</v>
      </c>
      <c r="AW498" s="50" t="str">
        <f t="shared" si="111"/>
        <v/>
      </c>
      <c r="AX498" s="1" t="s">
        <v>1639</v>
      </c>
      <c r="AY498" s="2" t="s">
        <v>1640</v>
      </c>
      <c r="AZ498" s="2">
        <v>62810.16</v>
      </c>
      <c r="BA498" s="73">
        <v>54958.89</v>
      </c>
      <c r="BB498" s="73">
        <v>54958.89</v>
      </c>
      <c r="BC498" s="73">
        <v>62810.16</v>
      </c>
      <c r="BD498" s="73"/>
      <c r="BE498" s="66">
        <v>0</v>
      </c>
      <c r="BF498" s="66">
        <v>0.02</v>
      </c>
      <c r="BG498" s="63">
        <v>44981</v>
      </c>
      <c r="BH498" s="2"/>
      <c r="BI498" s="2"/>
      <c r="BJ498" s="2">
        <v>225000</v>
      </c>
      <c r="BK498" s="2"/>
      <c r="BL498" s="1" t="s">
        <v>97</v>
      </c>
    </row>
    <row r="499" spans="1:64" x14ac:dyDescent="0.25">
      <c r="A499" s="56" t="s">
        <v>1112</v>
      </c>
      <c r="B499" s="54" t="s">
        <v>1173</v>
      </c>
      <c r="C499" s="56" t="s">
        <v>1174</v>
      </c>
      <c r="D499" s="16">
        <v>0</v>
      </c>
      <c r="E499" s="17"/>
      <c r="F499" s="2" t="s">
        <v>243</v>
      </c>
      <c r="G499" s="2" t="s">
        <v>245</v>
      </c>
      <c r="H499" s="10" t="s">
        <v>98</v>
      </c>
      <c r="I499" s="11" t="s">
        <v>244</v>
      </c>
      <c r="J499" s="11" t="s">
        <v>278</v>
      </c>
      <c r="K499" s="61" t="s">
        <v>279</v>
      </c>
      <c r="L499" s="11" t="s">
        <v>67</v>
      </c>
      <c r="M499" s="25"/>
      <c r="N499" s="54"/>
      <c r="O499" s="3" t="str">
        <f t="shared" si="120"/>
        <v>A</v>
      </c>
      <c r="P499" s="48">
        <v>65825</v>
      </c>
      <c r="Q499" s="48">
        <v>1665</v>
      </c>
      <c r="R499" s="32"/>
      <c r="S499" s="3" t="str">
        <f t="shared" si="119"/>
        <v>A</v>
      </c>
      <c r="T499" s="48">
        <v>58213</v>
      </c>
      <c r="U499" s="48">
        <v>1300</v>
      </c>
      <c r="V499" s="32"/>
      <c r="W499" s="3" t="str">
        <f t="shared" si="105"/>
        <v>A</v>
      </c>
      <c r="X499" s="48">
        <v>56690</v>
      </c>
      <c r="Y499" s="48">
        <v>1205</v>
      </c>
      <c r="Z499" s="32"/>
      <c r="AA499" s="3" t="str">
        <f t="shared" si="106"/>
        <v>A</v>
      </c>
      <c r="AB499" s="48">
        <v>67533</v>
      </c>
      <c r="AC499" s="48">
        <v>2165</v>
      </c>
      <c r="AD499" s="36"/>
      <c r="AE499" s="54"/>
      <c r="AF499" s="3" t="str">
        <f t="shared" si="107"/>
        <v>A</v>
      </c>
      <c r="AG499" s="48">
        <v>0</v>
      </c>
      <c r="AH499" s="48">
        <v>0</v>
      </c>
      <c r="AI499" s="39"/>
      <c r="AJ499" s="79" t="s">
        <v>1801</v>
      </c>
      <c r="AK499" s="39"/>
      <c r="AL499" s="4">
        <f t="shared" si="114"/>
        <v>248261</v>
      </c>
      <c r="AM499" s="4">
        <f t="shared" si="114"/>
        <v>6335</v>
      </c>
      <c r="AN499" s="4">
        <f t="shared" si="108"/>
        <v>254596</v>
      </c>
      <c r="AO499" s="39"/>
      <c r="AP499" s="8">
        <f t="shared" si="115"/>
        <v>0</v>
      </c>
      <c r="AQ499" s="8">
        <f t="shared" si="115"/>
        <v>0</v>
      </c>
      <c r="AR499" s="8">
        <f t="shared" si="109"/>
        <v>0</v>
      </c>
      <c r="AS499" s="42"/>
      <c r="AT499" s="48">
        <v>248261</v>
      </c>
      <c r="AU499" s="48">
        <v>6335</v>
      </c>
      <c r="AV499" s="4">
        <f t="shared" si="110"/>
        <v>254596</v>
      </c>
      <c r="AW499" s="50" t="str">
        <f t="shared" si="111"/>
        <v/>
      </c>
      <c r="AX499" s="1" t="s">
        <v>1639</v>
      </c>
      <c r="AY499" s="2" t="s">
        <v>1640</v>
      </c>
      <c r="AZ499" s="2">
        <v>62383.12</v>
      </c>
      <c r="BA499" s="73">
        <v>54585.23</v>
      </c>
      <c r="BB499" s="73">
        <v>54585.23</v>
      </c>
      <c r="BC499" s="73">
        <v>62383.12</v>
      </c>
      <c r="BD499" s="73"/>
      <c r="BE499" s="66">
        <v>0</v>
      </c>
      <c r="BF499" s="66">
        <v>0.02</v>
      </c>
      <c r="BG499" s="63">
        <v>45113</v>
      </c>
      <c r="BH499" s="2"/>
      <c r="BI499" s="2"/>
      <c r="BJ499" s="2">
        <v>270000</v>
      </c>
      <c r="BK499" s="2"/>
      <c r="BL499" s="1" t="s">
        <v>97</v>
      </c>
    </row>
    <row r="500" spans="1:64" x14ac:dyDescent="0.25">
      <c r="A500" s="56" t="s">
        <v>1112</v>
      </c>
      <c r="B500" s="54" t="s">
        <v>1175</v>
      </c>
      <c r="C500" s="56" t="s">
        <v>1176</v>
      </c>
      <c r="D500" s="16">
        <v>0</v>
      </c>
      <c r="E500" s="17"/>
      <c r="F500" s="2" t="s">
        <v>243</v>
      </c>
      <c r="G500" s="2" t="s">
        <v>245</v>
      </c>
      <c r="H500" s="10" t="s">
        <v>98</v>
      </c>
      <c r="I500" s="11" t="s">
        <v>244</v>
      </c>
      <c r="J500" s="11" t="s">
        <v>278</v>
      </c>
      <c r="K500" s="61" t="s">
        <v>279</v>
      </c>
      <c r="L500" s="11" t="s">
        <v>67</v>
      </c>
      <c r="M500" s="25"/>
      <c r="N500" s="54"/>
      <c r="O500" s="3" t="str">
        <f t="shared" si="120"/>
        <v>A</v>
      </c>
      <c r="P500" s="48">
        <v>143683</v>
      </c>
      <c r="Q500" s="48">
        <v>52823</v>
      </c>
      <c r="R500" s="32"/>
      <c r="S500" s="3" t="str">
        <f t="shared" si="119"/>
        <v>A</v>
      </c>
      <c r="T500" s="48">
        <v>129336.95000000001</v>
      </c>
      <c r="U500" s="48">
        <v>39260</v>
      </c>
      <c r="V500" s="32"/>
      <c r="W500" s="3" t="str">
        <f t="shared" si="105"/>
        <v>A</v>
      </c>
      <c r="X500" s="48">
        <v>116583</v>
      </c>
      <c r="Y500" s="48">
        <v>36284</v>
      </c>
      <c r="Z500" s="32"/>
      <c r="AA500" s="3" t="str">
        <f t="shared" si="106"/>
        <v>A</v>
      </c>
      <c r="AB500" s="48">
        <v>135852</v>
      </c>
      <c r="AC500" s="48">
        <v>43077</v>
      </c>
      <c r="AD500" s="36"/>
      <c r="AE500" s="54"/>
      <c r="AF500" s="3" t="str">
        <f t="shared" si="107"/>
        <v>A</v>
      </c>
      <c r="AG500" s="48">
        <v>0</v>
      </c>
      <c r="AH500" s="48">
        <v>0</v>
      </c>
      <c r="AI500" s="39"/>
      <c r="AJ500" s="79" t="s">
        <v>1801</v>
      </c>
      <c r="AK500" s="39"/>
      <c r="AL500" s="4">
        <f t="shared" si="114"/>
        <v>525454.94999999995</v>
      </c>
      <c r="AM500" s="4">
        <f t="shared" si="114"/>
        <v>171444</v>
      </c>
      <c r="AN500" s="4">
        <f t="shared" si="108"/>
        <v>696898.95</v>
      </c>
      <c r="AO500" s="39"/>
      <c r="AP500" s="8">
        <f t="shared" si="115"/>
        <v>0</v>
      </c>
      <c r="AQ500" s="8">
        <f t="shared" si="115"/>
        <v>0</v>
      </c>
      <c r="AR500" s="8">
        <f t="shared" si="109"/>
        <v>0</v>
      </c>
      <c r="AS500" s="42"/>
      <c r="AT500" s="48">
        <v>525454.94999999995</v>
      </c>
      <c r="AU500" s="48">
        <v>171444</v>
      </c>
      <c r="AV500" s="4">
        <f t="shared" si="110"/>
        <v>696898.95</v>
      </c>
      <c r="AW500" s="50" t="str">
        <f t="shared" si="111"/>
        <v/>
      </c>
      <c r="AX500" s="1" t="s">
        <v>1639</v>
      </c>
      <c r="AY500" s="2" t="s">
        <v>1640</v>
      </c>
      <c r="AZ500" s="2">
        <v>66231.679999999993</v>
      </c>
      <c r="BA500" s="73">
        <v>57952.72</v>
      </c>
      <c r="BB500" s="73">
        <v>57952.72</v>
      </c>
      <c r="BC500" s="73">
        <v>66231.679999999993</v>
      </c>
      <c r="BD500" s="73"/>
      <c r="BE500" s="66">
        <v>0</v>
      </c>
      <c r="BF500" s="66">
        <v>0.02</v>
      </c>
      <c r="BG500" s="63">
        <v>44947</v>
      </c>
      <c r="BH500" s="2"/>
      <c r="BI500" s="2"/>
      <c r="BJ500" s="2">
        <v>240000</v>
      </c>
      <c r="BK500" s="2"/>
      <c r="BL500" s="1" t="s">
        <v>97</v>
      </c>
    </row>
    <row r="501" spans="1:64" x14ac:dyDescent="0.25">
      <c r="A501" s="56" t="s">
        <v>1114</v>
      </c>
      <c r="B501" s="54" t="s">
        <v>1114</v>
      </c>
      <c r="C501" s="56" t="s">
        <v>1115</v>
      </c>
      <c r="D501" s="16">
        <v>45125</v>
      </c>
      <c r="E501" s="17"/>
      <c r="F501" s="2" t="s">
        <v>551</v>
      </c>
      <c r="G501" s="2" t="s">
        <v>552</v>
      </c>
      <c r="H501" s="10" t="s">
        <v>105</v>
      </c>
      <c r="I501" s="11" t="s">
        <v>53</v>
      </c>
      <c r="J501" s="11" t="s">
        <v>106</v>
      </c>
      <c r="K501" s="61"/>
      <c r="L501" s="11" t="s">
        <v>67</v>
      </c>
      <c r="M501" s="25"/>
      <c r="N501" s="54"/>
      <c r="O501" s="3" t="str">
        <f t="shared" si="120"/>
        <v>A</v>
      </c>
      <c r="P501" s="48">
        <v>323384</v>
      </c>
      <c r="Q501" s="48">
        <v>32101</v>
      </c>
      <c r="R501" s="32"/>
      <c r="S501" s="3" t="str">
        <f t="shared" si="119"/>
        <v>A</v>
      </c>
      <c r="T501" s="48">
        <v>298157</v>
      </c>
      <c r="U501" s="48">
        <v>31708</v>
      </c>
      <c r="V501" s="32"/>
      <c r="W501" s="3" t="str">
        <f t="shared" si="105"/>
        <v>A</v>
      </c>
      <c r="X501" s="48">
        <v>269396</v>
      </c>
      <c r="Y501" s="48">
        <v>35989</v>
      </c>
      <c r="Z501" s="32"/>
      <c r="AA501" s="3" t="str">
        <f t="shared" si="106"/>
        <v>A</v>
      </c>
      <c r="AB501" s="48">
        <v>292021</v>
      </c>
      <c r="AC501" s="48">
        <v>26030</v>
      </c>
      <c r="AD501" s="36"/>
      <c r="AE501" s="54"/>
      <c r="AF501" s="3" t="str">
        <f t="shared" si="107"/>
        <v>A</v>
      </c>
      <c r="AG501" s="48">
        <v>0</v>
      </c>
      <c r="AH501" s="48">
        <v>0</v>
      </c>
      <c r="AI501" s="39"/>
      <c r="AJ501" s="79" t="s">
        <v>1801</v>
      </c>
      <c r="AK501" s="39"/>
      <c r="AL501" s="4">
        <f t="shared" si="114"/>
        <v>1182958</v>
      </c>
      <c r="AM501" s="4">
        <f t="shared" si="114"/>
        <v>125828</v>
      </c>
      <c r="AN501" s="4">
        <f t="shared" si="108"/>
        <v>1308786</v>
      </c>
      <c r="AO501" s="39"/>
      <c r="AP501" s="8">
        <f t="shared" si="115"/>
        <v>0</v>
      </c>
      <c r="AQ501" s="8">
        <f t="shared" si="115"/>
        <v>0</v>
      </c>
      <c r="AR501" s="8">
        <f t="shared" si="109"/>
        <v>0</v>
      </c>
      <c r="AS501" s="42"/>
      <c r="AT501" s="48">
        <v>1182958</v>
      </c>
      <c r="AU501" s="48">
        <v>125828</v>
      </c>
      <c r="AV501" s="4">
        <f t="shared" si="110"/>
        <v>1308786</v>
      </c>
      <c r="AW501" s="50" t="str">
        <f t="shared" si="111"/>
        <v/>
      </c>
      <c r="AX501" s="1" t="s">
        <v>1725</v>
      </c>
      <c r="AY501" s="2" t="s">
        <v>1659</v>
      </c>
      <c r="AZ501" s="2">
        <v>117988</v>
      </c>
      <c r="BA501" s="73">
        <v>103239.5</v>
      </c>
      <c r="BB501" s="73">
        <v>103239.5</v>
      </c>
      <c r="BC501" s="73">
        <v>117988</v>
      </c>
      <c r="BD501" s="73"/>
      <c r="BE501" s="66">
        <v>0</v>
      </c>
      <c r="BF501" s="66">
        <v>0.05</v>
      </c>
      <c r="BG501" s="63">
        <v>45123</v>
      </c>
      <c r="BH501" s="2"/>
      <c r="BI501" s="2"/>
      <c r="BJ501" s="2">
        <v>425553.75</v>
      </c>
      <c r="BK501" s="2">
        <v>47283.75</v>
      </c>
      <c r="BL501" s="1" t="s">
        <v>104</v>
      </c>
    </row>
    <row r="502" spans="1:64" x14ac:dyDescent="0.25">
      <c r="A502" s="56" t="s">
        <v>1116</v>
      </c>
      <c r="B502" s="54" t="s">
        <v>1116</v>
      </c>
      <c r="C502" s="56" t="s">
        <v>1117</v>
      </c>
      <c r="D502" s="16">
        <v>0</v>
      </c>
      <c r="E502" s="17"/>
      <c r="F502" s="2" t="s">
        <v>1118</v>
      </c>
      <c r="G502" s="2" t="s">
        <v>1119</v>
      </c>
      <c r="H502" s="10" t="s">
        <v>105</v>
      </c>
      <c r="I502" s="11" t="s">
        <v>53</v>
      </c>
      <c r="J502" s="11" t="s">
        <v>145</v>
      </c>
      <c r="K502" s="61"/>
      <c r="L502" s="11" t="s">
        <v>67</v>
      </c>
      <c r="M502" s="25"/>
      <c r="N502" s="54"/>
      <c r="O502" s="3" t="str">
        <f t="shared" si="120"/>
        <v>A</v>
      </c>
      <c r="P502" s="48">
        <v>98344</v>
      </c>
      <c r="Q502" s="48">
        <v>15946</v>
      </c>
      <c r="R502" s="32"/>
      <c r="S502" s="3" t="str">
        <f t="shared" si="119"/>
        <v>A</v>
      </c>
      <c r="T502" s="48">
        <v>84639</v>
      </c>
      <c r="U502" s="48">
        <v>12873</v>
      </c>
      <c r="V502" s="32"/>
      <c r="W502" s="3" t="str">
        <f t="shared" si="105"/>
        <v>A</v>
      </c>
      <c r="X502" s="48">
        <v>74199</v>
      </c>
      <c r="Y502" s="48">
        <v>9438</v>
      </c>
      <c r="Z502" s="32"/>
      <c r="AA502" s="3" t="str">
        <f t="shared" si="106"/>
        <v>A</v>
      </c>
      <c r="AB502" s="48">
        <v>80953</v>
      </c>
      <c r="AC502" s="48">
        <v>9584</v>
      </c>
      <c r="AD502" s="36"/>
      <c r="AE502" s="54"/>
      <c r="AF502" s="3" t="str">
        <f t="shared" si="107"/>
        <v>A</v>
      </c>
      <c r="AG502" s="48">
        <v>0</v>
      </c>
      <c r="AH502" s="48">
        <v>0</v>
      </c>
      <c r="AI502" s="39"/>
      <c r="AJ502" s="79" t="s">
        <v>1801</v>
      </c>
      <c r="AK502" s="39"/>
      <c r="AL502" s="4">
        <f t="shared" si="114"/>
        <v>338135</v>
      </c>
      <c r="AM502" s="4">
        <f t="shared" si="114"/>
        <v>47841</v>
      </c>
      <c r="AN502" s="4">
        <f t="shared" si="108"/>
        <v>385976</v>
      </c>
      <c r="AO502" s="39"/>
      <c r="AP502" s="8">
        <f t="shared" si="115"/>
        <v>0</v>
      </c>
      <c r="AQ502" s="8">
        <f t="shared" si="115"/>
        <v>0</v>
      </c>
      <c r="AR502" s="8">
        <f t="shared" si="109"/>
        <v>0</v>
      </c>
      <c r="AS502" s="42"/>
      <c r="AT502" s="48">
        <v>338135</v>
      </c>
      <c r="AU502" s="48">
        <v>47841</v>
      </c>
      <c r="AV502" s="4">
        <f t="shared" si="110"/>
        <v>385976</v>
      </c>
      <c r="AW502" s="50" t="str">
        <f t="shared" si="111"/>
        <v/>
      </c>
      <c r="AX502" s="1" t="s">
        <v>1760</v>
      </c>
      <c r="AY502" s="2" t="s">
        <v>1761</v>
      </c>
      <c r="AZ502" s="2">
        <v>96203.839999999997</v>
      </c>
      <c r="BA502" s="73">
        <v>84178.36</v>
      </c>
      <c r="BB502" s="73">
        <v>84178.36</v>
      </c>
      <c r="BC502" s="73">
        <v>96203.839999999997</v>
      </c>
      <c r="BD502" s="73"/>
      <c r="BE502" s="66">
        <v>0</v>
      </c>
      <c r="BF502" s="66">
        <v>0.05</v>
      </c>
      <c r="BG502" s="63">
        <v>44774</v>
      </c>
      <c r="BH502" s="2"/>
      <c r="BI502" s="2"/>
      <c r="BJ502" s="2">
        <v>341950.12</v>
      </c>
      <c r="BK502" s="2">
        <v>63417.67</v>
      </c>
      <c r="BL502" s="1" t="s">
        <v>104</v>
      </c>
    </row>
    <row r="503" spans="1:64" x14ac:dyDescent="0.25">
      <c r="A503" s="56" t="s">
        <v>1120</v>
      </c>
      <c r="B503" s="54" t="s">
        <v>1120</v>
      </c>
      <c r="C503" s="56" t="s">
        <v>1121</v>
      </c>
      <c r="D503" s="16">
        <v>0</v>
      </c>
      <c r="E503" s="17"/>
      <c r="F503" s="2" t="s">
        <v>1118</v>
      </c>
      <c r="G503" s="2" t="s">
        <v>1119</v>
      </c>
      <c r="H503" s="10" t="s">
        <v>105</v>
      </c>
      <c r="I503" s="11" t="s">
        <v>53</v>
      </c>
      <c r="J503" s="11" t="s">
        <v>145</v>
      </c>
      <c r="K503" s="61"/>
      <c r="L503" s="11" t="s">
        <v>67</v>
      </c>
      <c r="M503" s="25"/>
      <c r="N503" s="54"/>
      <c r="O503" s="3" t="str">
        <f t="shared" si="120"/>
        <v>A</v>
      </c>
      <c r="P503" s="48">
        <v>39665</v>
      </c>
      <c r="Q503" s="48">
        <v>8850</v>
      </c>
      <c r="R503" s="32"/>
      <c r="S503" s="3" t="str">
        <f t="shared" si="119"/>
        <v>A</v>
      </c>
      <c r="T503" s="48">
        <v>28379</v>
      </c>
      <c r="U503" s="48">
        <v>8207</v>
      </c>
      <c r="V503" s="32"/>
      <c r="W503" s="3" t="str">
        <f t="shared" si="105"/>
        <v>A</v>
      </c>
      <c r="X503" s="48">
        <v>29632</v>
      </c>
      <c r="Y503" s="48">
        <v>6395</v>
      </c>
      <c r="Z503" s="32"/>
      <c r="AA503" s="3" t="str">
        <f t="shared" si="106"/>
        <v>A</v>
      </c>
      <c r="AB503" s="48">
        <v>41602</v>
      </c>
      <c r="AC503" s="48">
        <v>9064</v>
      </c>
      <c r="AD503" s="36"/>
      <c r="AE503" s="54"/>
      <c r="AF503" s="3" t="str">
        <f t="shared" si="107"/>
        <v>A</v>
      </c>
      <c r="AG503" s="48">
        <v>0</v>
      </c>
      <c r="AH503" s="48">
        <v>0</v>
      </c>
      <c r="AI503" s="39"/>
      <c r="AJ503" s="79" t="s">
        <v>1801</v>
      </c>
      <c r="AK503" s="39"/>
      <c r="AL503" s="4">
        <f t="shared" si="114"/>
        <v>139278</v>
      </c>
      <c r="AM503" s="4">
        <f t="shared" si="114"/>
        <v>32516</v>
      </c>
      <c r="AN503" s="4">
        <f t="shared" si="108"/>
        <v>171794</v>
      </c>
      <c r="AO503" s="39"/>
      <c r="AP503" s="8">
        <f t="shared" si="115"/>
        <v>0</v>
      </c>
      <c r="AQ503" s="8">
        <f t="shared" si="115"/>
        <v>0</v>
      </c>
      <c r="AR503" s="8">
        <f t="shared" si="109"/>
        <v>0</v>
      </c>
      <c r="AS503" s="42"/>
      <c r="AT503" s="48">
        <v>139278</v>
      </c>
      <c r="AU503" s="48">
        <v>32516</v>
      </c>
      <c r="AV503" s="4">
        <f t="shared" si="110"/>
        <v>171794</v>
      </c>
      <c r="AW503" s="50" t="str">
        <f t="shared" si="111"/>
        <v/>
      </c>
      <c r="AX503" s="1" t="s">
        <v>1760</v>
      </c>
      <c r="AY503" s="2" t="s">
        <v>1761</v>
      </c>
      <c r="AZ503" s="2">
        <v>91890.559999999998</v>
      </c>
      <c r="BA503" s="73">
        <v>80404.240000000005</v>
      </c>
      <c r="BB503" s="73">
        <v>80404.240000000005</v>
      </c>
      <c r="BC503" s="73">
        <v>91890.559999999998</v>
      </c>
      <c r="BD503" s="73"/>
      <c r="BE503" s="66">
        <v>0</v>
      </c>
      <c r="BF503" s="66">
        <v>0.05</v>
      </c>
      <c r="BG503" s="63">
        <v>44774</v>
      </c>
      <c r="BH503" s="2"/>
      <c r="BI503" s="2"/>
      <c r="BJ503" s="2">
        <v>326618.96999999997</v>
      </c>
      <c r="BK503" s="2">
        <v>70352</v>
      </c>
      <c r="BL503" s="1" t="s">
        <v>104</v>
      </c>
    </row>
    <row r="504" spans="1:64" x14ac:dyDescent="0.25">
      <c r="A504" s="56" t="s">
        <v>1120</v>
      </c>
      <c r="B504" s="54" t="s">
        <v>1122</v>
      </c>
      <c r="C504" s="56" t="s">
        <v>1123</v>
      </c>
      <c r="D504" s="16">
        <v>0</v>
      </c>
      <c r="E504" s="17"/>
      <c r="F504" s="2" t="s">
        <v>1118</v>
      </c>
      <c r="G504" s="2" t="s">
        <v>1119</v>
      </c>
      <c r="H504" s="10" t="s">
        <v>105</v>
      </c>
      <c r="I504" s="11" t="s">
        <v>53</v>
      </c>
      <c r="J504" s="11" t="s">
        <v>145</v>
      </c>
      <c r="K504" s="61"/>
      <c r="L504" s="11" t="s">
        <v>67</v>
      </c>
      <c r="M504" s="25"/>
      <c r="N504" s="54"/>
      <c r="O504" s="3" t="str">
        <f t="shared" si="120"/>
        <v>A</v>
      </c>
      <c r="P504" s="48">
        <v>89641</v>
      </c>
      <c r="Q504" s="48">
        <v>14723</v>
      </c>
      <c r="R504" s="32"/>
      <c r="S504" s="3" t="str">
        <f t="shared" si="119"/>
        <v>A</v>
      </c>
      <c r="T504" s="48">
        <v>78553</v>
      </c>
      <c r="U504" s="48">
        <v>16675</v>
      </c>
      <c r="V504" s="32"/>
      <c r="W504" s="3" t="str">
        <f t="shared" si="105"/>
        <v>A</v>
      </c>
      <c r="X504" s="48">
        <v>78485</v>
      </c>
      <c r="Y504" s="48">
        <v>13659</v>
      </c>
      <c r="Z504" s="32"/>
      <c r="AA504" s="3" t="str">
        <f t="shared" si="106"/>
        <v>A</v>
      </c>
      <c r="AB504" s="48">
        <v>82826</v>
      </c>
      <c r="AC504" s="48">
        <v>14046</v>
      </c>
      <c r="AD504" s="36"/>
      <c r="AE504" s="54"/>
      <c r="AF504" s="3" t="str">
        <f t="shared" si="107"/>
        <v>A</v>
      </c>
      <c r="AG504" s="48">
        <v>0</v>
      </c>
      <c r="AH504" s="48">
        <v>0</v>
      </c>
      <c r="AI504" s="39"/>
      <c r="AJ504" s="79" t="s">
        <v>1801</v>
      </c>
      <c r="AK504" s="39"/>
      <c r="AL504" s="4">
        <f t="shared" si="114"/>
        <v>329505</v>
      </c>
      <c r="AM504" s="4">
        <f t="shared" si="114"/>
        <v>59103</v>
      </c>
      <c r="AN504" s="4">
        <f t="shared" si="108"/>
        <v>388608</v>
      </c>
      <c r="AO504" s="39"/>
      <c r="AP504" s="8">
        <f t="shared" si="115"/>
        <v>0</v>
      </c>
      <c r="AQ504" s="8">
        <f t="shared" si="115"/>
        <v>0</v>
      </c>
      <c r="AR504" s="8">
        <f t="shared" si="109"/>
        <v>0</v>
      </c>
      <c r="AS504" s="42"/>
      <c r="AT504" s="48">
        <v>329505</v>
      </c>
      <c r="AU504" s="48">
        <v>59103</v>
      </c>
      <c r="AV504" s="4">
        <f t="shared" si="110"/>
        <v>388608</v>
      </c>
      <c r="AW504" s="50" t="str">
        <f t="shared" si="111"/>
        <v/>
      </c>
      <c r="AX504" s="1" t="s">
        <v>1760</v>
      </c>
      <c r="AY504" s="2" t="s">
        <v>1761</v>
      </c>
      <c r="AZ504" s="2">
        <v>91303.12</v>
      </c>
      <c r="BA504" s="73">
        <v>79890.23</v>
      </c>
      <c r="BB504" s="73">
        <v>79890.23</v>
      </c>
      <c r="BC504" s="73">
        <v>91303.12</v>
      </c>
      <c r="BD504" s="73"/>
      <c r="BE504" s="66">
        <v>0</v>
      </c>
      <c r="BF504" s="66">
        <v>0.05</v>
      </c>
      <c r="BG504" s="63">
        <v>44774</v>
      </c>
      <c r="BH504" s="2"/>
      <c r="BI504" s="2"/>
      <c r="BJ504" s="2">
        <v>324530.27</v>
      </c>
      <c r="BK504" s="2">
        <v>42880.33</v>
      </c>
      <c r="BL504" s="1" t="s">
        <v>104</v>
      </c>
    </row>
    <row r="505" spans="1:64" x14ac:dyDescent="0.25">
      <c r="A505" s="56" t="s">
        <v>1120</v>
      </c>
      <c r="B505" s="54" t="s">
        <v>1124</v>
      </c>
      <c r="C505" s="56" t="s">
        <v>1125</v>
      </c>
      <c r="D505" s="16">
        <v>0</v>
      </c>
      <c r="E505" s="17"/>
      <c r="F505" s="2" t="s">
        <v>1118</v>
      </c>
      <c r="G505" s="2" t="s">
        <v>1119</v>
      </c>
      <c r="H505" s="10" t="s">
        <v>105</v>
      </c>
      <c r="I505" s="11" t="s">
        <v>53</v>
      </c>
      <c r="J505" s="11" t="s">
        <v>145</v>
      </c>
      <c r="K505" s="61"/>
      <c r="L505" s="11" t="s">
        <v>67</v>
      </c>
      <c r="M505" s="25"/>
      <c r="N505" s="54"/>
      <c r="O505" s="3" t="str">
        <f t="shared" si="120"/>
        <v>E</v>
      </c>
      <c r="P505" s="48">
        <v>77927.839999999997</v>
      </c>
      <c r="Q505" s="48">
        <v>8270.16</v>
      </c>
      <c r="R505" s="32"/>
      <c r="S505" s="3" t="str">
        <f t="shared" si="119"/>
        <v>E</v>
      </c>
      <c r="T505" s="48">
        <v>68186.86</v>
      </c>
      <c r="U505" s="48">
        <v>7236.39</v>
      </c>
      <c r="V505" s="32"/>
      <c r="W505" s="3" t="str">
        <f t="shared" si="105"/>
        <v>E</v>
      </c>
      <c r="X505" s="48">
        <v>68186.86</v>
      </c>
      <c r="Y505" s="48">
        <v>7236.39</v>
      </c>
      <c r="Z505" s="32"/>
      <c r="AA505" s="3" t="str">
        <f t="shared" si="106"/>
        <v>E</v>
      </c>
      <c r="AB505" s="48">
        <v>77927.839999999997</v>
      </c>
      <c r="AC505" s="48">
        <v>8270.16</v>
      </c>
      <c r="AD505" s="36"/>
      <c r="AE505" s="54"/>
      <c r="AF505" s="3" t="str">
        <f t="shared" si="107"/>
        <v>A</v>
      </c>
      <c r="AG505" s="48"/>
      <c r="AH505" s="48"/>
      <c r="AI505" s="39"/>
      <c r="AJ505" s="79" t="s">
        <v>38</v>
      </c>
      <c r="AK505" s="39"/>
      <c r="AL505" s="4">
        <f t="shared" si="114"/>
        <v>0</v>
      </c>
      <c r="AM505" s="4">
        <f t="shared" si="114"/>
        <v>0</v>
      </c>
      <c r="AN505" s="4">
        <f t="shared" si="108"/>
        <v>0</v>
      </c>
      <c r="AO505" s="39"/>
      <c r="AP505" s="8">
        <f t="shared" si="115"/>
        <v>292229.40000000002</v>
      </c>
      <c r="AQ505" s="8">
        <f t="shared" si="115"/>
        <v>31013.1</v>
      </c>
      <c r="AR505" s="8">
        <f t="shared" si="109"/>
        <v>323242.5</v>
      </c>
      <c r="AS505" s="42"/>
      <c r="AT505" s="48"/>
      <c r="AU505" s="48"/>
      <c r="AV505" s="4">
        <f t="shared" si="110"/>
        <v>0</v>
      </c>
      <c r="AW505" s="50" t="str">
        <f t="shared" si="111"/>
        <v/>
      </c>
      <c r="AX505" s="1" t="s">
        <v>1760</v>
      </c>
      <c r="AY505" s="2" t="s">
        <v>1761</v>
      </c>
      <c r="AZ505" s="2">
        <v>77927.839999999997</v>
      </c>
      <c r="BA505" s="73">
        <v>68186.86</v>
      </c>
      <c r="BB505" s="73">
        <v>68186.86</v>
      </c>
      <c r="BC505" s="73">
        <v>77927.839999999997</v>
      </c>
      <c r="BD505" s="73"/>
      <c r="BE505" s="66">
        <v>0</v>
      </c>
      <c r="BF505" s="66">
        <v>0.05</v>
      </c>
      <c r="BG505" s="63">
        <v>44774</v>
      </c>
      <c r="BH505" s="2"/>
      <c r="BI505" s="2"/>
      <c r="BJ505" s="2">
        <v>276989.37</v>
      </c>
      <c r="BK505" s="2">
        <v>33469.67</v>
      </c>
      <c r="BL505" s="1" t="s">
        <v>104</v>
      </c>
    </row>
    <row r="506" spans="1:64" x14ac:dyDescent="0.25">
      <c r="A506" s="56" t="s">
        <v>1128</v>
      </c>
      <c r="B506" s="54" t="s">
        <v>1128</v>
      </c>
      <c r="C506" s="56" t="s">
        <v>1129</v>
      </c>
      <c r="D506" s="16">
        <v>44646</v>
      </c>
      <c r="E506" s="17"/>
      <c r="F506" s="2" t="s">
        <v>835</v>
      </c>
      <c r="G506" s="2" t="s">
        <v>836</v>
      </c>
      <c r="H506" s="10" t="s">
        <v>57</v>
      </c>
      <c r="I506" s="11" t="s">
        <v>53</v>
      </c>
      <c r="J506" s="11" t="s">
        <v>384</v>
      </c>
      <c r="K506" s="61"/>
      <c r="L506" s="11" t="s">
        <v>67</v>
      </c>
      <c r="M506" s="25"/>
      <c r="N506" s="54"/>
      <c r="O506" s="3" t="str">
        <f t="shared" si="120"/>
        <v>A</v>
      </c>
      <c r="P506" s="48">
        <v>66547</v>
      </c>
      <c r="Q506" s="48">
        <v>3123</v>
      </c>
      <c r="R506" s="32"/>
      <c r="S506" s="3" t="str">
        <f t="shared" si="119"/>
        <v>A</v>
      </c>
      <c r="T506" s="48">
        <v>53165</v>
      </c>
      <c r="U506" s="48">
        <v>2645</v>
      </c>
      <c r="V506" s="32"/>
      <c r="W506" s="3" t="str">
        <f t="shared" si="105"/>
        <v>A</v>
      </c>
      <c r="X506" s="48">
        <v>47696</v>
      </c>
      <c r="Y506" s="48">
        <v>4744</v>
      </c>
      <c r="Z506" s="32"/>
      <c r="AA506" s="3" t="str">
        <f t="shared" si="106"/>
        <v>A</v>
      </c>
      <c r="AB506" s="48">
        <v>49827</v>
      </c>
      <c r="AC506" s="48">
        <v>5399</v>
      </c>
      <c r="AD506" s="36"/>
      <c r="AE506" s="54"/>
      <c r="AF506" s="3" t="str">
        <f t="shared" si="107"/>
        <v>A</v>
      </c>
      <c r="AG506" s="48">
        <v>0</v>
      </c>
      <c r="AH506" s="48">
        <v>0</v>
      </c>
      <c r="AI506" s="39"/>
      <c r="AJ506" s="79" t="s">
        <v>1801</v>
      </c>
      <c r="AK506" s="39"/>
      <c r="AL506" s="4">
        <f t="shared" si="114"/>
        <v>217235</v>
      </c>
      <c r="AM506" s="4">
        <f t="shared" si="114"/>
        <v>15911</v>
      </c>
      <c r="AN506" s="4">
        <f t="shared" si="108"/>
        <v>233146</v>
      </c>
      <c r="AO506" s="39"/>
      <c r="AP506" s="8">
        <f t="shared" si="115"/>
        <v>0</v>
      </c>
      <c r="AQ506" s="8">
        <f t="shared" si="115"/>
        <v>0</v>
      </c>
      <c r="AR506" s="8">
        <f t="shared" si="109"/>
        <v>0</v>
      </c>
      <c r="AS506" s="42"/>
      <c r="AT506" s="48">
        <v>217235</v>
      </c>
      <c r="AU506" s="48">
        <v>15911</v>
      </c>
      <c r="AV506" s="4">
        <f t="shared" si="110"/>
        <v>233146</v>
      </c>
      <c r="AW506" s="50" t="str">
        <f t="shared" si="111"/>
        <v/>
      </c>
      <c r="AX506" s="1" t="s">
        <v>1734</v>
      </c>
      <c r="AY506" s="2" t="s">
        <v>1735</v>
      </c>
      <c r="AZ506" s="2">
        <v>141774.96</v>
      </c>
      <c r="BA506" s="73">
        <v>124053.09</v>
      </c>
      <c r="BB506" s="73">
        <v>124053.09</v>
      </c>
      <c r="BC506" s="73">
        <v>141774.96</v>
      </c>
      <c r="BD506" s="73"/>
      <c r="BE506" s="66">
        <v>0</v>
      </c>
      <c r="BF506" s="66">
        <v>0.05</v>
      </c>
      <c r="BG506" s="63">
        <v>44638</v>
      </c>
      <c r="BH506" s="2"/>
      <c r="BI506" s="2"/>
      <c r="BJ506" s="2">
        <v>524400</v>
      </c>
      <c r="BK506" s="2">
        <v>58266.67</v>
      </c>
      <c r="BL506" s="1" t="s">
        <v>56</v>
      </c>
    </row>
    <row r="507" spans="1:64" x14ac:dyDescent="0.25">
      <c r="A507" s="56" t="s">
        <v>1130</v>
      </c>
      <c r="B507" s="54" t="s">
        <v>1130</v>
      </c>
      <c r="C507" s="56" t="s">
        <v>1131</v>
      </c>
      <c r="D507" s="16">
        <v>44873</v>
      </c>
      <c r="E507" s="17"/>
      <c r="F507" s="2" t="s">
        <v>52</v>
      </c>
      <c r="G507" s="2" t="s">
        <v>55</v>
      </c>
      <c r="H507" s="10" t="s">
        <v>57</v>
      </c>
      <c r="I507" s="11" t="s">
        <v>54</v>
      </c>
      <c r="J507" s="11" t="s">
        <v>636</v>
      </c>
      <c r="K507" s="61" t="s">
        <v>637</v>
      </c>
      <c r="L507" s="11" t="s">
        <v>67</v>
      </c>
      <c r="M507" s="25"/>
      <c r="N507" s="54"/>
      <c r="O507" s="3" t="str">
        <f t="shared" si="120"/>
        <v>A</v>
      </c>
      <c r="P507" s="48">
        <v>61120</v>
      </c>
      <c r="Q507" s="48">
        <v>6838</v>
      </c>
      <c r="R507" s="32"/>
      <c r="S507" s="3" t="str">
        <f t="shared" si="119"/>
        <v>A</v>
      </c>
      <c r="T507" s="48">
        <v>54780.6</v>
      </c>
      <c r="U507" s="48">
        <v>6877</v>
      </c>
      <c r="V507" s="32"/>
      <c r="W507" s="3" t="str">
        <f t="shared" si="105"/>
        <v>A</v>
      </c>
      <c r="X507" s="48">
        <v>58555.6</v>
      </c>
      <c r="Y507" s="48">
        <v>6444</v>
      </c>
      <c r="Z507" s="32"/>
      <c r="AA507" s="3" t="str">
        <f t="shared" si="106"/>
        <v>A</v>
      </c>
      <c r="AB507" s="48">
        <v>80387</v>
      </c>
      <c r="AC507" s="48">
        <v>7185</v>
      </c>
      <c r="AD507" s="36"/>
      <c r="AE507" s="54"/>
      <c r="AF507" s="3" t="str">
        <f t="shared" si="107"/>
        <v>A</v>
      </c>
      <c r="AG507" s="48">
        <v>0</v>
      </c>
      <c r="AH507" s="48">
        <v>0</v>
      </c>
      <c r="AI507" s="39"/>
      <c r="AJ507" s="79" t="s">
        <v>1801</v>
      </c>
      <c r="AK507" s="39"/>
      <c r="AL507" s="4">
        <f t="shared" si="114"/>
        <v>254843.2</v>
      </c>
      <c r="AM507" s="4">
        <f t="shared" si="114"/>
        <v>27344</v>
      </c>
      <c r="AN507" s="4">
        <f t="shared" si="108"/>
        <v>282187.2</v>
      </c>
      <c r="AO507" s="39"/>
      <c r="AP507" s="8">
        <f t="shared" si="115"/>
        <v>0</v>
      </c>
      <c r="AQ507" s="8">
        <f t="shared" si="115"/>
        <v>0</v>
      </c>
      <c r="AR507" s="8">
        <f t="shared" si="109"/>
        <v>0</v>
      </c>
      <c r="AS507" s="42"/>
      <c r="AT507" s="48">
        <v>254843.2</v>
      </c>
      <c r="AU507" s="48">
        <v>27344</v>
      </c>
      <c r="AV507" s="4">
        <f t="shared" si="110"/>
        <v>282187.2</v>
      </c>
      <c r="AW507" s="50" t="str">
        <f t="shared" si="111"/>
        <v/>
      </c>
      <c r="AX507" s="1" t="s">
        <v>1639</v>
      </c>
      <c r="AY507" s="2" t="s">
        <v>1640</v>
      </c>
      <c r="AZ507" s="2">
        <v>111803.76</v>
      </c>
      <c r="BA507" s="73">
        <v>97828.29</v>
      </c>
      <c r="BB507" s="73">
        <v>97828.29</v>
      </c>
      <c r="BC507" s="73">
        <v>111803.76</v>
      </c>
      <c r="BD507" s="73"/>
      <c r="BE507" s="66">
        <v>0</v>
      </c>
      <c r="BF507" s="66">
        <v>0.02</v>
      </c>
      <c r="BG507" s="63">
        <v>44873</v>
      </c>
      <c r="BH507" s="2"/>
      <c r="BI507" s="2"/>
      <c r="BJ507" s="2">
        <v>413540.6</v>
      </c>
      <c r="BK507" s="2">
        <v>46787.91</v>
      </c>
      <c r="BL507" s="1" t="s">
        <v>56</v>
      </c>
    </row>
    <row r="508" spans="1:64" x14ac:dyDescent="0.25">
      <c r="A508" s="56" t="s">
        <v>1132</v>
      </c>
      <c r="B508" s="54" t="s">
        <v>1132</v>
      </c>
      <c r="C508" s="56" t="s">
        <v>1133</v>
      </c>
      <c r="D508" s="16">
        <v>44901</v>
      </c>
      <c r="E508" s="17"/>
      <c r="F508" s="2" t="s">
        <v>109</v>
      </c>
      <c r="G508" s="2" t="s">
        <v>111</v>
      </c>
      <c r="H508" s="10" t="s">
        <v>98</v>
      </c>
      <c r="I508" s="11" t="s">
        <v>110</v>
      </c>
      <c r="J508" s="11" t="s">
        <v>286</v>
      </c>
      <c r="K508" s="61" t="s">
        <v>287</v>
      </c>
      <c r="L508" s="11" t="s">
        <v>67</v>
      </c>
      <c r="M508" s="25"/>
      <c r="N508" s="54"/>
      <c r="O508" s="3" t="str">
        <f t="shared" si="120"/>
        <v>A</v>
      </c>
      <c r="P508" s="48">
        <v>179879.5</v>
      </c>
      <c r="Q508" s="48">
        <v>12254</v>
      </c>
      <c r="R508" s="32"/>
      <c r="S508" s="3" t="str">
        <f t="shared" si="119"/>
        <v>A</v>
      </c>
      <c r="T508" s="48">
        <v>167123.99</v>
      </c>
      <c r="U508" s="48">
        <v>11951</v>
      </c>
      <c r="V508" s="32"/>
      <c r="W508" s="3" t="str">
        <f t="shared" si="105"/>
        <v>A</v>
      </c>
      <c r="X508" s="48">
        <v>147682.34</v>
      </c>
      <c r="Y508" s="48">
        <v>9151</v>
      </c>
      <c r="Z508" s="32"/>
      <c r="AA508" s="3" t="str">
        <f t="shared" si="106"/>
        <v>A</v>
      </c>
      <c r="AB508" s="48">
        <v>159504.20000000001</v>
      </c>
      <c r="AC508" s="48">
        <v>8247</v>
      </c>
      <c r="AD508" s="36"/>
      <c r="AE508" s="54"/>
      <c r="AF508" s="3" t="str">
        <f t="shared" si="107"/>
        <v>A</v>
      </c>
      <c r="AG508" s="48">
        <v>0</v>
      </c>
      <c r="AH508" s="48">
        <v>0</v>
      </c>
      <c r="AI508" s="39"/>
      <c r="AJ508" s="79" t="s">
        <v>1801</v>
      </c>
      <c r="AK508" s="39"/>
      <c r="AL508" s="4">
        <f t="shared" si="114"/>
        <v>654190.03</v>
      </c>
      <c r="AM508" s="4">
        <f t="shared" si="114"/>
        <v>41603</v>
      </c>
      <c r="AN508" s="4">
        <f t="shared" si="108"/>
        <v>695793.03</v>
      </c>
      <c r="AO508" s="39"/>
      <c r="AP508" s="8">
        <f t="shared" si="115"/>
        <v>0</v>
      </c>
      <c r="AQ508" s="8">
        <f t="shared" si="115"/>
        <v>0</v>
      </c>
      <c r="AR508" s="8">
        <f t="shared" si="109"/>
        <v>0</v>
      </c>
      <c r="AS508" s="42"/>
      <c r="AT508" s="48">
        <v>654190.03</v>
      </c>
      <c r="AU508" s="48">
        <v>41603</v>
      </c>
      <c r="AV508" s="4">
        <f t="shared" si="110"/>
        <v>695793.03</v>
      </c>
      <c r="AW508" s="50" t="str">
        <f t="shared" si="111"/>
        <v/>
      </c>
      <c r="AX508" s="1" t="s">
        <v>1647</v>
      </c>
      <c r="AY508" s="2" t="s">
        <v>1640</v>
      </c>
      <c r="AZ508" s="2">
        <v>97734.399999999994</v>
      </c>
      <c r="BA508" s="73">
        <v>85517.6</v>
      </c>
      <c r="BB508" s="73">
        <v>85517.6</v>
      </c>
      <c r="BC508" s="73">
        <v>97734.399999999994</v>
      </c>
      <c r="BD508" s="73"/>
      <c r="BE508" s="66">
        <v>0</v>
      </c>
      <c r="BF508" s="66">
        <v>0.02</v>
      </c>
      <c r="BG508" s="63">
        <v>44897</v>
      </c>
      <c r="BH508" s="2"/>
      <c r="BI508" s="2"/>
      <c r="BJ508" s="2">
        <v>368592</v>
      </c>
      <c r="BK508" s="2">
        <v>19351.080000000002</v>
      </c>
      <c r="BL508" s="1" t="s">
        <v>237</v>
      </c>
    </row>
    <row r="509" spans="1:64" x14ac:dyDescent="0.25">
      <c r="A509" s="56" t="s">
        <v>1136</v>
      </c>
      <c r="B509" s="54" t="s">
        <v>1136</v>
      </c>
      <c r="C509" s="56" t="s">
        <v>1137</v>
      </c>
      <c r="D509" s="16">
        <v>44944</v>
      </c>
      <c r="E509" s="17"/>
      <c r="F509" s="2" t="s">
        <v>423</v>
      </c>
      <c r="G509" s="2" t="s">
        <v>424</v>
      </c>
      <c r="H509" s="10" t="s">
        <v>105</v>
      </c>
      <c r="I509" s="11" t="s">
        <v>53</v>
      </c>
      <c r="J509" s="11" t="s">
        <v>312</v>
      </c>
      <c r="K509" s="61"/>
      <c r="L509" s="11" t="s">
        <v>67</v>
      </c>
      <c r="M509" s="25"/>
      <c r="N509" s="54"/>
      <c r="O509" s="3" t="str">
        <f t="shared" si="120"/>
        <v>E</v>
      </c>
      <c r="P509" s="48">
        <v>127333.04</v>
      </c>
      <c r="Q509" s="48">
        <v>13445.68</v>
      </c>
      <c r="R509" s="32"/>
      <c r="S509" s="3" t="str">
        <f t="shared" si="119"/>
        <v>E</v>
      </c>
      <c r="T509" s="48">
        <v>111416.41</v>
      </c>
      <c r="U509" s="48">
        <v>11764.97</v>
      </c>
      <c r="V509" s="32"/>
      <c r="W509" s="3" t="str">
        <f t="shared" si="105"/>
        <v>E</v>
      </c>
      <c r="X509" s="48">
        <v>111416.41</v>
      </c>
      <c r="Y509" s="48">
        <v>11764.97</v>
      </c>
      <c r="Z509" s="32"/>
      <c r="AA509" s="3" t="str">
        <f t="shared" si="106"/>
        <v>E</v>
      </c>
      <c r="AB509" s="48">
        <v>127333.04</v>
      </c>
      <c r="AC509" s="48">
        <v>13445.68</v>
      </c>
      <c r="AD509" s="36"/>
      <c r="AE509" s="54"/>
      <c r="AF509" s="3" t="str">
        <f t="shared" si="107"/>
        <v>A</v>
      </c>
      <c r="AG509" s="48"/>
      <c r="AH509" s="48"/>
      <c r="AI509" s="39"/>
      <c r="AJ509" s="79" t="s">
        <v>38</v>
      </c>
      <c r="AK509" s="39"/>
      <c r="AL509" s="4">
        <f t="shared" si="114"/>
        <v>0</v>
      </c>
      <c r="AM509" s="4">
        <f t="shared" si="114"/>
        <v>0</v>
      </c>
      <c r="AN509" s="4">
        <f t="shared" si="108"/>
        <v>0</v>
      </c>
      <c r="AO509" s="39"/>
      <c r="AP509" s="8">
        <f t="shared" si="115"/>
        <v>477498.89999999997</v>
      </c>
      <c r="AQ509" s="8">
        <f t="shared" si="115"/>
        <v>50421.3</v>
      </c>
      <c r="AR509" s="8">
        <f t="shared" si="109"/>
        <v>527920.19999999995</v>
      </c>
      <c r="AS509" s="42"/>
      <c r="AT509" s="48"/>
      <c r="AU509" s="48"/>
      <c r="AV509" s="4">
        <f t="shared" si="110"/>
        <v>0</v>
      </c>
      <c r="AW509" s="50" t="str">
        <f t="shared" si="111"/>
        <v/>
      </c>
      <c r="AX509" s="1" t="s">
        <v>1705</v>
      </c>
      <c r="AY509" s="2" t="s">
        <v>1706</v>
      </c>
      <c r="AZ509" s="2">
        <v>127333.04</v>
      </c>
      <c r="BA509" s="73">
        <v>111416.41</v>
      </c>
      <c r="BB509" s="73">
        <v>111416.41</v>
      </c>
      <c r="BC509" s="73">
        <v>127333.04</v>
      </c>
      <c r="BD509" s="73"/>
      <c r="BE509" s="66">
        <v>0</v>
      </c>
      <c r="BF509" s="66">
        <v>0.05</v>
      </c>
      <c r="BG509" s="63">
        <v>44942</v>
      </c>
      <c r="BH509" s="2"/>
      <c r="BI509" s="2"/>
      <c r="BJ509" s="2">
        <v>483095.34</v>
      </c>
      <c r="BK509" s="2">
        <v>53677.26</v>
      </c>
      <c r="BL509" s="1" t="s">
        <v>104</v>
      </c>
    </row>
    <row r="510" spans="1:64" x14ac:dyDescent="0.25">
      <c r="A510" s="56" t="s">
        <v>1138</v>
      </c>
      <c r="B510" s="54" t="s">
        <v>1138</v>
      </c>
      <c r="C510" s="56" t="s">
        <v>1139</v>
      </c>
      <c r="D510" s="16">
        <v>44950</v>
      </c>
      <c r="E510" s="17"/>
      <c r="F510" s="2" t="s">
        <v>328</v>
      </c>
      <c r="G510" s="2" t="s">
        <v>329</v>
      </c>
      <c r="H510" s="10" t="s">
        <v>105</v>
      </c>
      <c r="I510" s="11" t="s">
        <v>53</v>
      </c>
      <c r="J510" s="11" t="s">
        <v>145</v>
      </c>
      <c r="K510" s="61"/>
      <c r="L510" s="11" t="s">
        <v>67</v>
      </c>
      <c r="M510" s="25"/>
      <c r="N510" s="54"/>
      <c r="O510" s="3" t="str">
        <f t="shared" si="120"/>
        <v>E</v>
      </c>
      <c r="P510" s="48">
        <v>119080.16</v>
      </c>
      <c r="Q510" s="48">
        <v>12574.24</v>
      </c>
      <c r="R510" s="32"/>
      <c r="S510" s="3" t="str">
        <f t="shared" si="119"/>
        <v>E</v>
      </c>
      <c r="T510" s="48">
        <v>104195.14</v>
      </c>
      <c r="U510" s="48">
        <v>11002.46</v>
      </c>
      <c r="V510" s="32"/>
      <c r="W510" s="3" t="str">
        <f t="shared" si="105"/>
        <v>E</v>
      </c>
      <c r="X510" s="48">
        <v>104195.14</v>
      </c>
      <c r="Y510" s="48">
        <v>11002.46</v>
      </c>
      <c r="Z510" s="32"/>
      <c r="AA510" s="3" t="str">
        <f t="shared" si="106"/>
        <v>E</v>
      </c>
      <c r="AB510" s="48">
        <v>119080.16</v>
      </c>
      <c r="AC510" s="48">
        <v>12574.24</v>
      </c>
      <c r="AD510" s="36"/>
      <c r="AE510" s="54"/>
      <c r="AF510" s="3" t="str">
        <f t="shared" si="107"/>
        <v>A</v>
      </c>
      <c r="AG510" s="48"/>
      <c r="AH510" s="48"/>
      <c r="AI510" s="39"/>
      <c r="AJ510" s="79" t="s">
        <v>38</v>
      </c>
      <c r="AK510" s="39"/>
      <c r="AL510" s="4">
        <f t="shared" si="114"/>
        <v>0</v>
      </c>
      <c r="AM510" s="4">
        <f t="shared" si="114"/>
        <v>0</v>
      </c>
      <c r="AN510" s="4">
        <f t="shared" si="108"/>
        <v>0</v>
      </c>
      <c r="AO510" s="39"/>
      <c r="AP510" s="8">
        <f t="shared" si="115"/>
        <v>446550.6</v>
      </c>
      <c r="AQ510" s="8">
        <f t="shared" si="115"/>
        <v>47153.399999999994</v>
      </c>
      <c r="AR510" s="8">
        <f t="shared" si="109"/>
        <v>493704</v>
      </c>
      <c r="AS510" s="42"/>
      <c r="AT510" s="48"/>
      <c r="AU510" s="48"/>
      <c r="AV510" s="4">
        <f t="shared" si="110"/>
        <v>0</v>
      </c>
      <c r="AW510" s="50" t="str">
        <f t="shared" si="111"/>
        <v/>
      </c>
      <c r="AX510" s="1" t="s">
        <v>1684</v>
      </c>
      <c r="AY510" s="2" t="s">
        <v>1685</v>
      </c>
      <c r="AZ510" s="2">
        <v>119080.16</v>
      </c>
      <c r="BA510" s="73">
        <v>104195.14</v>
      </c>
      <c r="BB510" s="73">
        <v>104195.14</v>
      </c>
      <c r="BC510" s="73">
        <v>119080.16</v>
      </c>
      <c r="BD510" s="73"/>
      <c r="BE510" s="66">
        <v>0</v>
      </c>
      <c r="BF510" s="66">
        <v>0.05</v>
      </c>
      <c r="BG510" s="63">
        <v>44948</v>
      </c>
      <c r="BH510" s="2"/>
      <c r="BI510" s="2"/>
      <c r="BJ510" s="2">
        <v>451785.6</v>
      </c>
      <c r="BK510" s="2">
        <v>50198.400000000001</v>
      </c>
      <c r="BL510" s="1" t="s">
        <v>104</v>
      </c>
    </row>
    <row r="511" spans="1:64" x14ac:dyDescent="0.25">
      <c r="A511" s="56" t="s">
        <v>1140</v>
      </c>
      <c r="B511" s="54" t="s">
        <v>1140</v>
      </c>
      <c r="C511" s="56" t="s">
        <v>1141</v>
      </c>
      <c r="D511" s="16">
        <v>0</v>
      </c>
      <c r="E511" s="17"/>
      <c r="F511" s="2" t="s">
        <v>171</v>
      </c>
      <c r="G511" s="2" t="s">
        <v>172</v>
      </c>
      <c r="H511" s="10" t="s">
        <v>105</v>
      </c>
      <c r="I511" s="11" t="s">
        <v>53</v>
      </c>
      <c r="J511" s="11" t="s">
        <v>312</v>
      </c>
      <c r="K511" s="61"/>
      <c r="L511" s="11" t="s">
        <v>67</v>
      </c>
      <c r="M511" s="25"/>
      <c r="N511" s="54"/>
      <c r="O511" s="3" t="str">
        <f t="shared" si="120"/>
        <v>A</v>
      </c>
      <c r="P511" s="48">
        <v>300278</v>
      </c>
      <c r="Q511" s="48">
        <v>32676</v>
      </c>
      <c r="R511" s="32"/>
      <c r="S511" s="3" t="str">
        <f t="shared" si="119"/>
        <v>A</v>
      </c>
      <c r="T511" s="48">
        <v>239564</v>
      </c>
      <c r="U511" s="48">
        <v>24230</v>
      </c>
      <c r="V511" s="32"/>
      <c r="W511" s="3" t="str">
        <f t="shared" si="105"/>
        <v>A</v>
      </c>
      <c r="X511" s="48">
        <v>197686</v>
      </c>
      <c r="Y511" s="48">
        <v>20094</v>
      </c>
      <c r="Z511" s="32"/>
      <c r="AA511" s="3" t="str">
        <f t="shared" si="106"/>
        <v>A</v>
      </c>
      <c r="AB511" s="48">
        <v>208528</v>
      </c>
      <c r="AC511" s="48">
        <v>18876</v>
      </c>
      <c r="AD511" s="36"/>
      <c r="AE511" s="54"/>
      <c r="AF511" s="3" t="str">
        <f t="shared" si="107"/>
        <v>A</v>
      </c>
      <c r="AG511" s="48">
        <v>0</v>
      </c>
      <c r="AH511" s="48">
        <v>0</v>
      </c>
      <c r="AI511" s="39"/>
      <c r="AJ511" s="79" t="s">
        <v>1801</v>
      </c>
      <c r="AK511" s="39"/>
      <c r="AL511" s="4">
        <f t="shared" si="114"/>
        <v>946056</v>
      </c>
      <c r="AM511" s="4">
        <f t="shared" si="114"/>
        <v>95876</v>
      </c>
      <c r="AN511" s="4">
        <f t="shared" si="108"/>
        <v>1041932</v>
      </c>
      <c r="AO511" s="39"/>
      <c r="AP511" s="8">
        <f t="shared" si="115"/>
        <v>0</v>
      </c>
      <c r="AQ511" s="8">
        <f t="shared" si="115"/>
        <v>0</v>
      </c>
      <c r="AR511" s="8">
        <f t="shared" si="109"/>
        <v>0</v>
      </c>
      <c r="AS511" s="42"/>
      <c r="AT511" s="48">
        <v>946056</v>
      </c>
      <c r="AU511" s="48">
        <v>95876</v>
      </c>
      <c r="AV511" s="4">
        <f t="shared" si="110"/>
        <v>1041932</v>
      </c>
      <c r="AW511" s="50" t="str">
        <f t="shared" si="111"/>
        <v/>
      </c>
      <c r="AX511" s="1" t="s">
        <v>1654</v>
      </c>
      <c r="AY511" s="2" t="s">
        <v>1655</v>
      </c>
      <c r="AZ511" s="2">
        <v>208991.28</v>
      </c>
      <c r="BA511" s="73">
        <v>182867.37</v>
      </c>
      <c r="BB511" s="73">
        <v>182867.37</v>
      </c>
      <c r="BC511" s="73">
        <v>208991.28</v>
      </c>
      <c r="BD511" s="73"/>
      <c r="BE511" s="66">
        <v>0</v>
      </c>
      <c r="BF511" s="66">
        <v>0.05</v>
      </c>
      <c r="BG511" s="63">
        <v>44040</v>
      </c>
      <c r="BH511" s="2"/>
      <c r="BI511" s="2"/>
      <c r="BJ511" s="2">
        <v>788184</v>
      </c>
      <c r="BK511" s="2">
        <v>87576</v>
      </c>
      <c r="BL511" s="1" t="s">
        <v>219</v>
      </c>
    </row>
    <row r="512" spans="1:64" x14ac:dyDescent="0.25">
      <c r="A512" s="56" t="s">
        <v>1156</v>
      </c>
      <c r="B512" s="54" t="s">
        <v>1156</v>
      </c>
      <c r="C512" s="56" t="s">
        <v>1157</v>
      </c>
      <c r="D512" s="16">
        <v>44880</v>
      </c>
      <c r="E512" s="17"/>
      <c r="F512" s="2" t="s">
        <v>217</v>
      </c>
      <c r="G512" s="2" t="s">
        <v>218</v>
      </c>
      <c r="H512" s="10" t="s">
        <v>105</v>
      </c>
      <c r="I512" s="11" t="s">
        <v>53</v>
      </c>
      <c r="J512" s="11" t="s">
        <v>106</v>
      </c>
      <c r="K512" s="61"/>
      <c r="L512" s="11" t="s">
        <v>67</v>
      </c>
      <c r="M512" s="25"/>
      <c r="N512" s="54"/>
      <c r="O512" s="3" t="str">
        <f t="shared" si="120"/>
        <v>A</v>
      </c>
      <c r="P512" s="48">
        <v>334804</v>
      </c>
      <c r="Q512" s="48">
        <v>39762</v>
      </c>
      <c r="R512" s="32"/>
      <c r="S512" s="3" t="str">
        <f t="shared" si="119"/>
        <v>A</v>
      </c>
      <c r="T512" s="48">
        <v>311891</v>
      </c>
      <c r="U512" s="48">
        <v>35296</v>
      </c>
      <c r="V512" s="32"/>
      <c r="W512" s="3" t="str">
        <f t="shared" si="105"/>
        <v>A</v>
      </c>
      <c r="X512" s="48">
        <v>278116</v>
      </c>
      <c r="Y512" s="48">
        <v>30463</v>
      </c>
      <c r="Z512" s="32"/>
      <c r="AA512" s="3" t="str">
        <f t="shared" si="106"/>
        <v>A</v>
      </c>
      <c r="AB512" s="48">
        <v>287667</v>
      </c>
      <c r="AC512" s="48">
        <v>30087</v>
      </c>
      <c r="AD512" s="36"/>
      <c r="AE512" s="54"/>
      <c r="AF512" s="3" t="str">
        <f t="shared" si="107"/>
        <v>A</v>
      </c>
      <c r="AG512" s="48">
        <v>0</v>
      </c>
      <c r="AH512" s="48">
        <v>0</v>
      </c>
      <c r="AI512" s="39"/>
      <c r="AJ512" s="79" t="s">
        <v>1801</v>
      </c>
      <c r="AK512" s="39"/>
      <c r="AL512" s="4">
        <f t="shared" si="114"/>
        <v>1212478</v>
      </c>
      <c r="AM512" s="4">
        <f t="shared" si="114"/>
        <v>135608</v>
      </c>
      <c r="AN512" s="4">
        <f t="shared" si="108"/>
        <v>1348086</v>
      </c>
      <c r="AO512" s="39"/>
      <c r="AP512" s="8">
        <f t="shared" si="115"/>
        <v>0</v>
      </c>
      <c r="AQ512" s="8">
        <f t="shared" si="115"/>
        <v>0</v>
      </c>
      <c r="AR512" s="8">
        <f t="shared" si="109"/>
        <v>0</v>
      </c>
      <c r="AS512" s="42"/>
      <c r="AT512" s="48">
        <v>1212478</v>
      </c>
      <c r="AU512" s="48">
        <v>135608</v>
      </c>
      <c r="AV512" s="4">
        <f t="shared" si="110"/>
        <v>1348086</v>
      </c>
      <c r="AW512" s="50" t="str">
        <f t="shared" si="111"/>
        <v/>
      </c>
      <c r="AX512" s="1" t="s">
        <v>1658</v>
      </c>
      <c r="AY512" s="2" t="s">
        <v>1659</v>
      </c>
      <c r="AZ512" s="2">
        <v>202267.04</v>
      </c>
      <c r="BA512" s="73">
        <v>176983.66</v>
      </c>
      <c r="BB512" s="73">
        <v>176983.66</v>
      </c>
      <c r="BC512" s="73">
        <v>202267.04</v>
      </c>
      <c r="BD512" s="73"/>
      <c r="BE512" s="66">
        <v>0</v>
      </c>
      <c r="BF512" s="66">
        <v>0.05</v>
      </c>
      <c r="BG512" s="63">
        <v>44878</v>
      </c>
      <c r="BH512" s="2"/>
      <c r="BI512" s="2"/>
      <c r="BJ512" s="2">
        <v>748148.4</v>
      </c>
      <c r="BK512" s="2">
        <v>83127.600000000006</v>
      </c>
      <c r="BL512" s="1" t="s">
        <v>219</v>
      </c>
    </row>
    <row r="513" spans="1:64" x14ac:dyDescent="0.25">
      <c r="A513" s="56" t="s">
        <v>1158</v>
      </c>
      <c r="B513" s="54" t="s">
        <v>1158</v>
      </c>
      <c r="C513" s="56" t="s">
        <v>1159</v>
      </c>
      <c r="D513" s="16">
        <v>45009</v>
      </c>
      <c r="E513" s="17"/>
      <c r="F513" s="2" t="s">
        <v>143</v>
      </c>
      <c r="G513" s="2" t="s">
        <v>144</v>
      </c>
      <c r="H513" s="10" t="s">
        <v>105</v>
      </c>
      <c r="I513" s="11" t="s">
        <v>53</v>
      </c>
      <c r="J513" s="11" t="s">
        <v>145</v>
      </c>
      <c r="K513" s="61"/>
      <c r="L513" s="11" t="s">
        <v>67</v>
      </c>
      <c r="M513" s="25"/>
      <c r="N513" s="54"/>
      <c r="O513" s="3" t="str">
        <f t="shared" si="120"/>
        <v>E</v>
      </c>
      <c r="P513" s="48">
        <v>123751.76</v>
      </c>
      <c r="Q513" s="48">
        <v>15842.4</v>
      </c>
      <c r="R513" s="32"/>
      <c r="S513" s="3" t="str">
        <f t="shared" si="119"/>
        <v>E</v>
      </c>
      <c r="T513" s="48">
        <v>108282.79</v>
      </c>
      <c r="U513" s="48">
        <v>13862.1</v>
      </c>
      <c r="V513" s="32"/>
      <c r="W513" s="3" t="str">
        <f t="shared" si="105"/>
        <v>E</v>
      </c>
      <c r="X513" s="48">
        <v>108282.79</v>
      </c>
      <c r="Y513" s="48">
        <v>13862.1</v>
      </c>
      <c r="Z513" s="32"/>
      <c r="AA513" s="3" t="str">
        <f t="shared" si="106"/>
        <v>E</v>
      </c>
      <c r="AB513" s="48">
        <v>123751.76</v>
      </c>
      <c r="AC513" s="48">
        <v>15842.4</v>
      </c>
      <c r="AD513" s="36"/>
      <c r="AE513" s="54"/>
      <c r="AF513" s="3" t="str">
        <f t="shared" si="107"/>
        <v>A</v>
      </c>
      <c r="AG513" s="48"/>
      <c r="AH513" s="48"/>
      <c r="AI513" s="39"/>
      <c r="AJ513" s="79" t="s">
        <v>38</v>
      </c>
      <c r="AK513" s="39"/>
      <c r="AL513" s="4">
        <f t="shared" si="114"/>
        <v>0</v>
      </c>
      <c r="AM513" s="4">
        <f t="shared" si="114"/>
        <v>0</v>
      </c>
      <c r="AN513" s="4">
        <f t="shared" si="108"/>
        <v>0</v>
      </c>
      <c r="AO513" s="39"/>
      <c r="AP513" s="8">
        <f t="shared" si="115"/>
        <v>464069.1</v>
      </c>
      <c r="AQ513" s="8">
        <f t="shared" si="115"/>
        <v>59409</v>
      </c>
      <c r="AR513" s="8">
        <f t="shared" si="109"/>
        <v>523478.1</v>
      </c>
      <c r="AS513" s="42"/>
      <c r="AT513" s="48"/>
      <c r="AU513" s="48"/>
      <c r="AV513" s="4">
        <f t="shared" si="110"/>
        <v>0</v>
      </c>
      <c r="AW513" s="50" t="str">
        <f t="shared" si="111"/>
        <v/>
      </c>
      <c r="AX513" s="1" t="s">
        <v>1650</v>
      </c>
      <c r="AY513" s="2" t="s">
        <v>1651</v>
      </c>
      <c r="AZ513" s="2">
        <v>123751.76</v>
      </c>
      <c r="BA513" s="73">
        <v>108282.79</v>
      </c>
      <c r="BB513" s="73">
        <v>108282.79</v>
      </c>
      <c r="BC513" s="73">
        <v>123751.76</v>
      </c>
      <c r="BD513" s="73"/>
      <c r="BE513" s="66">
        <v>0</v>
      </c>
      <c r="BF513" s="66">
        <v>0.05</v>
      </c>
      <c r="BG513" s="63">
        <v>45000</v>
      </c>
      <c r="BH513" s="2"/>
      <c r="BI513" s="2"/>
      <c r="BJ513" s="2">
        <v>440194.5</v>
      </c>
      <c r="BK513" s="2">
        <v>48910.5</v>
      </c>
      <c r="BL513" s="1" t="s">
        <v>104</v>
      </c>
    </row>
    <row r="514" spans="1:64" x14ac:dyDescent="0.25">
      <c r="A514" s="56" t="s">
        <v>1160</v>
      </c>
      <c r="B514" s="54" t="s">
        <v>1160</v>
      </c>
      <c r="C514" s="56" t="s">
        <v>1161</v>
      </c>
      <c r="D514" s="16">
        <v>0</v>
      </c>
      <c r="E514" s="17"/>
      <c r="F514" s="2" t="s">
        <v>52</v>
      </c>
      <c r="G514" s="2" t="s">
        <v>55</v>
      </c>
      <c r="H514" s="10" t="s">
        <v>57</v>
      </c>
      <c r="I514" s="11" t="s">
        <v>54</v>
      </c>
      <c r="J514" s="11" t="s">
        <v>620</v>
      </c>
      <c r="K514" s="61" t="s">
        <v>621</v>
      </c>
      <c r="L514" s="11" t="s">
        <v>67</v>
      </c>
      <c r="M514" s="25"/>
      <c r="N514" s="54"/>
      <c r="O514" s="3" t="str">
        <f t="shared" si="120"/>
        <v>A</v>
      </c>
      <c r="P514" s="48">
        <v>22755</v>
      </c>
      <c r="Q514" s="48">
        <v>5715</v>
      </c>
      <c r="R514" s="32"/>
      <c r="S514" s="3" t="str">
        <f t="shared" si="119"/>
        <v>A</v>
      </c>
      <c r="T514" s="48">
        <v>21578</v>
      </c>
      <c r="U514" s="48">
        <v>3559</v>
      </c>
      <c r="V514" s="32"/>
      <c r="W514" s="3" t="str">
        <f t="shared" si="105"/>
        <v>A</v>
      </c>
      <c r="X514" s="48">
        <v>14337</v>
      </c>
      <c r="Y514" s="48">
        <v>3623</v>
      </c>
      <c r="Z514" s="32"/>
      <c r="AA514" s="3" t="str">
        <f t="shared" si="106"/>
        <v>A</v>
      </c>
      <c r="AB514" s="48">
        <v>19329</v>
      </c>
      <c r="AC514" s="48">
        <v>3225</v>
      </c>
      <c r="AD514" s="36"/>
      <c r="AE514" s="54"/>
      <c r="AF514" s="3" t="str">
        <f t="shared" si="107"/>
        <v>A</v>
      </c>
      <c r="AG514" s="48">
        <v>0</v>
      </c>
      <c r="AH514" s="48">
        <v>0</v>
      </c>
      <c r="AI514" s="39"/>
      <c r="AJ514" s="79" t="s">
        <v>1801</v>
      </c>
      <c r="AK514" s="39"/>
      <c r="AL514" s="4">
        <f t="shared" si="114"/>
        <v>77999</v>
      </c>
      <c r="AM514" s="4">
        <f t="shared" si="114"/>
        <v>16122</v>
      </c>
      <c r="AN514" s="4">
        <f t="shared" si="108"/>
        <v>94121</v>
      </c>
      <c r="AO514" s="39"/>
      <c r="AP514" s="8">
        <f t="shared" si="115"/>
        <v>0</v>
      </c>
      <c r="AQ514" s="8">
        <f t="shared" si="115"/>
        <v>0</v>
      </c>
      <c r="AR514" s="8">
        <f t="shared" si="109"/>
        <v>0</v>
      </c>
      <c r="AS514" s="42"/>
      <c r="AT514" s="48">
        <v>77999</v>
      </c>
      <c r="AU514" s="48">
        <v>16122</v>
      </c>
      <c r="AV514" s="4">
        <f t="shared" si="110"/>
        <v>94121</v>
      </c>
      <c r="AW514" s="50" t="str">
        <f t="shared" si="111"/>
        <v/>
      </c>
      <c r="AX514" s="1" t="s">
        <v>1639</v>
      </c>
      <c r="AY514" s="2" t="s">
        <v>1640</v>
      </c>
      <c r="AZ514" s="2">
        <v>65442</v>
      </c>
      <c r="BA514" s="73">
        <v>57261.75</v>
      </c>
      <c r="BB514" s="73">
        <v>57261.75</v>
      </c>
      <c r="BC514" s="73">
        <v>65442</v>
      </c>
      <c r="BD514" s="73"/>
      <c r="BE514" s="66">
        <v>0</v>
      </c>
      <c r="BF514" s="66">
        <v>0.02</v>
      </c>
      <c r="BG514" s="63">
        <v>45036</v>
      </c>
      <c r="BH514" s="2"/>
      <c r="BI514" s="2"/>
      <c r="BJ514" s="2">
        <v>236284.7</v>
      </c>
      <c r="BK514" s="2">
        <v>41697.300000000003</v>
      </c>
      <c r="BL514" s="1" t="s">
        <v>56</v>
      </c>
    </row>
    <row r="515" spans="1:64" x14ac:dyDescent="0.25">
      <c r="A515" s="56" t="s">
        <v>1162</v>
      </c>
      <c r="B515" s="54" t="s">
        <v>1162</v>
      </c>
      <c r="C515" s="56" t="s">
        <v>1163</v>
      </c>
      <c r="D515" s="16">
        <v>0</v>
      </c>
      <c r="E515" s="17"/>
      <c r="F515" s="2" t="s">
        <v>1164</v>
      </c>
      <c r="G515" s="2" t="s">
        <v>1165</v>
      </c>
      <c r="H515" s="10" t="s">
        <v>57</v>
      </c>
      <c r="I515" s="11" t="s">
        <v>53</v>
      </c>
      <c r="J515" s="11" t="s">
        <v>1166</v>
      </c>
      <c r="K515" s="61"/>
      <c r="L515" s="11" t="s">
        <v>67</v>
      </c>
      <c r="M515" s="25"/>
      <c r="N515" s="54"/>
      <c r="O515" s="3" t="str">
        <f t="shared" si="120"/>
        <v>A</v>
      </c>
      <c r="P515" s="48">
        <v>165127</v>
      </c>
      <c r="Q515" s="48">
        <v>14913</v>
      </c>
      <c r="R515" s="32"/>
      <c r="S515" s="3" t="str">
        <f t="shared" si="119"/>
        <v>A</v>
      </c>
      <c r="T515" s="48">
        <v>140568</v>
      </c>
      <c r="U515" s="48">
        <v>12362</v>
      </c>
      <c r="V515" s="32"/>
      <c r="W515" s="3" t="str">
        <f t="shared" si="105"/>
        <v>A</v>
      </c>
      <c r="X515" s="48">
        <v>127662</v>
      </c>
      <c r="Y515" s="48">
        <v>12074</v>
      </c>
      <c r="Z515" s="32"/>
      <c r="AA515" s="3" t="str">
        <f t="shared" si="106"/>
        <v>A</v>
      </c>
      <c r="AB515" s="48">
        <v>139074</v>
      </c>
      <c r="AC515" s="48">
        <v>12741</v>
      </c>
      <c r="AD515" s="36"/>
      <c r="AE515" s="54"/>
      <c r="AF515" s="3" t="str">
        <f t="shared" si="107"/>
        <v>A</v>
      </c>
      <c r="AG515" s="48">
        <v>0</v>
      </c>
      <c r="AH515" s="48">
        <v>0</v>
      </c>
      <c r="AI515" s="39"/>
      <c r="AJ515" s="79" t="s">
        <v>1801</v>
      </c>
      <c r="AK515" s="39"/>
      <c r="AL515" s="4">
        <f t="shared" si="114"/>
        <v>572431</v>
      </c>
      <c r="AM515" s="4">
        <f t="shared" si="114"/>
        <v>52090</v>
      </c>
      <c r="AN515" s="4">
        <f t="shared" si="108"/>
        <v>624521</v>
      </c>
      <c r="AO515" s="39"/>
      <c r="AP515" s="8">
        <f t="shared" si="115"/>
        <v>0</v>
      </c>
      <c r="AQ515" s="8">
        <f t="shared" si="115"/>
        <v>0</v>
      </c>
      <c r="AR515" s="8">
        <f t="shared" si="109"/>
        <v>0</v>
      </c>
      <c r="AS515" s="42"/>
      <c r="AT515" s="48">
        <v>572431</v>
      </c>
      <c r="AU515" s="48">
        <v>52090</v>
      </c>
      <c r="AV515" s="4">
        <f t="shared" si="110"/>
        <v>624521</v>
      </c>
      <c r="AW515" s="50" t="str">
        <f t="shared" si="111"/>
        <v/>
      </c>
      <c r="AX515" s="1" t="s">
        <v>1762</v>
      </c>
      <c r="AY515" s="2" t="s">
        <v>1763</v>
      </c>
      <c r="AZ515" s="2">
        <v>158273.28</v>
      </c>
      <c r="BA515" s="73">
        <v>138489.12</v>
      </c>
      <c r="BB515" s="73">
        <v>138489.12</v>
      </c>
      <c r="BC515" s="73">
        <v>158273.28</v>
      </c>
      <c r="BD515" s="73"/>
      <c r="BE515" s="66">
        <v>0</v>
      </c>
      <c r="BF515" s="66">
        <v>0.05</v>
      </c>
      <c r="BG515" s="63">
        <v>44915</v>
      </c>
      <c r="BH515" s="2"/>
      <c r="BI515" s="2"/>
      <c r="BJ515" s="2">
        <v>627813.75</v>
      </c>
      <c r="BK515" s="2">
        <v>69757.08</v>
      </c>
      <c r="BL515" s="1" t="s">
        <v>56</v>
      </c>
    </row>
    <row r="516" spans="1:64" x14ac:dyDescent="0.25">
      <c r="A516" s="56" t="s">
        <v>1162</v>
      </c>
      <c r="B516" s="54" t="s">
        <v>1167</v>
      </c>
      <c r="C516" s="56" t="s">
        <v>1168</v>
      </c>
      <c r="D516" s="16">
        <v>0</v>
      </c>
      <c r="E516" s="17"/>
      <c r="F516" s="2" t="s">
        <v>1164</v>
      </c>
      <c r="G516" s="2" t="s">
        <v>1165</v>
      </c>
      <c r="H516" s="10" t="s">
        <v>57</v>
      </c>
      <c r="I516" s="11" t="s">
        <v>53</v>
      </c>
      <c r="J516" s="11" t="s">
        <v>1166</v>
      </c>
      <c r="K516" s="61"/>
      <c r="L516" s="11" t="s">
        <v>67</v>
      </c>
      <c r="M516" s="25"/>
      <c r="N516" s="54"/>
      <c r="O516" s="3" t="str">
        <f t="shared" si="120"/>
        <v>A</v>
      </c>
      <c r="P516" s="48">
        <v>92788</v>
      </c>
      <c r="Q516" s="48">
        <v>25315</v>
      </c>
      <c r="R516" s="32"/>
      <c r="S516" s="3" t="str">
        <f t="shared" si="119"/>
        <v>A</v>
      </c>
      <c r="T516" s="48">
        <v>93876</v>
      </c>
      <c r="U516" s="48">
        <v>18725</v>
      </c>
      <c r="V516" s="32"/>
      <c r="W516" s="3" t="str">
        <f t="shared" si="105"/>
        <v>A</v>
      </c>
      <c r="X516" s="48">
        <v>77210</v>
      </c>
      <c r="Y516" s="48">
        <v>14745</v>
      </c>
      <c r="Z516" s="32"/>
      <c r="AA516" s="3" t="str">
        <f t="shared" si="106"/>
        <v>A</v>
      </c>
      <c r="AB516" s="48">
        <v>86518</v>
      </c>
      <c r="AC516" s="48">
        <v>22505</v>
      </c>
      <c r="AD516" s="36"/>
      <c r="AE516" s="54"/>
      <c r="AF516" s="3" t="str">
        <f t="shared" si="107"/>
        <v>A</v>
      </c>
      <c r="AG516" s="48">
        <v>0</v>
      </c>
      <c r="AH516" s="48">
        <v>0</v>
      </c>
      <c r="AI516" s="39"/>
      <c r="AJ516" s="79" t="s">
        <v>1801</v>
      </c>
      <c r="AK516" s="39"/>
      <c r="AL516" s="4">
        <f t="shared" si="114"/>
        <v>350392</v>
      </c>
      <c r="AM516" s="4">
        <f t="shared" si="114"/>
        <v>81290</v>
      </c>
      <c r="AN516" s="4">
        <f t="shared" si="108"/>
        <v>431682</v>
      </c>
      <c r="AO516" s="39"/>
      <c r="AP516" s="8">
        <f t="shared" si="115"/>
        <v>0</v>
      </c>
      <c r="AQ516" s="8">
        <f t="shared" si="115"/>
        <v>0</v>
      </c>
      <c r="AR516" s="8">
        <f t="shared" si="109"/>
        <v>0</v>
      </c>
      <c r="AS516" s="42"/>
      <c r="AT516" s="48">
        <v>350392</v>
      </c>
      <c r="AU516" s="48">
        <v>81290</v>
      </c>
      <c r="AV516" s="4">
        <f t="shared" si="110"/>
        <v>431682</v>
      </c>
      <c r="AW516" s="50" t="str">
        <f t="shared" si="111"/>
        <v/>
      </c>
      <c r="AX516" s="1" t="s">
        <v>1762</v>
      </c>
      <c r="AY516" s="2" t="s">
        <v>1763</v>
      </c>
      <c r="AZ516" s="2">
        <v>135972.56</v>
      </c>
      <c r="BA516" s="73">
        <v>118975.99</v>
      </c>
      <c r="BB516" s="73">
        <v>118975.99</v>
      </c>
      <c r="BC516" s="73">
        <v>135972.56</v>
      </c>
      <c r="BD516" s="73"/>
      <c r="BE516" s="66">
        <v>0</v>
      </c>
      <c r="BF516" s="66">
        <v>0.05</v>
      </c>
      <c r="BG516" s="63">
        <v>44952</v>
      </c>
      <c r="BH516" s="2"/>
      <c r="BI516" s="2"/>
      <c r="BJ516" s="2">
        <v>515873.75</v>
      </c>
      <c r="BK516" s="2">
        <v>57319.31</v>
      </c>
      <c r="BL516" s="1" t="s">
        <v>56</v>
      </c>
    </row>
    <row r="517" spans="1:64" x14ac:dyDescent="0.25">
      <c r="A517" s="56" t="s">
        <v>1171</v>
      </c>
      <c r="B517" s="54" t="s">
        <v>1171</v>
      </c>
      <c r="C517" s="56" t="s">
        <v>1172</v>
      </c>
      <c r="D517" s="16">
        <v>0</v>
      </c>
      <c r="E517" s="17"/>
      <c r="F517" s="2" t="s">
        <v>243</v>
      </c>
      <c r="G517" s="2" t="s">
        <v>245</v>
      </c>
      <c r="H517" s="10" t="s">
        <v>98</v>
      </c>
      <c r="I517" s="11" t="s">
        <v>244</v>
      </c>
      <c r="J517" s="11" t="s">
        <v>278</v>
      </c>
      <c r="K517" s="61" t="s">
        <v>279</v>
      </c>
      <c r="L517" s="11" t="s">
        <v>67</v>
      </c>
      <c r="M517" s="25"/>
      <c r="N517" s="54"/>
      <c r="O517" s="3" t="str">
        <f t="shared" si="120"/>
        <v>A</v>
      </c>
      <c r="P517" s="48">
        <v>81238.399999999994</v>
      </c>
      <c r="Q517" s="48">
        <v>3540</v>
      </c>
      <c r="R517" s="32"/>
      <c r="S517" s="3" t="str">
        <f t="shared" si="119"/>
        <v>A</v>
      </c>
      <c r="T517" s="48">
        <v>74056.149999999994</v>
      </c>
      <c r="U517" s="48">
        <v>2866</v>
      </c>
      <c r="V517" s="32"/>
      <c r="W517" s="3" t="str">
        <f t="shared" si="105"/>
        <v>A</v>
      </c>
      <c r="X517" s="48">
        <v>62504.960000000006</v>
      </c>
      <c r="Y517" s="48">
        <v>1963</v>
      </c>
      <c r="Z517" s="32"/>
      <c r="AA517" s="3" t="str">
        <f t="shared" si="106"/>
        <v>A</v>
      </c>
      <c r="AB517" s="48">
        <v>70592.5</v>
      </c>
      <c r="AC517" s="48">
        <v>4227</v>
      </c>
      <c r="AD517" s="36"/>
      <c r="AE517" s="54"/>
      <c r="AF517" s="3" t="str">
        <f t="shared" si="107"/>
        <v>A</v>
      </c>
      <c r="AG517" s="48">
        <v>0</v>
      </c>
      <c r="AH517" s="48">
        <v>0</v>
      </c>
      <c r="AI517" s="39"/>
      <c r="AJ517" s="79" t="s">
        <v>1801</v>
      </c>
      <c r="AK517" s="39"/>
      <c r="AL517" s="4">
        <f t="shared" si="114"/>
        <v>288392.01</v>
      </c>
      <c r="AM517" s="4">
        <f t="shared" si="114"/>
        <v>12596</v>
      </c>
      <c r="AN517" s="4">
        <f t="shared" si="108"/>
        <v>300988.01</v>
      </c>
      <c r="AO517" s="39"/>
      <c r="AP517" s="8">
        <f t="shared" si="115"/>
        <v>0</v>
      </c>
      <c r="AQ517" s="8">
        <f t="shared" si="115"/>
        <v>0</v>
      </c>
      <c r="AR517" s="8">
        <f t="shared" si="109"/>
        <v>0</v>
      </c>
      <c r="AS517" s="42"/>
      <c r="AT517" s="48">
        <v>288392.01</v>
      </c>
      <c r="AU517" s="48">
        <v>12596</v>
      </c>
      <c r="AV517" s="4">
        <f t="shared" si="110"/>
        <v>300988.01</v>
      </c>
      <c r="AW517" s="50" t="str">
        <f t="shared" si="111"/>
        <v/>
      </c>
      <c r="AX517" s="1" t="s">
        <v>1639</v>
      </c>
      <c r="AY517" s="2" t="s">
        <v>1640</v>
      </c>
      <c r="AZ517" s="2">
        <v>154882.07999999999</v>
      </c>
      <c r="BA517" s="73">
        <v>135521.82</v>
      </c>
      <c r="BB517" s="73">
        <v>135521.82</v>
      </c>
      <c r="BC517" s="73">
        <v>154882.07999999999</v>
      </c>
      <c r="BD517" s="73"/>
      <c r="BE517" s="66">
        <v>0</v>
      </c>
      <c r="BF517" s="66">
        <v>0.02</v>
      </c>
      <c r="BG517" s="63">
        <v>45077</v>
      </c>
      <c r="BH517" s="2"/>
      <c r="BI517" s="2"/>
      <c r="BJ517" s="2">
        <v>569016</v>
      </c>
      <c r="BK517" s="2">
        <v>29873.34</v>
      </c>
      <c r="BL517" s="1" t="s">
        <v>97</v>
      </c>
    </row>
    <row r="518" spans="1:64" x14ac:dyDescent="0.25">
      <c r="A518" s="56" t="s">
        <v>1179</v>
      </c>
      <c r="B518" s="54" t="s">
        <v>1179</v>
      </c>
      <c r="C518" s="56" t="s">
        <v>1180</v>
      </c>
      <c r="D518" s="16">
        <v>54788</v>
      </c>
      <c r="E518" s="17"/>
      <c r="F518" s="2" t="s">
        <v>1181</v>
      </c>
      <c r="G518" s="2" t="s">
        <v>1182</v>
      </c>
      <c r="H518" s="10" t="s">
        <v>105</v>
      </c>
      <c r="I518" s="11" t="s">
        <v>53</v>
      </c>
      <c r="J518" s="11" t="s">
        <v>350</v>
      </c>
      <c r="K518" s="61"/>
      <c r="L518" s="11" t="s">
        <v>67</v>
      </c>
      <c r="M518" s="25"/>
      <c r="N518" s="54"/>
      <c r="O518" s="3" t="str">
        <f t="shared" si="120"/>
        <v>A</v>
      </c>
      <c r="P518" s="48"/>
      <c r="Q518" s="48"/>
      <c r="R518" s="32"/>
      <c r="S518" s="3" t="str">
        <f t="shared" si="119"/>
        <v>A</v>
      </c>
      <c r="T518" s="48"/>
      <c r="U518" s="48"/>
      <c r="V518" s="32"/>
      <c r="W518" s="3" t="str">
        <f t="shared" si="105"/>
        <v>A</v>
      </c>
      <c r="X518" s="48"/>
      <c r="Y518" s="48"/>
      <c r="Z518" s="32"/>
      <c r="AA518" s="3" t="str">
        <f t="shared" si="106"/>
        <v>A</v>
      </c>
      <c r="AB518" s="48"/>
      <c r="AC518" s="48"/>
      <c r="AD518" s="36"/>
      <c r="AE518" s="54"/>
      <c r="AF518" s="3" t="str">
        <f t="shared" si="107"/>
        <v>A</v>
      </c>
      <c r="AG518" s="48"/>
      <c r="AH518" s="48"/>
      <c r="AI518" s="39"/>
      <c r="AJ518" s="79" t="s">
        <v>1801</v>
      </c>
      <c r="AK518" s="39"/>
      <c r="AL518" s="4">
        <f t="shared" si="114"/>
        <v>0</v>
      </c>
      <c r="AM518" s="4">
        <f t="shared" si="114"/>
        <v>0</v>
      </c>
      <c r="AN518" s="4">
        <f t="shared" si="108"/>
        <v>0</v>
      </c>
      <c r="AO518" s="39"/>
      <c r="AP518" s="8">
        <f t="shared" si="115"/>
        <v>0</v>
      </c>
      <c r="AQ518" s="8">
        <f t="shared" si="115"/>
        <v>0</v>
      </c>
      <c r="AR518" s="8">
        <f t="shared" si="109"/>
        <v>0</v>
      </c>
      <c r="AS518" s="42"/>
      <c r="AT518" s="48"/>
      <c r="AU518" s="48"/>
      <c r="AV518" s="4">
        <f t="shared" si="110"/>
        <v>0</v>
      </c>
      <c r="AW518" s="50" t="str">
        <f t="shared" si="111"/>
        <v/>
      </c>
      <c r="AX518" s="1" t="s">
        <v>1764</v>
      </c>
      <c r="AY518" s="2" t="s">
        <v>1765</v>
      </c>
      <c r="AZ518" s="2"/>
      <c r="BA518" s="73"/>
      <c r="BB518" s="73"/>
      <c r="BC518" s="73"/>
      <c r="BD518" s="73"/>
      <c r="BE518" s="66">
        <v>0</v>
      </c>
      <c r="BF518" s="66">
        <v>0.05</v>
      </c>
      <c r="BG518" s="63">
        <v>0</v>
      </c>
      <c r="BH518" s="2"/>
      <c r="BI518" s="2"/>
      <c r="BJ518" s="2">
        <v>460598.4</v>
      </c>
      <c r="BK518" s="2">
        <v>51177.599999999999</v>
      </c>
      <c r="BL518" s="1" t="s">
        <v>219</v>
      </c>
    </row>
    <row r="519" spans="1:64" x14ac:dyDescent="0.25">
      <c r="A519" s="56" t="s">
        <v>1183</v>
      </c>
      <c r="B519" s="54" t="s">
        <v>1183</v>
      </c>
      <c r="C519" s="56" t="s">
        <v>1184</v>
      </c>
      <c r="D519" s="16">
        <v>44952</v>
      </c>
      <c r="E519" s="17"/>
      <c r="F519" s="2" t="s">
        <v>414</v>
      </c>
      <c r="G519" s="2" t="s">
        <v>415</v>
      </c>
      <c r="H519" s="10" t="s">
        <v>105</v>
      </c>
      <c r="I519" s="11" t="s">
        <v>53</v>
      </c>
      <c r="J519" s="11" t="s">
        <v>312</v>
      </c>
      <c r="K519" s="61"/>
      <c r="L519" s="11" t="s">
        <v>67</v>
      </c>
      <c r="M519" s="25"/>
      <c r="N519" s="54"/>
      <c r="O519" s="3" t="str">
        <f t="shared" si="120"/>
        <v>E</v>
      </c>
      <c r="P519" s="48">
        <v>166826.72</v>
      </c>
      <c r="Q519" s="48">
        <v>17616.16</v>
      </c>
      <c r="R519" s="32"/>
      <c r="S519" s="3" t="str">
        <f t="shared" si="119"/>
        <v>E</v>
      </c>
      <c r="T519" s="48">
        <v>145973.38</v>
      </c>
      <c r="U519" s="48">
        <v>15414.14</v>
      </c>
      <c r="V519" s="32"/>
      <c r="W519" s="3" t="str">
        <f t="shared" si="105"/>
        <v>E</v>
      </c>
      <c r="X519" s="48">
        <v>145973.38</v>
      </c>
      <c r="Y519" s="48">
        <v>15414.14</v>
      </c>
      <c r="Z519" s="32"/>
      <c r="AA519" s="3" t="str">
        <f t="shared" si="106"/>
        <v>E</v>
      </c>
      <c r="AB519" s="48">
        <v>166826.72</v>
      </c>
      <c r="AC519" s="48">
        <v>17616.16</v>
      </c>
      <c r="AD519" s="36"/>
      <c r="AE519" s="54"/>
      <c r="AF519" s="3" t="str">
        <f t="shared" si="107"/>
        <v>A</v>
      </c>
      <c r="AG519" s="48"/>
      <c r="AH519" s="48"/>
      <c r="AI519" s="39"/>
      <c r="AJ519" s="79" t="s">
        <v>38</v>
      </c>
      <c r="AK519" s="39"/>
      <c r="AL519" s="4">
        <f t="shared" si="114"/>
        <v>0</v>
      </c>
      <c r="AM519" s="4">
        <f t="shared" si="114"/>
        <v>0</v>
      </c>
      <c r="AN519" s="4">
        <f t="shared" si="108"/>
        <v>0</v>
      </c>
      <c r="AO519" s="39"/>
      <c r="AP519" s="8">
        <f t="shared" si="115"/>
        <v>625600.19999999995</v>
      </c>
      <c r="AQ519" s="8">
        <f t="shared" si="115"/>
        <v>66060.600000000006</v>
      </c>
      <c r="AR519" s="8">
        <f t="shared" si="109"/>
        <v>691660.79999999993</v>
      </c>
      <c r="AS519" s="42"/>
      <c r="AT519" s="48"/>
      <c r="AU519" s="48"/>
      <c r="AV519" s="4">
        <f t="shared" si="110"/>
        <v>0</v>
      </c>
      <c r="AW519" s="50" t="str">
        <f t="shared" si="111"/>
        <v/>
      </c>
      <c r="AX519" s="1" t="s">
        <v>1703</v>
      </c>
      <c r="AY519" s="2" t="s">
        <v>1704</v>
      </c>
      <c r="AZ519" s="2">
        <v>166826.72</v>
      </c>
      <c r="BA519" s="73">
        <v>145973.38</v>
      </c>
      <c r="BB519" s="73">
        <v>145973.38</v>
      </c>
      <c r="BC519" s="73">
        <v>166826.72</v>
      </c>
      <c r="BD519" s="73"/>
      <c r="BE519" s="66">
        <v>0</v>
      </c>
      <c r="BF519" s="66">
        <v>0.05</v>
      </c>
      <c r="BG519" s="63">
        <v>44948</v>
      </c>
      <c r="BH519" s="2"/>
      <c r="BI519" s="2"/>
      <c r="BJ519" s="2">
        <v>632934</v>
      </c>
      <c r="BK519" s="2">
        <v>70326</v>
      </c>
      <c r="BL519" s="1" t="s">
        <v>104</v>
      </c>
    </row>
    <row r="520" spans="1:64" x14ac:dyDescent="0.25">
      <c r="A520" s="56" t="s">
        <v>1185</v>
      </c>
      <c r="B520" s="54" t="s">
        <v>1185</v>
      </c>
      <c r="C520" s="56" t="s">
        <v>1186</v>
      </c>
      <c r="D520" s="16">
        <v>45013</v>
      </c>
      <c r="E520" s="17"/>
      <c r="F520" s="2" t="s">
        <v>414</v>
      </c>
      <c r="G520" s="2" t="s">
        <v>415</v>
      </c>
      <c r="H520" s="10" t="s">
        <v>105</v>
      </c>
      <c r="I520" s="11" t="s">
        <v>53</v>
      </c>
      <c r="J520" s="11" t="s">
        <v>312</v>
      </c>
      <c r="K520" s="61"/>
      <c r="L520" s="11" t="s">
        <v>67</v>
      </c>
      <c r="M520" s="25"/>
      <c r="N520" s="54"/>
      <c r="O520" s="3" t="str">
        <f t="shared" si="120"/>
        <v>E</v>
      </c>
      <c r="P520" s="48">
        <v>165377.84</v>
      </c>
      <c r="Q520" s="48">
        <v>21171.52</v>
      </c>
      <c r="R520" s="32"/>
      <c r="S520" s="3" t="str">
        <f t="shared" si="119"/>
        <v>E</v>
      </c>
      <c r="T520" s="48">
        <v>144705.60999999999</v>
      </c>
      <c r="U520" s="48">
        <v>18525.080000000002</v>
      </c>
      <c r="V520" s="32"/>
      <c r="W520" s="3" t="str">
        <f t="shared" ref="W520:W583" si="121">IF($A520="","",IF(X520=0,"A",IF(X520=BB520,"E","A")))</f>
        <v>E</v>
      </c>
      <c r="X520" s="48">
        <v>144705.60999999999</v>
      </c>
      <c r="Y520" s="48">
        <v>18525.080000000002</v>
      </c>
      <c r="Z520" s="32"/>
      <c r="AA520" s="3" t="str">
        <f t="shared" ref="AA520:AA583" si="122">IF($A520="","",IF(AB520=0,"A",IF(AB520=BC520,"E","A")))</f>
        <v>E</v>
      </c>
      <c r="AB520" s="48">
        <v>165377.84</v>
      </c>
      <c r="AC520" s="48">
        <v>21171.52</v>
      </c>
      <c r="AD520" s="36"/>
      <c r="AE520" s="54"/>
      <c r="AF520" s="3" t="str">
        <f t="shared" ref="AF520:AF583" si="123">IF($A520="","",IF(AG520=0,"A",IF(AG520=BD520,"E","A")))</f>
        <v>A</v>
      </c>
      <c r="AG520" s="48"/>
      <c r="AH520" s="48"/>
      <c r="AI520" s="39"/>
      <c r="AJ520" s="79" t="s">
        <v>38</v>
      </c>
      <c r="AK520" s="39"/>
      <c r="AL520" s="4">
        <f t="shared" si="114"/>
        <v>0</v>
      </c>
      <c r="AM520" s="4">
        <f t="shared" si="114"/>
        <v>0</v>
      </c>
      <c r="AN520" s="4">
        <f t="shared" ref="AN520:AN583" si="124">SUM(AL520:AM520)</f>
        <v>0</v>
      </c>
      <c r="AO520" s="39"/>
      <c r="AP520" s="8">
        <f t="shared" si="115"/>
        <v>620166.89999999991</v>
      </c>
      <c r="AQ520" s="8">
        <f t="shared" si="115"/>
        <v>79393.200000000012</v>
      </c>
      <c r="AR520" s="8">
        <f t="shared" ref="AR520:AR583" si="125">SUM(AP520:AQ520)</f>
        <v>699560.09999999986</v>
      </c>
      <c r="AS520" s="42"/>
      <c r="AT520" s="48"/>
      <c r="AU520" s="48"/>
      <c r="AV520" s="4">
        <f t="shared" ref="AV520:AV583" si="126">SUM(AT520:AU520)</f>
        <v>0</v>
      </c>
      <c r="AW520" s="50" t="str">
        <f t="shared" ref="AW520:AW583" si="127">IF(AV520=0,"",IF(AN520=AV520,"","W"))</f>
        <v/>
      </c>
      <c r="AX520" s="1" t="s">
        <v>1703</v>
      </c>
      <c r="AY520" s="2" t="s">
        <v>1704</v>
      </c>
      <c r="AZ520" s="2">
        <v>165377.84</v>
      </c>
      <c r="BA520" s="73">
        <v>144705.60999999999</v>
      </c>
      <c r="BB520" s="73">
        <v>144705.60999999999</v>
      </c>
      <c r="BC520" s="73">
        <v>165377.84</v>
      </c>
      <c r="BD520" s="73"/>
      <c r="BE520" s="66">
        <v>0</v>
      </c>
      <c r="BF520" s="66">
        <v>0.05</v>
      </c>
      <c r="BG520" s="63">
        <v>45007</v>
      </c>
      <c r="BH520" s="2"/>
      <c r="BI520" s="2"/>
      <c r="BJ520" s="2">
        <v>588262.5</v>
      </c>
      <c r="BK520" s="2">
        <v>65362.5</v>
      </c>
      <c r="BL520" s="1" t="s">
        <v>104</v>
      </c>
    </row>
    <row r="521" spans="1:64" x14ac:dyDescent="0.25">
      <c r="A521" s="56" t="s">
        <v>1187</v>
      </c>
      <c r="B521" s="54" t="s">
        <v>1187</v>
      </c>
      <c r="C521" s="56" t="s">
        <v>1188</v>
      </c>
      <c r="D521" s="16">
        <v>45098</v>
      </c>
      <c r="E521" s="17"/>
      <c r="F521" s="2" t="s">
        <v>953</v>
      </c>
      <c r="G521" s="2" t="s">
        <v>954</v>
      </c>
      <c r="H521" s="10" t="s">
        <v>98</v>
      </c>
      <c r="I521" s="11" t="s">
        <v>53</v>
      </c>
      <c r="J521" s="11" t="s">
        <v>224</v>
      </c>
      <c r="K521" s="61"/>
      <c r="L521" s="11" t="s">
        <v>67</v>
      </c>
      <c r="M521" s="25"/>
      <c r="N521" s="54"/>
      <c r="O521" s="3" t="str">
        <f t="shared" si="120"/>
        <v>A</v>
      </c>
      <c r="P521" s="48">
        <v>84099</v>
      </c>
      <c r="Q521" s="48">
        <v>1855</v>
      </c>
      <c r="R521" s="32"/>
      <c r="S521" s="3" t="str">
        <f t="shared" si="119"/>
        <v>A</v>
      </c>
      <c r="T521" s="48">
        <v>81311</v>
      </c>
      <c r="U521" s="48">
        <v>2055</v>
      </c>
      <c r="V521" s="32"/>
      <c r="W521" s="3" t="str">
        <f t="shared" si="121"/>
        <v>A</v>
      </c>
      <c r="X521" s="48">
        <v>69408</v>
      </c>
      <c r="Y521" s="48">
        <v>1070</v>
      </c>
      <c r="Z521" s="32"/>
      <c r="AA521" s="3" t="str">
        <f t="shared" si="122"/>
        <v>A</v>
      </c>
      <c r="AB521" s="48">
        <v>83438</v>
      </c>
      <c r="AC521" s="48">
        <v>2690</v>
      </c>
      <c r="AD521" s="36"/>
      <c r="AE521" s="54"/>
      <c r="AF521" s="3" t="str">
        <f t="shared" si="123"/>
        <v>A</v>
      </c>
      <c r="AG521" s="48">
        <v>0</v>
      </c>
      <c r="AH521" s="48">
        <v>0</v>
      </c>
      <c r="AI521" s="39"/>
      <c r="AJ521" s="79" t="s">
        <v>1801</v>
      </c>
      <c r="AK521" s="39"/>
      <c r="AL521" s="4">
        <f t="shared" si="114"/>
        <v>318256</v>
      </c>
      <c r="AM521" s="4">
        <f t="shared" si="114"/>
        <v>7670</v>
      </c>
      <c r="AN521" s="4">
        <f t="shared" si="124"/>
        <v>325926</v>
      </c>
      <c r="AO521" s="39"/>
      <c r="AP521" s="8">
        <f t="shared" si="115"/>
        <v>0</v>
      </c>
      <c r="AQ521" s="8">
        <f t="shared" si="115"/>
        <v>0</v>
      </c>
      <c r="AR521" s="8">
        <f t="shared" si="125"/>
        <v>0</v>
      </c>
      <c r="AS521" s="42"/>
      <c r="AT521" s="48">
        <v>318256</v>
      </c>
      <c r="AU521" s="48">
        <v>7670</v>
      </c>
      <c r="AV521" s="4">
        <f t="shared" si="126"/>
        <v>325926</v>
      </c>
      <c r="AW521" s="50" t="str">
        <f t="shared" si="127"/>
        <v/>
      </c>
      <c r="AX521" s="1" t="s">
        <v>1744</v>
      </c>
      <c r="AY521" s="2" t="s">
        <v>1745</v>
      </c>
      <c r="AZ521" s="2">
        <v>135366.24</v>
      </c>
      <c r="BA521" s="73">
        <v>118445.46</v>
      </c>
      <c r="BB521" s="73">
        <v>118445.46</v>
      </c>
      <c r="BC521" s="73">
        <v>135366.24</v>
      </c>
      <c r="BD521" s="73"/>
      <c r="BE521" s="66">
        <v>0</v>
      </c>
      <c r="BF521" s="66">
        <v>0.05</v>
      </c>
      <c r="BG521" s="63">
        <v>45092</v>
      </c>
      <c r="BH521" s="2"/>
      <c r="BI521" s="2"/>
      <c r="BJ521" s="2">
        <v>436327.5</v>
      </c>
      <c r="BK521" s="2">
        <v>22907.19</v>
      </c>
      <c r="BL521" s="1" t="s">
        <v>97</v>
      </c>
    </row>
    <row r="522" spans="1:64" x14ac:dyDescent="0.25">
      <c r="A522" s="56" t="s">
        <v>1193</v>
      </c>
      <c r="B522" s="54" t="s">
        <v>1193</v>
      </c>
      <c r="C522" s="56" t="s">
        <v>1194</v>
      </c>
      <c r="D522" s="16">
        <v>44947</v>
      </c>
      <c r="E522" s="17"/>
      <c r="F522" s="2" t="s">
        <v>551</v>
      </c>
      <c r="G522" s="2" t="s">
        <v>552</v>
      </c>
      <c r="H522" s="10" t="s">
        <v>105</v>
      </c>
      <c r="I522" s="11" t="s">
        <v>53</v>
      </c>
      <c r="J522" s="11" t="s">
        <v>106</v>
      </c>
      <c r="K522" s="61"/>
      <c r="L522" s="11" t="s">
        <v>67</v>
      </c>
      <c r="M522" s="25"/>
      <c r="N522" s="54"/>
      <c r="O522" s="3" t="str">
        <f t="shared" si="120"/>
        <v>A</v>
      </c>
      <c r="P522" s="48">
        <v>214680</v>
      </c>
      <c r="Q522" s="48">
        <v>26812</v>
      </c>
      <c r="R522" s="32"/>
      <c r="S522" s="3" t="str">
        <f t="shared" si="119"/>
        <v>A</v>
      </c>
      <c r="T522" s="48">
        <v>201987</v>
      </c>
      <c r="U522" s="48">
        <v>26090</v>
      </c>
      <c r="V522" s="32"/>
      <c r="W522" s="3" t="str">
        <f t="shared" si="121"/>
        <v>A</v>
      </c>
      <c r="X522" s="48">
        <v>168742</v>
      </c>
      <c r="Y522" s="48">
        <v>19019</v>
      </c>
      <c r="Z522" s="32"/>
      <c r="AA522" s="3" t="str">
        <f t="shared" si="122"/>
        <v>A</v>
      </c>
      <c r="AB522" s="48">
        <v>184837</v>
      </c>
      <c r="AC522" s="48">
        <v>18220</v>
      </c>
      <c r="AD522" s="36"/>
      <c r="AE522" s="54"/>
      <c r="AF522" s="3" t="str">
        <f t="shared" si="123"/>
        <v>A</v>
      </c>
      <c r="AG522" s="48">
        <v>0</v>
      </c>
      <c r="AH522" s="48">
        <v>0</v>
      </c>
      <c r="AI522" s="39"/>
      <c r="AJ522" s="79" t="s">
        <v>1801</v>
      </c>
      <c r="AK522" s="39"/>
      <c r="AL522" s="4">
        <f t="shared" si="114"/>
        <v>770246</v>
      </c>
      <c r="AM522" s="4">
        <f t="shared" si="114"/>
        <v>90141</v>
      </c>
      <c r="AN522" s="4">
        <f t="shared" si="124"/>
        <v>860387</v>
      </c>
      <c r="AO522" s="39"/>
      <c r="AP522" s="8">
        <f t="shared" si="115"/>
        <v>0</v>
      </c>
      <c r="AQ522" s="8">
        <f t="shared" si="115"/>
        <v>0</v>
      </c>
      <c r="AR522" s="8">
        <f t="shared" si="125"/>
        <v>0</v>
      </c>
      <c r="AS522" s="42"/>
      <c r="AT522" s="48">
        <v>770246</v>
      </c>
      <c r="AU522" s="48">
        <v>90141</v>
      </c>
      <c r="AV522" s="4">
        <f t="shared" si="126"/>
        <v>860387</v>
      </c>
      <c r="AW522" s="50" t="str">
        <f t="shared" si="127"/>
        <v/>
      </c>
      <c r="AX522" s="1" t="s">
        <v>1725</v>
      </c>
      <c r="AY522" s="2" t="s">
        <v>1659</v>
      </c>
      <c r="AZ522" s="2">
        <v>158347.68</v>
      </c>
      <c r="BA522" s="73">
        <v>138554.22</v>
      </c>
      <c r="BB522" s="73">
        <v>138554.22</v>
      </c>
      <c r="BC522" s="73">
        <v>158347.68</v>
      </c>
      <c r="BD522" s="73"/>
      <c r="BE522" s="66">
        <v>0</v>
      </c>
      <c r="BF522" s="66">
        <v>0.05</v>
      </c>
      <c r="BG522" s="63">
        <v>44944</v>
      </c>
      <c r="BH522" s="2"/>
      <c r="BI522" s="2"/>
      <c r="BJ522" s="2">
        <v>600763.5</v>
      </c>
      <c r="BK522" s="2">
        <v>66763.5</v>
      </c>
      <c r="BL522" s="1" t="s">
        <v>104</v>
      </c>
    </row>
    <row r="523" spans="1:64" x14ac:dyDescent="0.25">
      <c r="A523" s="56" t="s">
        <v>988</v>
      </c>
      <c r="B523" s="54" t="s">
        <v>989</v>
      </c>
      <c r="C523" s="56" t="s">
        <v>990</v>
      </c>
      <c r="D523" s="16">
        <v>0</v>
      </c>
      <c r="E523" s="17"/>
      <c r="F523" s="2" t="s">
        <v>243</v>
      </c>
      <c r="G523" s="2" t="s">
        <v>245</v>
      </c>
      <c r="H523" s="10" t="s">
        <v>98</v>
      </c>
      <c r="I523" s="11" t="s">
        <v>244</v>
      </c>
      <c r="J523" s="11" t="s">
        <v>278</v>
      </c>
      <c r="K523" s="61" t="s">
        <v>279</v>
      </c>
      <c r="L523" s="11" t="s">
        <v>67</v>
      </c>
      <c r="M523" s="25"/>
      <c r="N523" s="54"/>
      <c r="O523" s="3" t="str">
        <f t="shared" si="120"/>
        <v>A</v>
      </c>
      <c r="P523" s="48">
        <v>62539</v>
      </c>
      <c r="Q523" s="48">
        <v>870</v>
      </c>
      <c r="R523" s="32"/>
      <c r="S523" s="3" t="str">
        <f t="shared" si="119"/>
        <v>A</v>
      </c>
      <c r="T523" s="48">
        <v>52096</v>
      </c>
      <c r="U523" s="48">
        <v>1160</v>
      </c>
      <c r="V523" s="32"/>
      <c r="W523" s="3" t="str">
        <f t="shared" si="121"/>
        <v>A</v>
      </c>
      <c r="X523" s="48">
        <v>49617</v>
      </c>
      <c r="Y523" s="48">
        <v>890</v>
      </c>
      <c r="Z523" s="32"/>
      <c r="AA523" s="3" t="str">
        <f t="shared" si="122"/>
        <v>A</v>
      </c>
      <c r="AB523" s="48">
        <v>60609</v>
      </c>
      <c r="AC523" s="48">
        <v>1110</v>
      </c>
      <c r="AD523" s="36"/>
      <c r="AE523" s="54"/>
      <c r="AF523" s="3" t="str">
        <f t="shared" si="123"/>
        <v>A</v>
      </c>
      <c r="AG523" s="48">
        <v>0</v>
      </c>
      <c r="AH523" s="48">
        <v>0</v>
      </c>
      <c r="AI523" s="39"/>
      <c r="AJ523" s="79" t="s">
        <v>1801</v>
      </c>
      <c r="AK523" s="39"/>
      <c r="AL523" s="4">
        <f t="shared" si="114"/>
        <v>224861</v>
      </c>
      <c r="AM523" s="4">
        <f t="shared" si="114"/>
        <v>4030</v>
      </c>
      <c r="AN523" s="4">
        <f t="shared" si="124"/>
        <v>228891</v>
      </c>
      <c r="AO523" s="39"/>
      <c r="AP523" s="8">
        <f t="shared" si="115"/>
        <v>0</v>
      </c>
      <c r="AQ523" s="8">
        <f t="shared" si="115"/>
        <v>0</v>
      </c>
      <c r="AR523" s="8">
        <f t="shared" si="125"/>
        <v>0</v>
      </c>
      <c r="AS523" s="42"/>
      <c r="AT523" s="48">
        <v>224861</v>
      </c>
      <c r="AU523" s="48">
        <v>4030</v>
      </c>
      <c r="AV523" s="4">
        <f t="shared" si="126"/>
        <v>228891</v>
      </c>
      <c r="AW523" s="50" t="str">
        <f t="shared" si="127"/>
        <v/>
      </c>
      <c r="AX523" s="1" t="s">
        <v>1639</v>
      </c>
      <c r="AY523" s="2" t="s">
        <v>1640</v>
      </c>
      <c r="AZ523" s="2">
        <v>35342.160000000003</v>
      </c>
      <c r="BA523" s="73">
        <v>30924.39</v>
      </c>
      <c r="BB523" s="73">
        <v>30924.39</v>
      </c>
      <c r="BC523" s="73">
        <v>35342.160000000003</v>
      </c>
      <c r="BD523" s="73"/>
      <c r="BE523" s="66">
        <v>0</v>
      </c>
      <c r="BF523" s="66">
        <v>0.02</v>
      </c>
      <c r="BG523" s="63">
        <v>44527</v>
      </c>
      <c r="BH523" s="2"/>
      <c r="BI523" s="2"/>
      <c r="BJ523" s="2">
        <v>129600</v>
      </c>
      <c r="BK523" s="2"/>
      <c r="BL523" s="1" t="s">
        <v>97</v>
      </c>
    </row>
    <row r="524" spans="1:64" x14ac:dyDescent="0.25">
      <c r="A524" s="56" t="s">
        <v>988</v>
      </c>
      <c r="B524" s="54" t="s">
        <v>1146</v>
      </c>
      <c r="C524" s="56" t="s">
        <v>1147</v>
      </c>
      <c r="D524" s="16">
        <v>0</v>
      </c>
      <c r="E524" s="17"/>
      <c r="F524" s="2" t="s">
        <v>243</v>
      </c>
      <c r="G524" s="2" t="s">
        <v>245</v>
      </c>
      <c r="H524" s="10" t="s">
        <v>98</v>
      </c>
      <c r="I524" s="11" t="s">
        <v>244</v>
      </c>
      <c r="J524" s="11" t="s">
        <v>278</v>
      </c>
      <c r="K524" s="61" t="s">
        <v>279</v>
      </c>
      <c r="L524" s="11" t="s">
        <v>67</v>
      </c>
      <c r="M524" s="25"/>
      <c r="N524" s="54"/>
      <c r="O524" s="3" t="str">
        <f t="shared" si="120"/>
        <v>A</v>
      </c>
      <c r="P524" s="48">
        <v>102773</v>
      </c>
      <c r="Q524" s="48">
        <v>0</v>
      </c>
      <c r="R524" s="32"/>
      <c r="S524" s="3" t="str">
        <f t="shared" si="119"/>
        <v>A</v>
      </c>
      <c r="T524" s="48">
        <v>88723</v>
      </c>
      <c r="U524" s="48"/>
      <c r="V524" s="32"/>
      <c r="W524" s="3" t="str">
        <f t="shared" si="121"/>
        <v>A</v>
      </c>
      <c r="X524" s="48">
        <v>90864</v>
      </c>
      <c r="Y524" s="48"/>
      <c r="Z524" s="32"/>
      <c r="AA524" s="3" t="str">
        <f t="shared" si="122"/>
        <v>A</v>
      </c>
      <c r="AB524" s="48">
        <v>104265</v>
      </c>
      <c r="AC524" s="48"/>
      <c r="AD524" s="36"/>
      <c r="AE524" s="54"/>
      <c r="AF524" s="3" t="str">
        <f t="shared" si="123"/>
        <v>A</v>
      </c>
      <c r="AG524" s="48">
        <v>0</v>
      </c>
      <c r="AH524" s="48">
        <v>0</v>
      </c>
      <c r="AI524" s="39"/>
      <c r="AJ524" s="79" t="s">
        <v>1801</v>
      </c>
      <c r="AK524" s="39"/>
      <c r="AL524" s="4">
        <f t="shared" si="114"/>
        <v>386625</v>
      </c>
      <c r="AM524" s="4">
        <f t="shared" si="114"/>
        <v>0</v>
      </c>
      <c r="AN524" s="4">
        <f t="shared" si="124"/>
        <v>386625</v>
      </c>
      <c r="AO524" s="39"/>
      <c r="AP524" s="8">
        <f t="shared" si="115"/>
        <v>0</v>
      </c>
      <c r="AQ524" s="8">
        <f t="shared" si="115"/>
        <v>0</v>
      </c>
      <c r="AR524" s="8">
        <f t="shared" si="125"/>
        <v>0</v>
      </c>
      <c r="AS524" s="42"/>
      <c r="AT524" s="48">
        <v>386625</v>
      </c>
      <c r="AU524" s="48"/>
      <c r="AV524" s="4">
        <f t="shared" si="126"/>
        <v>386625</v>
      </c>
      <c r="AW524" s="50" t="str">
        <f t="shared" si="127"/>
        <v/>
      </c>
      <c r="AX524" s="1" t="s">
        <v>1639</v>
      </c>
      <c r="AY524" s="2" t="s">
        <v>1640</v>
      </c>
      <c r="AZ524" s="2">
        <v>61859.360000000001</v>
      </c>
      <c r="BA524" s="73">
        <v>54126.94</v>
      </c>
      <c r="BB524" s="73">
        <v>54126.94</v>
      </c>
      <c r="BC524" s="73">
        <v>61859.360000000001</v>
      </c>
      <c r="BD524" s="73"/>
      <c r="BE524" s="66">
        <v>0</v>
      </c>
      <c r="BF524" s="66">
        <v>0.02</v>
      </c>
      <c r="BG524" s="63">
        <v>44862</v>
      </c>
      <c r="BH524" s="2"/>
      <c r="BI524" s="2"/>
      <c r="BJ524" s="2">
        <v>225000</v>
      </c>
      <c r="BK524" s="2"/>
      <c r="BL524" s="1" t="s">
        <v>97</v>
      </c>
    </row>
    <row r="525" spans="1:64" x14ac:dyDescent="0.25">
      <c r="A525" s="56" t="s">
        <v>988</v>
      </c>
      <c r="B525" s="54" t="s">
        <v>988</v>
      </c>
      <c r="C525" s="56" t="s">
        <v>1197</v>
      </c>
      <c r="D525" s="16">
        <v>0</v>
      </c>
      <c r="E525" s="17"/>
      <c r="F525" s="2" t="s">
        <v>243</v>
      </c>
      <c r="G525" s="2" t="s">
        <v>245</v>
      </c>
      <c r="H525" s="10" t="s">
        <v>98</v>
      </c>
      <c r="I525" s="11" t="s">
        <v>244</v>
      </c>
      <c r="J525" s="11" t="s">
        <v>278</v>
      </c>
      <c r="K525" s="61" t="s">
        <v>279</v>
      </c>
      <c r="L525" s="11" t="s">
        <v>67</v>
      </c>
      <c r="M525" s="25"/>
      <c r="N525" s="54"/>
      <c r="O525" s="3" t="str">
        <f t="shared" si="120"/>
        <v>A</v>
      </c>
      <c r="P525" s="48">
        <v>154908.31</v>
      </c>
      <c r="Q525" s="48">
        <v>5754</v>
      </c>
      <c r="R525" s="32"/>
      <c r="S525" s="3" t="str">
        <f t="shared" si="119"/>
        <v>A</v>
      </c>
      <c r="T525" s="48">
        <v>141438</v>
      </c>
      <c r="U525" s="48">
        <v>6921</v>
      </c>
      <c r="V525" s="32"/>
      <c r="W525" s="3" t="str">
        <f t="shared" si="121"/>
        <v>A</v>
      </c>
      <c r="X525" s="48">
        <v>119331</v>
      </c>
      <c r="Y525" s="48">
        <v>4686</v>
      </c>
      <c r="Z525" s="32"/>
      <c r="AA525" s="3" t="str">
        <f t="shared" si="122"/>
        <v>A</v>
      </c>
      <c r="AB525" s="48">
        <v>101862.15</v>
      </c>
      <c r="AC525" s="48">
        <v>3556</v>
      </c>
      <c r="AD525" s="36"/>
      <c r="AE525" s="54"/>
      <c r="AF525" s="3" t="str">
        <f t="shared" si="123"/>
        <v>A</v>
      </c>
      <c r="AG525" s="48">
        <v>0</v>
      </c>
      <c r="AH525" s="48">
        <v>0</v>
      </c>
      <c r="AI525" s="39"/>
      <c r="AJ525" s="79" t="s">
        <v>1801</v>
      </c>
      <c r="AK525" s="39"/>
      <c r="AL525" s="4">
        <f t="shared" si="114"/>
        <v>517539.45999999996</v>
      </c>
      <c r="AM525" s="4">
        <f t="shared" si="114"/>
        <v>20917</v>
      </c>
      <c r="AN525" s="4">
        <f t="shared" si="124"/>
        <v>538456.46</v>
      </c>
      <c r="AO525" s="39"/>
      <c r="AP525" s="8">
        <f t="shared" si="115"/>
        <v>0</v>
      </c>
      <c r="AQ525" s="8">
        <f t="shared" si="115"/>
        <v>0</v>
      </c>
      <c r="AR525" s="8">
        <f t="shared" si="125"/>
        <v>0</v>
      </c>
      <c r="AS525" s="42"/>
      <c r="AT525" s="48">
        <v>517539.46</v>
      </c>
      <c r="AU525" s="48">
        <v>20917</v>
      </c>
      <c r="AV525" s="4">
        <f t="shared" si="126"/>
        <v>538456.46</v>
      </c>
      <c r="AW525" s="50" t="str">
        <f t="shared" si="127"/>
        <v/>
      </c>
      <c r="AX525" s="1" t="s">
        <v>1639</v>
      </c>
      <c r="AY525" s="2" t="s">
        <v>1640</v>
      </c>
      <c r="AZ525" s="2">
        <v>182748.48</v>
      </c>
      <c r="BA525" s="73">
        <v>159904.92000000001</v>
      </c>
      <c r="BB525" s="73">
        <v>159904.92000000001</v>
      </c>
      <c r="BC525" s="73">
        <v>182748.48</v>
      </c>
      <c r="BD525" s="73"/>
      <c r="BE525" s="66">
        <v>0</v>
      </c>
      <c r="BF525" s="66">
        <v>0.02</v>
      </c>
      <c r="BG525" s="63">
        <v>44967</v>
      </c>
      <c r="BH525" s="2"/>
      <c r="BI525" s="2"/>
      <c r="BJ525" s="2">
        <v>654645.6</v>
      </c>
      <c r="BK525" s="2">
        <v>34368.89</v>
      </c>
      <c r="BL525" s="1" t="s">
        <v>97</v>
      </c>
    </row>
    <row r="526" spans="1:64" x14ac:dyDescent="0.25">
      <c r="A526" s="56" t="s">
        <v>988</v>
      </c>
      <c r="B526" s="54" t="s">
        <v>1334</v>
      </c>
      <c r="C526" s="56" t="s">
        <v>1335</v>
      </c>
      <c r="D526" s="16">
        <v>45238</v>
      </c>
      <c r="E526" s="17"/>
      <c r="F526" s="2" t="s">
        <v>243</v>
      </c>
      <c r="G526" s="2" t="s">
        <v>245</v>
      </c>
      <c r="H526" s="10" t="s">
        <v>98</v>
      </c>
      <c r="I526" s="11" t="s">
        <v>244</v>
      </c>
      <c r="J526" s="11" t="s">
        <v>278</v>
      </c>
      <c r="K526" s="61" t="s">
        <v>279</v>
      </c>
      <c r="L526" s="11" t="s">
        <v>67</v>
      </c>
      <c r="M526" s="25"/>
      <c r="N526" s="54"/>
      <c r="O526" s="3" t="str">
        <f>IF($A526="","",IF(P526=AZ526,"E","A"))</f>
        <v>A</v>
      </c>
      <c r="P526" s="48">
        <v>87280.81</v>
      </c>
      <c r="Q526" s="48">
        <v>700</v>
      </c>
      <c r="R526" s="32"/>
      <c r="S526" s="3" t="str">
        <f t="shared" si="119"/>
        <v>A</v>
      </c>
      <c r="T526" s="48">
        <v>71170.350000000006</v>
      </c>
      <c r="U526" s="48">
        <v>860</v>
      </c>
      <c r="V526" s="32"/>
      <c r="W526" s="3" t="str">
        <f t="shared" si="121"/>
        <v>A</v>
      </c>
      <c r="X526" s="48">
        <v>74692.509999999995</v>
      </c>
      <c r="Y526" s="48">
        <v>1115</v>
      </c>
      <c r="Z526" s="32"/>
      <c r="AA526" s="3" t="str">
        <f t="shared" si="122"/>
        <v>A</v>
      </c>
      <c r="AB526" s="48">
        <v>80786.75</v>
      </c>
      <c r="AC526" s="48">
        <v>805</v>
      </c>
      <c r="AD526" s="36"/>
      <c r="AE526" s="54"/>
      <c r="AF526" s="3" t="str">
        <f t="shared" si="123"/>
        <v>A</v>
      </c>
      <c r="AG526" s="48">
        <v>0</v>
      </c>
      <c r="AH526" s="48">
        <v>0</v>
      </c>
      <c r="AI526" s="39"/>
      <c r="AJ526" s="79" t="s">
        <v>1801</v>
      </c>
      <c r="AK526" s="39"/>
      <c r="AL526" s="4">
        <f t="shared" si="114"/>
        <v>313930.42</v>
      </c>
      <c r="AM526" s="4">
        <f t="shared" si="114"/>
        <v>3480</v>
      </c>
      <c r="AN526" s="4">
        <f t="shared" si="124"/>
        <v>317410.42</v>
      </c>
      <c r="AO526" s="39"/>
      <c r="AP526" s="8">
        <f t="shared" si="115"/>
        <v>0</v>
      </c>
      <c r="AQ526" s="8">
        <f t="shared" si="115"/>
        <v>0</v>
      </c>
      <c r="AR526" s="8">
        <f t="shared" si="125"/>
        <v>0</v>
      </c>
      <c r="AS526" s="42"/>
      <c r="AT526" s="48">
        <v>313930.42</v>
      </c>
      <c r="AU526" s="48">
        <v>3480</v>
      </c>
      <c r="AV526" s="4">
        <f t="shared" si="126"/>
        <v>317410.42</v>
      </c>
      <c r="AW526" s="50" t="str">
        <f t="shared" si="127"/>
        <v/>
      </c>
      <c r="AX526" s="1" t="s">
        <v>1639</v>
      </c>
      <c r="AY526" s="2" t="s">
        <v>1640</v>
      </c>
      <c r="AZ526" s="2">
        <v>96492</v>
      </c>
      <c r="BA526" s="73">
        <v>84430.5</v>
      </c>
      <c r="BB526" s="73">
        <v>84430.5</v>
      </c>
      <c r="BC526" s="73">
        <v>96492</v>
      </c>
      <c r="BD526" s="73"/>
      <c r="BE526" s="66">
        <v>0</v>
      </c>
      <c r="BF526" s="66">
        <v>0.02</v>
      </c>
      <c r="BG526" s="63">
        <v>45238</v>
      </c>
      <c r="BH526" s="2"/>
      <c r="BI526" s="2"/>
      <c r="BJ526" s="2">
        <v>360000</v>
      </c>
      <c r="BK526" s="2"/>
      <c r="BL526" s="1" t="s">
        <v>97</v>
      </c>
    </row>
    <row r="527" spans="1:64" x14ac:dyDescent="0.25">
      <c r="A527" s="56" t="s">
        <v>1198</v>
      </c>
      <c r="B527" s="54" t="s">
        <v>1198</v>
      </c>
      <c r="C527" s="56" t="s">
        <v>1199</v>
      </c>
      <c r="D527" s="16">
        <v>0</v>
      </c>
      <c r="E527" s="17"/>
      <c r="F527" s="2" t="s">
        <v>243</v>
      </c>
      <c r="G527" s="2" t="s">
        <v>245</v>
      </c>
      <c r="H527" s="10" t="s">
        <v>98</v>
      </c>
      <c r="I527" s="11" t="s">
        <v>244</v>
      </c>
      <c r="J527" s="11" t="s">
        <v>246</v>
      </c>
      <c r="K527" s="61" t="s">
        <v>247</v>
      </c>
      <c r="L527" s="11" t="s">
        <v>67</v>
      </c>
      <c r="M527" s="25"/>
      <c r="N527" s="54"/>
      <c r="O527" s="3" t="str">
        <f t="shared" ref="O527:O532" si="128">IF($A527="","",IF(P527=0,"A",IF(P527=AZ527,"E","A")))</f>
        <v>A</v>
      </c>
      <c r="P527" s="48">
        <v>56891</v>
      </c>
      <c r="Q527" s="48">
        <v>3867</v>
      </c>
      <c r="R527" s="32"/>
      <c r="S527" s="3" t="str">
        <f t="shared" si="119"/>
        <v>A</v>
      </c>
      <c r="T527" s="48">
        <v>56046</v>
      </c>
      <c r="U527" s="48">
        <v>4513</v>
      </c>
      <c r="V527" s="32"/>
      <c r="W527" s="3" t="str">
        <f t="shared" si="121"/>
        <v>A</v>
      </c>
      <c r="X527" s="48">
        <v>49815</v>
      </c>
      <c r="Y527" s="48">
        <v>2555</v>
      </c>
      <c r="Z527" s="32"/>
      <c r="AA527" s="3" t="str">
        <f t="shared" si="122"/>
        <v>A</v>
      </c>
      <c r="AB527" s="48">
        <v>74628</v>
      </c>
      <c r="AC527" s="48">
        <v>4768</v>
      </c>
      <c r="AD527" s="36"/>
      <c r="AE527" s="54"/>
      <c r="AF527" s="3" t="str">
        <f t="shared" si="123"/>
        <v>A</v>
      </c>
      <c r="AG527" s="48">
        <v>0</v>
      </c>
      <c r="AH527" s="48">
        <v>0</v>
      </c>
      <c r="AI527" s="39"/>
      <c r="AJ527" s="79" t="s">
        <v>1801</v>
      </c>
      <c r="AK527" s="39"/>
      <c r="AL527" s="4">
        <f t="shared" si="114"/>
        <v>237380</v>
      </c>
      <c r="AM527" s="4">
        <f t="shared" si="114"/>
        <v>15703</v>
      </c>
      <c r="AN527" s="4">
        <f t="shared" si="124"/>
        <v>253083</v>
      </c>
      <c r="AO527" s="39"/>
      <c r="AP527" s="8">
        <f t="shared" si="115"/>
        <v>0</v>
      </c>
      <c r="AQ527" s="8">
        <f t="shared" si="115"/>
        <v>0</v>
      </c>
      <c r="AR527" s="8">
        <f t="shared" si="125"/>
        <v>0</v>
      </c>
      <c r="AS527" s="42"/>
      <c r="AT527" s="48">
        <v>237380</v>
      </c>
      <c r="AU527" s="48">
        <v>15703</v>
      </c>
      <c r="AV527" s="4">
        <f t="shared" si="126"/>
        <v>253083</v>
      </c>
      <c r="AW527" s="50" t="str">
        <f t="shared" si="127"/>
        <v/>
      </c>
      <c r="AX527" s="1" t="s">
        <v>1639</v>
      </c>
      <c r="AY527" s="2" t="s">
        <v>1640</v>
      </c>
      <c r="AZ527" s="2">
        <v>132933.44</v>
      </c>
      <c r="BA527" s="73">
        <v>116316.76</v>
      </c>
      <c r="BB527" s="73">
        <v>116316.76</v>
      </c>
      <c r="BC527" s="73">
        <v>132933.44</v>
      </c>
      <c r="BD527" s="73"/>
      <c r="BE527" s="66">
        <v>0</v>
      </c>
      <c r="BF527" s="66">
        <v>0.02</v>
      </c>
      <c r="BG527" s="63">
        <v>45034</v>
      </c>
      <c r="BH527" s="2"/>
      <c r="BI527" s="2"/>
      <c r="BJ527" s="2">
        <v>479970</v>
      </c>
      <c r="BK527" s="2">
        <v>24725.93</v>
      </c>
      <c r="BL527" s="1" t="s">
        <v>97</v>
      </c>
    </row>
    <row r="528" spans="1:64" x14ac:dyDescent="0.25">
      <c r="A528" s="56" t="s">
        <v>1198</v>
      </c>
      <c r="B528" s="54" t="s">
        <v>1235</v>
      </c>
      <c r="C528" s="56" t="s">
        <v>1236</v>
      </c>
      <c r="D528" s="16">
        <v>0</v>
      </c>
      <c r="E528" s="17"/>
      <c r="F528" s="2" t="s">
        <v>243</v>
      </c>
      <c r="G528" s="2" t="s">
        <v>245</v>
      </c>
      <c r="H528" s="10" t="s">
        <v>98</v>
      </c>
      <c r="I528" s="11" t="s">
        <v>244</v>
      </c>
      <c r="J528" s="11" t="s">
        <v>246</v>
      </c>
      <c r="K528" s="61" t="s">
        <v>247</v>
      </c>
      <c r="L528" s="11" t="s">
        <v>67</v>
      </c>
      <c r="M528" s="25"/>
      <c r="N528" s="54"/>
      <c r="O528" s="3" t="str">
        <f t="shared" si="128"/>
        <v>A</v>
      </c>
      <c r="P528" s="48">
        <v>52919</v>
      </c>
      <c r="Q528" s="48">
        <v>2345</v>
      </c>
      <c r="R528" s="32"/>
      <c r="S528" s="3" t="str">
        <f t="shared" si="119"/>
        <v>A</v>
      </c>
      <c r="T528" s="48">
        <v>40659</v>
      </c>
      <c r="U528" s="48">
        <v>4045</v>
      </c>
      <c r="V528" s="32"/>
      <c r="W528" s="3" t="str">
        <f t="shared" si="121"/>
        <v>A</v>
      </c>
      <c r="X528" s="48">
        <v>41157</v>
      </c>
      <c r="Y528" s="48">
        <v>3280</v>
      </c>
      <c r="Z528" s="32"/>
      <c r="AA528" s="3" t="str">
        <f t="shared" si="122"/>
        <v>A</v>
      </c>
      <c r="AB528" s="48">
        <v>47475</v>
      </c>
      <c r="AC528" s="48">
        <v>4645</v>
      </c>
      <c r="AD528" s="36"/>
      <c r="AE528" s="54"/>
      <c r="AF528" s="3" t="str">
        <f t="shared" si="123"/>
        <v>A</v>
      </c>
      <c r="AG528" s="48">
        <v>0</v>
      </c>
      <c r="AH528" s="48">
        <v>0</v>
      </c>
      <c r="AI528" s="39"/>
      <c r="AJ528" s="79" t="s">
        <v>1801</v>
      </c>
      <c r="AK528" s="39"/>
      <c r="AL528" s="4">
        <f t="shared" si="114"/>
        <v>182210</v>
      </c>
      <c r="AM528" s="4">
        <f t="shared" si="114"/>
        <v>14315</v>
      </c>
      <c r="AN528" s="4">
        <f t="shared" si="124"/>
        <v>196525</v>
      </c>
      <c r="AO528" s="39"/>
      <c r="AP528" s="8">
        <f t="shared" si="115"/>
        <v>0</v>
      </c>
      <c r="AQ528" s="8">
        <f t="shared" si="115"/>
        <v>0</v>
      </c>
      <c r="AR528" s="8">
        <f t="shared" si="125"/>
        <v>0</v>
      </c>
      <c r="AS528" s="42"/>
      <c r="AT528" s="48">
        <v>182210</v>
      </c>
      <c r="AU528" s="48">
        <v>14315</v>
      </c>
      <c r="AV528" s="4">
        <f t="shared" si="126"/>
        <v>196525</v>
      </c>
      <c r="AW528" s="50" t="str">
        <f t="shared" si="127"/>
        <v/>
      </c>
      <c r="AX528" s="1" t="s">
        <v>1639</v>
      </c>
      <c r="AY528" s="2" t="s">
        <v>1640</v>
      </c>
      <c r="AZ528" s="2">
        <v>93474.880000000005</v>
      </c>
      <c r="BA528" s="73">
        <v>81790.52</v>
      </c>
      <c r="BB528" s="73">
        <v>81790.52</v>
      </c>
      <c r="BC528" s="73">
        <v>93474.880000000005</v>
      </c>
      <c r="BD528" s="73"/>
      <c r="BE528" s="66">
        <v>0</v>
      </c>
      <c r="BF528" s="66">
        <v>0.02</v>
      </c>
      <c r="BG528" s="63">
        <v>45034</v>
      </c>
      <c r="BH528" s="2"/>
      <c r="BI528" s="2"/>
      <c r="BJ528" s="2">
        <v>337500</v>
      </c>
      <c r="BK528" s="2"/>
      <c r="BL528" s="1" t="s">
        <v>97</v>
      </c>
    </row>
    <row r="529" spans="1:64" x14ac:dyDescent="0.25">
      <c r="A529" s="56" t="s">
        <v>1198</v>
      </c>
      <c r="B529" s="54" t="s">
        <v>1243</v>
      </c>
      <c r="C529" s="56" t="s">
        <v>1244</v>
      </c>
      <c r="D529" s="16">
        <v>0</v>
      </c>
      <c r="E529" s="17"/>
      <c r="F529" s="2" t="s">
        <v>243</v>
      </c>
      <c r="G529" s="2" t="s">
        <v>245</v>
      </c>
      <c r="H529" s="10" t="s">
        <v>98</v>
      </c>
      <c r="I529" s="11" t="s">
        <v>244</v>
      </c>
      <c r="J529" s="11" t="s">
        <v>246</v>
      </c>
      <c r="K529" s="61" t="s">
        <v>247</v>
      </c>
      <c r="L529" s="11" t="s">
        <v>67</v>
      </c>
      <c r="M529" s="25"/>
      <c r="N529" s="54"/>
      <c r="O529" s="3" t="str">
        <f t="shared" si="128"/>
        <v>A</v>
      </c>
      <c r="P529" s="48">
        <v>43857</v>
      </c>
      <c r="Q529" s="48">
        <v>2492</v>
      </c>
      <c r="R529" s="32"/>
      <c r="S529" s="3" t="str">
        <f t="shared" si="119"/>
        <v>A</v>
      </c>
      <c r="T529" s="48">
        <v>38312</v>
      </c>
      <c r="U529" s="48">
        <v>3402</v>
      </c>
      <c r="V529" s="32"/>
      <c r="W529" s="3" t="str">
        <f t="shared" si="121"/>
        <v>A</v>
      </c>
      <c r="X529" s="48">
        <v>37997</v>
      </c>
      <c r="Y529" s="48">
        <v>2799</v>
      </c>
      <c r="Z529" s="32"/>
      <c r="AA529" s="3" t="str">
        <f t="shared" si="122"/>
        <v>A</v>
      </c>
      <c r="AB529" s="48">
        <v>43371</v>
      </c>
      <c r="AC529" s="48">
        <v>4038</v>
      </c>
      <c r="AD529" s="36"/>
      <c r="AE529" s="54"/>
      <c r="AF529" s="3" t="str">
        <f t="shared" si="123"/>
        <v>A</v>
      </c>
      <c r="AG529" s="48">
        <v>0</v>
      </c>
      <c r="AH529" s="48">
        <v>0</v>
      </c>
      <c r="AI529" s="39"/>
      <c r="AJ529" s="79" t="s">
        <v>1801</v>
      </c>
      <c r="AK529" s="39"/>
      <c r="AL529" s="4">
        <f t="shared" si="114"/>
        <v>163537</v>
      </c>
      <c r="AM529" s="4">
        <f t="shared" si="114"/>
        <v>12731</v>
      </c>
      <c r="AN529" s="4">
        <f t="shared" si="124"/>
        <v>176268</v>
      </c>
      <c r="AO529" s="39"/>
      <c r="AP529" s="8">
        <f t="shared" si="115"/>
        <v>0</v>
      </c>
      <c r="AQ529" s="8">
        <f t="shared" si="115"/>
        <v>0</v>
      </c>
      <c r="AR529" s="8">
        <f t="shared" si="125"/>
        <v>0</v>
      </c>
      <c r="AS529" s="42"/>
      <c r="AT529" s="48">
        <v>163537</v>
      </c>
      <c r="AU529" s="48">
        <v>12731</v>
      </c>
      <c r="AV529" s="4">
        <f t="shared" si="126"/>
        <v>176268</v>
      </c>
      <c r="AW529" s="50" t="str">
        <f t="shared" si="127"/>
        <v/>
      </c>
      <c r="AX529" s="1" t="s">
        <v>1639</v>
      </c>
      <c r="AY529" s="2" t="s">
        <v>1640</v>
      </c>
      <c r="AZ529" s="2">
        <v>62316.639999999999</v>
      </c>
      <c r="BA529" s="73">
        <v>54527.06</v>
      </c>
      <c r="BB529" s="73">
        <v>54527.06</v>
      </c>
      <c r="BC529" s="73">
        <v>62316.639999999999</v>
      </c>
      <c r="BD529" s="73"/>
      <c r="BE529" s="66">
        <v>0</v>
      </c>
      <c r="BF529" s="66">
        <v>0.02</v>
      </c>
      <c r="BG529" s="63">
        <v>45035</v>
      </c>
      <c r="BH529" s="2"/>
      <c r="BI529" s="2"/>
      <c r="BJ529" s="2">
        <v>225000</v>
      </c>
      <c r="BK529" s="2"/>
      <c r="BL529" s="1" t="s">
        <v>97</v>
      </c>
    </row>
    <row r="530" spans="1:64" x14ac:dyDescent="0.25">
      <c r="A530" s="56" t="s">
        <v>1200</v>
      </c>
      <c r="B530" s="54" t="s">
        <v>1200</v>
      </c>
      <c r="C530" s="56" t="s">
        <v>1201</v>
      </c>
      <c r="D530" s="16">
        <v>45077</v>
      </c>
      <c r="E530" s="17"/>
      <c r="F530" s="2" t="s">
        <v>243</v>
      </c>
      <c r="G530" s="2" t="s">
        <v>245</v>
      </c>
      <c r="H530" s="10" t="s">
        <v>105</v>
      </c>
      <c r="I530" s="11" t="s">
        <v>244</v>
      </c>
      <c r="J530" s="11" t="s">
        <v>1202</v>
      </c>
      <c r="K530" s="61" t="s">
        <v>335</v>
      </c>
      <c r="L530" s="11" t="s">
        <v>67</v>
      </c>
      <c r="M530" s="25"/>
      <c r="N530" s="54"/>
      <c r="O530" s="3" t="str">
        <f t="shared" si="128"/>
        <v>A</v>
      </c>
      <c r="P530" s="48">
        <v>97240.8</v>
      </c>
      <c r="Q530" s="48">
        <v>29171</v>
      </c>
      <c r="R530" s="32"/>
      <c r="S530" s="3" t="str">
        <f t="shared" si="119"/>
        <v>A</v>
      </c>
      <c r="T530" s="48">
        <v>69756.800000000003</v>
      </c>
      <c r="U530" s="48">
        <v>20895</v>
      </c>
      <c r="V530" s="32"/>
      <c r="W530" s="3" t="str">
        <f t="shared" si="121"/>
        <v>A</v>
      </c>
      <c r="X530" s="48">
        <v>88327.6</v>
      </c>
      <c r="Y530" s="48">
        <v>20462</v>
      </c>
      <c r="Z530" s="32"/>
      <c r="AA530" s="3" t="str">
        <f t="shared" si="122"/>
        <v>A</v>
      </c>
      <c r="AB530" s="48">
        <v>94705.06</v>
      </c>
      <c r="AC530" s="48">
        <v>26542</v>
      </c>
      <c r="AD530" s="36"/>
      <c r="AE530" s="54"/>
      <c r="AF530" s="3" t="str">
        <f t="shared" si="123"/>
        <v>A</v>
      </c>
      <c r="AG530" s="48">
        <v>0</v>
      </c>
      <c r="AH530" s="48">
        <v>0</v>
      </c>
      <c r="AI530" s="39"/>
      <c r="AJ530" s="79" t="s">
        <v>1801</v>
      </c>
      <c r="AK530" s="39"/>
      <c r="AL530" s="4">
        <f t="shared" si="114"/>
        <v>350030.26</v>
      </c>
      <c r="AM530" s="4">
        <f t="shared" si="114"/>
        <v>97070</v>
      </c>
      <c r="AN530" s="4">
        <f t="shared" si="124"/>
        <v>447100.26</v>
      </c>
      <c r="AO530" s="39"/>
      <c r="AP530" s="8">
        <f t="shared" si="115"/>
        <v>0</v>
      </c>
      <c r="AQ530" s="8">
        <f t="shared" si="115"/>
        <v>0</v>
      </c>
      <c r="AR530" s="8">
        <f t="shared" si="125"/>
        <v>0</v>
      </c>
      <c r="AS530" s="42"/>
      <c r="AT530" s="48">
        <v>350030.26</v>
      </c>
      <c r="AU530" s="48">
        <v>97070</v>
      </c>
      <c r="AV530" s="4">
        <f t="shared" si="126"/>
        <v>447100.26</v>
      </c>
      <c r="AW530" s="50" t="str">
        <f t="shared" si="127"/>
        <v/>
      </c>
      <c r="AX530" s="1" t="s">
        <v>1639</v>
      </c>
      <c r="AY530" s="2" t="s">
        <v>1640</v>
      </c>
      <c r="AZ530" s="2">
        <v>182392.4</v>
      </c>
      <c r="BA530" s="73">
        <v>159593.35</v>
      </c>
      <c r="BB530" s="73">
        <v>159593.35</v>
      </c>
      <c r="BC530" s="73">
        <v>182392.4</v>
      </c>
      <c r="BD530" s="73"/>
      <c r="BE530" s="66">
        <v>0</v>
      </c>
      <c r="BF530" s="66">
        <v>0.02</v>
      </c>
      <c r="BG530" s="63">
        <v>45066</v>
      </c>
      <c r="BH530" s="2"/>
      <c r="BI530" s="2"/>
      <c r="BJ530" s="2">
        <v>670086</v>
      </c>
      <c r="BK530" s="2">
        <v>74454</v>
      </c>
      <c r="BL530" s="1" t="s">
        <v>219</v>
      </c>
    </row>
    <row r="531" spans="1:64" x14ac:dyDescent="0.25">
      <c r="A531" s="56" t="s">
        <v>1205</v>
      </c>
      <c r="B531" s="54" t="s">
        <v>1205</v>
      </c>
      <c r="C531" s="56" t="s">
        <v>1206</v>
      </c>
      <c r="D531" s="16">
        <v>0</v>
      </c>
      <c r="E531" s="17"/>
      <c r="F531" s="2" t="s">
        <v>243</v>
      </c>
      <c r="G531" s="2" t="s">
        <v>245</v>
      </c>
      <c r="H531" s="10" t="s">
        <v>98</v>
      </c>
      <c r="I531" s="11" t="s">
        <v>244</v>
      </c>
      <c r="J531" s="11" t="s">
        <v>278</v>
      </c>
      <c r="K531" s="61" t="s">
        <v>279</v>
      </c>
      <c r="L531" s="11" t="s">
        <v>67</v>
      </c>
      <c r="M531" s="25"/>
      <c r="N531" s="54"/>
      <c r="O531" s="3" t="str">
        <f t="shared" si="128"/>
        <v>A</v>
      </c>
      <c r="P531" s="48">
        <v>167490.15</v>
      </c>
      <c r="Q531" s="48">
        <v>3302</v>
      </c>
      <c r="R531" s="32"/>
      <c r="S531" s="3" t="str">
        <f t="shared" si="119"/>
        <v>A</v>
      </c>
      <c r="T531" s="48">
        <v>133211.76</v>
      </c>
      <c r="U531" s="48">
        <v>3648</v>
      </c>
      <c r="V531" s="32"/>
      <c r="W531" s="3" t="str">
        <f t="shared" si="121"/>
        <v>A</v>
      </c>
      <c r="X531" s="48">
        <v>132249.22</v>
      </c>
      <c r="Y531" s="48">
        <v>5042</v>
      </c>
      <c r="Z531" s="32"/>
      <c r="AA531" s="3" t="str">
        <f t="shared" si="122"/>
        <v>A</v>
      </c>
      <c r="AB531" s="48">
        <v>173797.53</v>
      </c>
      <c r="AC531" s="48">
        <v>4452.8</v>
      </c>
      <c r="AD531" s="36"/>
      <c r="AE531" s="54"/>
      <c r="AF531" s="3" t="str">
        <f t="shared" si="123"/>
        <v>A</v>
      </c>
      <c r="AG531" s="48">
        <v>0</v>
      </c>
      <c r="AH531" s="48">
        <v>0</v>
      </c>
      <c r="AI531" s="39"/>
      <c r="AJ531" s="79" t="s">
        <v>1801</v>
      </c>
      <c r="AK531" s="39"/>
      <c r="AL531" s="4">
        <f t="shared" si="114"/>
        <v>606748.66</v>
      </c>
      <c r="AM531" s="4">
        <f t="shared" si="114"/>
        <v>16444.8</v>
      </c>
      <c r="AN531" s="4">
        <f t="shared" si="124"/>
        <v>623193.46000000008</v>
      </c>
      <c r="AO531" s="39"/>
      <c r="AP531" s="8">
        <f t="shared" si="115"/>
        <v>0</v>
      </c>
      <c r="AQ531" s="8">
        <f t="shared" si="115"/>
        <v>0</v>
      </c>
      <c r="AR531" s="8">
        <f t="shared" si="125"/>
        <v>0</v>
      </c>
      <c r="AS531" s="42"/>
      <c r="AT531" s="48">
        <v>606748.65999999992</v>
      </c>
      <c r="AU531" s="48">
        <v>16444.8</v>
      </c>
      <c r="AV531" s="4">
        <f t="shared" si="126"/>
        <v>623193.46</v>
      </c>
      <c r="AW531" s="50" t="str">
        <f t="shared" si="127"/>
        <v/>
      </c>
      <c r="AX531" s="1" t="s">
        <v>1639</v>
      </c>
      <c r="AY531" s="2" t="s">
        <v>1640</v>
      </c>
      <c r="AZ531" s="2">
        <v>217556.88</v>
      </c>
      <c r="BA531" s="73">
        <v>190362.27</v>
      </c>
      <c r="BB531" s="73">
        <v>190362.27</v>
      </c>
      <c r="BC531" s="73">
        <v>217556.88</v>
      </c>
      <c r="BD531" s="73"/>
      <c r="BE531" s="66">
        <v>0</v>
      </c>
      <c r="BF531" s="66">
        <v>0.02</v>
      </c>
      <c r="BG531" s="63">
        <v>45056</v>
      </c>
      <c r="BH531" s="2"/>
      <c r="BI531" s="2"/>
      <c r="BJ531" s="2">
        <v>799275</v>
      </c>
      <c r="BK531" s="2">
        <v>41961.94</v>
      </c>
      <c r="BL531" s="1" t="s">
        <v>97</v>
      </c>
    </row>
    <row r="532" spans="1:64" x14ac:dyDescent="0.25">
      <c r="A532" s="56" t="s">
        <v>1209</v>
      </c>
      <c r="B532" s="54" t="s">
        <v>1209</v>
      </c>
      <c r="C532" s="56" t="s">
        <v>1210</v>
      </c>
      <c r="D532" s="16">
        <v>45167</v>
      </c>
      <c r="E532" s="17"/>
      <c r="F532" s="2" t="s">
        <v>243</v>
      </c>
      <c r="G532" s="2" t="s">
        <v>245</v>
      </c>
      <c r="H532" s="10" t="s">
        <v>57</v>
      </c>
      <c r="I532" s="11" t="s">
        <v>244</v>
      </c>
      <c r="J532" s="11" t="s">
        <v>486</v>
      </c>
      <c r="K532" s="61" t="s">
        <v>487</v>
      </c>
      <c r="L532" s="11" t="s">
        <v>67</v>
      </c>
      <c r="M532" s="25"/>
      <c r="N532" s="54"/>
      <c r="O532" s="3" t="str">
        <f t="shared" si="128"/>
        <v>A</v>
      </c>
      <c r="P532" s="48">
        <v>35019</v>
      </c>
      <c r="Q532" s="48">
        <v>4638</v>
      </c>
      <c r="R532" s="32"/>
      <c r="S532" s="3" t="str">
        <f t="shared" si="119"/>
        <v>A</v>
      </c>
      <c r="T532" s="48">
        <v>32075</v>
      </c>
      <c r="U532" s="48">
        <v>4243</v>
      </c>
      <c r="V532" s="32"/>
      <c r="W532" s="3" t="str">
        <f t="shared" si="121"/>
        <v>A</v>
      </c>
      <c r="X532" s="48">
        <v>31586</v>
      </c>
      <c r="Y532" s="48">
        <v>4620</v>
      </c>
      <c r="Z532" s="32"/>
      <c r="AA532" s="3" t="str">
        <f t="shared" si="122"/>
        <v>A</v>
      </c>
      <c r="AB532" s="48">
        <v>35365</v>
      </c>
      <c r="AC532" s="48">
        <v>4534</v>
      </c>
      <c r="AD532" s="36"/>
      <c r="AE532" s="54"/>
      <c r="AF532" s="3" t="str">
        <f t="shared" si="123"/>
        <v>A</v>
      </c>
      <c r="AG532" s="48">
        <v>0</v>
      </c>
      <c r="AH532" s="48">
        <v>0</v>
      </c>
      <c r="AI532" s="39"/>
      <c r="AJ532" s="79" t="s">
        <v>1801</v>
      </c>
      <c r="AK532" s="39"/>
      <c r="AL532" s="4">
        <f t="shared" si="114"/>
        <v>134045</v>
      </c>
      <c r="AM532" s="4">
        <f t="shared" si="114"/>
        <v>18035</v>
      </c>
      <c r="AN532" s="4">
        <f t="shared" si="124"/>
        <v>152080</v>
      </c>
      <c r="AO532" s="39"/>
      <c r="AP532" s="8">
        <f t="shared" si="115"/>
        <v>0</v>
      </c>
      <c r="AQ532" s="8">
        <f t="shared" si="115"/>
        <v>0</v>
      </c>
      <c r="AR532" s="8">
        <f t="shared" si="125"/>
        <v>0</v>
      </c>
      <c r="AS532" s="42"/>
      <c r="AT532" s="48">
        <v>134045</v>
      </c>
      <c r="AU532" s="48">
        <v>18035</v>
      </c>
      <c r="AV532" s="4">
        <f t="shared" si="126"/>
        <v>152080</v>
      </c>
      <c r="AW532" s="50" t="str">
        <f t="shared" si="127"/>
        <v/>
      </c>
      <c r="AX532" s="1" t="s">
        <v>1639</v>
      </c>
      <c r="AY532" s="2" t="s">
        <v>1640</v>
      </c>
      <c r="AZ532" s="2">
        <v>165428.79999999999</v>
      </c>
      <c r="BA532" s="73">
        <v>144750.20000000001</v>
      </c>
      <c r="BB532" s="73">
        <v>144750.20000000001</v>
      </c>
      <c r="BC532" s="73">
        <v>165428.79999999999</v>
      </c>
      <c r="BD532" s="73"/>
      <c r="BE532" s="66">
        <v>0</v>
      </c>
      <c r="BF532" s="66">
        <v>0.02</v>
      </c>
      <c r="BG532" s="63">
        <v>45161</v>
      </c>
      <c r="BH532" s="2"/>
      <c r="BI532" s="2"/>
      <c r="BJ532" s="2">
        <v>593103.42000000004</v>
      </c>
      <c r="BK532" s="2">
        <v>58658.58</v>
      </c>
      <c r="BL532" s="1" t="s">
        <v>56</v>
      </c>
    </row>
    <row r="533" spans="1:64" x14ac:dyDescent="0.25">
      <c r="A533" s="56" t="s">
        <v>1209</v>
      </c>
      <c r="B533" s="54" t="s">
        <v>1505</v>
      </c>
      <c r="C533" s="56" t="s">
        <v>1506</v>
      </c>
      <c r="D533" s="16">
        <v>0</v>
      </c>
      <c r="E533" s="17"/>
      <c r="F533" s="2" t="s">
        <v>243</v>
      </c>
      <c r="G533" s="2" t="s">
        <v>245</v>
      </c>
      <c r="H533" s="10" t="s">
        <v>57</v>
      </c>
      <c r="I533" s="11" t="s">
        <v>244</v>
      </c>
      <c r="J533" s="11" t="s">
        <v>486</v>
      </c>
      <c r="K533" s="61" t="s">
        <v>487</v>
      </c>
      <c r="L533" s="11" t="s">
        <v>67</v>
      </c>
      <c r="M533" s="25"/>
      <c r="N533" s="54"/>
      <c r="O533" s="3" t="str">
        <f>IF($A533="","",IF(P533=AZ533,"E","A"))</f>
        <v>A</v>
      </c>
      <c r="P533" s="48">
        <v>27666</v>
      </c>
      <c r="Q533" s="48">
        <v>16630</v>
      </c>
      <c r="R533" s="32"/>
      <c r="S533" s="3" t="str">
        <f>IF($A533="","",IF(T533=BA533,"E","A"))</f>
        <v>A</v>
      </c>
      <c r="T533" s="48">
        <v>25161</v>
      </c>
      <c r="U533" s="48">
        <v>15317</v>
      </c>
      <c r="V533" s="32"/>
      <c r="W533" s="3" t="str">
        <f t="shared" si="121"/>
        <v>A</v>
      </c>
      <c r="X533" s="48">
        <v>25714</v>
      </c>
      <c r="Y533" s="48">
        <v>17694</v>
      </c>
      <c r="Z533" s="32"/>
      <c r="AA533" s="3" t="str">
        <f t="shared" si="122"/>
        <v>A</v>
      </c>
      <c r="AB533" s="48">
        <v>26110</v>
      </c>
      <c r="AC533" s="48">
        <v>17756</v>
      </c>
      <c r="AD533" s="36"/>
      <c r="AE533" s="54"/>
      <c r="AF533" s="3" t="str">
        <f t="shared" si="123"/>
        <v>A</v>
      </c>
      <c r="AG533" s="48">
        <v>0</v>
      </c>
      <c r="AH533" s="48">
        <v>0</v>
      </c>
      <c r="AI533" s="39"/>
      <c r="AJ533" s="79" t="s">
        <v>1801</v>
      </c>
      <c r="AK533" s="39"/>
      <c r="AL533" s="4">
        <f t="shared" si="114"/>
        <v>104651</v>
      </c>
      <c r="AM533" s="4">
        <f t="shared" si="114"/>
        <v>67397</v>
      </c>
      <c r="AN533" s="4">
        <f t="shared" si="124"/>
        <v>172048</v>
      </c>
      <c r="AO533" s="39"/>
      <c r="AP533" s="8">
        <f t="shared" si="115"/>
        <v>0</v>
      </c>
      <c r="AQ533" s="8">
        <f t="shared" si="115"/>
        <v>0</v>
      </c>
      <c r="AR533" s="8">
        <f t="shared" si="125"/>
        <v>0</v>
      </c>
      <c r="AS533" s="42"/>
      <c r="AT533" s="48">
        <v>104651</v>
      </c>
      <c r="AU533" s="48">
        <v>67397</v>
      </c>
      <c r="AV533" s="4">
        <f t="shared" si="126"/>
        <v>172048</v>
      </c>
      <c r="AW533" s="50" t="str">
        <f t="shared" si="127"/>
        <v/>
      </c>
      <c r="AX533" s="1" t="s">
        <v>1639</v>
      </c>
      <c r="AY533" s="2" t="s">
        <v>1640</v>
      </c>
      <c r="AZ533" s="2">
        <v>56087.76</v>
      </c>
      <c r="BA533" s="73">
        <v>49076.79</v>
      </c>
      <c r="BB533" s="73">
        <v>49076.79</v>
      </c>
      <c r="BC533" s="73">
        <v>56087.76</v>
      </c>
      <c r="BD533" s="73"/>
      <c r="BE533" s="66">
        <v>0</v>
      </c>
      <c r="BF533" s="66">
        <v>0.02</v>
      </c>
      <c r="BG533" s="63">
        <v>45474</v>
      </c>
      <c r="BH533" s="2"/>
      <c r="BI533" s="2"/>
      <c r="BJ533" s="2">
        <v>204048</v>
      </c>
      <c r="BK533" s="2">
        <v>10712.52</v>
      </c>
      <c r="BL533" s="1" t="s">
        <v>56</v>
      </c>
    </row>
    <row r="534" spans="1:64" x14ac:dyDescent="0.25">
      <c r="A534" s="56" t="s">
        <v>800</v>
      </c>
      <c r="B534" s="54" t="s">
        <v>801</v>
      </c>
      <c r="C534" s="56" t="s">
        <v>802</v>
      </c>
      <c r="D534" s="16">
        <v>43391</v>
      </c>
      <c r="E534" s="17"/>
      <c r="F534" s="2" t="s">
        <v>803</v>
      </c>
      <c r="G534" s="2" t="s">
        <v>804</v>
      </c>
      <c r="H534" s="10" t="s">
        <v>105</v>
      </c>
      <c r="I534" s="11" t="s">
        <v>53</v>
      </c>
      <c r="J534" s="11" t="s">
        <v>106</v>
      </c>
      <c r="K534" s="61"/>
      <c r="L534" s="11" t="s">
        <v>67</v>
      </c>
      <c r="M534" s="25"/>
      <c r="N534" s="54"/>
      <c r="O534" s="3" t="str">
        <f>IF($A534="","",IF(P534=0,"A",IF(P534=AZ534,"E","A")))</f>
        <v>A</v>
      </c>
      <c r="P534" s="48">
        <v>44022</v>
      </c>
      <c r="Q534" s="48">
        <v>6873</v>
      </c>
      <c r="R534" s="32"/>
      <c r="S534" s="3" t="str">
        <f>IF($A534="","",IF(T534=0,"A",IF(T534=BA534,"E","A")))</f>
        <v>A</v>
      </c>
      <c r="T534" s="48">
        <v>34277</v>
      </c>
      <c r="U534" s="48">
        <v>4389</v>
      </c>
      <c r="V534" s="32"/>
      <c r="W534" s="3" t="str">
        <f t="shared" si="121"/>
        <v>A</v>
      </c>
      <c r="X534" s="48">
        <v>36717</v>
      </c>
      <c r="Y534" s="48">
        <v>6773</v>
      </c>
      <c r="Z534" s="32"/>
      <c r="AA534" s="3" t="str">
        <f t="shared" si="122"/>
        <v>A</v>
      </c>
      <c r="AB534" s="48">
        <v>39844</v>
      </c>
      <c r="AC534" s="48">
        <v>4929</v>
      </c>
      <c r="AD534" s="36"/>
      <c r="AE534" s="54"/>
      <c r="AF534" s="3" t="str">
        <f t="shared" si="123"/>
        <v>A</v>
      </c>
      <c r="AG534" s="48">
        <v>0</v>
      </c>
      <c r="AH534" s="48">
        <v>0</v>
      </c>
      <c r="AI534" s="39"/>
      <c r="AJ534" s="79" t="s">
        <v>1801</v>
      </c>
      <c r="AK534" s="39"/>
      <c r="AL534" s="4">
        <f t="shared" si="114"/>
        <v>154860</v>
      </c>
      <c r="AM534" s="4">
        <f t="shared" si="114"/>
        <v>22964</v>
      </c>
      <c r="AN534" s="4">
        <f t="shared" si="124"/>
        <v>177824</v>
      </c>
      <c r="AO534" s="39"/>
      <c r="AP534" s="8">
        <f t="shared" si="115"/>
        <v>0</v>
      </c>
      <c r="AQ534" s="8">
        <f t="shared" si="115"/>
        <v>0</v>
      </c>
      <c r="AR534" s="8">
        <f t="shared" si="125"/>
        <v>0</v>
      </c>
      <c r="AS534" s="42"/>
      <c r="AT534" s="48">
        <v>154860</v>
      </c>
      <c r="AU534" s="48">
        <v>22964</v>
      </c>
      <c r="AV534" s="4">
        <f t="shared" si="126"/>
        <v>177824</v>
      </c>
      <c r="AW534" s="50" t="str">
        <f t="shared" si="127"/>
        <v/>
      </c>
      <c r="AX534" s="1" t="s">
        <v>1730</v>
      </c>
      <c r="AY534" s="2" t="s">
        <v>1731</v>
      </c>
      <c r="AZ534" s="2">
        <v>102240.72</v>
      </c>
      <c r="BA534" s="73">
        <v>89460.63</v>
      </c>
      <c r="BB534" s="73">
        <v>89460.63</v>
      </c>
      <c r="BC534" s="73">
        <v>102240.72</v>
      </c>
      <c r="BD534" s="73"/>
      <c r="BE534" s="66">
        <v>4.4999999999999998E-2</v>
      </c>
      <c r="BF534" s="66">
        <v>0.05</v>
      </c>
      <c r="BG534" s="63">
        <v>44441</v>
      </c>
      <c r="BH534" s="74">
        <v>44896</v>
      </c>
      <c r="BI534" s="74">
        <v>44956</v>
      </c>
      <c r="BJ534" s="2"/>
      <c r="BK534" s="2"/>
      <c r="BL534" s="1" t="s">
        <v>104</v>
      </c>
    </row>
    <row r="535" spans="1:64" x14ac:dyDescent="0.25">
      <c r="A535" s="56" t="s">
        <v>800</v>
      </c>
      <c r="B535" s="54" t="s">
        <v>800</v>
      </c>
      <c r="C535" s="56" t="s">
        <v>1211</v>
      </c>
      <c r="D535" s="16">
        <v>42934</v>
      </c>
      <c r="E535" s="17"/>
      <c r="F535" s="2" t="s">
        <v>803</v>
      </c>
      <c r="G535" s="2" t="s">
        <v>804</v>
      </c>
      <c r="H535" s="10" t="s">
        <v>105</v>
      </c>
      <c r="I535" s="11" t="s">
        <v>53</v>
      </c>
      <c r="J535" s="11" t="s">
        <v>106</v>
      </c>
      <c r="K535" s="61"/>
      <c r="L535" s="11" t="s">
        <v>67</v>
      </c>
      <c r="M535" s="25"/>
      <c r="N535" s="54"/>
      <c r="O535" s="3" t="str">
        <f>IF($A535="","",IF(P535=0,"A",IF(P535=AZ535,"E","A")))</f>
        <v>A</v>
      </c>
      <c r="P535" s="48">
        <v>131824</v>
      </c>
      <c r="Q535" s="48">
        <v>30997</v>
      </c>
      <c r="R535" s="32"/>
      <c r="S535" s="3" t="str">
        <f>IF($A535="","",IF(T535=0,"A",IF(T535=BA535,"E","A")))</f>
        <v>A</v>
      </c>
      <c r="T535" s="48">
        <v>121189</v>
      </c>
      <c r="U535" s="48">
        <v>33325</v>
      </c>
      <c r="V535" s="32"/>
      <c r="W535" s="3" t="str">
        <f t="shared" si="121"/>
        <v>A</v>
      </c>
      <c r="X535" s="48">
        <v>125879</v>
      </c>
      <c r="Y535" s="48">
        <v>31579</v>
      </c>
      <c r="Z535" s="32"/>
      <c r="AA535" s="3" t="str">
        <f t="shared" si="122"/>
        <v>A</v>
      </c>
      <c r="AB535" s="48">
        <v>105285</v>
      </c>
      <c r="AC535" s="48">
        <v>24606</v>
      </c>
      <c r="AD535" s="36"/>
      <c r="AE535" s="54"/>
      <c r="AF535" s="3" t="str">
        <f t="shared" si="123"/>
        <v>A</v>
      </c>
      <c r="AG535" s="48">
        <v>0</v>
      </c>
      <c r="AH535" s="48">
        <v>0</v>
      </c>
      <c r="AI535" s="39"/>
      <c r="AJ535" s="79" t="s">
        <v>1801</v>
      </c>
      <c r="AK535" s="39"/>
      <c r="AL535" s="4">
        <f t="shared" si="114"/>
        <v>484177</v>
      </c>
      <c r="AM535" s="4">
        <f t="shared" si="114"/>
        <v>120507</v>
      </c>
      <c r="AN535" s="4">
        <f t="shared" si="124"/>
        <v>604684</v>
      </c>
      <c r="AO535" s="39"/>
      <c r="AP535" s="8">
        <f t="shared" si="115"/>
        <v>0</v>
      </c>
      <c r="AQ535" s="8">
        <f t="shared" si="115"/>
        <v>0</v>
      </c>
      <c r="AR535" s="8">
        <f t="shared" si="125"/>
        <v>0</v>
      </c>
      <c r="AS535" s="42"/>
      <c r="AT535" s="48">
        <v>484177</v>
      </c>
      <c r="AU535" s="48">
        <v>120507</v>
      </c>
      <c r="AV535" s="4">
        <f t="shared" si="126"/>
        <v>604684</v>
      </c>
      <c r="AW535" s="50" t="str">
        <f t="shared" si="127"/>
        <v/>
      </c>
      <c r="AX535" s="1" t="s">
        <v>1730</v>
      </c>
      <c r="AY535" s="2" t="s">
        <v>1731</v>
      </c>
      <c r="AZ535" s="2">
        <v>127981.75999999999</v>
      </c>
      <c r="BA535" s="73">
        <v>111984.04</v>
      </c>
      <c r="BB535" s="73">
        <v>111984.04</v>
      </c>
      <c r="BC535" s="73">
        <v>127981.75999999999</v>
      </c>
      <c r="BD535" s="73"/>
      <c r="BE535" s="66">
        <v>0.04</v>
      </c>
      <c r="BF535" s="66">
        <v>0.05</v>
      </c>
      <c r="BG535" s="63">
        <v>44441</v>
      </c>
      <c r="BH535" s="2"/>
      <c r="BI535" s="2"/>
      <c r="BJ535" s="2">
        <v>458460</v>
      </c>
      <c r="BK535" s="2">
        <v>50940</v>
      </c>
      <c r="BL535" s="1" t="s">
        <v>104</v>
      </c>
    </row>
    <row r="536" spans="1:64" x14ac:dyDescent="0.25">
      <c r="A536" s="56" t="s">
        <v>1212</v>
      </c>
      <c r="B536" s="54" t="s">
        <v>1212</v>
      </c>
      <c r="C536" s="56" t="s">
        <v>1213</v>
      </c>
      <c r="D536" s="16">
        <v>41321</v>
      </c>
      <c r="E536" s="17"/>
      <c r="F536" s="2" t="s">
        <v>1214</v>
      </c>
      <c r="G536" s="2" t="s">
        <v>1215</v>
      </c>
      <c r="H536" s="10" t="s">
        <v>98</v>
      </c>
      <c r="I536" s="11" t="s">
        <v>53</v>
      </c>
      <c r="J536" s="11" t="s">
        <v>830</v>
      </c>
      <c r="K536" s="61"/>
      <c r="L536" s="11" t="s">
        <v>67</v>
      </c>
      <c r="M536" s="25"/>
      <c r="N536" s="54"/>
      <c r="O536" s="3" t="str">
        <f>IF($A536="","",IF(P536=0,"A",IF(P536=AZ536,"E","A")))</f>
        <v>A</v>
      </c>
      <c r="P536" s="48">
        <v>25494</v>
      </c>
      <c r="Q536" s="48">
        <v>7770</v>
      </c>
      <c r="R536" s="32"/>
      <c r="S536" s="3" t="str">
        <f>IF($A536="","",IF(T536=0,"A",IF(T536=BA536,"E","A")))</f>
        <v>A</v>
      </c>
      <c r="T536" s="48">
        <v>0</v>
      </c>
      <c r="U536" s="48">
        <v>0</v>
      </c>
      <c r="V536" s="32"/>
      <c r="W536" s="3" t="str">
        <f t="shared" si="121"/>
        <v>A</v>
      </c>
      <c r="X536" s="48">
        <v>24363</v>
      </c>
      <c r="Y536" s="48">
        <v>6595</v>
      </c>
      <c r="Z536" s="32"/>
      <c r="AA536" s="3" t="str">
        <f t="shared" si="122"/>
        <v>A</v>
      </c>
      <c r="AB536" s="48">
        <v>28562</v>
      </c>
      <c r="AC536" s="48">
        <v>5840</v>
      </c>
      <c r="AD536" s="36"/>
      <c r="AE536" s="54"/>
      <c r="AF536" s="3" t="str">
        <f t="shared" si="123"/>
        <v>A</v>
      </c>
      <c r="AG536" s="48">
        <v>0</v>
      </c>
      <c r="AH536" s="48">
        <v>0</v>
      </c>
      <c r="AI536" s="39"/>
      <c r="AJ536" s="79" t="s">
        <v>1801</v>
      </c>
      <c r="AK536" s="39"/>
      <c r="AL536" s="4">
        <f t="shared" ref="AL536:AM599" si="129">IF($O536="A",P536,0)+IF($S536="A",T536,0)+IF($W536="A",X536,0)+IF($AA536="A",AB536,0)+IF($AF536="A",AG536,0)</f>
        <v>78419</v>
      </c>
      <c r="AM536" s="4">
        <f t="shared" si="129"/>
        <v>20205</v>
      </c>
      <c r="AN536" s="4">
        <f t="shared" si="124"/>
        <v>98624</v>
      </c>
      <c r="AO536" s="39"/>
      <c r="AP536" s="8">
        <f t="shared" ref="AP536:AQ599" si="130">IF($O536="E",P536,0)+IF($S536="E",T536,0)+IF($W536="E",X536,0)+IF($AA536="E",AB536,0)+IF($AF536="E",AG536,0)</f>
        <v>0</v>
      </c>
      <c r="AQ536" s="8">
        <f t="shared" si="130"/>
        <v>0</v>
      </c>
      <c r="AR536" s="8">
        <f t="shared" si="125"/>
        <v>0</v>
      </c>
      <c r="AS536" s="42"/>
      <c r="AT536" s="48">
        <v>78419</v>
      </c>
      <c r="AU536" s="48">
        <v>20205</v>
      </c>
      <c r="AV536" s="4">
        <f t="shared" si="126"/>
        <v>98624</v>
      </c>
      <c r="AW536" s="50" t="str">
        <f t="shared" si="127"/>
        <v/>
      </c>
      <c r="AX536" s="1" t="s">
        <v>1766</v>
      </c>
      <c r="AY536" s="2" t="s">
        <v>1767</v>
      </c>
      <c r="AZ536" s="2">
        <v>83494.16</v>
      </c>
      <c r="BA536" s="73"/>
      <c r="BB536" s="73">
        <v>73057.39</v>
      </c>
      <c r="BC536" s="73">
        <v>83494.16</v>
      </c>
      <c r="BD536" s="73"/>
      <c r="BE536" s="66">
        <v>4.4999999999999998E-2</v>
      </c>
      <c r="BF536" s="66">
        <v>0.05</v>
      </c>
      <c r="BG536" s="63">
        <v>44956</v>
      </c>
      <c r="BH536" s="74">
        <v>45817</v>
      </c>
      <c r="BI536" s="74">
        <v>45824</v>
      </c>
      <c r="BJ536" s="2">
        <v>300672</v>
      </c>
      <c r="BK536" s="2">
        <v>15033.6</v>
      </c>
      <c r="BL536" s="1" t="s">
        <v>97</v>
      </c>
    </row>
    <row r="537" spans="1:64" x14ac:dyDescent="0.25">
      <c r="A537" s="56" t="s">
        <v>1212</v>
      </c>
      <c r="B537" s="54" t="s">
        <v>1310</v>
      </c>
      <c r="C537" s="56" t="s">
        <v>1311</v>
      </c>
      <c r="D537" s="16">
        <v>0</v>
      </c>
      <c r="E537" s="17">
        <v>45803</v>
      </c>
      <c r="F537" s="2" t="s">
        <v>1214</v>
      </c>
      <c r="G537" s="2" t="s">
        <v>1215</v>
      </c>
      <c r="H537" s="10" t="s">
        <v>98</v>
      </c>
      <c r="I537" s="11" t="s">
        <v>53</v>
      </c>
      <c r="J537" s="11" t="s">
        <v>830</v>
      </c>
      <c r="K537" s="61"/>
      <c r="L537" s="11" t="s">
        <v>67</v>
      </c>
      <c r="M537" s="25"/>
      <c r="N537" s="54"/>
      <c r="O537" s="3" t="str">
        <f>IF($A537="","",IF(P537=AZ537,"E","A"))</f>
        <v>E</v>
      </c>
      <c r="P537" s="48"/>
      <c r="Q537" s="48"/>
      <c r="R537" s="32"/>
      <c r="S537" s="3" t="str">
        <f>IF($A537="","",IF(T537=0,"A",IF(T537=BA537,"E","A")))</f>
        <v>A</v>
      </c>
      <c r="T537" s="48"/>
      <c r="U537" s="48"/>
      <c r="V537" s="32"/>
      <c r="W537" s="3" t="str">
        <f t="shared" si="121"/>
        <v>A</v>
      </c>
      <c r="X537" s="48"/>
      <c r="Y537" s="48"/>
      <c r="Z537" s="32"/>
      <c r="AA537" s="3" t="str">
        <f t="shared" si="122"/>
        <v>A</v>
      </c>
      <c r="AB537" s="48"/>
      <c r="AC537" s="48"/>
      <c r="AD537" s="36"/>
      <c r="AE537" s="54"/>
      <c r="AF537" s="3" t="str">
        <f t="shared" si="123"/>
        <v>A</v>
      </c>
      <c r="AG537" s="48"/>
      <c r="AH537" s="48"/>
      <c r="AI537" s="39"/>
      <c r="AJ537" s="79" t="s">
        <v>38</v>
      </c>
      <c r="AK537" s="39"/>
      <c r="AL537" s="4">
        <f t="shared" si="129"/>
        <v>0</v>
      </c>
      <c r="AM537" s="4">
        <f t="shared" si="129"/>
        <v>0</v>
      </c>
      <c r="AN537" s="4">
        <f t="shared" si="124"/>
        <v>0</v>
      </c>
      <c r="AO537" s="39"/>
      <c r="AP537" s="8">
        <f t="shared" si="130"/>
        <v>0</v>
      </c>
      <c r="AQ537" s="8">
        <f t="shared" si="130"/>
        <v>0</v>
      </c>
      <c r="AR537" s="8">
        <f t="shared" si="125"/>
        <v>0</v>
      </c>
      <c r="AS537" s="42"/>
      <c r="AT537" s="48"/>
      <c r="AU537" s="48"/>
      <c r="AV537" s="4">
        <f t="shared" si="126"/>
        <v>0</v>
      </c>
      <c r="AW537" s="50" t="str">
        <f t="shared" si="127"/>
        <v/>
      </c>
      <c r="AX537" s="1" t="s">
        <v>1766</v>
      </c>
      <c r="AY537" s="2" t="s">
        <v>1767</v>
      </c>
      <c r="AZ537" s="2"/>
      <c r="BA537" s="73"/>
      <c r="BB537" s="73"/>
      <c r="BC537" s="73"/>
      <c r="BD537" s="73"/>
      <c r="BE537" s="66">
        <v>0</v>
      </c>
      <c r="BF537" s="66">
        <v>0.05</v>
      </c>
      <c r="BG537" s="63">
        <v>45147</v>
      </c>
      <c r="BH537" s="74">
        <v>45803</v>
      </c>
      <c r="BI537" s="74">
        <v>45673</v>
      </c>
      <c r="BJ537" s="2">
        <v>200448</v>
      </c>
      <c r="BK537" s="2">
        <v>10523.52</v>
      </c>
      <c r="BL537" s="1" t="s">
        <v>97</v>
      </c>
    </row>
    <row r="538" spans="1:64" x14ac:dyDescent="0.25">
      <c r="A538" s="56" t="s">
        <v>1212</v>
      </c>
      <c r="B538" s="54" t="s">
        <v>1521</v>
      </c>
      <c r="C538" s="56" t="s">
        <v>1522</v>
      </c>
      <c r="D538" s="16">
        <v>0</v>
      </c>
      <c r="E538" s="17"/>
      <c r="F538" s="2" t="s">
        <v>1214</v>
      </c>
      <c r="G538" s="2" t="s">
        <v>1215</v>
      </c>
      <c r="H538" s="10" t="s">
        <v>98</v>
      </c>
      <c r="I538" s="11" t="s">
        <v>53</v>
      </c>
      <c r="J538" s="11" t="s">
        <v>830</v>
      </c>
      <c r="K538" s="61"/>
      <c r="L538" s="11" t="s">
        <v>67</v>
      </c>
      <c r="M538" s="25"/>
      <c r="N538" s="54"/>
      <c r="O538" s="3" t="str">
        <f>IF($A538="","",IF(P538=AZ538,"E","A"))</f>
        <v>A</v>
      </c>
      <c r="P538" s="48">
        <v>24377</v>
      </c>
      <c r="Q538" s="48">
        <v>0</v>
      </c>
      <c r="R538" s="32"/>
      <c r="S538" s="3" t="str">
        <f>IF($A538="","",IF(T538=BA538,"E","A"))</f>
        <v>E</v>
      </c>
      <c r="T538" s="48">
        <v>61783.75</v>
      </c>
      <c r="U538" s="48">
        <v>3253.32</v>
      </c>
      <c r="V538" s="32"/>
      <c r="W538" s="3" t="str">
        <f t="shared" si="121"/>
        <v>A</v>
      </c>
      <c r="X538" s="48">
        <v>20858</v>
      </c>
      <c r="Y538" s="48"/>
      <c r="Z538" s="32"/>
      <c r="AA538" s="3" t="str">
        <f t="shared" si="122"/>
        <v>A</v>
      </c>
      <c r="AB538" s="48">
        <v>25889</v>
      </c>
      <c r="AC538" s="48"/>
      <c r="AD538" s="36"/>
      <c r="AE538" s="54"/>
      <c r="AF538" s="3" t="str">
        <f t="shared" si="123"/>
        <v>A</v>
      </c>
      <c r="AG538" s="48">
        <v>0</v>
      </c>
      <c r="AH538" s="48">
        <v>0</v>
      </c>
      <c r="AI538" s="39"/>
      <c r="AJ538" s="79" t="s">
        <v>38</v>
      </c>
      <c r="AK538" s="39"/>
      <c r="AL538" s="4">
        <f t="shared" si="129"/>
        <v>71124</v>
      </c>
      <c r="AM538" s="4">
        <f t="shared" si="129"/>
        <v>0</v>
      </c>
      <c r="AN538" s="4">
        <f t="shared" si="124"/>
        <v>71124</v>
      </c>
      <c r="AO538" s="39"/>
      <c r="AP538" s="8">
        <f t="shared" si="130"/>
        <v>61783.75</v>
      </c>
      <c r="AQ538" s="8">
        <f t="shared" si="130"/>
        <v>3253.32</v>
      </c>
      <c r="AR538" s="8">
        <f t="shared" si="125"/>
        <v>65037.07</v>
      </c>
      <c r="AS538" s="42"/>
      <c r="AT538" s="48">
        <v>71124</v>
      </c>
      <c r="AU538" s="48"/>
      <c r="AV538" s="4">
        <f t="shared" si="126"/>
        <v>71124</v>
      </c>
      <c r="AW538" s="50" t="str">
        <f t="shared" si="127"/>
        <v/>
      </c>
      <c r="AX538" s="1" t="s">
        <v>1766</v>
      </c>
      <c r="AY538" s="2" t="s">
        <v>1767</v>
      </c>
      <c r="AZ538" s="2">
        <v>70610</v>
      </c>
      <c r="BA538" s="73">
        <v>61783.75</v>
      </c>
      <c r="BB538" s="73">
        <v>61783.75</v>
      </c>
      <c r="BC538" s="73">
        <v>70610</v>
      </c>
      <c r="BD538" s="73"/>
      <c r="BE538" s="66">
        <v>0</v>
      </c>
      <c r="BF538" s="66">
        <v>0.05</v>
      </c>
      <c r="BG538" s="63">
        <v>45549</v>
      </c>
      <c r="BH538" s="74">
        <v>45659</v>
      </c>
      <c r="BI538" s="74">
        <v>45667</v>
      </c>
      <c r="BJ538" s="2">
        <v>258288</v>
      </c>
      <c r="BK538" s="2">
        <v>13560.12</v>
      </c>
      <c r="BL538" s="1" t="s">
        <v>97</v>
      </c>
    </row>
    <row r="539" spans="1:64" x14ac:dyDescent="0.25">
      <c r="A539" s="56" t="s">
        <v>1218</v>
      </c>
      <c r="B539" s="54" t="s">
        <v>1218</v>
      </c>
      <c r="C539" s="56" t="s">
        <v>1219</v>
      </c>
      <c r="D539" s="16">
        <v>0</v>
      </c>
      <c r="E539" s="17"/>
      <c r="F539" s="2" t="s">
        <v>243</v>
      </c>
      <c r="G539" s="2" t="s">
        <v>245</v>
      </c>
      <c r="H539" s="10" t="s">
        <v>57</v>
      </c>
      <c r="I539" s="11" t="s">
        <v>244</v>
      </c>
      <c r="J539" s="11" t="s">
        <v>486</v>
      </c>
      <c r="K539" s="61" t="s">
        <v>487</v>
      </c>
      <c r="L539" s="11" t="s">
        <v>67</v>
      </c>
      <c r="M539" s="25"/>
      <c r="N539" s="54"/>
      <c r="O539" s="3" t="str">
        <f>IF($A539="","",IF(P539=0,"A",IF(P539=AZ539,"E","A")))</f>
        <v>A</v>
      </c>
      <c r="P539" s="48">
        <v>55382</v>
      </c>
      <c r="Q539" s="48">
        <v>14743</v>
      </c>
      <c r="R539" s="32"/>
      <c r="S539" s="3" t="str">
        <f t="shared" ref="S539:S563" si="131">IF($A539="","",IF(T539=0,"A",IF(T539=BA539,"E","A")))</f>
        <v>A</v>
      </c>
      <c r="T539" s="48">
        <v>45741</v>
      </c>
      <c r="U539" s="48">
        <v>12916</v>
      </c>
      <c r="V539" s="32"/>
      <c r="W539" s="3" t="str">
        <f t="shared" si="121"/>
        <v>A</v>
      </c>
      <c r="X539" s="48">
        <v>42174</v>
      </c>
      <c r="Y539" s="48">
        <v>13889</v>
      </c>
      <c r="Z539" s="32"/>
      <c r="AA539" s="3" t="str">
        <f t="shared" si="122"/>
        <v>A</v>
      </c>
      <c r="AB539" s="48">
        <v>38777</v>
      </c>
      <c r="AC539" s="48">
        <v>12203</v>
      </c>
      <c r="AD539" s="36"/>
      <c r="AE539" s="54"/>
      <c r="AF539" s="3" t="str">
        <f t="shared" si="123"/>
        <v>A</v>
      </c>
      <c r="AG539" s="48">
        <v>0</v>
      </c>
      <c r="AH539" s="48">
        <v>0</v>
      </c>
      <c r="AI539" s="39"/>
      <c r="AJ539" s="79" t="s">
        <v>1801</v>
      </c>
      <c r="AK539" s="39"/>
      <c r="AL539" s="4">
        <f t="shared" si="129"/>
        <v>182074</v>
      </c>
      <c r="AM539" s="4">
        <f t="shared" si="129"/>
        <v>53751</v>
      </c>
      <c r="AN539" s="4">
        <f t="shared" si="124"/>
        <v>235825</v>
      </c>
      <c r="AO539" s="39"/>
      <c r="AP539" s="8">
        <f t="shared" si="130"/>
        <v>0</v>
      </c>
      <c r="AQ539" s="8">
        <f t="shared" si="130"/>
        <v>0</v>
      </c>
      <c r="AR539" s="8">
        <f t="shared" si="125"/>
        <v>0</v>
      </c>
      <c r="AS539" s="42"/>
      <c r="AT539" s="48">
        <v>182074</v>
      </c>
      <c r="AU539" s="48">
        <v>53751</v>
      </c>
      <c r="AV539" s="4">
        <f t="shared" si="126"/>
        <v>235825</v>
      </c>
      <c r="AW539" s="50" t="str">
        <f t="shared" si="127"/>
        <v/>
      </c>
      <c r="AX539" s="1" t="s">
        <v>1639</v>
      </c>
      <c r="AY539" s="2" t="s">
        <v>1640</v>
      </c>
      <c r="AZ539" s="2">
        <v>180792.4</v>
      </c>
      <c r="BA539" s="73">
        <v>158193.35</v>
      </c>
      <c r="BB539" s="73">
        <v>158193.35</v>
      </c>
      <c r="BC539" s="73">
        <v>180792.4</v>
      </c>
      <c r="BD539" s="73"/>
      <c r="BE539" s="66">
        <v>0</v>
      </c>
      <c r="BF539" s="66">
        <v>0.02</v>
      </c>
      <c r="BG539" s="63">
        <v>45135</v>
      </c>
      <c r="BH539" s="2"/>
      <c r="BI539" s="2"/>
      <c r="BJ539" s="2">
        <v>652072.78</v>
      </c>
      <c r="BK539" s="2">
        <v>64490.71</v>
      </c>
      <c r="BL539" s="1" t="s">
        <v>56</v>
      </c>
    </row>
    <row r="540" spans="1:64" x14ac:dyDescent="0.25">
      <c r="A540" s="56" t="s">
        <v>1220</v>
      </c>
      <c r="B540" s="54" t="s">
        <v>1220</v>
      </c>
      <c r="C540" s="56" t="s">
        <v>1221</v>
      </c>
      <c r="D540" s="16">
        <v>45104</v>
      </c>
      <c r="E540" s="17"/>
      <c r="F540" s="2" t="s">
        <v>243</v>
      </c>
      <c r="G540" s="2" t="s">
        <v>245</v>
      </c>
      <c r="H540" s="10" t="s">
        <v>57</v>
      </c>
      <c r="I540" s="11" t="s">
        <v>244</v>
      </c>
      <c r="J540" s="11" t="s">
        <v>486</v>
      </c>
      <c r="K540" s="61" t="s">
        <v>487</v>
      </c>
      <c r="L540" s="11" t="s">
        <v>67</v>
      </c>
      <c r="M540" s="25"/>
      <c r="N540" s="54"/>
      <c r="O540" s="3" t="str">
        <f>IF($A540="","",IF(P540=0,"A",IF(P540=AZ540,"E","A")))</f>
        <v>A</v>
      </c>
      <c r="P540" s="48">
        <v>19763</v>
      </c>
      <c r="Q540" s="48">
        <v>4566</v>
      </c>
      <c r="R540" s="32"/>
      <c r="S540" s="3" t="str">
        <f t="shared" si="131"/>
        <v>A</v>
      </c>
      <c r="T540" s="48">
        <v>19228</v>
      </c>
      <c r="U540" s="48">
        <v>4376</v>
      </c>
      <c r="V540" s="32"/>
      <c r="W540" s="3" t="str">
        <f t="shared" si="121"/>
        <v>A</v>
      </c>
      <c r="X540" s="48">
        <v>23478</v>
      </c>
      <c r="Y540" s="48">
        <v>4127</v>
      </c>
      <c r="Z540" s="32"/>
      <c r="AA540" s="3" t="str">
        <f t="shared" si="122"/>
        <v>A</v>
      </c>
      <c r="AB540" s="48">
        <v>26895</v>
      </c>
      <c r="AC540" s="48">
        <v>4588</v>
      </c>
      <c r="AD540" s="36"/>
      <c r="AE540" s="54"/>
      <c r="AF540" s="3" t="str">
        <f t="shared" si="123"/>
        <v>A</v>
      </c>
      <c r="AG540" s="48">
        <v>0</v>
      </c>
      <c r="AH540" s="48">
        <v>0</v>
      </c>
      <c r="AI540" s="39"/>
      <c r="AJ540" s="79" t="s">
        <v>1801</v>
      </c>
      <c r="AK540" s="39"/>
      <c r="AL540" s="4">
        <f t="shared" si="129"/>
        <v>89364</v>
      </c>
      <c r="AM540" s="4">
        <f t="shared" si="129"/>
        <v>17657</v>
      </c>
      <c r="AN540" s="4">
        <f t="shared" si="124"/>
        <v>107021</v>
      </c>
      <c r="AO540" s="39"/>
      <c r="AP540" s="8">
        <f t="shared" si="130"/>
        <v>0</v>
      </c>
      <c r="AQ540" s="8">
        <f t="shared" si="130"/>
        <v>0</v>
      </c>
      <c r="AR540" s="8">
        <f t="shared" si="125"/>
        <v>0</v>
      </c>
      <c r="AS540" s="42"/>
      <c r="AT540" s="48">
        <v>89364</v>
      </c>
      <c r="AU540" s="48">
        <v>17657</v>
      </c>
      <c r="AV540" s="4">
        <f t="shared" si="126"/>
        <v>107021</v>
      </c>
      <c r="AW540" s="50" t="str">
        <f t="shared" si="127"/>
        <v/>
      </c>
      <c r="AX540" s="1" t="s">
        <v>1639</v>
      </c>
      <c r="AY540" s="2" t="s">
        <v>1640</v>
      </c>
      <c r="AZ540" s="2">
        <v>162113.84</v>
      </c>
      <c r="BA540" s="73">
        <v>141849.60999999999</v>
      </c>
      <c r="BB540" s="73">
        <v>141849.60999999999</v>
      </c>
      <c r="BC540" s="73">
        <v>162113.84</v>
      </c>
      <c r="BD540" s="73"/>
      <c r="BE540" s="66">
        <v>0</v>
      </c>
      <c r="BF540" s="66">
        <v>0.02</v>
      </c>
      <c r="BG540" s="63">
        <v>45093</v>
      </c>
      <c r="BH540" s="2"/>
      <c r="BI540" s="2"/>
      <c r="BJ540" s="2">
        <v>597193.15</v>
      </c>
      <c r="BK540" s="2">
        <v>66354.789999999994</v>
      </c>
      <c r="BL540" s="1" t="s">
        <v>56</v>
      </c>
    </row>
    <row r="541" spans="1:64" x14ac:dyDescent="0.25">
      <c r="A541" s="56" t="s">
        <v>825</v>
      </c>
      <c r="B541" s="54" t="s">
        <v>826</v>
      </c>
      <c r="C541" s="56" t="s">
        <v>827</v>
      </c>
      <c r="D541" s="16">
        <v>43532</v>
      </c>
      <c r="E541" s="17"/>
      <c r="F541" s="2" t="s">
        <v>828</v>
      </c>
      <c r="G541" s="2" t="s">
        <v>829</v>
      </c>
      <c r="H541" s="10" t="s">
        <v>98</v>
      </c>
      <c r="I541" s="11" t="s">
        <v>53</v>
      </c>
      <c r="J541" s="11" t="s">
        <v>830</v>
      </c>
      <c r="K541" s="61"/>
      <c r="L541" s="11" t="s">
        <v>67</v>
      </c>
      <c r="M541" s="25"/>
      <c r="N541" s="54"/>
      <c r="O541" s="3" t="str">
        <f>IF($A541="","",IF(P541=0,"A",IF(P541=AZ541,"E","A")))</f>
        <v>E</v>
      </c>
      <c r="P541" s="48">
        <v>44360.480000000003</v>
      </c>
      <c r="Q541" s="48">
        <v>3238.32</v>
      </c>
      <c r="R541" s="32"/>
      <c r="S541" s="3" t="str">
        <f t="shared" si="131"/>
        <v>E</v>
      </c>
      <c r="T541" s="48">
        <v>38815.42</v>
      </c>
      <c r="U541" s="48">
        <v>2833.53</v>
      </c>
      <c r="V541" s="32"/>
      <c r="W541" s="3" t="str">
        <f t="shared" si="121"/>
        <v>E</v>
      </c>
      <c r="X541" s="48">
        <v>38815.42</v>
      </c>
      <c r="Y541" s="48">
        <v>2833.53</v>
      </c>
      <c r="Z541" s="32"/>
      <c r="AA541" s="3" t="str">
        <f t="shared" si="122"/>
        <v>E</v>
      </c>
      <c r="AB541" s="48">
        <v>44360.480000000003</v>
      </c>
      <c r="AC541" s="48">
        <v>3238.32</v>
      </c>
      <c r="AD541" s="36"/>
      <c r="AE541" s="54"/>
      <c r="AF541" s="3" t="str">
        <f t="shared" si="123"/>
        <v>A</v>
      </c>
      <c r="AG541" s="48"/>
      <c r="AH541" s="48"/>
      <c r="AI541" s="39"/>
      <c r="AJ541" s="79" t="s">
        <v>38</v>
      </c>
      <c r="AK541" s="39"/>
      <c r="AL541" s="4">
        <f t="shared" si="129"/>
        <v>0</v>
      </c>
      <c r="AM541" s="4">
        <f t="shared" si="129"/>
        <v>0</v>
      </c>
      <c r="AN541" s="4">
        <f t="shared" si="124"/>
        <v>0</v>
      </c>
      <c r="AO541" s="39"/>
      <c r="AP541" s="8">
        <f t="shared" si="130"/>
        <v>166351.79999999999</v>
      </c>
      <c r="AQ541" s="8">
        <f t="shared" si="130"/>
        <v>12143.7</v>
      </c>
      <c r="AR541" s="8">
        <f t="shared" si="125"/>
        <v>178495.5</v>
      </c>
      <c r="AS541" s="42"/>
      <c r="AT541" s="48"/>
      <c r="AU541" s="48"/>
      <c r="AV541" s="4">
        <f t="shared" si="126"/>
        <v>0</v>
      </c>
      <c r="AW541" s="50" t="str">
        <f t="shared" si="127"/>
        <v/>
      </c>
      <c r="AX541" s="1" t="s">
        <v>1732</v>
      </c>
      <c r="AY541" s="2" t="s">
        <v>1733</v>
      </c>
      <c r="AZ541" s="2">
        <v>44360.480000000003</v>
      </c>
      <c r="BA541" s="73">
        <v>38815.42</v>
      </c>
      <c r="BB541" s="73">
        <v>38815.42</v>
      </c>
      <c r="BC541" s="73">
        <v>44360.480000000003</v>
      </c>
      <c r="BD541" s="73"/>
      <c r="BE541" s="66">
        <v>0</v>
      </c>
      <c r="BF541" s="66">
        <v>0.05</v>
      </c>
      <c r="BG541" s="63">
        <v>45798</v>
      </c>
      <c r="BH541" s="74">
        <v>45588</v>
      </c>
      <c r="BI541" s="74">
        <v>45604</v>
      </c>
      <c r="BJ541" s="2"/>
      <c r="BK541" s="2"/>
      <c r="BL541" s="1" t="s">
        <v>97</v>
      </c>
    </row>
    <row r="542" spans="1:64" x14ac:dyDescent="0.25">
      <c r="A542" s="56" t="s">
        <v>825</v>
      </c>
      <c r="B542" s="54" t="s">
        <v>825</v>
      </c>
      <c r="C542" s="56" t="s">
        <v>1222</v>
      </c>
      <c r="D542" s="16">
        <v>42203</v>
      </c>
      <c r="E542" s="17"/>
      <c r="F542" s="2" t="s">
        <v>828</v>
      </c>
      <c r="G542" s="2" t="s">
        <v>829</v>
      </c>
      <c r="H542" s="10" t="s">
        <v>98</v>
      </c>
      <c r="I542" s="11" t="s">
        <v>53</v>
      </c>
      <c r="J542" s="11" t="s">
        <v>830</v>
      </c>
      <c r="K542" s="61"/>
      <c r="L542" s="11" t="s">
        <v>67</v>
      </c>
      <c r="M542" s="25"/>
      <c r="N542" s="54"/>
      <c r="O542" s="3" t="str">
        <f>IF($A542="","",IF(P542=0,"A",IF(P542=AZ542,"E","A")))</f>
        <v>E</v>
      </c>
      <c r="P542" s="48">
        <v>50083.68</v>
      </c>
      <c r="Q542" s="48">
        <v>2655.84</v>
      </c>
      <c r="R542" s="32"/>
      <c r="S542" s="3" t="str">
        <f t="shared" si="131"/>
        <v>E</v>
      </c>
      <c r="T542" s="48">
        <v>43823.22</v>
      </c>
      <c r="U542" s="48">
        <v>2323.86</v>
      </c>
      <c r="V542" s="32"/>
      <c r="W542" s="3" t="str">
        <f t="shared" si="121"/>
        <v>E</v>
      </c>
      <c r="X542" s="48">
        <v>43823.22</v>
      </c>
      <c r="Y542" s="48">
        <v>2323.86</v>
      </c>
      <c r="Z542" s="32"/>
      <c r="AA542" s="3" t="str">
        <f t="shared" si="122"/>
        <v>E</v>
      </c>
      <c r="AB542" s="48">
        <v>50083.68</v>
      </c>
      <c r="AC542" s="48">
        <v>2655.84</v>
      </c>
      <c r="AD542" s="36"/>
      <c r="AE542" s="54"/>
      <c r="AF542" s="3" t="str">
        <f t="shared" si="123"/>
        <v>A</v>
      </c>
      <c r="AG542" s="48"/>
      <c r="AH542" s="48"/>
      <c r="AI542" s="39"/>
      <c r="AJ542" s="79" t="s">
        <v>38</v>
      </c>
      <c r="AK542" s="39"/>
      <c r="AL542" s="4">
        <f t="shared" si="129"/>
        <v>0</v>
      </c>
      <c r="AM542" s="4">
        <f t="shared" si="129"/>
        <v>0</v>
      </c>
      <c r="AN542" s="4">
        <f t="shared" si="124"/>
        <v>0</v>
      </c>
      <c r="AO542" s="39"/>
      <c r="AP542" s="8">
        <f t="shared" si="130"/>
        <v>187813.8</v>
      </c>
      <c r="AQ542" s="8">
        <f t="shared" si="130"/>
        <v>9959.4000000000015</v>
      </c>
      <c r="AR542" s="8">
        <f t="shared" si="125"/>
        <v>197773.19999999998</v>
      </c>
      <c r="AS542" s="42"/>
      <c r="AT542" s="48"/>
      <c r="AU542" s="48"/>
      <c r="AV542" s="4">
        <f t="shared" si="126"/>
        <v>0</v>
      </c>
      <c r="AW542" s="50" t="str">
        <f t="shared" si="127"/>
        <v/>
      </c>
      <c r="AX542" s="1" t="s">
        <v>1732</v>
      </c>
      <c r="AY542" s="2" t="s">
        <v>1733</v>
      </c>
      <c r="AZ542" s="2">
        <v>50083.68</v>
      </c>
      <c r="BA542" s="73">
        <v>43823.22</v>
      </c>
      <c r="BB542" s="73">
        <v>43823.22</v>
      </c>
      <c r="BC542" s="73">
        <v>50083.68</v>
      </c>
      <c r="BD542" s="73"/>
      <c r="BE542" s="66">
        <v>3.5000000000000003E-2</v>
      </c>
      <c r="BF542" s="66">
        <v>0.05</v>
      </c>
      <c r="BG542" s="63">
        <v>45798</v>
      </c>
      <c r="BH542" s="74">
        <v>45588</v>
      </c>
      <c r="BI542" s="74">
        <v>45660</v>
      </c>
      <c r="BJ542" s="2">
        <v>190908</v>
      </c>
      <c r="BK542" s="2">
        <v>10022.67</v>
      </c>
      <c r="BL542" s="1" t="s">
        <v>97</v>
      </c>
    </row>
    <row r="543" spans="1:64" x14ac:dyDescent="0.25">
      <c r="A543" s="56" t="s">
        <v>825</v>
      </c>
      <c r="B543" s="54" t="s">
        <v>1356</v>
      </c>
      <c r="C543" s="56" t="s">
        <v>1357</v>
      </c>
      <c r="D543" s="16">
        <v>45316</v>
      </c>
      <c r="E543" s="17"/>
      <c r="F543" s="2" t="s">
        <v>828</v>
      </c>
      <c r="G543" s="2" t="s">
        <v>829</v>
      </c>
      <c r="H543" s="10" t="s">
        <v>98</v>
      </c>
      <c r="I543" s="11" t="s">
        <v>53</v>
      </c>
      <c r="J543" s="11" t="s">
        <v>830</v>
      </c>
      <c r="K543" s="61"/>
      <c r="L543" s="11" t="s">
        <v>67</v>
      </c>
      <c r="M543" s="25"/>
      <c r="N543" s="54"/>
      <c r="O543" s="3" t="str">
        <f>IF($A543="","",IF(P543=AZ543,"E","A"))</f>
        <v>E</v>
      </c>
      <c r="P543" s="48">
        <v>49062.400000000001</v>
      </c>
      <c r="Q543" s="48">
        <v>0</v>
      </c>
      <c r="R543" s="32"/>
      <c r="S543" s="3" t="str">
        <f t="shared" si="131"/>
        <v>E</v>
      </c>
      <c r="T543" s="48">
        <v>42929.599999999999</v>
      </c>
      <c r="U543" s="48">
        <v>0</v>
      </c>
      <c r="V543" s="32"/>
      <c r="W543" s="3" t="str">
        <f t="shared" si="121"/>
        <v>E</v>
      </c>
      <c r="X543" s="48">
        <v>42929.599999999999</v>
      </c>
      <c r="Y543" s="48">
        <v>0</v>
      </c>
      <c r="Z543" s="32"/>
      <c r="AA543" s="3" t="str">
        <f t="shared" si="122"/>
        <v>E</v>
      </c>
      <c r="AB543" s="48">
        <v>49062.400000000001</v>
      </c>
      <c r="AC543" s="48">
        <v>0</v>
      </c>
      <c r="AD543" s="36"/>
      <c r="AE543" s="54"/>
      <c r="AF543" s="3" t="str">
        <f t="shared" si="123"/>
        <v>A</v>
      </c>
      <c r="AG543" s="48"/>
      <c r="AH543" s="48"/>
      <c r="AI543" s="39"/>
      <c r="AJ543" s="79" t="s">
        <v>38</v>
      </c>
      <c r="AK543" s="39"/>
      <c r="AL543" s="4">
        <f t="shared" si="129"/>
        <v>0</v>
      </c>
      <c r="AM543" s="4">
        <f t="shared" si="129"/>
        <v>0</v>
      </c>
      <c r="AN543" s="4">
        <f t="shared" si="124"/>
        <v>0</v>
      </c>
      <c r="AO543" s="39"/>
      <c r="AP543" s="8">
        <f t="shared" si="130"/>
        <v>183984</v>
      </c>
      <c r="AQ543" s="8">
        <f t="shared" si="130"/>
        <v>0</v>
      </c>
      <c r="AR543" s="8">
        <f t="shared" si="125"/>
        <v>183984</v>
      </c>
      <c r="AS543" s="42"/>
      <c r="AT543" s="48"/>
      <c r="AU543" s="48"/>
      <c r="AV543" s="4">
        <f t="shared" si="126"/>
        <v>0</v>
      </c>
      <c r="AW543" s="50" t="str">
        <f t="shared" si="127"/>
        <v/>
      </c>
      <c r="AX543" s="1" t="s">
        <v>1732</v>
      </c>
      <c r="AY543" s="2" t="s">
        <v>1733</v>
      </c>
      <c r="AZ543" s="2">
        <v>49062.400000000001</v>
      </c>
      <c r="BA543" s="73">
        <v>42929.599999999999</v>
      </c>
      <c r="BB543" s="73">
        <v>42929.599999999999</v>
      </c>
      <c r="BC543" s="73">
        <v>49062.400000000001</v>
      </c>
      <c r="BD543" s="73"/>
      <c r="BE543" s="66">
        <v>0</v>
      </c>
      <c r="BF543" s="66">
        <v>0.05</v>
      </c>
      <c r="BG543" s="63">
        <v>45209</v>
      </c>
      <c r="BH543" s="74">
        <v>45588</v>
      </c>
      <c r="BI543" s="74">
        <v>45604</v>
      </c>
      <c r="BJ543" s="2">
        <v>180000</v>
      </c>
      <c r="BK543" s="2"/>
      <c r="BL543" s="1" t="s">
        <v>97</v>
      </c>
    </row>
    <row r="544" spans="1:64" x14ac:dyDescent="0.25">
      <c r="A544" s="56" t="s">
        <v>1225</v>
      </c>
      <c r="B544" s="54" t="s">
        <v>1225</v>
      </c>
      <c r="C544" s="56" t="s">
        <v>1226</v>
      </c>
      <c r="D544" s="16">
        <v>45648</v>
      </c>
      <c r="E544" s="17"/>
      <c r="F544" s="2" t="s">
        <v>76</v>
      </c>
      <c r="G544" s="2" t="s">
        <v>78</v>
      </c>
      <c r="H544" s="10" t="s">
        <v>57</v>
      </c>
      <c r="I544" s="11" t="s">
        <v>77</v>
      </c>
      <c r="J544" s="11" t="s">
        <v>87</v>
      </c>
      <c r="K544" s="61" t="s">
        <v>88</v>
      </c>
      <c r="L544" s="11" t="s">
        <v>67</v>
      </c>
      <c r="M544" s="25"/>
      <c r="N544" s="54"/>
      <c r="O544" s="3" t="str">
        <f t="shared" ref="O544:O558" si="132">IF($A544="","",IF(P544=0,"A",IF(P544=AZ544,"E","A")))</f>
        <v>A</v>
      </c>
      <c r="P544" s="48">
        <v>56056.800000000003</v>
      </c>
      <c r="Q544" s="48">
        <v>9210</v>
      </c>
      <c r="R544" s="32"/>
      <c r="S544" s="3" t="str">
        <f t="shared" si="131"/>
        <v>A</v>
      </c>
      <c r="T544" s="48">
        <v>88572.4</v>
      </c>
      <c r="U544" s="48">
        <v>7244</v>
      </c>
      <c r="V544" s="32"/>
      <c r="W544" s="3" t="str">
        <f t="shared" si="121"/>
        <v>A</v>
      </c>
      <c r="X544" s="48">
        <v>112680.8</v>
      </c>
      <c r="Y544" s="48">
        <v>7850</v>
      </c>
      <c r="Z544" s="32"/>
      <c r="AA544" s="3" t="str">
        <f t="shared" si="122"/>
        <v>A</v>
      </c>
      <c r="AB544" s="48">
        <v>78978.8</v>
      </c>
      <c r="AC544" s="48">
        <v>7675</v>
      </c>
      <c r="AD544" s="36"/>
      <c r="AE544" s="54"/>
      <c r="AF544" s="3" t="str">
        <f t="shared" si="123"/>
        <v>A</v>
      </c>
      <c r="AG544" s="48">
        <v>0</v>
      </c>
      <c r="AH544" s="48">
        <v>0</v>
      </c>
      <c r="AI544" s="39"/>
      <c r="AJ544" s="79" t="s">
        <v>1801</v>
      </c>
      <c r="AK544" s="39"/>
      <c r="AL544" s="4">
        <f t="shared" si="129"/>
        <v>336288.8</v>
      </c>
      <c r="AM544" s="4">
        <f t="shared" si="129"/>
        <v>31979</v>
      </c>
      <c r="AN544" s="4">
        <f t="shared" si="124"/>
        <v>368267.8</v>
      </c>
      <c r="AO544" s="39"/>
      <c r="AP544" s="8">
        <f t="shared" si="130"/>
        <v>0</v>
      </c>
      <c r="AQ544" s="8">
        <f t="shared" si="130"/>
        <v>0</v>
      </c>
      <c r="AR544" s="8">
        <f t="shared" si="125"/>
        <v>0</v>
      </c>
      <c r="AS544" s="42"/>
      <c r="AT544" s="48">
        <v>336288.8</v>
      </c>
      <c r="AU544" s="48">
        <v>31979</v>
      </c>
      <c r="AV544" s="4">
        <f t="shared" si="126"/>
        <v>368267.8</v>
      </c>
      <c r="AW544" s="50" t="str">
        <f t="shared" si="127"/>
        <v/>
      </c>
      <c r="AX544" s="1" t="s">
        <v>1639</v>
      </c>
      <c r="AY544" s="2" t="s">
        <v>1640</v>
      </c>
      <c r="AZ544" s="2">
        <v>104246.96</v>
      </c>
      <c r="BA544" s="73">
        <v>91216.09</v>
      </c>
      <c r="BB544" s="73">
        <v>91216.09</v>
      </c>
      <c r="BC544" s="73">
        <v>104246.96</v>
      </c>
      <c r="BD544" s="73"/>
      <c r="BE544" s="66">
        <v>0</v>
      </c>
      <c r="BF544" s="66">
        <v>0.02</v>
      </c>
      <c r="BG544" s="63">
        <v>45646</v>
      </c>
      <c r="BH544" s="2"/>
      <c r="BI544" s="2"/>
      <c r="BJ544" s="2">
        <v>400000</v>
      </c>
      <c r="BK544" s="2">
        <v>125000</v>
      </c>
      <c r="BL544" s="1" t="s">
        <v>56</v>
      </c>
    </row>
    <row r="545" spans="1:64" x14ac:dyDescent="0.25">
      <c r="A545" s="56" t="s">
        <v>1227</v>
      </c>
      <c r="B545" s="54" t="s">
        <v>1227</v>
      </c>
      <c r="C545" s="56" t="s">
        <v>1228</v>
      </c>
      <c r="D545" s="16">
        <v>0</v>
      </c>
      <c r="E545" s="17"/>
      <c r="F545" s="2" t="s">
        <v>217</v>
      </c>
      <c r="G545" s="2" t="s">
        <v>218</v>
      </c>
      <c r="H545" s="10" t="s">
        <v>105</v>
      </c>
      <c r="I545" s="11" t="s">
        <v>53</v>
      </c>
      <c r="J545" s="11" t="s">
        <v>258</v>
      </c>
      <c r="K545" s="61"/>
      <c r="L545" s="11" t="s">
        <v>67</v>
      </c>
      <c r="M545" s="25"/>
      <c r="N545" s="54"/>
      <c r="O545" s="3" t="str">
        <f t="shared" si="132"/>
        <v>A</v>
      </c>
      <c r="P545" s="48">
        <v>259126</v>
      </c>
      <c r="Q545" s="48">
        <v>25577</v>
      </c>
      <c r="R545" s="32"/>
      <c r="S545" s="3" t="str">
        <f t="shared" si="131"/>
        <v>A</v>
      </c>
      <c r="T545" s="48">
        <v>237577</v>
      </c>
      <c r="U545" s="48">
        <v>24093</v>
      </c>
      <c r="V545" s="32"/>
      <c r="W545" s="3" t="str">
        <f t="shared" si="121"/>
        <v>A</v>
      </c>
      <c r="X545" s="48">
        <v>199578</v>
      </c>
      <c r="Y545" s="48">
        <v>20466</v>
      </c>
      <c r="Z545" s="32"/>
      <c r="AA545" s="3" t="str">
        <f t="shared" si="122"/>
        <v>A</v>
      </c>
      <c r="AB545" s="48">
        <v>200376</v>
      </c>
      <c r="AC545" s="48">
        <v>26560</v>
      </c>
      <c r="AD545" s="36"/>
      <c r="AE545" s="54"/>
      <c r="AF545" s="3" t="str">
        <f t="shared" si="123"/>
        <v>A</v>
      </c>
      <c r="AG545" s="48">
        <v>0</v>
      </c>
      <c r="AH545" s="48">
        <v>0</v>
      </c>
      <c r="AI545" s="39"/>
      <c r="AJ545" s="79" t="s">
        <v>1801</v>
      </c>
      <c r="AK545" s="39"/>
      <c r="AL545" s="4">
        <f t="shared" si="129"/>
        <v>896657</v>
      </c>
      <c r="AM545" s="4">
        <f t="shared" si="129"/>
        <v>96696</v>
      </c>
      <c r="AN545" s="4">
        <f t="shared" si="124"/>
        <v>993353</v>
      </c>
      <c r="AO545" s="39"/>
      <c r="AP545" s="8">
        <f t="shared" si="130"/>
        <v>0</v>
      </c>
      <c r="AQ545" s="8">
        <f t="shared" si="130"/>
        <v>0</v>
      </c>
      <c r="AR545" s="8">
        <f t="shared" si="125"/>
        <v>0</v>
      </c>
      <c r="AS545" s="42"/>
      <c r="AT545" s="48">
        <v>896657</v>
      </c>
      <c r="AU545" s="48">
        <v>96696</v>
      </c>
      <c r="AV545" s="4">
        <f t="shared" si="126"/>
        <v>993353</v>
      </c>
      <c r="AW545" s="50" t="str">
        <f t="shared" si="127"/>
        <v/>
      </c>
      <c r="AX545" s="1" t="s">
        <v>1658</v>
      </c>
      <c r="AY545" s="2" t="s">
        <v>1659</v>
      </c>
      <c r="AZ545" s="2">
        <v>190802.48</v>
      </c>
      <c r="BA545" s="73">
        <v>166952.17000000001</v>
      </c>
      <c r="BB545" s="73">
        <v>166952.17000000001</v>
      </c>
      <c r="BC545" s="73">
        <v>190802.48</v>
      </c>
      <c r="BD545" s="73"/>
      <c r="BE545" s="66">
        <v>0</v>
      </c>
      <c r="BF545" s="66">
        <v>0.05</v>
      </c>
      <c r="BG545" s="63">
        <v>44958</v>
      </c>
      <c r="BH545" s="2"/>
      <c r="BI545" s="2"/>
      <c r="BJ545" s="2">
        <v>692343.33</v>
      </c>
      <c r="BK545" s="2">
        <v>99581</v>
      </c>
      <c r="BL545" s="1" t="s">
        <v>219</v>
      </c>
    </row>
    <row r="546" spans="1:64" x14ac:dyDescent="0.25">
      <c r="A546" s="56" t="s">
        <v>1229</v>
      </c>
      <c r="B546" s="54" t="s">
        <v>1229</v>
      </c>
      <c r="C546" s="56" t="s">
        <v>1230</v>
      </c>
      <c r="D546" s="16">
        <v>0</v>
      </c>
      <c r="E546" s="17"/>
      <c r="F546" s="2" t="s">
        <v>217</v>
      </c>
      <c r="G546" s="2" t="s">
        <v>218</v>
      </c>
      <c r="H546" s="10" t="s">
        <v>105</v>
      </c>
      <c r="I546" s="11" t="s">
        <v>53</v>
      </c>
      <c r="J546" s="11" t="s">
        <v>258</v>
      </c>
      <c r="K546" s="61"/>
      <c r="L546" s="11" t="s">
        <v>67</v>
      </c>
      <c r="M546" s="25"/>
      <c r="N546" s="54"/>
      <c r="O546" s="3" t="str">
        <f t="shared" si="132"/>
        <v>A</v>
      </c>
      <c r="P546" s="48">
        <v>272712</v>
      </c>
      <c r="Q546" s="48">
        <v>33211</v>
      </c>
      <c r="R546" s="32"/>
      <c r="S546" s="3" t="str">
        <f t="shared" si="131"/>
        <v>A</v>
      </c>
      <c r="T546" s="48">
        <v>237509</v>
      </c>
      <c r="U546" s="48">
        <v>26340</v>
      </c>
      <c r="V546" s="32"/>
      <c r="W546" s="3" t="str">
        <f t="shared" si="121"/>
        <v>A</v>
      </c>
      <c r="X546" s="48">
        <v>209565</v>
      </c>
      <c r="Y546" s="48">
        <v>23577</v>
      </c>
      <c r="Z546" s="32"/>
      <c r="AA546" s="3" t="str">
        <f t="shared" si="122"/>
        <v>A</v>
      </c>
      <c r="AB546" s="48">
        <v>239257</v>
      </c>
      <c r="AC546" s="48">
        <v>21935</v>
      </c>
      <c r="AD546" s="36"/>
      <c r="AE546" s="54"/>
      <c r="AF546" s="3" t="str">
        <f t="shared" si="123"/>
        <v>A</v>
      </c>
      <c r="AG546" s="48">
        <v>0</v>
      </c>
      <c r="AH546" s="48">
        <v>0</v>
      </c>
      <c r="AI546" s="39"/>
      <c r="AJ546" s="79" t="s">
        <v>1801</v>
      </c>
      <c r="AK546" s="39"/>
      <c r="AL546" s="4">
        <f t="shared" si="129"/>
        <v>959043</v>
      </c>
      <c r="AM546" s="4">
        <f t="shared" si="129"/>
        <v>105063</v>
      </c>
      <c r="AN546" s="4">
        <f t="shared" si="124"/>
        <v>1064106</v>
      </c>
      <c r="AO546" s="39"/>
      <c r="AP546" s="8">
        <f t="shared" si="130"/>
        <v>0</v>
      </c>
      <c r="AQ546" s="8">
        <f t="shared" si="130"/>
        <v>0</v>
      </c>
      <c r="AR546" s="8">
        <f t="shared" si="125"/>
        <v>0</v>
      </c>
      <c r="AS546" s="42"/>
      <c r="AT546" s="48">
        <v>959043</v>
      </c>
      <c r="AU546" s="48">
        <v>105063</v>
      </c>
      <c r="AV546" s="4">
        <f t="shared" si="126"/>
        <v>1064106</v>
      </c>
      <c r="AW546" s="50" t="str">
        <f t="shared" si="127"/>
        <v/>
      </c>
      <c r="AX546" s="1" t="s">
        <v>1658</v>
      </c>
      <c r="AY546" s="2" t="s">
        <v>1659</v>
      </c>
      <c r="AZ546" s="2">
        <v>249917.36</v>
      </c>
      <c r="BA546" s="73">
        <v>218677.69</v>
      </c>
      <c r="BB546" s="73">
        <v>218677.69</v>
      </c>
      <c r="BC546" s="73">
        <v>249917.36</v>
      </c>
      <c r="BD546" s="73"/>
      <c r="BE546" s="66">
        <v>0</v>
      </c>
      <c r="BF546" s="66">
        <v>0.05</v>
      </c>
      <c r="BG546" s="63">
        <v>44958</v>
      </c>
      <c r="BH546" s="2"/>
      <c r="BI546" s="2"/>
      <c r="BJ546" s="2">
        <v>906847</v>
      </c>
      <c r="BK546" s="2">
        <v>117920.67</v>
      </c>
      <c r="BL546" s="1" t="s">
        <v>219</v>
      </c>
    </row>
    <row r="547" spans="1:64" x14ac:dyDescent="0.25">
      <c r="A547" s="56" t="s">
        <v>1231</v>
      </c>
      <c r="B547" s="54" t="s">
        <v>1232</v>
      </c>
      <c r="C547" s="56" t="s">
        <v>1233</v>
      </c>
      <c r="D547" s="16">
        <v>0</v>
      </c>
      <c r="E547" s="17"/>
      <c r="F547" s="2" t="s">
        <v>109</v>
      </c>
      <c r="G547" s="2" t="s">
        <v>111</v>
      </c>
      <c r="H547" s="10" t="s">
        <v>98</v>
      </c>
      <c r="I547" s="11" t="s">
        <v>110</v>
      </c>
      <c r="J547" s="11" t="s">
        <v>286</v>
      </c>
      <c r="K547" s="61" t="s">
        <v>287</v>
      </c>
      <c r="L547" s="11" t="s">
        <v>67</v>
      </c>
      <c r="M547" s="25"/>
      <c r="N547" s="54"/>
      <c r="O547" s="3" t="str">
        <f t="shared" si="132"/>
        <v>A</v>
      </c>
      <c r="P547" s="48">
        <v>51002</v>
      </c>
      <c r="Q547" s="48">
        <v>0</v>
      </c>
      <c r="R547" s="32"/>
      <c r="S547" s="3" t="str">
        <f t="shared" si="131"/>
        <v>A</v>
      </c>
      <c r="T547" s="48">
        <v>39951</v>
      </c>
      <c r="U547" s="48">
        <v>0</v>
      </c>
      <c r="V547" s="32"/>
      <c r="W547" s="3" t="str">
        <f t="shared" si="121"/>
        <v>A</v>
      </c>
      <c r="X547" s="48">
        <v>37823</v>
      </c>
      <c r="Y547" s="48">
        <v>0</v>
      </c>
      <c r="Z547" s="32"/>
      <c r="AA547" s="3" t="str">
        <f t="shared" si="122"/>
        <v>A</v>
      </c>
      <c r="AB547" s="48">
        <v>44251</v>
      </c>
      <c r="AC547" s="48">
        <v>0</v>
      </c>
      <c r="AD547" s="36"/>
      <c r="AE547" s="54"/>
      <c r="AF547" s="3" t="str">
        <f t="shared" si="123"/>
        <v>A</v>
      </c>
      <c r="AG547" s="48">
        <v>0</v>
      </c>
      <c r="AH547" s="48">
        <v>0</v>
      </c>
      <c r="AI547" s="39"/>
      <c r="AJ547" s="79" t="s">
        <v>1801</v>
      </c>
      <c r="AK547" s="39"/>
      <c r="AL547" s="4">
        <f t="shared" si="129"/>
        <v>173027</v>
      </c>
      <c r="AM547" s="4">
        <f t="shared" si="129"/>
        <v>0</v>
      </c>
      <c r="AN547" s="4">
        <f t="shared" si="124"/>
        <v>173027</v>
      </c>
      <c r="AO547" s="39"/>
      <c r="AP547" s="8">
        <f t="shared" si="130"/>
        <v>0</v>
      </c>
      <c r="AQ547" s="8">
        <f t="shared" si="130"/>
        <v>0</v>
      </c>
      <c r="AR547" s="8">
        <f t="shared" si="125"/>
        <v>0</v>
      </c>
      <c r="AS547" s="42"/>
      <c r="AT547" s="48">
        <v>173027</v>
      </c>
      <c r="AU547" s="48"/>
      <c r="AV547" s="4">
        <f t="shared" si="126"/>
        <v>173027</v>
      </c>
      <c r="AW547" s="50" t="str">
        <f t="shared" si="127"/>
        <v/>
      </c>
      <c r="AX547" s="1" t="s">
        <v>1647</v>
      </c>
      <c r="AY547" s="2" t="s">
        <v>1640</v>
      </c>
      <c r="AZ547" s="2">
        <v>66470.960000000006</v>
      </c>
      <c r="BA547" s="73">
        <v>58162.09</v>
      </c>
      <c r="BB547" s="73">
        <v>58162.09</v>
      </c>
      <c r="BC547" s="73">
        <v>66470.960000000006</v>
      </c>
      <c r="BD547" s="73"/>
      <c r="BE547" s="66">
        <v>0</v>
      </c>
      <c r="BF547" s="66">
        <v>0.02</v>
      </c>
      <c r="BG547" s="63">
        <v>45036</v>
      </c>
      <c r="BH547" s="74">
        <v>45566</v>
      </c>
      <c r="BI547" s="74">
        <v>45580</v>
      </c>
      <c r="BJ547" s="2">
        <v>240000</v>
      </c>
      <c r="BK547" s="2"/>
      <c r="BL547" s="1" t="s">
        <v>237</v>
      </c>
    </row>
    <row r="548" spans="1:64" x14ac:dyDescent="0.25">
      <c r="A548" s="56" t="s">
        <v>1231</v>
      </c>
      <c r="B548" s="54" t="s">
        <v>1231</v>
      </c>
      <c r="C548" s="56" t="s">
        <v>1234</v>
      </c>
      <c r="D548" s="16">
        <v>0</v>
      </c>
      <c r="E548" s="17"/>
      <c r="F548" s="2" t="s">
        <v>109</v>
      </c>
      <c r="G548" s="2" t="s">
        <v>111</v>
      </c>
      <c r="H548" s="10" t="s">
        <v>98</v>
      </c>
      <c r="I548" s="11" t="s">
        <v>110</v>
      </c>
      <c r="J548" s="11" t="s">
        <v>286</v>
      </c>
      <c r="K548" s="61" t="s">
        <v>287</v>
      </c>
      <c r="L548" s="11" t="s">
        <v>67</v>
      </c>
      <c r="M548" s="25"/>
      <c r="N548" s="54"/>
      <c r="O548" s="3" t="str">
        <f t="shared" si="132"/>
        <v>A</v>
      </c>
      <c r="P548" s="48">
        <v>42024.25</v>
      </c>
      <c r="Q548" s="48">
        <v>1809</v>
      </c>
      <c r="R548" s="32"/>
      <c r="S548" s="3" t="str">
        <f t="shared" si="131"/>
        <v>A</v>
      </c>
      <c r="T548" s="48">
        <v>34043.5</v>
      </c>
      <c r="U548" s="48">
        <v>1545</v>
      </c>
      <c r="V548" s="32"/>
      <c r="W548" s="3" t="str">
        <f t="shared" si="121"/>
        <v>A</v>
      </c>
      <c r="X548" s="48">
        <v>29673</v>
      </c>
      <c r="Y548" s="48">
        <v>1352</v>
      </c>
      <c r="Z548" s="32"/>
      <c r="AA548" s="3" t="str">
        <f t="shared" si="122"/>
        <v>A</v>
      </c>
      <c r="AB548" s="48">
        <v>37261.5</v>
      </c>
      <c r="AC548" s="48">
        <v>1283</v>
      </c>
      <c r="AD548" s="36"/>
      <c r="AE548" s="54"/>
      <c r="AF548" s="3" t="str">
        <f t="shared" si="123"/>
        <v>A</v>
      </c>
      <c r="AG548" s="48">
        <v>0</v>
      </c>
      <c r="AH548" s="48">
        <v>0</v>
      </c>
      <c r="AI548" s="39"/>
      <c r="AJ548" s="79" t="s">
        <v>1801</v>
      </c>
      <c r="AK548" s="39"/>
      <c r="AL548" s="4">
        <f t="shared" si="129"/>
        <v>143002.25</v>
      </c>
      <c r="AM548" s="4">
        <f t="shared" si="129"/>
        <v>5989</v>
      </c>
      <c r="AN548" s="4">
        <f t="shared" si="124"/>
        <v>148991.25</v>
      </c>
      <c r="AO548" s="39"/>
      <c r="AP548" s="8">
        <f t="shared" si="130"/>
        <v>0</v>
      </c>
      <c r="AQ548" s="8">
        <f t="shared" si="130"/>
        <v>0</v>
      </c>
      <c r="AR548" s="8">
        <f t="shared" si="125"/>
        <v>0</v>
      </c>
      <c r="AS548" s="42"/>
      <c r="AT548" s="48">
        <v>143002.25</v>
      </c>
      <c r="AU548" s="48">
        <v>5989</v>
      </c>
      <c r="AV548" s="4">
        <f t="shared" si="126"/>
        <v>148991.25</v>
      </c>
      <c r="AW548" s="50" t="str">
        <f t="shared" si="127"/>
        <v/>
      </c>
      <c r="AX548" s="1" t="s">
        <v>1647</v>
      </c>
      <c r="AY548" s="2" t="s">
        <v>1640</v>
      </c>
      <c r="AZ548" s="2">
        <v>0</v>
      </c>
      <c r="BA548" s="73">
        <v>0</v>
      </c>
      <c r="BB548" s="73">
        <v>0</v>
      </c>
      <c r="BC548" s="73">
        <v>0</v>
      </c>
      <c r="BD548" s="73"/>
      <c r="BE548" s="66">
        <v>0</v>
      </c>
      <c r="BF548" s="66">
        <v>0.02</v>
      </c>
      <c r="BG548" s="63">
        <v>45031</v>
      </c>
      <c r="BH548" s="2"/>
      <c r="BI548" s="2"/>
      <c r="BJ548" s="2">
        <v>263760</v>
      </c>
      <c r="BK548" s="2">
        <v>13847.4</v>
      </c>
      <c r="BL548" s="1" t="s">
        <v>237</v>
      </c>
    </row>
    <row r="549" spans="1:64" x14ac:dyDescent="0.25">
      <c r="A549" s="56" t="s">
        <v>1231</v>
      </c>
      <c r="B549" s="54" t="s">
        <v>1245</v>
      </c>
      <c r="C549" s="56" t="s">
        <v>1246</v>
      </c>
      <c r="D549" s="16">
        <v>0</v>
      </c>
      <c r="E549" s="17">
        <v>45809</v>
      </c>
      <c r="F549" s="2" t="s">
        <v>109</v>
      </c>
      <c r="G549" s="2" t="s">
        <v>111</v>
      </c>
      <c r="H549" s="10" t="s">
        <v>98</v>
      </c>
      <c r="I549" s="11" t="s">
        <v>110</v>
      </c>
      <c r="J549" s="11" t="s">
        <v>286</v>
      </c>
      <c r="K549" s="61" t="s">
        <v>287</v>
      </c>
      <c r="L549" s="11" t="s">
        <v>67</v>
      </c>
      <c r="M549" s="25"/>
      <c r="N549" s="54"/>
      <c r="O549" s="3" t="str">
        <f t="shared" si="132"/>
        <v>A</v>
      </c>
      <c r="P549" s="48"/>
      <c r="Q549" s="48"/>
      <c r="R549" s="32"/>
      <c r="S549" s="3" t="str">
        <f t="shared" si="131"/>
        <v>A</v>
      </c>
      <c r="T549" s="48"/>
      <c r="U549" s="48"/>
      <c r="V549" s="32"/>
      <c r="W549" s="3" t="str">
        <f t="shared" si="121"/>
        <v>A</v>
      </c>
      <c r="X549" s="48"/>
      <c r="Y549" s="48"/>
      <c r="Z549" s="32"/>
      <c r="AA549" s="3" t="str">
        <f t="shared" si="122"/>
        <v>A</v>
      </c>
      <c r="AB549" s="48"/>
      <c r="AC549" s="48"/>
      <c r="AD549" s="36"/>
      <c r="AE549" s="54"/>
      <c r="AF549" s="3" t="str">
        <f t="shared" si="123"/>
        <v>A</v>
      </c>
      <c r="AG549" s="48"/>
      <c r="AH549" s="48"/>
      <c r="AI549" s="39"/>
      <c r="AJ549" s="79" t="s">
        <v>1801</v>
      </c>
      <c r="AK549" s="39"/>
      <c r="AL549" s="4">
        <f t="shared" si="129"/>
        <v>0</v>
      </c>
      <c r="AM549" s="4">
        <f t="shared" si="129"/>
        <v>0</v>
      </c>
      <c r="AN549" s="4">
        <f t="shared" si="124"/>
        <v>0</v>
      </c>
      <c r="AO549" s="39"/>
      <c r="AP549" s="8">
        <f t="shared" si="130"/>
        <v>0</v>
      </c>
      <c r="AQ549" s="8">
        <f t="shared" si="130"/>
        <v>0</v>
      </c>
      <c r="AR549" s="8">
        <f t="shared" si="125"/>
        <v>0</v>
      </c>
      <c r="AS549" s="42"/>
      <c r="AT549" s="48"/>
      <c r="AU549" s="48"/>
      <c r="AV549" s="4">
        <f t="shared" si="126"/>
        <v>0</v>
      </c>
      <c r="AW549" s="50" t="str">
        <f t="shared" si="127"/>
        <v/>
      </c>
      <c r="AX549" s="1" t="s">
        <v>1647</v>
      </c>
      <c r="AY549" s="2" t="s">
        <v>1640</v>
      </c>
      <c r="AZ549" s="2"/>
      <c r="BA549" s="73"/>
      <c r="BB549" s="73"/>
      <c r="BC549" s="73"/>
      <c r="BD549" s="73"/>
      <c r="BE549" s="66">
        <v>0</v>
      </c>
      <c r="BF549" s="66">
        <v>0.02</v>
      </c>
      <c r="BG549" s="63">
        <v>45034</v>
      </c>
      <c r="BH549" s="2"/>
      <c r="BI549" s="2"/>
      <c r="BJ549" s="2">
        <v>480000</v>
      </c>
      <c r="BK549" s="2"/>
      <c r="BL549" s="1" t="s">
        <v>1247</v>
      </c>
    </row>
    <row r="550" spans="1:64" x14ac:dyDescent="0.25">
      <c r="A550" s="56" t="s">
        <v>1231</v>
      </c>
      <c r="B550" s="54" t="s">
        <v>1252</v>
      </c>
      <c r="C550" s="56" t="s">
        <v>1253</v>
      </c>
      <c r="D550" s="16">
        <v>0</v>
      </c>
      <c r="E550" s="17"/>
      <c r="F550" s="2" t="s">
        <v>109</v>
      </c>
      <c r="G550" s="2" t="s">
        <v>111</v>
      </c>
      <c r="H550" s="10" t="s">
        <v>98</v>
      </c>
      <c r="I550" s="11" t="s">
        <v>110</v>
      </c>
      <c r="J550" s="11" t="s">
        <v>286</v>
      </c>
      <c r="K550" s="61" t="s">
        <v>287</v>
      </c>
      <c r="L550" s="11" t="s">
        <v>67</v>
      </c>
      <c r="M550" s="25"/>
      <c r="N550" s="54"/>
      <c r="O550" s="3" t="str">
        <f t="shared" si="132"/>
        <v>A</v>
      </c>
      <c r="P550" s="48">
        <v>54936</v>
      </c>
      <c r="Q550" s="48">
        <v>0</v>
      </c>
      <c r="R550" s="32"/>
      <c r="S550" s="3" t="str">
        <f t="shared" si="131"/>
        <v>A</v>
      </c>
      <c r="T550" s="48">
        <v>44438</v>
      </c>
      <c r="U550" s="48">
        <v>0</v>
      </c>
      <c r="V550" s="32"/>
      <c r="W550" s="3" t="str">
        <f t="shared" si="121"/>
        <v>A</v>
      </c>
      <c r="X550" s="48">
        <v>47147</v>
      </c>
      <c r="Y550" s="48">
        <v>0</v>
      </c>
      <c r="Z550" s="32"/>
      <c r="AA550" s="3" t="str">
        <f t="shared" si="122"/>
        <v>A</v>
      </c>
      <c r="AB550" s="48">
        <v>62584</v>
      </c>
      <c r="AC550" s="48">
        <v>0</v>
      </c>
      <c r="AD550" s="36"/>
      <c r="AE550" s="54"/>
      <c r="AF550" s="3" t="str">
        <f t="shared" si="123"/>
        <v>A</v>
      </c>
      <c r="AG550" s="48">
        <v>0</v>
      </c>
      <c r="AH550" s="48">
        <v>0</v>
      </c>
      <c r="AI550" s="39"/>
      <c r="AJ550" s="79" t="s">
        <v>1801</v>
      </c>
      <c r="AK550" s="39"/>
      <c r="AL550" s="4">
        <f t="shared" si="129"/>
        <v>209105</v>
      </c>
      <c r="AM550" s="4">
        <f t="shared" si="129"/>
        <v>0</v>
      </c>
      <c r="AN550" s="4">
        <f t="shared" si="124"/>
        <v>209105</v>
      </c>
      <c r="AO550" s="39"/>
      <c r="AP550" s="8">
        <f t="shared" si="130"/>
        <v>0</v>
      </c>
      <c r="AQ550" s="8">
        <f t="shared" si="130"/>
        <v>0</v>
      </c>
      <c r="AR550" s="8">
        <f t="shared" si="125"/>
        <v>0</v>
      </c>
      <c r="AS550" s="42"/>
      <c r="AT550" s="48">
        <v>209105</v>
      </c>
      <c r="AU550" s="48"/>
      <c r="AV550" s="4">
        <f t="shared" si="126"/>
        <v>209105</v>
      </c>
      <c r="AW550" s="50" t="str">
        <f t="shared" si="127"/>
        <v/>
      </c>
      <c r="AX550" s="1" t="s">
        <v>1647</v>
      </c>
      <c r="AY550" s="2" t="s">
        <v>1640</v>
      </c>
      <c r="AZ550" s="2">
        <v>66470.960000000006</v>
      </c>
      <c r="BA550" s="73">
        <v>58162.09</v>
      </c>
      <c r="BB550" s="73">
        <v>58162.09</v>
      </c>
      <c r="BC550" s="73">
        <v>66470.960000000006</v>
      </c>
      <c r="BD550" s="73"/>
      <c r="BE550" s="66">
        <v>0</v>
      </c>
      <c r="BF550" s="66">
        <v>0.02</v>
      </c>
      <c r="BG550" s="63">
        <v>45035</v>
      </c>
      <c r="BH550" s="2"/>
      <c r="BI550" s="2"/>
      <c r="BJ550" s="2">
        <v>240000</v>
      </c>
      <c r="BK550" s="2"/>
      <c r="BL550" s="1" t="s">
        <v>237</v>
      </c>
    </row>
    <row r="551" spans="1:64" x14ac:dyDescent="0.25">
      <c r="A551" s="56" t="s">
        <v>1231</v>
      </c>
      <c r="B551" s="54" t="s">
        <v>1280</v>
      </c>
      <c r="C551" s="56" t="s">
        <v>1281</v>
      </c>
      <c r="D551" s="16">
        <v>0</v>
      </c>
      <c r="E551" s="17"/>
      <c r="F551" s="2" t="s">
        <v>109</v>
      </c>
      <c r="G551" s="2" t="s">
        <v>111</v>
      </c>
      <c r="H551" s="10" t="s">
        <v>98</v>
      </c>
      <c r="I551" s="11" t="s">
        <v>110</v>
      </c>
      <c r="J551" s="11" t="s">
        <v>286</v>
      </c>
      <c r="K551" s="61" t="s">
        <v>287</v>
      </c>
      <c r="L551" s="11" t="s">
        <v>67</v>
      </c>
      <c r="M551" s="25"/>
      <c r="N551" s="54"/>
      <c r="O551" s="3" t="str">
        <f t="shared" si="132"/>
        <v>A</v>
      </c>
      <c r="P551" s="48">
        <v>33645</v>
      </c>
      <c r="Q551" s="48">
        <v>0</v>
      </c>
      <c r="R551" s="32"/>
      <c r="S551" s="3" t="str">
        <f t="shared" si="131"/>
        <v>A</v>
      </c>
      <c r="T551" s="48">
        <v>27442</v>
      </c>
      <c r="U551" s="48">
        <v>80</v>
      </c>
      <c r="V551" s="32"/>
      <c r="W551" s="3" t="str">
        <f t="shared" si="121"/>
        <v>A</v>
      </c>
      <c r="X551" s="48">
        <v>25111</v>
      </c>
      <c r="Y551" s="48">
        <v>0</v>
      </c>
      <c r="Z551" s="32"/>
      <c r="AA551" s="3" t="str">
        <f t="shared" si="122"/>
        <v>A</v>
      </c>
      <c r="AB551" s="48">
        <v>25060</v>
      </c>
      <c r="AC551" s="48">
        <v>160</v>
      </c>
      <c r="AD551" s="36"/>
      <c r="AE551" s="54"/>
      <c r="AF551" s="3" t="str">
        <f t="shared" si="123"/>
        <v>A</v>
      </c>
      <c r="AG551" s="48">
        <v>0</v>
      </c>
      <c r="AH551" s="48">
        <v>0</v>
      </c>
      <c r="AI551" s="39"/>
      <c r="AJ551" s="79" t="s">
        <v>1801</v>
      </c>
      <c r="AK551" s="39"/>
      <c r="AL551" s="4">
        <f t="shared" si="129"/>
        <v>111258</v>
      </c>
      <c r="AM551" s="4">
        <f t="shared" si="129"/>
        <v>240</v>
      </c>
      <c r="AN551" s="4">
        <f t="shared" si="124"/>
        <v>111498</v>
      </c>
      <c r="AO551" s="39"/>
      <c r="AP551" s="8">
        <f t="shared" si="130"/>
        <v>0</v>
      </c>
      <c r="AQ551" s="8">
        <f t="shared" si="130"/>
        <v>0</v>
      </c>
      <c r="AR551" s="8">
        <f t="shared" si="125"/>
        <v>0</v>
      </c>
      <c r="AS551" s="42"/>
      <c r="AT551" s="48">
        <v>111258</v>
      </c>
      <c r="AU551" s="48">
        <v>240</v>
      </c>
      <c r="AV551" s="4">
        <f t="shared" si="126"/>
        <v>111498</v>
      </c>
      <c r="AW551" s="50" t="str">
        <f t="shared" si="127"/>
        <v/>
      </c>
      <c r="AX551" s="1" t="s">
        <v>1647</v>
      </c>
      <c r="AY551" s="2" t="s">
        <v>1640</v>
      </c>
      <c r="AZ551" s="2">
        <v>89831.679999999993</v>
      </c>
      <c r="BA551" s="73">
        <v>78602.720000000001</v>
      </c>
      <c r="BB551" s="73">
        <v>78602.720000000001</v>
      </c>
      <c r="BC551" s="73">
        <v>89831.679999999993</v>
      </c>
      <c r="BD551" s="73"/>
      <c r="BE551" s="66">
        <v>0</v>
      </c>
      <c r="BF551" s="66">
        <v>0.02</v>
      </c>
      <c r="BG551" s="63">
        <v>45112</v>
      </c>
      <c r="BH551" s="2"/>
      <c r="BI551" s="2"/>
      <c r="BJ551" s="2">
        <v>324000</v>
      </c>
      <c r="BK551" s="2"/>
      <c r="BL551" s="1" t="s">
        <v>237</v>
      </c>
    </row>
    <row r="552" spans="1:64" x14ac:dyDescent="0.25">
      <c r="A552" s="56" t="s">
        <v>1239</v>
      </c>
      <c r="B552" s="54" t="s">
        <v>1239</v>
      </c>
      <c r="C552" s="56" t="s">
        <v>1240</v>
      </c>
      <c r="D552" s="16">
        <v>0</v>
      </c>
      <c r="E552" s="17"/>
      <c r="F552" s="2" t="s">
        <v>1164</v>
      </c>
      <c r="G552" s="2" t="s">
        <v>1165</v>
      </c>
      <c r="H552" s="10" t="s">
        <v>57</v>
      </c>
      <c r="I552" s="11" t="s">
        <v>53</v>
      </c>
      <c r="J552" s="11" t="s">
        <v>1166</v>
      </c>
      <c r="K552" s="61"/>
      <c r="L552" s="11" t="s">
        <v>67</v>
      </c>
      <c r="M552" s="25"/>
      <c r="N552" s="54"/>
      <c r="O552" s="3" t="str">
        <f t="shared" si="132"/>
        <v>A</v>
      </c>
      <c r="P552" s="48">
        <v>14776</v>
      </c>
      <c r="Q552" s="48">
        <v>1661</v>
      </c>
      <c r="R552" s="32"/>
      <c r="S552" s="3" t="str">
        <f t="shared" si="131"/>
        <v>A</v>
      </c>
      <c r="T552" s="48">
        <v>20280</v>
      </c>
      <c r="U552" s="48">
        <v>1823</v>
      </c>
      <c r="V552" s="32"/>
      <c r="W552" s="3" t="str">
        <f t="shared" si="121"/>
        <v>A</v>
      </c>
      <c r="X552" s="48">
        <v>20616</v>
      </c>
      <c r="Y552" s="48">
        <v>2171</v>
      </c>
      <c r="Z552" s="32"/>
      <c r="AA552" s="3" t="str">
        <f t="shared" si="122"/>
        <v>A</v>
      </c>
      <c r="AB552" s="48">
        <v>28140</v>
      </c>
      <c r="AC552" s="48">
        <v>1855</v>
      </c>
      <c r="AD552" s="36"/>
      <c r="AE552" s="54"/>
      <c r="AF552" s="3" t="str">
        <f t="shared" si="123"/>
        <v>A</v>
      </c>
      <c r="AG552" s="48">
        <v>0</v>
      </c>
      <c r="AH552" s="48">
        <v>0</v>
      </c>
      <c r="AI552" s="39"/>
      <c r="AJ552" s="79" t="s">
        <v>1801</v>
      </c>
      <c r="AK552" s="39"/>
      <c r="AL552" s="4">
        <f t="shared" si="129"/>
        <v>83812</v>
      </c>
      <c r="AM552" s="4">
        <f t="shared" si="129"/>
        <v>7510</v>
      </c>
      <c r="AN552" s="4">
        <f t="shared" si="124"/>
        <v>91322</v>
      </c>
      <c r="AO552" s="39"/>
      <c r="AP552" s="8">
        <f t="shared" si="130"/>
        <v>0</v>
      </c>
      <c r="AQ552" s="8">
        <f t="shared" si="130"/>
        <v>0</v>
      </c>
      <c r="AR552" s="8">
        <f t="shared" si="125"/>
        <v>0</v>
      </c>
      <c r="AS552" s="42"/>
      <c r="AT552" s="48">
        <v>83812</v>
      </c>
      <c r="AU552" s="48">
        <v>7510</v>
      </c>
      <c r="AV552" s="4">
        <f t="shared" si="126"/>
        <v>91322</v>
      </c>
      <c r="AW552" s="50" t="str">
        <f t="shared" si="127"/>
        <v/>
      </c>
      <c r="AX552" s="1" t="s">
        <v>1762</v>
      </c>
      <c r="AY552" s="2" t="s">
        <v>1763</v>
      </c>
      <c r="AZ552" s="2">
        <v>172300.32</v>
      </c>
      <c r="BA552" s="73">
        <v>150762.78</v>
      </c>
      <c r="BB552" s="73">
        <v>150762.78</v>
      </c>
      <c r="BC552" s="73">
        <v>172300.32</v>
      </c>
      <c r="BD552" s="73"/>
      <c r="BE552" s="66">
        <v>0</v>
      </c>
      <c r="BF552" s="66">
        <v>0.05</v>
      </c>
      <c r="BG552" s="63">
        <v>45036</v>
      </c>
      <c r="BH552" s="2"/>
      <c r="BI552" s="2"/>
      <c r="BJ552" s="2">
        <v>622106.88</v>
      </c>
      <c r="BK552" s="2">
        <v>69122.990000000005</v>
      </c>
      <c r="BL552" s="1" t="s">
        <v>56</v>
      </c>
    </row>
    <row r="553" spans="1:64" x14ac:dyDescent="0.25">
      <c r="A553" s="56" t="s">
        <v>1241</v>
      </c>
      <c r="B553" s="54" t="s">
        <v>1241</v>
      </c>
      <c r="C553" s="56" t="s">
        <v>1242</v>
      </c>
      <c r="D553" s="16">
        <v>0</v>
      </c>
      <c r="E553" s="17"/>
      <c r="F553" s="2" t="s">
        <v>109</v>
      </c>
      <c r="G553" s="2" t="s">
        <v>111</v>
      </c>
      <c r="H553" s="10" t="s">
        <v>98</v>
      </c>
      <c r="I553" s="11" t="s">
        <v>110</v>
      </c>
      <c r="J553" s="11" t="s">
        <v>286</v>
      </c>
      <c r="K553" s="61" t="s">
        <v>287</v>
      </c>
      <c r="L553" s="11" t="s">
        <v>67</v>
      </c>
      <c r="M553" s="25"/>
      <c r="N553" s="54"/>
      <c r="O553" s="3" t="str">
        <f t="shared" si="132"/>
        <v>A</v>
      </c>
      <c r="P553" s="48">
        <v>157438</v>
      </c>
      <c r="Q553" s="48">
        <v>3422</v>
      </c>
      <c r="R553" s="32"/>
      <c r="S553" s="3" t="str">
        <f t="shared" si="131"/>
        <v>A</v>
      </c>
      <c r="T553" s="48">
        <v>86046</v>
      </c>
      <c r="U553" s="48">
        <v>3399</v>
      </c>
      <c r="V553" s="32"/>
      <c r="W553" s="3" t="str">
        <f t="shared" si="121"/>
        <v>A</v>
      </c>
      <c r="X553" s="48">
        <v>102990.6</v>
      </c>
      <c r="Y553" s="48">
        <v>2810</v>
      </c>
      <c r="Z553" s="32"/>
      <c r="AA553" s="3" t="str">
        <f t="shared" si="122"/>
        <v>A</v>
      </c>
      <c r="AB553" s="48">
        <v>125786</v>
      </c>
      <c r="AC553" s="48">
        <v>3858.38</v>
      </c>
      <c r="AD553" s="36"/>
      <c r="AE553" s="54"/>
      <c r="AF553" s="3" t="str">
        <f t="shared" si="123"/>
        <v>A</v>
      </c>
      <c r="AG553" s="48">
        <v>0</v>
      </c>
      <c r="AH553" s="48">
        <v>0</v>
      </c>
      <c r="AI553" s="39"/>
      <c r="AJ553" s="79" t="s">
        <v>1801</v>
      </c>
      <c r="AK553" s="39"/>
      <c r="AL553" s="4">
        <f t="shared" si="129"/>
        <v>472260.6</v>
      </c>
      <c r="AM553" s="4">
        <f t="shared" si="129"/>
        <v>13489.380000000001</v>
      </c>
      <c r="AN553" s="4">
        <f t="shared" si="124"/>
        <v>485749.98</v>
      </c>
      <c r="AO553" s="39"/>
      <c r="AP553" s="8">
        <f t="shared" si="130"/>
        <v>0</v>
      </c>
      <c r="AQ553" s="8">
        <f t="shared" si="130"/>
        <v>0</v>
      </c>
      <c r="AR553" s="8">
        <f t="shared" si="125"/>
        <v>0</v>
      </c>
      <c r="AS553" s="42"/>
      <c r="AT553" s="48">
        <v>472260.6</v>
      </c>
      <c r="AU553" s="48">
        <v>13489.38</v>
      </c>
      <c r="AV553" s="4">
        <f t="shared" si="126"/>
        <v>485749.98</v>
      </c>
      <c r="AW553" s="50" t="str">
        <f t="shared" si="127"/>
        <v/>
      </c>
      <c r="AX553" s="1" t="s">
        <v>1647</v>
      </c>
      <c r="AY553" s="2" t="s">
        <v>1640</v>
      </c>
      <c r="AZ553" s="2">
        <v>129611.2</v>
      </c>
      <c r="BA553" s="73">
        <v>113409.8</v>
      </c>
      <c r="BB553" s="73">
        <v>113409.8</v>
      </c>
      <c r="BC553" s="73">
        <v>129611.2</v>
      </c>
      <c r="BD553" s="73"/>
      <c r="BE553" s="66">
        <v>0</v>
      </c>
      <c r="BF553" s="66">
        <v>0.02</v>
      </c>
      <c r="BG553" s="63">
        <v>45152</v>
      </c>
      <c r="BH553" s="2"/>
      <c r="BI553" s="2"/>
      <c r="BJ553" s="2">
        <v>464688</v>
      </c>
      <c r="BK553" s="2">
        <v>24396.12</v>
      </c>
      <c r="BL553" s="1" t="s">
        <v>237</v>
      </c>
    </row>
    <row r="554" spans="1:64" x14ac:dyDescent="0.25">
      <c r="A554" s="56" t="s">
        <v>1241</v>
      </c>
      <c r="B554" s="54" t="s">
        <v>1248</v>
      </c>
      <c r="C554" s="56" t="s">
        <v>1249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286</v>
      </c>
      <c r="K554" s="61" t="s">
        <v>287</v>
      </c>
      <c r="L554" s="11" t="s">
        <v>67</v>
      </c>
      <c r="M554" s="25"/>
      <c r="N554" s="54"/>
      <c r="O554" s="3" t="str">
        <f t="shared" si="132"/>
        <v>A</v>
      </c>
      <c r="P554" s="48">
        <v>34455</v>
      </c>
      <c r="Q554" s="48">
        <v>3010</v>
      </c>
      <c r="R554" s="32"/>
      <c r="S554" s="3" t="str">
        <f t="shared" si="131"/>
        <v>A</v>
      </c>
      <c r="T554" s="48">
        <v>37763</v>
      </c>
      <c r="U554" s="48">
        <v>3690</v>
      </c>
      <c r="V554" s="32"/>
      <c r="W554" s="3" t="str">
        <f t="shared" si="121"/>
        <v>A</v>
      </c>
      <c r="X554" s="48">
        <v>38176</v>
      </c>
      <c r="Y554" s="48">
        <v>2485</v>
      </c>
      <c r="Z554" s="32"/>
      <c r="AA554" s="3" t="str">
        <f t="shared" si="122"/>
        <v>A</v>
      </c>
      <c r="AB554" s="48">
        <v>46676</v>
      </c>
      <c r="AC554" s="48">
        <v>3380</v>
      </c>
      <c r="AD554" s="36"/>
      <c r="AE554" s="54"/>
      <c r="AF554" s="3" t="str">
        <f t="shared" si="123"/>
        <v>A</v>
      </c>
      <c r="AG554" s="48">
        <v>0</v>
      </c>
      <c r="AH554" s="48">
        <v>0</v>
      </c>
      <c r="AI554" s="39"/>
      <c r="AJ554" s="79" t="s">
        <v>1801</v>
      </c>
      <c r="AK554" s="39"/>
      <c r="AL554" s="4">
        <f t="shared" si="129"/>
        <v>157070</v>
      </c>
      <c r="AM554" s="4">
        <f t="shared" si="129"/>
        <v>12565</v>
      </c>
      <c r="AN554" s="4">
        <f t="shared" si="124"/>
        <v>169635</v>
      </c>
      <c r="AO554" s="39"/>
      <c r="AP554" s="8">
        <f t="shared" si="130"/>
        <v>0</v>
      </c>
      <c r="AQ554" s="8">
        <f t="shared" si="130"/>
        <v>0</v>
      </c>
      <c r="AR554" s="8">
        <f t="shared" si="125"/>
        <v>0</v>
      </c>
      <c r="AS554" s="42"/>
      <c r="AT554" s="48">
        <v>157070</v>
      </c>
      <c r="AU554" s="48">
        <v>12565</v>
      </c>
      <c r="AV554" s="4">
        <f t="shared" si="126"/>
        <v>169635</v>
      </c>
      <c r="AW554" s="50" t="str">
        <f t="shared" si="127"/>
        <v/>
      </c>
      <c r="AX554" s="1" t="s">
        <v>1647</v>
      </c>
      <c r="AY554" s="2" t="s">
        <v>1640</v>
      </c>
      <c r="AZ554" s="2">
        <v>66989.84</v>
      </c>
      <c r="BA554" s="73">
        <v>58616.11</v>
      </c>
      <c r="BB554" s="73">
        <v>58616.11</v>
      </c>
      <c r="BC554" s="73">
        <v>66989.84</v>
      </c>
      <c r="BD554" s="73"/>
      <c r="BE554" s="66">
        <v>0</v>
      </c>
      <c r="BF554" s="66">
        <v>0.02</v>
      </c>
      <c r="BG554" s="63">
        <v>45173</v>
      </c>
      <c r="BH554" s="2"/>
      <c r="BI554" s="2"/>
      <c r="BJ554" s="2">
        <v>242940</v>
      </c>
      <c r="BK554" s="2">
        <v>12754</v>
      </c>
      <c r="BL554" s="1" t="s">
        <v>1247</v>
      </c>
    </row>
    <row r="555" spans="1:64" x14ac:dyDescent="0.25">
      <c r="A555" s="56" t="s">
        <v>1241</v>
      </c>
      <c r="B555" s="54" t="s">
        <v>1250</v>
      </c>
      <c r="C555" s="56" t="s">
        <v>1251</v>
      </c>
      <c r="D555" s="16">
        <v>45250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286</v>
      </c>
      <c r="K555" s="61" t="s">
        <v>287</v>
      </c>
      <c r="L555" s="11" t="s">
        <v>67</v>
      </c>
      <c r="M555" s="25"/>
      <c r="N555" s="54"/>
      <c r="O555" s="3" t="str">
        <f t="shared" si="132"/>
        <v>A</v>
      </c>
      <c r="P555" s="48">
        <v>34910</v>
      </c>
      <c r="Q555" s="48">
        <v>3780</v>
      </c>
      <c r="R555" s="32"/>
      <c r="S555" s="3" t="str">
        <f t="shared" si="131"/>
        <v>A</v>
      </c>
      <c r="T555" s="48">
        <v>30539</v>
      </c>
      <c r="U555" s="48">
        <v>2815</v>
      </c>
      <c r="V555" s="32"/>
      <c r="W555" s="3" t="str">
        <f t="shared" si="121"/>
        <v>A</v>
      </c>
      <c r="X555" s="48">
        <v>25501</v>
      </c>
      <c r="Y555" s="48">
        <v>2925</v>
      </c>
      <c r="Z555" s="32"/>
      <c r="AA555" s="3" t="str">
        <f t="shared" si="122"/>
        <v>A</v>
      </c>
      <c r="AB555" s="48">
        <v>31746</v>
      </c>
      <c r="AC555" s="48">
        <v>2015</v>
      </c>
      <c r="AD555" s="36"/>
      <c r="AE555" s="54"/>
      <c r="AF555" s="3" t="str">
        <f t="shared" si="123"/>
        <v>A</v>
      </c>
      <c r="AG555" s="48">
        <v>0</v>
      </c>
      <c r="AH555" s="48">
        <v>0</v>
      </c>
      <c r="AI555" s="39"/>
      <c r="AJ555" s="79" t="s">
        <v>1801</v>
      </c>
      <c r="AK555" s="39"/>
      <c r="AL555" s="4">
        <f t="shared" si="129"/>
        <v>122696</v>
      </c>
      <c r="AM555" s="4">
        <f t="shared" si="129"/>
        <v>11535</v>
      </c>
      <c r="AN555" s="4">
        <f t="shared" si="124"/>
        <v>134231</v>
      </c>
      <c r="AO555" s="39"/>
      <c r="AP555" s="8">
        <f t="shared" si="130"/>
        <v>0</v>
      </c>
      <c r="AQ555" s="8">
        <f t="shared" si="130"/>
        <v>0</v>
      </c>
      <c r="AR555" s="8">
        <f t="shared" si="125"/>
        <v>0</v>
      </c>
      <c r="AS555" s="42"/>
      <c r="AT555" s="48">
        <v>122696</v>
      </c>
      <c r="AU555" s="48">
        <v>11535</v>
      </c>
      <c r="AV555" s="4">
        <f t="shared" si="126"/>
        <v>134231</v>
      </c>
      <c r="AW555" s="50" t="str">
        <f t="shared" si="127"/>
        <v/>
      </c>
      <c r="AX555" s="1" t="s">
        <v>1647</v>
      </c>
      <c r="AY555" s="2" t="s">
        <v>1640</v>
      </c>
      <c r="AZ555" s="2">
        <v>98800.639999999999</v>
      </c>
      <c r="BA555" s="73">
        <v>86450.559999999998</v>
      </c>
      <c r="BB555" s="73">
        <v>86450.559999999998</v>
      </c>
      <c r="BC555" s="73">
        <v>98800.639999999999</v>
      </c>
      <c r="BD555" s="73"/>
      <c r="BE555" s="66">
        <v>0</v>
      </c>
      <c r="BF555" s="66">
        <v>0.02</v>
      </c>
      <c r="BG555" s="63">
        <v>45250</v>
      </c>
      <c r="BH555" s="2"/>
      <c r="BI555" s="2"/>
      <c r="BJ555" s="2">
        <v>368613</v>
      </c>
      <c r="BK555" s="2">
        <v>19352</v>
      </c>
      <c r="BL555" s="1" t="s">
        <v>1247</v>
      </c>
    </row>
    <row r="556" spans="1:64" x14ac:dyDescent="0.25">
      <c r="A556" s="56" t="s">
        <v>1254</v>
      </c>
      <c r="B556" s="54" t="s">
        <v>1254</v>
      </c>
      <c r="C556" s="56" t="s">
        <v>1255</v>
      </c>
      <c r="D556" s="16">
        <v>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286</v>
      </c>
      <c r="K556" s="61" t="s">
        <v>287</v>
      </c>
      <c r="L556" s="11" t="s">
        <v>67</v>
      </c>
      <c r="M556" s="25"/>
      <c r="N556" s="54"/>
      <c r="O556" s="3" t="str">
        <f t="shared" si="132"/>
        <v>A</v>
      </c>
      <c r="P556" s="48">
        <v>33738</v>
      </c>
      <c r="Q556" s="48">
        <v>1967</v>
      </c>
      <c r="R556" s="32"/>
      <c r="S556" s="3" t="str">
        <f t="shared" si="131"/>
        <v>A</v>
      </c>
      <c r="T556" s="48">
        <v>24801</v>
      </c>
      <c r="U556" s="48">
        <v>1326</v>
      </c>
      <c r="V556" s="32"/>
      <c r="W556" s="3" t="str">
        <f t="shared" si="121"/>
        <v>A</v>
      </c>
      <c r="X556" s="48">
        <v>40323.75</v>
      </c>
      <c r="Y556" s="48">
        <v>548</v>
      </c>
      <c r="Z556" s="32"/>
      <c r="AA556" s="3" t="str">
        <f t="shared" si="122"/>
        <v>A</v>
      </c>
      <c r="AB556" s="48">
        <v>32614</v>
      </c>
      <c r="AC556" s="48">
        <v>756</v>
      </c>
      <c r="AD556" s="36"/>
      <c r="AE556" s="54"/>
      <c r="AF556" s="3" t="str">
        <f t="shared" si="123"/>
        <v>A</v>
      </c>
      <c r="AG556" s="48">
        <v>0</v>
      </c>
      <c r="AH556" s="48">
        <v>0</v>
      </c>
      <c r="AI556" s="39"/>
      <c r="AJ556" s="79" t="s">
        <v>1801</v>
      </c>
      <c r="AK556" s="39"/>
      <c r="AL556" s="4">
        <f t="shared" si="129"/>
        <v>131476.75</v>
      </c>
      <c r="AM556" s="4">
        <f t="shared" si="129"/>
        <v>4597</v>
      </c>
      <c r="AN556" s="4">
        <f t="shared" si="124"/>
        <v>136073.75</v>
      </c>
      <c r="AO556" s="39"/>
      <c r="AP556" s="8">
        <f t="shared" si="130"/>
        <v>0</v>
      </c>
      <c r="AQ556" s="8">
        <f t="shared" si="130"/>
        <v>0</v>
      </c>
      <c r="AR556" s="8">
        <f t="shared" si="125"/>
        <v>0</v>
      </c>
      <c r="AS556" s="42"/>
      <c r="AT556" s="48">
        <v>131476.75</v>
      </c>
      <c r="AU556" s="48">
        <v>4597</v>
      </c>
      <c r="AV556" s="4">
        <f t="shared" si="126"/>
        <v>136073.75</v>
      </c>
      <c r="AW556" s="50" t="str">
        <f t="shared" si="127"/>
        <v/>
      </c>
      <c r="AX556" s="1" t="s">
        <v>1647</v>
      </c>
      <c r="AY556" s="2" t="s">
        <v>1640</v>
      </c>
      <c r="AZ556" s="2">
        <v>106824.64</v>
      </c>
      <c r="BA556" s="73">
        <v>93471.56</v>
      </c>
      <c r="BB556" s="73">
        <v>93471.56</v>
      </c>
      <c r="BC556" s="73">
        <v>106824.64</v>
      </c>
      <c r="BD556" s="73"/>
      <c r="BE556" s="66">
        <v>0</v>
      </c>
      <c r="BF556" s="66">
        <v>0.02</v>
      </c>
      <c r="BG556" s="63">
        <v>45131</v>
      </c>
      <c r="BH556" s="2"/>
      <c r="BI556" s="2"/>
      <c r="BJ556" s="2">
        <v>385290</v>
      </c>
      <c r="BK556" s="2">
        <v>20227.73</v>
      </c>
      <c r="BL556" s="1" t="s">
        <v>237</v>
      </c>
    </row>
    <row r="557" spans="1:64" x14ac:dyDescent="0.25">
      <c r="A557" s="56" t="s">
        <v>1256</v>
      </c>
      <c r="B557" s="54" t="s">
        <v>1256</v>
      </c>
      <c r="C557" s="56" t="s">
        <v>1257</v>
      </c>
      <c r="D557" s="16">
        <v>45278</v>
      </c>
      <c r="E557" s="17"/>
      <c r="F557" s="2" t="s">
        <v>52</v>
      </c>
      <c r="G557" s="2" t="s">
        <v>55</v>
      </c>
      <c r="H557" s="10" t="s">
        <v>57</v>
      </c>
      <c r="I557" s="11" t="s">
        <v>54</v>
      </c>
      <c r="J557" s="11" t="s">
        <v>83</v>
      </c>
      <c r="K557" s="61" t="s">
        <v>84</v>
      </c>
      <c r="L557" s="11" t="s">
        <v>67</v>
      </c>
      <c r="M557" s="25"/>
      <c r="N557" s="54"/>
      <c r="O557" s="3" t="str">
        <f t="shared" si="132"/>
        <v>A</v>
      </c>
      <c r="P557" s="48">
        <v>101904.75000000001</v>
      </c>
      <c r="Q557" s="48">
        <v>15986</v>
      </c>
      <c r="R557" s="32"/>
      <c r="S557" s="3" t="str">
        <f t="shared" si="131"/>
        <v>A</v>
      </c>
      <c r="T557" s="48">
        <v>93498.400000000009</v>
      </c>
      <c r="U557" s="48">
        <v>15137</v>
      </c>
      <c r="V557" s="32"/>
      <c r="W557" s="3" t="str">
        <f t="shared" si="121"/>
        <v>A</v>
      </c>
      <c r="X557" s="48">
        <v>87216.75</v>
      </c>
      <c r="Y557" s="48">
        <v>15734</v>
      </c>
      <c r="Z557" s="32"/>
      <c r="AA557" s="3" t="str">
        <f t="shared" si="122"/>
        <v>A</v>
      </c>
      <c r="AB557" s="48">
        <v>92150</v>
      </c>
      <c r="AC557" s="48">
        <v>16444</v>
      </c>
      <c r="AD557" s="36"/>
      <c r="AE557" s="54"/>
      <c r="AF557" s="3" t="str">
        <f t="shared" si="123"/>
        <v>A</v>
      </c>
      <c r="AG557" s="48">
        <v>0</v>
      </c>
      <c r="AH557" s="48">
        <v>0</v>
      </c>
      <c r="AI557" s="39"/>
      <c r="AJ557" s="79" t="s">
        <v>1801</v>
      </c>
      <c r="AK557" s="39"/>
      <c r="AL557" s="4">
        <f t="shared" si="129"/>
        <v>374769.9</v>
      </c>
      <c r="AM557" s="4">
        <f t="shared" si="129"/>
        <v>63301</v>
      </c>
      <c r="AN557" s="4">
        <f t="shared" si="124"/>
        <v>438070.9</v>
      </c>
      <c r="AO557" s="39"/>
      <c r="AP557" s="8">
        <f t="shared" si="130"/>
        <v>0</v>
      </c>
      <c r="AQ557" s="8">
        <f t="shared" si="130"/>
        <v>0</v>
      </c>
      <c r="AR557" s="8">
        <f t="shared" si="125"/>
        <v>0</v>
      </c>
      <c r="AS557" s="42"/>
      <c r="AT557" s="48">
        <v>374769.9</v>
      </c>
      <c r="AU557" s="48">
        <v>63301</v>
      </c>
      <c r="AV557" s="4">
        <f t="shared" si="126"/>
        <v>438070.9</v>
      </c>
      <c r="AW557" s="50" t="str">
        <f t="shared" si="127"/>
        <v/>
      </c>
      <c r="AX557" s="1" t="s">
        <v>1639</v>
      </c>
      <c r="AY557" s="2" t="s">
        <v>1640</v>
      </c>
      <c r="AZ557" s="2">
        <v>215358.48</v>
      </c>
      <c r="BA557" s="73">
        <v>188438.67</v>
      </c>
      <c r="BB557" s="73">
        <v>188438.67</v>
      </c>
      <c r="BC557" s="73">
        <v>215358.48</v>
      </c>
      <c r="BD557" s="73"/>
      <c r="BE557" s="66">
        <v>0</v>
      </c>
      <c r="BF557" s="66">
        <v>0.02</v>
      </c>
      <c r="BG557" s="63">
        <v>45271</v>
      </c>
      <c r="BH557" s="2"/>
      <c r="BI557" s="2"/>
      <c r="BJ557" s="2">
        <v>819238.22</v>
      </c>
      <c r="BK557" s="2">
        <v>144571.45000000001</v>
      </c>
      <c r="BL557" s="1" t="s">
        <v>56</v>
      </c>
    </row>
    <row r="558" spans="1:64" x14ac:dyDescent="0.25">
      <c r="A558" s="56" t="s">
        <v>1264</v>
      </c>
      <c r="B558" s="54" t="s">
        <v>1264</v>
      </c>
      <c r="C558" s="56" t="s">
        <v>1265</v>
      </c>
      <c r="D558" s="16">
        <v>45064</v>
      </c>
      <c r="E558" s="17">
        <v>45832</v>
      </c>
      <c r="F558" s="2" t="s">
        <v>1266</v>
      </c>
      <c r="G558" s="2" t="s">
        <v>1267</v>
      </c>
      <c r="H558" s="10" t="s">
        <v>98</v>
      </c>
      <c r="I558" s="11" t="s">
        <v>53</v>
      </c>
      <c r="J558" s="11" t="s">
        <v>99</v>
      </c>
      <c r="K558" s="61"/>
      <c r="L558" s="11" t="s">
        <v>67</v>
      </c>
      <c r="M558" s="25"/>
      <c r="N558" s="54"/>
      <c r="O558" s="3" t="str">
        <f t="shared" si="132"/>
        <v>E</v>
      </c>
      <c r="P558" s="48">
        <v>111574.64</v>
      </c>
      <c r="Q558" s="48">
        <v>5584.64</v>
      </c>
      <c r="R558" s="32"/>
      <c r="S558" s="3" t="str">
        <f t="shared" si="131"/>
        <v>E</v>
      </c>
      <c r="T558" s="48">
        <v>97627.81</v>
      </c>
      <c r="U558" s="48">
        <v>4886.5600000000004</v>
      </c>
      <c r="V558" s="32"/>
      <c r="W558" s="3" t="str">
        <f t="shared" si="121"/>
        <v>E</v>
      </c>
      <c r="X558" s="48">
        <v>97627.81</v>
      </c>
      <c r="Y558" s="48">
        <v>4886.5600000000004</v>
      </c>
      <c r="Z558" s="32"/>
      <c r="AA558" s="3" t="str">
        <f t="shared" si="122"/>
        <v>E</v>
      </c>
      <c r="AB558" s="48">
        <v>111574.64</v>
      </c>
      <c r="AC558" s="48">
        <v>5584.64</v>
      </c>
      <c r="AD558" s="36"/>
      <c r="AE558" s="54"/>
      <c r="AF558" s="3" t="str">
        <f t="shared" si="123"/>
        <v>A</v>
      </c>
      <c r="AG558" s="48"/>
      <c r="AH558" s="48"/>
      <c r="AI558" s="39"/>
      <c r="AJ558" s="79" t="s">
        <v>38</v>
      </c>
      <c r="AK558" s="39"/>
      <c r="AL558" s="4">
        <f t="shared" si="129"/>
        <v>0</v>
      </c>
      <c r="AM558" s="4">
        <f t="shared" si="129"/>
        <v>0</v>
      </c>
      <c r="AN558" s="4">
        <f t="shared" si="124"/>
        <v>0</v>
      </c>
      <c r="AO558" s="39"/>
      <c r="AP558" s="8">
        <f t="shared" si="130"/>
        <v>418404.9</v>
      </c>
      <c r="AQ558" s="8">
        <f t="shared" si="130"/>
        <v>20942.400000000001</v>
      </c>
      <c r="AR558" s="8">
        <f t="shared" si="125"/>
        <v>439347.30000000005</v>
      </c>
      <c r="AS558" s="42"/>
      <c r="AT558" s="48"/>
      <c r="AU558" s="48"/>
      <c r="AV558" s="4">
        <f t="shared" si="126"/>
        <v>0</v>
      </c>
      <c r="AW558" s="50" t="str">
        <f t="shared" si="127"/>
        <v/>
      </c>
      <c r="AX558" s="1" t="s">
        <v>1768</v>
      </c>
      <c r="AY558" s="2" t="s">
        <v>1769</v>
      </c>
      <c r="AZ558" s="2">
        <v>111574.64</v>
      </c>
      <c r="BA558" s="73">
        <v>97627.81</v>
      </c>
      <c r="BB558" s="73">
        <v>97627.81</v>
      </c>
      <c r="BC558" s="73">
        <v>111574.64</v>
      </c>
      <c r="BD558" s="73"/>
      <c r="BE558" s="66">
        <v>0</v>
      </c>
      <c r="BF558" s="66">
        <v>0.05</v>
      </c>
      <c r="BG558" s="63">
        <v>45062</v>
      </c>
      <c r="BH558" s="74">
        <v>45832</v>
      </c>
      <c r="BI558" s="2"/>
      <c r="BJ558" s="2">
        <v>409910.4</v>
      </c>
      <c r="BK558" s="2">
        <v>21520.3</v>
      </c>
      <c r="BL558" s="1" t="s">
        <v>97</v>
      </c>
    </row>
    <row r="559" spans="1:64" x14ac:dyDescent="0.25">
      <c r="A559" s="56" t="s">
        <v>1264</v>
      </c>
      <c r="B559" s="54" t="s">
        <v>1346</v>
      </c>
      <c r="C559" s="56" t="s">
        <v>1347</v>
      </c>
      <c r="D559" s="16">
        <v>0</v>
      </c>
      <c r="E559" s="17"/>
      <c r="F559" s="2" t="s">
        <v>1266</v>
      </c>
      <c r="G559" s="2" t="s">
        <v>1267</v>
      </c>
      <c r="H559" s="10" t="s">
        <v>98</v>
      </c>
      <c r="I559" s="11" t="s">
        <v>53</v>
      </c>
      <c r="J559" s="11" t="s">
        <v>99</v>
      </c>
      <c r="K559" s="61"/>
      <c r="L559" s="11" t="s">
        <v>67</v>
      </c>
      <c r="M559" s="25"/>
      <c r="N559" s="54"/>
      <c r="O559" s="3" t="str">
        <f>IF($A559="","",IF(P559=AZ559,"E","A"))</f>
        <v>E</v>
      </c>
      <c r="P559" s="48">
        <v>94063.679999999993</v>
      </c>
      <c r="Q559" s="48">
        <v>4583.5200000000004</v>
      </c>
      <c r="R559" s="32"/>
      <c r="S559" s="3" t="str">
        <f t="shared" si="131"/>
        <v>E</v>
      </c>
      <c r="T559" s="48">
        <v>82305.72</v>
      </c>
      <c r="U559" s="48">
        <v>4010.58</v>
      </c>
      <c r="V559" s="32"/>
      <c r="W559" s="3" t="str">
        <f t="shared" si="121"/>
        <v>E</v>
      </c>
      <c r="X559" s="48">
        <v>82305.72</v>
      </c>
      <c r="Y559" s="48">
        <v>4010.58</v>
      </c>
      <c r="Z559" s="32"/>
      <c r="AA559" s="3" t="str">
        <f t="shared" si="122"/>
        <v>E</v>
      </c>
      <c r="AB559" s="48">
        <v>94063.679999999993</v>
      </c>
      <c r="AC559" s="48">
        <v>4583.5200000000004</v>
      </c>
      <c r="AD559" s="36"/>
      <c r="AE559" s="54"/>
      <c r="AF559" s="3" t="str">
        <f t="shared" si="123"/>
        <v>A</v>
      </c>
      <c r="AG559" s="48"/>
      <c r="AH559" s="48"/>
      <c r="AI559" s="39"/>
      <c r="AJ559" s="79" t="s">
        <v>38</v>
      </c>
      <c r="AK559" s="39"/>
      <c r="AL559" s="4">
        <f t="shared" si="129"/>
        <v>0</v>
      </c>
      <c r="AM559" s="4">
        <f t="shared" si="129"/>
        <v>0</v>
      </c>
      <c r="AN559" s="4">
        <f t="shared" si="124"/>
        <v>0</v>
      </c>
      <c r="AO559" s="39"/>
      <c r="AP559" s="8">
        <f t="shared" si="130"/>
        <v>352738.8</v>
      </c>
      <c r="AQ559" s="8">
        <f t="shared" si="130"/>
        <v>17188.2</v>
      </c>
      <c r="AR559" s="8">
        <f t="shared" si="125"/>
        <v>369927</v>
      </c>
      <c r="AS559" s="42"/>
      <c r="AT559" s="48"/>
      <c r="AU559" s="48"/>
      <c r="AV559" s="4">
        <f t="shared" si="126"/>
        <v>0</v>
      </c>
      <c r="AW559" s="50" t="str">
        <f t="shared" si="127"/>
        <v/>
      </c>
      <c r="AX559" s="1" t="s">
        <v>1768</v>
      </c>
      <c r="AY559" s="2" t="s">
        <v>1769</v>
      </c>
      <c r="AZ559" s="2">
        <v>94063.679999999993</v>
      </c>
      <c r="BA559" s="73">
        <v>82305.72</v>
      </c>
      <c r="BB559" s="73">
        <v>82305.72</v>
      </c>
      <c r="BC559" s="73">
        <v>94063.679999999993</v>
      </c>
      <c r="BD559" s="73"/>
      <c r="BE559" s="66">
        <v>0</v>
      </c>
      <c r="BF559" s="66">
        <v>0.05</v>
      </c>
      <c r="BG559" s="63">
        <v>45138</v>
      </c>
      <c r="BH559" s="2"/>
      <c r="BI559" s="74">
        <v>45809</v>
      </c>
      <c r="BJ559" s="2">
        <v>339264</v>
      </c>
      <c r="BK559" s="2">
        <v>17811.36</v>
      </c>
      <c r="BL559" s="1" t="s">
        <v>97</v>
      </c>
    </row>
    <row r="560" spans="1:64" x14ac:dyDescent="0.25">
      <c r="A560" s="56" t="s">
        <v>1268</v>
      </c>
      <c r="B560" s="54" t="s">
        <v>1268</v>
      </c>
      <c r="C560" s="56" t="s">
        <v>1269</v>
      </c>
      <c r="D560" s="16">
        <v>45092</v>
      </c>
      <c r="E560" s="17"/>
      <c r="F560" s="2" t="s">
        <v>1270</v>
      </c>
      <c r="G560" s="2" t="s">
        <v>1271</v>
      </c>
      <c r="H560" s="10" t="s">
        <v>98</v>
      </c>
      <c r="I560" s="11" t="s">
        <v>53</v>
      </c>
      <c r="J560" s="11" t="s">
        <v>99</v>
      </c>
      <c r="K560" s="61"/>
      <c r="L560" s="11" t="s">
        <v>67</v>
      </c>
      <c r="M560" s="25"/>
      <c r="N560" s="54"/>
      <c r="O560" s="3" t="str">
        <f>IF($A560="","",IF(P560=0,"A",IF(P560=AZ560,"E","A")))</f>
        <v>A</v>
      </c>
      <c r="P560" s="48">
        <v>81052</v>
      </c>
      <c r="Q560" s="48">
        <v>0</v>
      </c>
      <c r="R560" s="32"/>
      <c r="S560" s="3" t="str">
        <f t="shared" si="131"/>
        <v>A</v>
      </c>
      <c r="T560" s="48">
        <v>72860</v>
      </c>
      <c r="U560" s="48">
        <v>261</v>
      </c>
      <c r="V560" s="32"/>
      <c r="W560" s="3" t="str">
        <f t="shared" si="121"/>
        <v>A</v>
      </c>
      <c r="X560" s="48">
        <v>68641</v>
      </c>
      <c r="Y560" s="48">
        <v>189</v>
      </c>
      <c r="Z560" s="32"/>
      <c r="AA560" s="3" t="str">
        <f t="shared" si="122"/>
        <v>A</v>
      </c>
      <c r="AB560" s="48">
        <v>69596</v>
      </c>
      <c r="AC560" s="48">
        <v>108</v>
      </c>
      <c r="AD560" s="36"/>
      <c r="AE560" s="54"/>
      <c r="AF560" s="3" t="str">
        <f t="shared" si="123"/>
        <v>A</v>
      </c>
      <c r="AG560" s="48">
        <v>0</v>
      </c>
      <c r="AH560" s="48">
        <v>0</v>
      </c>
      <c r="AI560" s="39"/>
      <c r="AJ560" s="79" t="s">
        <v>1801</v>
      </c>
      <c r="AK560" s="39"/>
      <c r="AL560" s="4">
        <f t="shared" si="129"/>
        <v>292149</v>
      </c>
      <c r="AM560" s="4">
        <f t="shared" si="129"/>
        <v>558</v>
      </c>
      <c r="AN560" s="4">
        <f t="shared" si="124"/>
        <v>292707</v>
      </c>
      <c r="AO560" s="39"/>
      <c r="AP560" s="8">
        <f t="shared" si="130"/>
        <v>0</v>
      </c>
      <c r="AQ560" s="8">
        <f t="shared" si="130"/>
        <v>0</v>
      </c>
      <c r="AR560" s="8">
        <f t="shared" si="125"/>
        <v>0</v>
      </c>
      <c r="AS560" s="42"/>
      <c r="AT560" s="48">
        <v>292149</v>
      </c>
      <c r="AU560" s="48">
        <v>558</v>
      </c>
      <c r="AV560" s="4">
        <f t="shared" si="126"/>
        <v>292707</v>
      </c>
      <c r="AW560" s="50" t="str">
        <f t="shared" si="127"/>
        <v/>
      </c>
      <c r="AX560" s="1" t="s">
        <v>1770</v>
      </c>
      <c r="AY560" s="2" t="s">
        <v>1771</v>
      </c>
      <c r="AZ560" s="2">
        <v>145906.88</v>
      </c>
      <c r="BA560" s="73">
        <v>127668.52</v>
      </c>
      <c r="BB560" s="73">
        <v>127668.52</v>
      </c>
      <c r="BC560" s="73">
        <v>145906.88</v>
      </c>
      <c r="BD560" s="73"/>
      <c r="BE560" s="66">
        <v>0</v>
      </c>
      <c r="BF560" s="66">
        <v>0.05</v>
      </c>
      <c r="BG560" s="63">
        <v>45085</v>
      </c>
      <c r="BH560" s="2"/>
      <c r="BI560" s="2"/>
      <c r="BJ560" s="2">
        <v>537489</v>
      </c>
      <c r="BK560" s="2">
        <v>28218.17</v>
      </c>
      <c r="BL560" s="1" t="s">
        <v>97</v>
      </c>
    </row>
    <row r="561" spans="1:64" x14ac:dyDescent="0.25">
      <c r="A561" s="56" t="s">
        <v>1274</v>
      </c>
      <c r="B561" s="54" t="s">
        <v>1274</v>
      </c>
      <c r="C561" s="56" t="s">
        <v>1275</v>
      </c>
      <c r="D561" s="16">
        <v>0</v>
      </c>
      <c r="E561" s="17"/>
      <c r="F561" s="2" t="s">
        <v>522</v>
      </c>
      <c r="G561" s="2" t="s">
        <v>523</v>
      </c>
      <c r="H561" s="10" t="s">
        <v>105</v>
      </c>
      <c r="I561" s="11" t="s">
        <v>53</v>
      </c>
      <c r="J561" s="11" t="s">
        <v>312</v>
      </c>
      <c r="K561" s="61"/>
      <c r="L561" s="11" t="s">
        <v>67</v>
      </c>
      <c r="M561" s="25"/>
      <c r="N561" s="54"/>
      <c r="O561" s="3" t="str">
        <f>IF($A561="","",IF(P561=0,"A",IF(P561=AZ561,"E","A")))</f>
        <v>A</v>
      </c>
      <c r="P561" s="48">
        <v>181235</v>
      </c>
      <c r="Q561" s="48">
        <v>21443</v>
      </c>
      <c r="R561" s="32"/>
      <c r="S561" s="3" t="str">
        <f t="shared" si="131"/>
        <v>A</v>
      </c>
      <c r="T561" s="48">
        <v>125226</v>
      </c>
      <c r="U561" s="48">
        <v>18628</v>
      </c>
      <c r="V561" s="32"/>
      <c r="W561" s="3" t="str">
        <f t="shared" si="121"/>
        <v>A</v>
      </c>
      <c r="X561" s="48">
        <v>122981</v>
      </c>
      <c r="Y561" s="48">
        <v>18348</v>
      </c>
      <c r="Z561" s="32"/>
      <c r="AA561" s="3" t="str">
        <f t="shared" si="122"/>
        <v>A</v>
      </c>
      <c r="AB561" s="48">
        <v>162312</v>
      </c>
      <c r="AC561" s="48">
        <v>21667</v>
      </c>
      <c r="AD561" s="36"/>
      <c r="AE561" s="54"/>
      <c r="AF561" s="3" t="str">
        <f t="shared" si="123"/>
        <v>A</v>
      </c>
      <c r="AG561" s="48">
        <v>0</v>
      </c>
      <c r="AH561" s="48">
        <v>0</v>
      </c>
      <c r="AI561" s="39"/>
      <c r="AJ561" s="79" t="s">
        <v>1801</v>
      </c>
      <c r="AK561" s="39"/>
      <c r="AL561" s="4">
        <f t="shared" si="129"/>
        <v>591754</v>
      </c>
      <c r="AM561" s="4">
        <f t="shared" si="129"/>
        <v>80086</v>
      </c>
      <c r="AN561" s="4">
        <f t="shared" si="124"/>
        <v>671840</v>
      </c>
      <c r="AO561" s="39"/>
      <c r="AP561" s="8">
        <f t="shared" si="130"/>
        <v>0</v>
      </c>
      <c r="AQ561" s="8">
        <f t="shared" si="130"/>
        <v>0</v>
      </c>
      <c r="AR561" s="8">
        <f t="shared" si="125"/>
        <v>0</v>
      </c>
      <c r="AS561" s="42"/>
      <c r="AT561" s="48">
        <v>591754</v>
      </c>
      <c r="AU561" s="48">
        <v>80086</v>
      </c>
      <c r="AV561" s="4">
        <f t="shared" si="126"/>
        <v>671840</v>
      </c>
      <c r="AW561" s="50" t="str">
        <f t="shared" si="127"/>
        <v/>
      </c>
      <c r="AX561" s="1" t="s">
        <v>1719</v>
      </c>
      <c r="AY561" s="2" t="s">
        <v>1720</v>
      </c>
      <c r="AZ561" s="2">
        <v>125550.48</v>
      </c>
      <c r="BA561" s="73">
        <v>109856.67</v>
      </c>
      <c r="BB561" s="73">
        <v>109856.67</v>
      </c>
      <c r="BC561" s="73">
        <v>125550.48</v>
      </c>
      <c r="BD561" s="73"/>
      <c r="BE561" s="66">
        <v>0</v>
      </c>
      <c r="BF561" s="66">
        <v>0.05</v>
      </c>
      <c r="BG561" s="63">
        <v>45066</v>
      </c>
      <c r="BH561" s="2"/>
      <c r="BI561" s="2"/>
      <c r="BJ561" s="2">
        <v>461256</v>
      </c>
      <c r="BK561" s="2">
        <v>24215.94</v>
      </c>
      <c r="BL561" s="1" t="s">
        <v>104</v>
      </c>
    </row>
    <row r="562" spans="1:64" x14ac:dyDescent="0.25">
      <c r="A562" s="56" t="s">
        <v>1278</v>
      </c>
      <c r="B562" s="54" t="s">
        <v>1278</v>
      </c>
      <c r="C562" s="56" t="s">
        <v>1279</v>
      </c>
      <c r="D562" s="16">
        <v>45120</v>
      </c>
      <c r="E562" s="17"/>
      <c r="F562" s="2" t="s">
        <v>1017</v>
      </c>
      <c r="G562" s="2" t="s">
        <v>1018</v>
      </c>
      <c r="H562" s="10" t="s">
        <v>98</v>
      </c>
      <c r="I562" s="11" t="s">
        <v>53</v>
      </c>
      <c r="J562" s="11" t="s">
        <v>99</v>
      </c>
      <c r="K562" s="61"/>
      <c r="L562" s="11" t="s">
        <v>67</v>
      </c>
      <c r="M562" s="25"/>
      <c r="N562" s="54"/>
      <c r="O562" s="3" t="str">
        <f>IF($A562="","",IF(P562=0,"A",IF(P562=AZ562,"E","A")))</f>
        <v>A</v>
      </c>
      <c r="P562" s="48">
        <v>169112</v>
      </c>
      <c r="Q562" s="48">
        <v>2378</v>
      </c>
      <c r="R562" s="32"/>
      <c r="S562" s="3" t="str">
        <f t="shared" si="131"/>
        <v>A</v>
      </c>
      <c r="T562" s="48">
        <v>145927</v>
      </c>
      <c r="U562" s="48">
        <v>2291</v>
      </c>
      <c r="V562" s="32"/>
      <c r="W562" s="3" t="str">
        <f t="shared" si="121"/>
        <v>A</v>
      </c>
      <c r="X562" s="48">
        <v>153495</v>
      </c>
      <c r="Y562" s="48">
        <v>2327</v>
      </c>
      <c r="Z562" s="32"/>
      <c r="AA562" s="3" t="str">
        <f t="shared" si="122"/>
        <v>A</v>
      </c>
      <c r="AB562" s="48">
        <v>172192</v>
      </c>
      <c r="AC562" s="48">
        <v>2777</v>
      </c>
      <c r="AD562" s="36"/>
      <c r="AE562" s="54"/>
      <c r="AF562" s="3" t="str">
        <f t="shared" si="123"/>
        <v>A</v>
      </c>
      <c r="AG562" s="48">
        <v>0</v>
      </c>
      <c r="AH562" s="48">
        <v>0</v>
      </c>
      <c r="AI562" s="39"/>
      <c r="AJ562" s="79" t="s">
        <v>1801</v>
      </c>
      <c r="AK562" s="39"/>
      <c r="AL562" s="4">
        <f t="shared" si="129"/>
        <v>640726</v>
      </c>
      <c r="AM562" s="4">
        <f t="shared" si="129"/>
        <v>9773</v>
      </c>
      <c r="AN562" s="4">
        <f t="shared" si="124"/>
        <v>650499</v>
      </c>
      <c r="AO562" s="39"/>
      <c r="AP562" s="8">
        <f t="shared" si="130"/>
        <v>0</v>
      </c>
      <c r="AQ562" s="8">
        <f t="shared" si="130"/>
        <v>0</v>
      </c>
      <c r="AR562" s="8">
        <f t="shared" si="125"/>
        <v>0</v>
      </c>
      <c r="AS562" s="42"/>
      <c r="AT562" s="48">
        <v>640726</v>
      </c>
      <c r="AU562" s="48">
        <v>9773</v>
      </c>
      <c r="AV562" s="4">
        <f t="shared" si="126"/>
        <v>650499</v>
      </c>
      <c r="AW562" s="50" t="str">
        <f t="shared" si="127"/>
        <v/>
      </c>
      <c r="AX562" s="1" t="s">
        <v>1748</v>
      </c>
      <c r="AY562" s="2" t="s">
        <v>1749</v>
      </c>
      <c r="AZ562" s="2">
        <v>151659.51999999999</v>
      </c>
      <c r="BA562" s="73">
        <v>132702.07999999999</v>
      </c>
      <c r="BB562" s="73">
        <v>132702.07999999999</v>
      </c>
      <c r="BC562" s="73">
        <v>151659.51999999999</v>
      </c>
      <c r="BD562" s="73"/>
      <c r="BE562" s="66">
        <v>0</v>
      </c>
      <c r="BF562" s="66">
        <v>0.05</v>
      </c>
      <c r="BG562" s="63">
        <v>45091</v>
      </c>
      <c r="BH562" s="74">
        <v>45498</v>
      </c>
      <c r="BI562" s="74">
        <v>45499</v>
      </c>
      <c r="BJ562" s="2">
        <v>546998.4</v>
      </c>
      <c r="BK562" s="2">
        <v>32819.9</v>
      </c>
      <c r="BL562" s="1" t="s">
        <v>97</v>
      </c>
    </row>
    <row r="563" spans="1:64" x14ac:dyDescent="0.25">
      <c r="A563" s="56" t="s">
        <v>1282</v>
      </c>
      <c r="B563" s="54" t="s">
        <v>1282</v>
      </c>
      <c r="C563" s="56" t="s">
        <v>1283</v>
      </c>
      <c r="D563" s="16">
        <v>0</v>
      </c>
      <c r="E563" s="17"/>
      <c r="F563" s="2" t="s">
        <v>243</v>
      </c>
      <c r="G563" s="2" t="s">
        <v>245</v>
      </c>
      <c r="H563" s="10" t="s">
        <v>105</v>
      </c>
      <c r="I563" s="11" t="s">
        <v>244</v>
      </c>
      <c r="J563" s="11" t="s">
        <v>544</v>
      </c>
      <c r="K563" s="61" t="s">
        <v>230</v>
      </c>
      <c r="L563" s="11" t="s">
        <v>67</v>
      </c>
      <c r="M563" s="25"/>
      <c r="N563" s="54"/>
      <c r="O563" s="3" t="str">
        <f>IF($A563="","",IF(P563=0,"A",IF(P563=AZ563,"E","A")))</f>
        <v>A</v>
      </c>
      <c r="P563" s="48">
        <v>54276</v>
      </c>
      <c r="Q563" s="48">
        <v>11330</v>
      </c>
      <c r="R563" s="32"/>
      <c r="S563" s="3" t="str">
        <f t="shared" si="131"/>
        <v>A</v>
      </c>
      <c r="T563" s="48">
        <v>48156</v>
      </c>
      <c r="U563" s="48">
        <v>12508</v>
      </c>
      <c r="V563" s="32"/>
      <c r="W563" s="3" t="str">
        <f t="shared" si="121"/>
        <v>A</v>
      </c>
      <c r="X563" s="48">
        <v>52221</v>
      </c>
      <c r="Y563" s="48">
        <v>9651</v>
      </c>
      <c r="Z563" s="32"/>
      <c r="AA563" s="3" t="str">
        <f t="shared" si="122"/>
        <v>A</v>
      </c>
      <c r="AB563" s="48">
        <v>57929</v>
      </c>
      <c r="AC563" s="48">
        <v>11023</v>
      </c>
      <c r="AD563" s="36"/>
      <c r="AE563" s="54"/>
      <c r="AF563" s="3" t="str">
        <f t="shared" si="123"/>
        <v>A</v>
      </c>
      <c r="AG563" s="48">
        <v>0</v>
      </c>
      <c r="AH563" s="48">
        <v>0</v>
      </c>
      <c r="AI563" s="39"/>
      <c r="AJ563" s="79" t="s">
        <v>1801</v>
      </c>
      <c r="AK563" s="39"/>
      <c r="AL563" s="4">
        <f t="shared" si="129"/>
        <v>212582</v>
      </c>
      <c r="AM563" s="4">
        <f t="shared" si="129"/>
        <v>44512</v>
      </c>
      <c r="AN563" s="4">
        <f t="shared" si="124"/>
        <v>257094</v>
      </c>
      <c r="AO563" s="39"/>
      <c r="AP563" s="8">
        <f t="shared" si="130"/>
        <v>0</v>
      </c>
      <c r="AQ563" s="8">
        <f t="shared" si="130"/>
        <v>0</v>
      </c>
      <c r="AR563" s="8">
        <f t="shared" si="125"/>
        <v>0</v>
      </c>
      <c r="AS563" s="42"/>
      <c r="AT563" s="48">
        <v>212582</v>
      </c>
      <c r="AU563" s="48">
        <v>44512</v>
      </c>
      <c r="AV563" s="4">
        <f t="shared" si="126"/>
        <v>257094</v>
      </c>
      <c r="AW563" s="50" t="str">
        <f t="shared" si="127"/>
        <v/>
      </c>
      <c r="AX563" s="1" t="s">
        <v>1639</v>
      </c>
      <c r="AY563" s="2" t="s">
        <v>1640</v>
      </c>
      <c r="AZ563" s="2">
        <v>178602.56</v>
      </c>
      <c r="BA563" s="73">
        <v>156277.24</v>
      </c>
      <c r="BB563" s="73">
        <v>156277.24</v>
      </c>
      <c r="BC563" s="73">
        <v>178602.56</v>
      </c>
      <c r="BD563" s="73"/>
      <c r="BE563" s="66">
        <v>0</v>
      </c>
      <c r="BF563" s="66">
        <v>0.02</v>
      </c>
      <c r="BG563" s="63">
        <v>45118</v>
      </c>
      <c r="BH563" s="2"/>
      <c r="BI563" s="2"/>
      <c r="BJ563" s="2">
        <v>644175</v>
      </c>
      <c r="BK563" s="2">
        <v>33819.19</v>
      </c>
      <c r="BL563" s="1" t="s">
        <v>219</v>
      </c>
    </row>
    <row r="564" spans="1:64" x14ac:dyDescent="0.25">
      <c r="A564" s="56" t="s">
        <v>1282</v>
      </c>
      <c r="B564" s="54" t="s">
        <v>1417</v>
      </c>
      <c r="C564" s="56" t="s">
        <v>1418</v>
      </c>
      <c r="D564" s="16">
        <v>0</v>
      </c>
      <c r="E564" s="17"/>
      <c r="F564" s="2" t="s">
        <v>243</v>
      </c>
      <c r="G564" s="2" t="s">
        <v>245</v>
      </c>
      <c r="H564" s="10" t="s">
        <v>105</v>
      </c>
      <c r="I564" s="11" t="s">
        <v>244</v>
      </c>
      <c r="J564" s="11" t="s">
        <v>544</v>
      </c>
      <c r="K564" s="61" t="s">
        <v>230</v>
      </c>
      <c r="L564" s="11" t="s">
        <v>67</v>
      </c>
      <c r="M564" s="25"/>
      <c r="N564" s="54"/>
      <c r="O564" s="3" t="str">
        <f>IF($A564="","",IF(P564=AZ564,"E","A"))</f>
        <v>A</v>
      </c>
      <c r="P564" s="48">
        <v>65013</v>
      </c>
      <c r="Q564" s="48">
        <v>6683</v>
      </c>
      <c r="R564" s="32"/>
      <c r="S564" s="3" t="str">
        <f>IF($A564="","",IF(T564=BA564,"E","A"))</f>
        <v>A</v>
      </c>
      <c r="T564" s="48">
        <v>54382</v>
      </c>
      <c r="U564" s="48">
        <v>4162</v>
      </c>
      <c r="V564" s="32"/>
      <c r="W564" s="3" t="str">
        <f t="shared" si="121"/>
        <v>A</v>
      </c>
      <c r="X564" s="48">
        <v>52565</v>
      </c>
      <c r="Y564" s="48">
        <v>4519</v>
      </c>
      <c r="Z564" s="32"/>
      <c r="AA564" s="3" t="str">
        <f t="shared" si="122"/>
        <v>A</v>
      </c>
      <c r="AB564" s="48">
        <v>55325</v>
      </c>
      <c r="AC564" s="48">
        <v>4690</v>
      </c>
      <c r="AD564" s="36"/>
      <c r="AE564" s="54"/>
      <c r="AF564" s="3" t="str">
        <f t="shared" si="123"/>
        <v>A</v>
      </c>
      <c r="AG564" s="48">
        <v>0</v>
      </c>
      <c r="AH564" s="48">
        <v>0</v>
      </c>
      <c r="AI564" s="39"/>
      <c r="AJ564" s="79" t="s">
        <v>1801</v>
      </c>
      <c r="AK564" s="39"/>
      <c r="AL564" s="4">
        <f t="shared" si="129"/>
        <v>227285</v>
      </c>
      <c r="AM564" s="4">
        <f t="shared" si="129"/>
        <v>20054</v>
      </c>
      <c r="AN564" s="4">
        <f t="shared" si="124"/>
        <v>247339</v>
      </c>
      <c r="AO564" s="39"/>
      <c r="AP564" s="8">
        <f t="shared" si="130"/>
        <v>0</v>
      </c>
      <c r="AQ564" s="8">
        <f t="shared" si="130"/>
        <v>0</v>
      </c>
      <c r="AR564" s="8">
        <f t="shared" si="125"/>
        <v>0</v>
      </c>
      <c r="AS564" s="42"/>
      <c r="AT564" s="48">
        <v>227285</v>
      </c>
      <c r="AU564" s="48">
        <v>20054</v>
      </c>
      <c r="AV564" s="4">
        <f t="shared" si="126"/>
        <v>247339</v>
      </c>
      <c r="AW564" s="50" t="str">
        <f t="shared" si="127"/>
        <v/>
      </c>
      <c r="AX564" s="1" t="s">
        <v>1639</v>
      </c>
      <c r="AY564" s="2" t="s">
        <v>1640</v>
      </c>
      <c r="AZ564" s="2">
        <v>49598.559999999998</v>
      </c>
      <c r="BA564" s="73">
        <v>43398.74</v>
      </c>
      <c r="BB564" s="73">
        <v>43398.74</v>
      </c>
      <c r="BC564" s="73">
        <v>49598.559999999998</v>
      </c>
      <c r="BD564" s="73"/>
      <c r="BE564" s="66">
        <v>0</v>
      </c>
      <c r="BF564" s="66">
        <v>0.02</v>
      </c>
      <c r="BG564" s="63">
        <v>45264</v>
      </c>
      <c r="BH564" s="2"/>
      <c r="BI564" s="2"/>
      <c r="BJ564" s="2">
        <v>188676</v>
      </c>
      <c r="BK564" s="2"/>
      <c r="BL564" s="1" t="s">
        <v>219</v>
      </c>
    </row>
    <row r="565" spans="1:64" x14ac:dyDescent="0.25">
      <c r="A565" s="56" t="s">
        <v>1284</v>
      </c>
      <c r="B565" s="54" t="s">
        <v>1284</v>
      </c>
      <c r="C565" s="56" t="s">
        <v>1285</v>
      </c>
      <c r="D565" s="16">
        <v>45149</v>
      </c>
      <c r="E565" s="17"/>
      <c r="F565" s="2" t="s">
        <v>187</v>
      </c>
      <c r="G565" s="2" t="s">
        <v>189</v>
      </c>
      <c r="H565" s="10" t="s">
        <v>57</v>
      </c>
      <c r="I565" s="11" t="s">
        <v>188</v>
      </c>
      <c r="J565" s="11" t="s">
        <v>338</v>
      </c>
      <c r="K565" s="61" t="s">
        <v>339</v>
      </c>
      <c r="L565" s="11" t="s">
        <v>67</v>
      </c>
      <c r="M565" s="25"/>
      <c r="N565" s="54"/>
      <c r="O565" s="3" t="str">
        <f>IF($A565="","",IF(P565=0,"A",IF(P565=AZ565,"E","A")))</f>
        <v>A</v>
      </c>
      <c r="P565" s="48">
        <v>160830</v>
      </c>
      <c r="Q565" s="48">
        <v>31269</v>
      </c>
      <c r="R565" s="32"/>
      <c r="S565" s="3" t="str">
        <f t="shared" ref="S565:S575" si="133">IF($A565="","",IF(T565=0,"A",IF(T565=BA565,"E","A")))</f>
        <v>A</v>
      </c>
      <c r="T565" s="48">
        <v>155636</v>
      </c>
      <c r="U565" s="48">
        <v>32041</v>
      </c>
      <c r="V565" s="32"/>
      <c r="W565" s="3" t="str">
        <f t="shared" si="121"/>
        <v>A</v>
      </c>
      <c r="X565" s="48">
        <v>119541</v>
      </c>
      <c r="Y565" s="48">
        <v>21350</v>
      </c>
      <c r="Z565" s="32"/>
      <c r="AA565" s="3" t="str">
        <f t="shared" si="122"/>
        <v>A</v>
      </c>
      <c r="AB565" s="48">
        <v>121899</v>
      </c>
      <c r="AC565" s="48">
        <v>24447</v>
      </c>
      <c r="AD565" s="36"/>
      <c r="AE565" s="54"/>
      <c r="AF565" s="3" t="str">
        <f t="shared" si="123"/>
        <v>A</v>
      </c>
      <c r="AG565" s="48">
        <v>0</v>
      </c>
      <c r="AH565" s="48">
        <v>0</v>
      </c>
      <c r="AI565" s="39"/>
      <c r="AJ565" s="79" t="s">
        <v>1801</v>
      </c>
      <c r="AK565" s="39"/>
      <c r="AL565" s="4">
        <f t="shared" si="129"/>
        <v>557906</v>
      </c>
      <c r="AM565" s="4">
        <f t="shared" si="129"/>
        <v>109107</v>
      </c>
      <c r="AN565" s="4">
        <f t="shared" si="124"/>
        <v>667013</v>
      </c>
      <c r="AO565" s="39"/>
      <c r="AP565" s="8">
        <f t="shared" si="130"/>
        <v>0</v>
      </c>
      <c r="AQ565" s="8">
        <f t="shared" si="130"/>
        <v>0</v>
      </c>
      <c r="AR565" s="8">
        <f t="shared" si="125"/>
        <v>0</v>
      </c>
      <c r="AS565" s="42"/>
      <c r="AT565" s="48">
        <v>557906</v>
      </c>
      <c r="AU565" s="48">
        <v>109107</v>
      </c>
      <c r="AV565" s="4">
        <f t="shared" si="126"/>
        <v>667013</v>
      </c>
      <c r="AW565" s="50" t="str">
        <f t="shared" si="127"/>
        <v/>
      </c>
      <c r="AX565" s="1" t="s">
        <v>1639</v>
      </c>
      <c r="AY565" s="2" t="s">
        <v>1640</v>
      </c>
      <c r="AZ565" s="2">
        <v>323989.52</v>
      </c>
      <c r="BA565" s="73">
        <v>283490.83</v>
      </c>
      <c r="BB565" s="73">
        <v>283490.83</v>
      </c>
      <c r="BC565" s="73">
        <v>323989.52</v>
      </c>
      <c r="BD565" s="73"/>
      <c r="BE565" s="66">
        <v>0</v>
      </c>
      <c r="BF565" s="66">
        <v>0.02</v>
      </c>
      <c r="BG565" s="63">
        <v>45143</v>
      </c>
      <c r="BH565" s="2"/>
      <c r="BI565" s="2"/>
      <c r="BJ565" s="2">
        <v>1161582.25</v>
      </c>
      <c r="BK565" s="2">
        <v>129064.69</v>
      </c>
      <c r="BL565" s="1" t="s">
        <v>56</v>
      </c>
    </row>
    <row r="566" spans="1:64" x14ac:dyDescent="0.25">
      <c r="A566" s="56" t="s">
        <v>1288</v>
      </c>
      <c r="B566" s="54" t="s">
        <v>1288</v>
      </c>
      <c r="C566" s="56" t="s">
        <v>1289</v>
      </c>
      <c r="D566" s="16">
        <v>0</v>
      </c>
      <c r="E566" s="17"/>
      <c r="F566" s="2" t="s">
        <v>109</v>
      </c>
      <c r="G566" s="2" t="s">
        <v>111</v>
      </c>
      <c r="H566" s="10" t="s">
        <v>98</v>
      </c>
      <c r="I566" s="11" t="s">
        <v>110</v>
      </c>
      <c r="J566" s="11" t="s">
        <v>286</v>
      </c>
      <c r="K566" s="61" t="s">
        <v>287</v>
      </c>
      <c r="L566" s="11" t="s">
        <v>67</v>
      </c>
      <c r="M566" s="25"/>
      <c r="N566" s="54"/>
      <c r="O566" s="3" t="str">
        <f t="shared" ref="O566:O572" si="134">IF($A566="","",IF(P566=AZ566,"E","A"))</f>
        <v>A</v>
      </c>
      <c r="P566" s="48">
        <v>19415</v>
      </c>
      <c r="Q566" s="48">
        <v>657</v>
      </c>
      <c r="R566" s="32"/>
      <c r="S566" s="3" t="str">
        <f t="shared" si="133"/>
        <v>A</v>
      </c>
      <c r="T566" s="48">
        <v>14567</v>
      </c>
      <c r="U566" s="48">
        <v>480</v>
      </c>
      <c r="V566" s="32"/>
      <c r="W566" s="3" t="str">
        <f t="shared" si="121"/>
        <v>A</v>
      </c>
      <c r="X566" s="48">
        <v>13970</v>
      </c>
      <c r="Y566" s="48">
        <v>680</v>
      </c>
      <c r="Z566" s="32"/>
      <c r="AA566" s="3" t="str">
        <f t="shared" si="122"/>
        <v>A</v>
      </c>
      <c r="AB566" s="48">
        <v>16320</v>
      </c>
      <c r="AC566" s="48">
        <v>380</v>
      </c>
      <c r="AD566" s="36"/>
      <c r="AE566" s="54"/>
      <c r="AF566" s="3" t="str">
        <f t="shared" si="123"/>
        <v>A</v>
      </c>
      <c r="AG566" s="48">
        <v>0</v>
      </c>
      <c r="AH566" s="48">
        <v>0</v>
      </c>
      <c r="AI566" s="39"/>
      <c r="AJ566" s="79" t="s">
        <v>1801</v>
      </c>
      <c r="AK566" s="39"/>
      <c r="AL566" s="4">
        <f t="shared" si="129"/>
        <v>64272</v>
      </c>
      <c r="AM566" s="4">
        <f t="shared" si="129"/>
        <v>2197</v>
      </c>
      <c r="AN566" s="4">
        <f t="shared" si="124"/>
        <v>66469</v>
      </c>
      <c r="AO566" s="39"/>
      <c r="AP566" s="8">
        <f t="shared" si="130"/>
        <v>0</v>
      </c>
      <c r="AQ566" s="8">
        <f t="shared" si="130"/>
        <v>0</v>
      </c>
      <c r="AR566" s="8">
        <f t="shared" si="125"/>
        <v>0</v>
      </c>
      <c r="AS566" s="42"/>
      <c r="AT566" s="48">
        <v>64272</v>
      </c>
      <c r="AU566" s="48">
        <v>2197</v>
      </c>
      <c r="AV566" s="4">
        <f t="shared" si="126"/>
        <v>66469</v>
      </c>
      <c r="AW566" s="50" t="str">
        <f t="shared" si="127"/>
        <v/>
      </c>
      <c r="AX566" s="1" t="s">
        <v>1647</v>
      </c>
      <c r="AY566" s="2" t="s">
        <v>1640</v>
      </c>
      <c r="AZ566" s="2">
        <v>185241.12</v>
      </c>
      <c r="BA566" s="73">
        <v>162085.98000000001</v>
      </c>
      <c r="BB566" s="73">
        <v>162085.98000000001</v>
      </c>
      <c r="BC566" s="73">
        <v>185241.12</v>
      </c>
      <c r="BD566" s="73"/>
      <c r="BE566" s="66">
        <v>0</v>
      </c>
      <c r="BF566" s="66">
        <v>0.02</v>
      </c>
      <c r="BG566" s="63">
        <v>45283</v>
      </c>
      <c r="BH566" s="2"/>
      <c r="BI566" s="2"/>
      <c r="BJ566" s="2">
        <v>704670</v>
      </c>
      <c r="BK566" s="2">
        <v>36995.18</v>
      </c>
      <c r="BL566" s="1" t="s">
        <v>237</v>
      </c>
    </row>
    <row r="567" spans="1:64" x14ac:dyDescent="0.25">
      <c r="A567" s="56" t="s">
        <v>1288</v>
      </c>
      <c r="B567" s="54" t="s">
        <v>1296</v>
      </c>
      <c r="C567" s="56" t="s">
        <v>1297</v>
      </c>
      <c r="D567" s="16">
        <v>0</v>
      </c>
      <c r="E567" s="17"/>
      <c r="F567" s="2" t="s">
        <v>109</v>
      </c>
      <c r="G567" s="2" t="s">
        <v>111</v>
      </c>
      <c r="H567" s="10" t="s">
        <v>98</v>
      </c>
      <c r="I567" s="11" t="s">
        <v>110</v>
      </c>
      <c r="J567" s="11" t="s">
        <v>286</v>
      </c>
      <c r="K567" s="61" t="s">
        <v>287</v>
      </c>
      <c r="L567" s="11" t="s">
        <v>67</v>
      </c>
      <c r="M567" s="25"/>
      <c r="N567" s="54"/>
      <c r="O567" s="3" t="str">
        <f t="shared" si="134"/>
        <v>A</v>
      </c>
      <c r="P567" s="48">
        <v>90696</v>
      </c>
      <c r="Q567" s="48">
        <v>3020</v>
      </c>
      <c r="R567" s="32"/>
      <c r="S567" s="3" t="str">
        <f t="shared" si="133"/>
        <v>A</v>
      </c>
      <c r="T567" s="48">
        <v>75646</v>
      </c>
      <c r="U567" s="48">
        <v>2895</v>
      </c>
      <c r="V567" s="32"/>
      <c r="W567" s="3" t="str">
        <f t="shared" si="121"/>
        <v>A</v>
      </c>
      <c r="X567" s="48">
        <v>79609</v>
      </c>
      <c r="Y567" s="48">
        <v>1765</v>
      </c>
      <c r="Z567" s="32"/>
      <c r="AA567" s="3" t="str">
        <f t="shared" si="122"/>
        <v>A</v>
      </c>
      <c r="AB567" s="48">
        <v>96439</v>
      </c>
      <c r="AC567" s="48">
        <v>2525</v>
      </c>
      <c r="AD567" s="36"/>
      <c r="AE567" s="54"/>
      <c r="AF567" s="3" t="str">
        <f t="shared" si="123"/>
        <v>A</v>
      </c>
      <c r="AG567" s="48">
        <v>0</v>
      </c>
      <c r="AH567" s="48">
        <v>0</v>
      </c>
      <c r="AI567" s="39"/>
      <c r="AJ567" s="79" t="s">
        <v>1801</v>
      </c>
      <c r="AK567" s="39"/>
      <c r="AL567" s="4">
        <f t="shared" si="129"/>
        <v>342390</v>
      </c>
      <c r="AM567" s="4">
        <f t="shared" si="129"/>
        <v>10205</v>
      </c>
      <c r="AN567" s="4">
        <f t="shared" si="124"/>
        <v>352595</v>
      </c>
      <c r="AO567" s="39"/>
      <c r="AP567" s="8">
        <f t="shared" si="130"/>
        <v>0</v>
      </c>
      <c r="AQ567" s="8">
        <f t="shared" si="130"/>
        <v>0</v>
      </c>
      <c r="AR567" s="8">
        <f t="shared" si="125"/>
        <v>0</v>
      </c>
      <c r="AS567" s="42"/>
      <c r="AT567" s="48">
        <v>342390</v>
      </c>
      <c r="AU567" s="48">
        <v>10205</v>
      </c>
      <c r="AV567" s="4">
        <f t="shared" si="126"/>
        <v>352595</v>
      </c>
      <c r="AW567" s="50" t="str">
        <f t="shared" si="127"/>
        <v/>
      </c>
      <c r="AX567" s="1" t="s">
        <v>1647</v>
      </c>
      <c r="AY567" s="2" t="s">
        <v>1640</v>
      </c>
      <c r="AZ567" s="2">
        <v>70554.240000000005</v>
      </c>
      <c r="BA567" s="73">
        <v>61734.96</v>
      </c>
      <c r="BB567" s="73">
        <v>61734.96</v>
      </c>
      <c r="BC567" s="73">
        <v>70554.240000000005</v>
      </c>
      <c r="BD567" s="73"/>
      <c r="BE567" s="66">
        <v>0</v>
      </c>
      <c r="BF567" s="66">
        <v>0.02</v>
      </c>
      <c r="BG567" s="63">
        <v>45296</v>
      </c>
      <c r="BH567" s="2"/>
      <c r="BI567" s="2"/>
      <c r="BJ567" s="2">
        <v>270000</v>
      </c>
      <c r="BK567" s="2"/>
      <c r="BL567" s="1" t="s">
        <v>237</v>
      </c>
    </row>
    <row r="568" spans="1:64" x14ac:dyDescent="0.25">
      <c r="A568" s="56" t="s">
        <v>1290</v>
      </c>
      <c r="B568" s="54" t="s">
        <v>1290</v>
      </c>
      <c r="C568" s="56" t="s">
        <v>1291</v>
      </c>
      <c r="D568" s="16">
        <v>0</v>
      </c>
      <c r="E568" s="17"/>
      <c r="F568" s="2" t="s">
        <v>143</v>
      </c>
      <c r="G568" s="2" t="s">
        <v>144</v>
      </c>
      <c r="H568" s="10" t="s">
        <v>105</v>
      </c>
      <c r="I568" s="11" t="s">
        <v>53</v>
      </c>
      <c r="J568" s="11" t="s">
        <v>145</v>
      </c>
      <c r="K568" s="61"/>
      <c r="L568" s="11" t="s">
        <v>67</v>
      </c>
      <c r="M568" s="25"/>
      <c r="N568" s="54"/>
      <c r="O568" s="3" t="str">
        <f t="shared" si="134"/>
        <v>E</v>
      </c>
      <c r="P568" s="48">
        <v>165115.6</v>
      </c>
      <c r="Q568" s="48">
        <v>7848.48</v>
      </c>
      <c r="R568" s="32"/>
      <c r="S568" s="3" t="str">
        <f t="shared" si="133"/>
        <v>E</v>
      </c>
      <c r="T568" s="48">
        <v>144476.15</v>
      </c>
      <c r="U568" s="48">
        <v>6867.42</v>
      </c>
      <c r="V568" s="32"/>
      <c r="W568" s="3" t="str">
        <f t="shared" si="121"/>
        <v>E</v>
      </c>
      <c r="X568" s="48">
        <v>144476.15</v>
      </c>
      <c r="Y568" s="48">
        <v>6867.42</v>
      </c>
      <c r="Z568" s="32"/>
      <c r="AA568" s="3" t="str">
        <f t="shared" si="122"/>
        <v>E</v>
      </c>
      <c r="AB568" s="48">
        <v>165115.6</v>
      </c>
      <c r="AC568" s="48">
        <v>7848.48</v>
      </c>
      <c r="AD568" s="36"/>
      <c r="AE568" s="54"/>
      <c r="AF568" s="3" t="str">
        <f t="shared" si="123"/>
        <v>A</v>
      </c>
      <c r="AG568" s="48"/>
      <c r="AH568" s="48"/>
      <c r="AI568" s="39"/>
      <c r="AJ568" s="79" t="s">
        <v>38</v>
      </c>
      <c r="AK568" s="39"/>
      <c r="AL568" s="4">
        <f t="shared" si="129"/>
        <v>0</v>
      </c>
      <c r="AM568" s="4">
        <f t="shared" si="129"/>
        <v>0</v>
      </c>
      <c r="AN568" s="4">
        <f t="shared" si="124"/>
        <v>0</v>
      </c>
      <c r="AO568" s="39"/>
      <c r="AP568" s="8">
        <f t="shared" si="130"/>
        <v>619183.5</v>
      </c>
      <c r="AQ568" s="8">
        <f t="shared" si="130"/>
        <v>29431.8</v>
      </c>
      <c r="AR568" s="8">
        <f t="shared" si="125"/>
        <v>648615.30000000005</v>
      </c>
      <c r="AS568" s="42"/>
      <c r="AT568" s="48"/>
      <c r="AU568" s="48"/>
      <c r="AV568" s="4">
        <f t="shared" si="126"/>
        <v>0</v>
      </c>
      <c r="AW568" s="50" t="str">
        <f t="shared" si="127"/>
        <v/>
      </c>
      <c r="AX568" s="1" t="s">
        <v>1650</v>
      </c>
      <c r="AY568" s="2" t="s">
        <v>1651</v>
      </c>
      <c r="AZ568" s="2">
        <v>165115.6</v>
      </c>
      <c r="BA568" s="73">
        <v>144476.15</v>
      </c>
      <c r="BB568" s="73">
        <v>144476.15</v>
      </c>
      <c r="BC568" s="73">
        <v>165115.6</v>
      </c>
      <c r="BD568" s="73"/>
      <c r="BE568" s="66">
        <v>0</v>
      </c>
      <c r="BF568" s="66">
        <v>0.05</v>
      </c>
      <c r="BG568" s="63">
        <v>45107</v>
      </c>
      <c r="BH568" s="2"/>
      <c r="BI568" s="2"/>
      <c r="BJ568" s="2">
        <v>608250</v>
      </c>
      <c r="BK568" s="2">
        <v>31933.13</v>
      </c>
      <c r="BL568" s="1" t="s">
        <v>104</v>
      </c>
    </row>
    <row r="569" spans="1:64" x14ac:dyDescent="0.25">
      <c r="A569" s="56" t="s">
        <v>1300</v>
      </c>
      <c r="B569" s="54" t="s">
        <v>1300</v>
      </c>
      <c r="C569" s="56" t="s">
        <v>1301</v>
      </c>
      <c r="D569" s="16">
        <v>0</v>
      </c>
      <c r="E569" s="17"/>
      <c r="F569" s="2" t="s">
        <v>1164</v>
      </c>
      <c r="G569" s="2" t="s">
        <v>1165</v>
      </c>
      <c r="H569" s="10" t="s">
        <v>57</v>
      </c>
      <c r="I569" s="11" t="s">
        <v>53</v>
      </c>
      <c r="J569" s="11" t="s">
        <v>1166</v>
      </c>
      <c r="K569" s="61"/>
      <c r="L569" s="11" t="s">
        <v>67</v>
      </c>
      <c r="M569" s="25"/>
      <c r="N569" s="54"/>
      <c r="O569" s="3" t="str">
        <f t="shared" si="134"/>
        <v>A</v>
      </c>
      <c r="P569" s="48">
        <v>33679</v>
      </c>
      <c r="Q569" s="48">
        <v>6648</v>
      </c>
      <c r="R569" s="32"/>
      <c r="S569" s="3" t="str">
        <f t="shared" si="133"/>
        <v>A</v>
      </c>
      <c r="T569" s="48">
        <v>34977</v>
      </c>
      <c r="U569" s="48">
        <v>4215</v>
      </c>
      <c r="V569" s="32"/>
      <c r="W569" s="3" t="str">
        <f t="shared" si="121"/>
        <v>A</v>
      </c>
      <c r="X569" s="48">
        <v>32181</v>
      </c>
      <c r="Y569" s="48">
        <v>5462</v>
      </c>
      <c r="Z569" s="32"/>
      <c r="AA569" s="3" t="str">
        <f t="shared" si="122"/>
        <v>A</v>
      </c>
      <c r="AB569" s="48">
        <v>35506</v>
      </c>
      <c r="AC569" s="48">
        <v>5675</v>
      </c>
      <c r="AD569" s="36"/>
      <c r="AE569" s="54"/>
      <c r="AF569" s="3" t="str">
        <f t="shared" si="123"/>
        <v>A</v>
      </c>
      <c r="AG569" s="48">
        <v>0</v>
      </c>
      <c r="AH569" s="48">
        <v>0</v>
      </c>
      <c r="AI569" s="39"/>
      <c r="AJ569" s="79" t="s">
        <v>1801</v>
      </c>
      <c r="AK569" s="39"/>
      <c r="AL569" s="4">
        <f t="shared" si="129"/>
        <v>136343</v>
      </c>
      <c r="AM569" s="4">
        <f t="shared" si="129"/>
        <v>22000</v>
      </c>
      <c r="AN569" s="4">
        <f t="shared" si="124"/>
        <v>158343</v>
      </c>
      <c r="AO569" s="39"/>
      <c r="AP569" s="8">
        <f t="shared" si="130"/>
        <v>0</v>
      </c>
      <c r="AQ569" s="8">
        <f t="shared" si="130"/>
        <v>0</v>
      </c>
      <c r="AR569" s="8">
        <f t="shared" si="125"/>
        <v>0</v>
      </c>
      <c r="AS569" s="42"/>
      <c r="AT569" s="48">
        <v>136343</v>
      </c>
      <c r="AU569" s="48">
        <v>22000</v>
      </c>
      <c r="AV569" s="4">
        <f t="shared" si="126"/>
        <v>158343</v>
      </c>
      <c r="AW569" s="50" t="str">
        <f t="shared" si="127"/>
        <v/>
      </c>
      <c r="AX569" s="1" t="s">
        <v>1762</v>
      </c>
      <c r="AY569" s="2" t="s">
        <v>1763</v>
      </c>
      <c r="AZ569" s="2">
        <v>159454.79999999999</v>
      </c>
      <c r="BA569" s="73">
        <v>139522.95000000001</v>
      </c>
      <c r="BB569" s="73">
        <v>139522.95000000001</v>
      </c>
      <c r="BC569" s="73">
        <v>159454.79999999999</v>
      </c>
      <c r="BD569" s="73"/>
      <c r="BE569" s="66">
        <v>0</v>
      </c>
      <c r="BF569" s="66">
        <v>0.05</v>
      </c>
      <c r="BG569" s="63">
        <v>45135</v>
      </c>
      <c r="BH569" s="2"/>
      <c r="BI569" s="2"/>
      <c r="BJ569" s="2">
        <v>575113.48</v>
      </c>
      <c r="BK569" s="2">
        <v>63901.5</v>
      </c>
      <c r="BL569" s="1" t="s">
        <v>56</v>
      </c>
    </row>
    <row r="570" spans="1:64" x14ac:dyDescent="0.25">
      <c r="A570" s="56" t="s">
        <v>1302</v>
      </c>
      <c r="B570" s="54" t="s">
        <v>1302</v>
      </c>
      <c r="C570" s="56" t="s">
        <v>1303</v>
      </c>
      <c r="D570" s="16">
        <v>0</v>
      </c>
      <c r="E570" s="17"/>
      <c r="F570" s="2" t="s">
        <v>243</v>
      </c>
      <c r="G570" s="2" t="s">
        <v>245</v>
      </c>
      <c r="H570" s="10" t="s">
        <v>57</v>
      </c>
      <c r="I570" s="11" t="s">
        <v>244</v>
      </c>
      <c r="J570" s="11" t="s">
        <v>486</v>
      </c>
      <c r="K570" s="61" t="s">
        <v>487</v>
      </c>
      <c r="L570" s="11" t="s">
        <v>67</v>
      </c>
      <c r="M570" s="25"/>
      <c r="N570" s="54"/>
      <c r="O570" s="3" t="str">
        <f t="shared" si="134"/>
        <v>A</v>
      </c>
      <c r="P570" s="48">
        <v>93240</v>
      </c>
      <c r="Q570" s="48">
        <v>17631</v>
      </c>
      <c r="R570" s="32"/>
      <c r="S570" s="3" t="str">
        <f t="shared" si="133"/>
        <v>A</v>
      </c>
      <c r="T570" s="48">
        <v>87646</v>
      </c>
      <c r="U570" s="48">
        <v>16525</v>
      </c>
      <c r="V570" s="32"/>
      <c r="W570" s="3" t="str">
        <f t="shared" si="121"/>
        <v>A</v>
      </c>
      <c r="X570" s="48">
        <v>75264</v>
      </c>
      <c r="Y570" s="48">
        <v>14339</v>
      </c>
      <c r="Z570" s="32"/>
      <c r="AA570" s="3" t="str">
        <f t="shared" si="122"/>
        <v>A</v>
      </c>
      <c r="AB570" s="48">
        <v>88550</v>
      </c>
      <c r="AC570" s="48">
        <v>15736</v>
      </c>
      <c r="AD570" s="36"/>
      <c r="AE570" s="54"/>
      <c r="AF570" s="3" t="str">
        <f t="shared" si="123"/>
        <v>A</v>
      </c>
      <c r="AG570" s="48">
        <v>0</v>
      </c>
      <c r="AH570" s="48">
        <v>0</v>
      </c>
      <c r="AI570" s="39"/>
      <c r="AJ570" s="79" t="s">
        <v>1801</v>
      </c>
      <c r="AK570" s="39"/>
      <c r="AL570" s="4">
        <f t="shared" si="129"/>
        <v>344700</v>
      </c>
      <c r="AM570" s="4">
        <f t="shared" si="129"/>
        <v>64231</v>
      </c>
      <c r="AN570" s="4">
        <f t="shared" si="124"/>
        <v>408931</v>
      </c>
      <c r="AO570" s="39"/>
      <c r="AP570" s="8">
        <f t="shared" si="130"/>
        <v>0</v>
      </c>
      <c r="AQ570" s="8">
        <f t="shared" si="130"/>
        <v>0</v>
      </c>
      <c r="AR570" s="8">
        <f t="shared" si="125"/>
        <v>0</v>
      </c>
      <c r="AS570" s="42"/>
      <c r="AT570" s="48">
        <v>344700</v>
      </c>
      <c r="AU570" s="48">
        <v>64231</v>
      </c>
      <c r="AV570" s="4">
        <f t="shared" si="126"/>
        <v>408931</v>
      </c>
      <c r="AW570" s="50" t="str">
        <f t="shared" si="127"/>
        <v/>
      </c>
      <c r="AX570" s="1" t="s">
        <v>1639</v>
      </c>
      <c r="AY570" s="2" t="s">
        <v>1640</v>
      </c>
      <c r="AZ570" s="2">
        <v>181629.28</v>
      </c>
      <c r="BA570" s="73">
        <v>158925.62</v>
      </c>
      <c r="BB570" s="73">
        <v>158925.62</v>
      </c>
      <c r="BC570" s="73">
        <v>181629.28</v>
      </c>
      <c r="BD570" s="73"/>
      <c r="BE570" s="66">
        <v>0</v>
      </c>
      <c r="BF570" s="66">
        <v>0.02</v>
      </c>
      <c r="BG570" s="63">
        <v>45230</v>
      </c>
      <c r="BH570" s="2"/>
      <c r="BI570" s="2"/>
      <c r="BJ570" s="2">
        <v>666362.57999999996</v>
      </c>
      <c r="BK570" s="2">
        <v>74040.289999999994</v>
      </c>
      <c r="BL570" s="1" t="s">
        <v>56</v>
      </c>
    </row>
    <row r="571" spans="1:64" x14ac:dyDescent="0.25">
      <c r="A571" s="56" t="s">
        <v>1304</v>
      </c>
      <c r="B571" s="54" t="s">
        <v>1304</v>
      </c>
      <c r="C571" s="56" t="s">
        <v>1305</v>
      </c>
      <c r="D571" s="16">
        <v>0</v>
      </c>
      <c r="E571" s="17"/>
      <c r="F571" s="2" t="s">
        <v>803</v>
      </c>
      <c r="G571" s="2" t="s">
        <v>804</v>
      </c>
      <c r="H571" s="10" t="s">
        <v>105</v>
      </c>
      <c r="I571" s="11" t="s">
        <v>53</v>
      </c>
      <c r="J571" s="11" t="s">
        <v>258</v>
      </c>
      <c r="K571" s="61"/>
      <c r="L571" s="11" t="s">
        <v>67</v>
      </c>
      <c r="M571" s="25"/>
      <c r="N571" s="54"/>
      <c r="O571" s="3" t="str">
        <f t="shared" si="134"/>
        <v>A</v>
      </c>
      <c r="P571" s="48">
        <v>248802</v>
      </c>
      <c r="Q571" s="48">
        <v>24511</v>
      </c>
      <c r="R571" s="32"/>
      <c r="S571" s="3" t="str">
        <f t="shared" si="133"/>
        <v>A</v>
      </c>
      <c r="T571" s="48">
        <v>213962</v>
      </c>
      <c r="U571" s="48">
        <v>34225</v>
      </c>
      <c r="V571" s="32"/>
      <c r="W571" s="3" t="str">
        <f t="shared" si="121"/>
        <v>A</v>
      </c>
      <c r="X571" s="48">
        <v>200716</v>
      </c>
      <c r="Y571" s="48">
        <v>26280</v>
      </c>
      <c r="Z571" s="32"/>
      <c r="AA571" s="3" t="str">
        <f t="shared" si="122"/>
        <v>A</v>
      </c>
      <c r="AB571" s="48">
        <v>224330</v>
      </c>
      <c r="AC571" s="48">
        <v>20543</v>
      </c>
      <c r="AD571" s="36"/>
      <c r="AE571" s="54"/>
      <c r="AF571" s="3" t="str">
        <f t="shared" si="123"/>
        <v>A</v>
      </c>
      <c r="AG571" s="48">
        <v>0</v>
      </c>
      <c r="AH571" s="48">
        <v>0</v>
      </c>
      <c r="AI571" s="39"/>
      <c r="AJ571" s="79" t="s">
        <v>1801</v>
      </c>
      <c r="AK571" s="39"/>
      <c r="AL571" s="4">
        <f t="shared" si="129"/>
        <v>887810</v>
      </c>
      <c r="AM571" s="4">
        <f t="shared" si="129"/>
        <v>105559</v>
      </c>
      <c r="AN571" s="4">
        <f t="shared" si="124"/>
        <v>993369</v>
      </c>
      <c r="AO571" s="39"/>
      <c r="AP571" s="8">
        <f t="shared" si="130"/>
        <v>0</v>
      </c>
      <c r="AQ571" s="8">
        <f t="shared" si="130"/>
        <v>0</v>
      </c>
      <c r="AR571" s="8">
        <f t="shared" si="125"/>
        <v>0</v>
      </c>
      <c r="AS571" s="42"/>
      <c r="AT571" s="48">
        <v>887810</v>
      </c>
      <c r="AU571" s="48">
        <v>105559</v>
      </c>
      <c r="AV571" s="4">
        <f t="shared" si="126"/>
        <v>993369</v>
      </c>
      <c r="AW571" s="50" t="str">
        <f t="shared" si="127"/>
        <v/>
      </c>
      <c r="AX571" s="1" t="s">
        <v>1730</v>
      </c>
      <c r="AY571" s="2" t="s">
        <v>1731</v>
      </c>
      <c r="AZ571" s="2">
        <v>172387.92</v>
      </c>
      <c r="BA571" s="73">
        <v>150839.43</v>
      </c>
      <c r="BB571" s="73">
        <v>150839.43</v>
      </c>
      <c r="BC571" s="73">
        <v>172387.92</v>
      </c>
      <c r="BD571" s="73"/>
      <c r="BE571" s="66">
        <v>0</v>
      </c>
      <c r="BF571" s="66">
        <v>0.05</v>
      </c>
      <c r="BG571" s="63">
        <v>45107</v>
      </c>
      <c r="BH571" s="2"/>
      <c r="BI571" s="2"/>
      <c r="BJ571" s="2">
        <v>635040</v>
      </c>
      <c r="BK571" s="2">
        <v>33339.89</v>
      </c>
      <c r="BL571" s="1" t="s">
        <v>104</v>
      </c>
    </row>
    <row r="572" spans="1:64" x14ac:dyDescent="0.25">
      <c r="A572" s="56" t="s">
        <v>1308</v>
      </c>
      <c r="B572" s="54" t="s">
        <v>1308</v>
      </c>
      <c r="C572" s="56" t="s">
        <v>1309</v>
      </c>
      <c r="D572" s="16">
        <v>45125</v>
      </c>
      <c r="E572" s="17"/>
      <c r="F572" s="2" t="s">
        <v>309</v>
      </c>
      <c r="G572" s="2" t="s">
        <v>310</v>
      </c>
      <c r="H572" s="10" t="s">
        <v>105</v>
      </c>
      <c r="I572" s="11" t="s">
        <v>53</v>
      </c>
      <c r="J572" s="11" t="s">
        <v>312</v>
      </c>
      <c r="K572" s="61"/>
      <c r="L572" s="11" t="s">
        <v>67</v>
      </c>
      <c r="M572" s="25"/>
      <c r="N572" s="54"/>
      <c r="O572" s="3" t="str">
        <f t="shared" si="134"/>
        <v>A</v>
      </c>
      <c r="P572" s="48">
        <v>104756</v>
      </c>
      <c r="Q572" s="48">
        <v>6635</v>
      </c>
      <c r="R572" s="32"/>
      <c r="S572" s="3" t="str">
        <f t="shared" si="133"/>
        <v>A</v>
      </c>
      <c r="T572" s="48">
        <v>83519</v>
      </c>
      <c r="U572" s="48">
        <v>12945</v>
      </c>
      <c r="V572" s="32"/>
      <c r="W572" s="3" t="str">
        <f t="shared" si="121"/>
        <v>A</v>
      </c>
      <c r="X572" s="48">
        <v>86238</v>
      </c>
      <c r="Y572" s="48">
        <v>10275</v>
      </c>
      <c r="Z572" s="32"/>
      <c r="AA572" s="3" t="str">
        <f t="shared" si="122"/>
        <v>A</v>
      </c>
      <c r="AB572" s="48">
        <v>102965</v>
      </c>
      <c r="AC572" s="48">
        <v>11000</v>
      </c>
      <c r="AD572" s="36"/>
      <c r="AE572" s="54"/>
      <c r="AF572" s="3" t="str">
        <f t="shared" si="123"/>
        <v>A</v>
      </c>
      <c r="AG572" s="48">
        <v>0</v>
      </c>
      <c r="AH572" s="48">
        <v>0</v>
      </c>
      <c r="AI572" s="39"/>
      <c r="AJ572" s="79" t="s">
        <v>1801</v>
      </c>
      <c r="AK572" s="39"/>
      <c r="AL572" s="4">
        <f t="shared" si="129"/>
        <v>377478</v>
      </c>
      <c r="AM572" s="4">
        <f t="shared" si="129"/>
        <v>40855</v>
      </c>
      <c r="AN572" s="4">
        <f t="shared" si="124"/>
        <v>418333</v>
      </c>
      <c r="AO572" s="39"/>
      <c r="AP572" s="8">
        <f t="shared" si="130"/>
        <v>0</v>
      </c>
      <c r="AQ572" s="8">
        <f t="shared" si="130"/>
        <v>0</v>
      </c>
      <c r="AR572" s="8">
        <f t="shared" si="125"/>
        <v>0</v>
      </c>
      <c r="AS572" s="42"/>
      <c r="AT572" s="48">
        <v>377478</v>
      </c>
      <c r="AU572" s="48">
        <v>40855</v>
      </c>
      <c r="AV572" s="4">
        <f t="shared" si="126"/>
        <v>418333</v>
      </c>
      <c r="AW572" s="50" t="str">
        <f t="shared" si="127"/>
        <v/>
      </c>
      <c r="AX572" s="1" t="s">
        <v>1678</v>
      </c>
      <c r="AY572" s="2" t="s">
        <v>1679</v>
      </c>
      <c r="AZ572" s="2">
        <v>109735.28</v>
      </c>
      <c r="BA572" s="73">
        <v>96018.37</v>
      </c>
      <c r="BB572" s="73">
        <v>96018.37</v>
      </c>
      <c r="BC572" s="73">
        <v>109735.28</v>
      </c>
      <c r="BD572" s="73"/>
      <c r="BE572" s="66">
        <v>0</v>
      </c>
      <c r="BF572" s="66">
        <v>0.05</v>
      </c>
      <c r="BG572" s="63">
        <v>45122</v>
      </c>
      <c r="BH572" s="2"/>
      <c r="BI572" s="2"/>
      <c r="BJ572" s="2">
        <v>402304.5</v>
      </c>
      <c r="BK572" s="2">
        <v>21120.99</v>
      </c>
      <c r="BL572" s="1" t="s">
        <v>104</v>
      </c>
    </row>
    <row r="573" spans="1:64" x14ac:dyDescent="0.25">
      <c r="A573" s="56" t="s">
        <v>722</v>
      </c>
      <c r="B573" s="54" t="s">
        <v>723</v>
      </c>
      <c r="C573" s="56" t="s">
        <v>724</v>
      </c>
      <c r="D573" s="16">
        <v>42095</v>
      </c>
      <c r="E573" s="17"/>
      <c r="F573" s="2" t="s">
        <v>305</v>
      </c>
      <c r="G573" s="2" t="s">
        <v>306</v>
      </c>
      <c r="H573" s="10" t="s">
        <v>98</v>
      </c>
      <c r="I573" s="11" t="s">
        <v>53</v>
      </c>
      <c r="J573" s="11" t="s">
        <v>296</v>
      </c>
      <c r="K573" s="61"/>
      <c r="L573" s="11" t="s">
        <v>67</v>
      </c>
      <c r="M573" s="25"/>
      <c r="N573" s="54"/>
      <c r="O573" s="3" t="str">
        <f>IF($A573="","",IF(P573=0,"A",IF(P573=AZ573,"E","A")))</f>
        <v>A</v>
      </c>
      <c r="P573" s="48">
        <v>154913</v>
      </c>
      <c r="Q573" s="48">
        <v>10065</v>
      </c>
      <c r="R573" s="32"/>
      <c r="S573" s="3" t="str">
        <f t="shared" si="133"/>
        <v>E</v>
      </c>
      <c r="T573" s="48">
        <v>90436.43</v>
      </c>
      <c r="U573" s="48">
        <v>6180.51</v>
      </c>
      <c r="V573" s="32"/>
      <c r="W573" s="3" t="str">
        <f t="shared" si="121"/>
        <v>A</v>
      </c>
      <c r="X573" s="48">
        <v>138765</v>
      </c>
      <c r="Y573" s="48">
        <v>8739</v>
      </c>
      <c r="Z573" s="32"/>
      <c r="AA573" s="3" t="str">
        <f t="shared" si="122"/>
        <v>A</v>
      </c>
      <c r="AB573" s="48">
        <v>152955</v>
      </c>
      <c r="AC573" s="48">
        <v>7575</v>
      </c>
      <c r="AD573" s="36"/>
      <c r="AE573" s="54"/>
      <c r="AF573" s="3" t="str">
        <f t="shared" si="123"/>
        <v>A</v>
      </c>
      <c r="AG573" s="48">
        <v>0</v>
      </c>
      <c r="AH573" s="48">
        <v>0</v>
      </c>
      <c r="AI573" s="39"/>
      <c r="AJ573" s="79" t="s">
        <v>38</v>
      </c>
      <c r="AK573" s="39"/>
      <c r="AL573" s="4">
        <f t="shared" si="129"/>
        <v>446633</v>
      </c>
      <c r="AM573" s="4">
        <f t="shared" si="129"/>
        <v>26379</v>
      </c>
      <c r="AN573" s="4">
        <f t="shared" si="124"/>
        <v>473012</v>
      </c>
      <c r="AO573" s="39"/>
      <c r="AP573" s="8">
        <f t="shared" si="130"/>
        <v>90436.43</v>
      </c>
      <c r="AQ573" s="8">
        <f t="shared" si="130"/>
        <v>6180.51</v>
      </c>
      <c r="AR573" s="8">
        <f t="shared" si="125"/>
        <v>96616.939999999988</v>
      </c>
      <c r="AS573" s="42"/>
      <c r="AT573" s="48">
        <v>446633</v>
      </c>
      <c r="AU573" s="48">
        <v>26379</v>
      </c>
      <c r="AV573" s="4">
        <f t="shared" si="126"/>
        <v>473012</v>
      </c>
      <c r="AW573" s="50" t="str">
        <f t="shared" si="127"/>
        <v/>
      </c>
      <c r="AX573" s="1" t="s">
        <v>1676</v>
      </c>
      <c r="AY573" s="2" t="s">
        <v>1677</v>
      </c>
      <c r="AZ573" s="2">
        <v>103355.92</v>
      </c>
      <c r="BA573" s="73">
        <v>90436.43</v>
      </c>
      <c r="BB573" s="73">
        <v>90436.43</v>
      </c>
      <c r="BC573" s="73">
        <v>103355.92</v>
      </c>
      <c r="BD573" s="73"/>
      <c r="BE573" s="66">
        <v>3.5000000000000003E-2</v>
      </c>
      <c r="BF573" s="66">
        <v>0.05</v>
      </c>
      <c r="BG573" s="63">
        <v>45664</v>
      </c>
      <c r="BH573" s="2"/>
      <c r="BI573" s="2"/>
      <c r="BJ573" s="2"/>
      <c r="BK573" s="2"/>
      <c r="BL573" s="1" t="s">
        <v>237</v>
      </c>
    </row>
    <row r="574" spans="1:64" x14ac:dyDescent="0.25">
      <c r="A574" s="56" t="s">
        <v>722</v>
      </c>
      <c r="B574" s="54" t="s">
        <v>725</v>
      </c>
      <c r="C574" s="56" t="s">
        <v>726</v>
      </c>
      <c r="D574" s="16">
        <v>39778</v>
      </c>
      <c r="E574" s="17"/>
      <c r="F574" s="2" t="s">
        <v>305</v>
      </c>
      <c r="G574" s="2" t="s">
        <v>306</v>
      </c>
      <c r="H574" s="10" t="s">
        <v>98</v>
      </c>
      <c r="I574" s="11" t="s">
        <v>53</v>
      </c>
      <c r="J574" s="11" t="s">
        <v>296</v>
      </c>
      <c r="K574" s="61"/>
      <c r="L574" s="11" t="s">
        <v>67</v>
      </c>
      <c r="M574" s="25"/>
      <c r="N574" s="54"/>
      <c r="O574" s="3" t="str">
        <f>IF($A574="","",IF(P574=0,"A",IF(P574=AZ574,"E","A")))</f>
        <v>A</v>
      </c>
      <c r="P574" s="48">
        <v>245369</v>
      </c>
      <c r="Q574" s="48">
        <v>11375</v>
      </c>
      <c r="R574" s="32"/>
      <c r="S574" s="3" t="str">
        <f t="shared" si="133"/>
        <v>E</v>
      </c>
      <c r="T574" s="48">
        <v>125357.96</v>
      </c>
      <c r="U574" s="48">
        <v>5171.25</v>
      </c>
      <c r="V574" s="32"/>
      <c r="W574" s="3" t="str">
        <f t="shared" si="121"/>
        <v>A</v>
      </c>
      <c r="X574" s="48">
        <v>219505</v>
      </c>
      <c r="Y574" s="48">
        <v>10155</v>
      </c>
      <c r="Z574" s="32"/>
      <c r="AA574" s="3" t="str">
        <f t="shared" si="122"/>
        <v>A</v>
      </c>
      <c r="AB574" s="48">
        <v>260898</v>
      </c>
      <c r="AC574" s="48">
        <v>10080</v>
      </c>
      <c r="AD574" s="36"/>
      <c r="AE574" s="54"/>
      <c r="AF574" s="3" t="str">
        <f t="shared" si="123"/>
        <v>A</v>
      </c>
      <c r="AG574" s="48">
        <v>0</v>
      </c>
      <c r="AH574" s="48">
        <v>0</v>
      </c>
      <c r="AI574" s="39"/>
      <c r="AJ574" s="79" t="s">
        <v>38</v>
      </c>
      <c r="AK574" s="39"/>
      <c r="AL574" s="4">
        <f t="shared" si="129"/>
        <v>725772</v>
      </c>
      <c r="AM574" s="4">
        <f t="shared" si="129"/>
        <v>31610</v>
      </c>
      <c r="AN574" s="4">
        <f t="shared" si="124"/>
        <v>757382</v>
      </c>
      <c r="AO574" s="39"/>
      <c r="AP574" s="8">
        <f t="shared" si="130"/>
        <v>125357.96</v>
      </c>
      <c r="AQ574" s="8">
        <f t="shared" si="130"/>
        <v>5171.25</v>
      </c>
      <c r="AR574" s="8">
        <f t="shared" si="125"/>
        <v>130529.21</v>
      </c>
      <c r="AS574" s="42"/>
      <c r="AT574" s="48">
        <v>725772</v>
      </c>
      <c r="AU574" s="48">
        <v>31610</v>
      </c>
      <c r="AV574" s="4">
        <f t="shared" si="126"/>
        <v>757382</v>
      </c>
      <c r="AW574" s="50" t="str">
        <f t="shared" si="127"/>
        <v/>
      </c>
      <c r="AX574" s="1" t="s">
        <v>1676</v>
      </c>
      <c r="AY574" s="2" t="s">
        <v>1677</v>
      </c>
      <c r="AZ574" s="2">
        <v>143266.23999999999</v>
      </c>
      <c r="BA574" s="73">
        <v>125357.96</v>
      </c>
      <c r="BB574" s="73">
        <v>125357.96</v>
      </c>
      <c r="BC574" s="73">
        <v>143266.23999999999</v>
      </c>
      <c r="BD574" s="73"/>
      <c r="BE574" s="66">
        <v>3.5000000000000003E-2</v>
      </c>
      <c r="BF574" s="66">
        <v>0.05</v>
      </c>
      <c r="BG574" s="63">
        <v>45664</v>
      </c>
      <c r="BH574" s="2"/>
      <c r="BI574" s="2"/>
      <c r="BJ574" s="2"/>
      <c r="BK574" s="2"/>
      <c r="BL574" s="1" t="s">
        <v>237</v>
      </c>
    </row>
    <row r="575" spans="1:64" x14ac:dyDescent="0.25">
      <c r="A575" s="56" t="s">
        <v>722</v>
      </c>
      <c r="B575" s="54" t="s">
        <v>722</v>
      </c>
      <c r="C575" s="56" t="s">
        <v>1312</v>
      </c>
      <c r="D575" s="16">
        <v>45186</v>
      </c>
      <c r="E575" s="17"/>
      <c r="F575" s="2" t="s">
        <v>305</v>
      </c>
      <c r="G575" s="2" t="s">
        <v>306</v>
      </c>
      <c r="H575" s="10" t="s">
        <v>98</v>
      </c>
      <c r="I575" s="11" t="s">
        <v>53</v>
      </c>
      <c r="J575" s="11" t="s">
        <v>296</v>
      </c>
      <c r="K575" s="61"/>
      <c r="L575" s="11" t="s">
        <v>67</v>
      </c>
      <c r="M575" s="25"/>
      <c r="N575" s="54"/>
      <c r="O575" s="3" t="str">
        <f t="shared" ref="O575:O608" si="135">IF($A575="","",IF(P575=AZ575,"E","A"))</f>
        <v>A</v>
      </c>
      <c r="P575" s="48">
        <v>65274</v>
      </c>
      <c r="Q575" s="48">
        <v>2675</v>
      </c>
      <c r="R575" s="32"/>
      <c r="S575" s="3" t="str">
        <f t="shared" si="133"/>
        <v>E</v>
      </c>
      <c r="T575" s="48">
        <v>63626.92</v>
      </c>
      <c r="U575" s="48">
        <v>3174.85</v>
      </c>
      <c r="V575" s="32"/>
      <c r="W575" s="3" t="str">
        <f t="shared" si="121"/>
        <v>A</v>
      </c>
      <c r="X575" s="48">
        <v>52764</v>
      </c>
      <c r="Y575" s="48">
        <v>2090</v>
      </c>
      <c r="Z575" s="32"/>
      <c r="AA575" s="3" t="str">
        <f t="shared" si="122"/>
        <v>A</v>
      </c>
      <c r="AB575" s="48">
        <v>57224</v>
      </c>
      <c r="AC575" s="48">
        <v>1760</v>
      </c>
      <c r="AD575" s="36"/>
      <c r="AE575" s="54"/>
      <c r="AF575" s="3" t="str">
        <f t="shared" si="123"/>
        <v>A</v>
      </c>
      <c r="AG575" s="48">
        <v>0</v>
      </c>
      <c r="AH575" s="48">
        <v>0</v>
      </c>
      <c r="AI575" s="39"/>
      <c r="AJ575" s="79" t="s">
        <v>38</v>
      </c>
      <c r="AK575" s="39"/>
      <c r="AL575" s="4">
        <f t="shared" si="129"/>
        <v>175262</v>
      </c>
      <c r="AM575" s="4">
        <f t="shared" si="129"/>
        <v>6525</v>
      </c>
      <c r="AN575" s="4">
        <f t="shared" si="124"/>
        <v>181787</v>
      </c>
      <c r="AO575" s="39"/>
      <c r="AP575" s="8">
        <f t="shared" si="130"/>
        <v>63626.92</v>
      </c>
      <c r="AQ575" s="8">
        <f t="shared" si="130"/>
        <v>3174.85</v>
      </c>
      <c r="AR575" s="8">
        <f t="shared" si="125"/>
        <v>66801.77</v>
      </c>
      <c r="AS575" s="42"/>
      <c r="AT575" s="48">
        <v>175262</v>
      </c>
      <c r="AU575" s="48">
        <v>6525</v>
      </c>
      <c r="AV575" s="4">
        <f t="shared" si="126"/>
        <v>181787</v>
      </c>
      <c r="AW575" s="50" t="str">
        <f t="shared" si="127"/>
        <v/>
      </c>
      <c r="AX575" s="1" t="s">
        <v>1676</v>
      </c>
      <c r="AY575" s="2" t="s">
        <v>1677</v>
      </c>
      <c r="AZ575" s="2">
        <v>72716.479999999996</v>
      </c>
      <c r="BA575" s="73">
        <v>63626.92</v>
      </c>
      <c r="BB575" s="73">
        <v>63626.92</v>
      </c>
      <c r="BC575" s="73">
        <v>72716.479999999996</v>
      </c>
      <c r="BD575" s="73"/>
      <c r="BE575" s="66">
        <v>0</v>
      </c>
      <c r="BF575" s="66">
        <v>0.05</v>
      </c>
      <c r="BG575" s="63">
        <v>45160</v>
      </c>
      <c r="BH575" s="2"/>
      <c r="BI575" s="2"/>
      <c r="BJ575" s="2">
        <v>262615.5</v>
      </c>
      <c r="BK575" s="2">
        <v>13787.31</v>
      </c>
      <c r="BL575" s="1" t="s">
        <v>237</v>
      </c>
    </row>
    <row r="576" spans="1:64" x14ac:dyDescent="0.25">
      <c r="A576" s="56" t="s">
        <v>722</v>
      </c>
      <c r="B576" s="54" t="s">
        <v>1519</v>
      </c>
      <c r="C576" s="56" t="s">
        <v>1520</v>
      </c>
      <c r="D576" s="16">
        <v>0</v>
      </c>
      <c r="E576" s="17"/>
      <c r="F576" s="2" t="s">
        <v>305</v>
      </c>
      <c r="G576" s="2" t="s">
        <v>306</v>
      </c>
      <c r="H576" s="10" t="s">
        <v>98</v>
      </c>
      <c r="I576" s="11" t="s">
        <v>53</v>
      </c>
      <c r="J576" s="11" t="s">
        <v>296</v>
      </c>
      <c r="K576" s="61"/>
      <c r="L576" s="11" t="s">
        <v>67</v>
      </c>
      <c r="M576" s="25"/>
      <c r="N576" s="54"/>
      <c r="O576" s="3" t="str">
        <f t="shared" si="135"/>
        <v>A</v>
      </c>
      <c r="P576" s="48">
        <v>129650</v>
      </c>
      <c r="Q576" s="48">
        <v>2485</v>
      </c>
      <c r="R576" s="32"/>
      <c r="S576" s="3" t="str">
        <f>IF($A576="","",IF(T576=BA576,"E","A"))</f>
        <v>E</v>
      </c>
      <c r="T576" s="48">
        <v>43227.31</v>
      </c>
      <c r="U576" s="48">
        <v>2319.73</v>
      </c>
      <c r="V576" s="32"/>
      <c r="W576" s="3" t="str">
        <f t="shared" si="121"/>
        <v>A</v>
      </c>
      <c r="X576" s="48">
        <v>106140</v>
      </c>
      <c r="Y576" s="48">
        <v>1760</v>
      </c>
      <c r="Z576" s="32"/>
      <c r="AA576" s="3" t="str">
        <f t="shared" si="122"/>
        <v>A</v>
      </c>
      <c r="AB576" s="48">
        <v>128398</v>
      </c>
      <c r="AC576" s="48">
        <v>2205</v>
      </c>
      <c r="AD576" s="36"/>
      <c r="AE576" s="54"/>
      <c r="AF576" s="3" t="str">
        <f t="shared" si="123"/>
        <v>A</v>
      </c>
      <c r="AG576" s="48">
        <v>0</v>
      </c>
      <c r="AH576" s="48">
        <v>0</v>
      </c>
      <c r="AI576" s="39"/>
      <c r="AJ576" s="79" t="s">
        <v>38</v>
      </c>
      <c r="AK576" s="39"/>
      <c r="AL576" s="4">
        <f t="shared" si="129"/>
        <v>364188</v>
      </c>
      <c r="AM576" s="4">
        <f t="shared" si="129"/>
        <v>6450</v>
      </c>
      <c r="AN576" s="4">
        <f t="shared" si="124"/>
        <v>370638</v>
      </c>
      <c r="AO576" s="39"/>
      <c r="AP576" s="8">
        <f t="shared" si="130"/>
        <v>43227.31</v>
      </c>
      <c r="AQ576" s="8">
        <f t="shared" si="130"/>
        <v>2319.73</v>
      </c>
      <c r="AR576" s="8">
        <f t="shared" si="125"/>
        <v>45547.040000000001</v>
      </c>
      <c r="AS576" s="42"/>
      <c r="AT576" s="48">
        <v>364188</v>
      </c>
      <c r="AU576" s="48">
        <v>6450</v>
      </c>
      <c r="AV576" s="4">
        <f t="shared" si="126"/>
        <v>370638</v>
      </c>
      <c r="AW576" s="50" t="str">
        <f t="shared" si="127"/>
        <v/>
      </c>
      <c r="AX576" s="1" t="s">
        <v>1676</v>
      </c>
      <c r="AY576" s="2" t="s">
        <v>1677</v>
      </c>
      <c r="AZ576" s="2">
        <v>49402.64</v>
      </c>
      <c r="BA576" s="73">
        <v>43227.31</v>
      </c>
      <c r="BB576" s="73">
        <v>43227.31</v>
      </c>
      <c r="BC576" s="73">
        <v>49402.64</v>
      </c>
      <c r="BD576" s="73"/>
      <c r="BE576" s="66">
        <v>0</v>
      </c>
      <c r="BF576" s="66">
        <v>0.05</v>
      </c>
      <c r="BG576" s="63">
        <v>44306</v>
      </c>
      <c r="BH576" s="2"/>
      <c r="BI576" s="2"/>
      <c r="BJ576" s="2">
        <v>182820</v>
      </c>
      <c r="BK576" s="2">
        <v>9598.0499999999993</v>
      </c>
      <c r="BL576" s="1" t="s">
        <v>237</v>
      </c>
    </row>
    <row r="577" spans="1:64" x14ac:dyDescent="0.25">
      <c r="A577" s="56" t="s">
        <v>1318</v>
      </c>
      <c r="B577" s="54" t="s">
        <v>1318</v>
      </c>
      <c r="C577" s="56" t="s">
        <v>1319</v>
      </c>
      <c r="D577" s="16">
        <v>45163</v>
      </c>
      <c r="E577" s="17"/>
      <c r="F577" s="2" t="s">
        <v>52</v>
      </c>
      <c r="G577" s="2" t="s">
        <v>55</v>
      </c>
      <c r="H577" s="10" t="s">
        <v>57</v>
      </c>
      <c r="I577" s="11" t="s">
        <v>54</v>
      </c>
      <c r="J577" s="11" t="s">
        <v>83</v>
      </c>
      <c r="K577" s="61" t="s">
        <v>84</v>
      </c>
      <c r="L577" s="11" t="s">
        <v>67</v>
      </c>
      <c r="M577" s="25"/>
      <c r="N577" s="54"/>
      <c r="O577" s="3" t="str">
        <f t="shared" si="135"/>
        <v>A</v>
      </c>
      <c r="P577" s="48">
        <v>153450.25</v>
      </c>
      <c r="Q577" s="48">
        <v>34922</v>
      </c>
      <c r="R577" s="32"/>
      <c r="S577" s="3" t="str">
        <f t="shared" ref="S577:S583" si="136">IF($A577="","",IF(T577=0,"A",IF(T577=BA577,"E","A")))</f>
        <v>A</v>
      </c>
      <c r="T577" s="48">
        <v>134464</v>
      </c>
      <c r="U577" s="48">
        <v>31184</v>
      </c>
      <c r="V577" s="32"/>
      <c r="W577" s="3" t="str">
        <f t="shared" si="121"/>
        <v>A</v>
      </c>
      <c r="X577" s="48">
        <v>120076</v>
      </c>
      <c r="Y577" s="48">
        <v>29407</v>
      </c>
      <c r="Z577" s="32"/>
      <c r="AA577" s="3" t="str">
        <f t="shared" si="122"/>
        <v>A</v>
      </c>
      <c r="AB577" s="48">
        <v>145077</v>
      </c>
      <c r="AC577" s="48">
        <v>31361</v>
      </c>
      <c r="AD577" s="36"/>
      <c r="AE577" s="54"/>
      <c r="AF577" s="3" t="str">
        <f t="shared" si="123"/>
        <v>A</v>
      </c>
      <c r="AG577" s="48">
        <v>0</v>
      </c>
      <c r="AH577" s="48">
        <v>0</v>
      </c>
      <c r="AI577" s="39"/>
      <c r="AJ577" s="79" t="s">
        <v>1801</v>
      </c>
      <c r="AK577" s="39"/>
      <c r="AL577" s="4">
        <f t="shared" si="129"/>
        <v>553067.25</v>
      </c>
      <c r="AM577" s="4">
        <f t="shared" si="129"/>
        <v>126874</v>
      </c>
      <c r="AN577" s="4">
        <f t="shared" si="124"/>
        <v>679941.25</v>
      </c>
      <c r="AO577" s="39"/>
      <c r="AP577" s="8">
        <f t="shared" si="130"/>
        <v>0</v>
      </c>
      <c r="AQ577" s="8">
        <f t="shared" si="130"/>
        <v>0</v>
      </c>
      <c r="AR577" s="8">
        <f t="shared" si="125"/>
        <v>0</v>
      </c>
      <c r="AS577" s="42"/>
      <c r="AT577" s="48">
        <v>553067.25</v>
      </c>
      <c r="AU577" s="48">
        <v>126874</v>
      </c>
      <c r="AV577" s="4">
        <f t="shared" si="126"/>
        <v>679941.25</v>
      </c>
      <c r="AW577" s="50" t="str">
        <f t="shared" si="127"/>
        <v/>
      </c>
      <c r="AX577" s="1" t="s">
        <v>1639</v>
      </c>
      <c r="AY577" s="2" t="s">
        <v>1640</v>
      </c>
      <c r="AZ577" s="2">
        <v>127186.4</v>
      </c>
      <c r="BA577" s="73">
        <v>111288.1</v>
      </c>
      <c r="BB577" s="73">
        <v>111288.1</v>
      </c>
      <c r="BC577" s="73">
        <v>127186.4</v>
      </c>
      <c r="BD577" s="73"/>
      <c r="BE577" s="66">
        <v>0</v>
      </c>
      <c r="BF577" s="66">
        <v>0.02</v>
      </c>
      <c r="BG577" s="63">
        <v>45163</v>
      </c>
      <c r="BH577" s="2"/>
      <c r="BI577" s="2"/>
      <c r="BJ577" s="2">
        <v>455994</v>
      </c>
      <c r="BK577" s="2">
        <v>23939.69</v>
      </c>
      <c r="BL577" s="1" t="s">
        <v>56</v>
      </c>
    </row>
    <row r="578" spans="1:64" x14ac:dyDescent="0.25">
      <c r="A578" s="56" t="s">
        <v>1320</v>
      </c>
      <c r="B578" s="54" t="s">
        <v>1320</v>
      </c>
      <c r="C578" s="56" t="s">
        <v>1321</v>
      </c>
      <c r="D578" s="16">
        <v>45163</v>
      </c>
      <c r="E578" s="17"/>
      <c r="F578" s="2" t="s">
        <v>52</v>
      </c>
      <c r="G578" s="2" t="s">
        <v>55</v>
      </c>
      <c r="H578" s="10" t="s">
        <v>57</v>
      </c>
      <c r="I578" s="11" t="s">
        <v>54</v>
      </c>
      <c r="J578" s="11" t="s">
        <v>636</v>
      </c>
      <c r="K578" s="61" t="s">
        <v>637</v>
      </c>
      <c r="L578" s="11" t="s">
        <v>67</v>
      </c>
      <c r="M578" s="25"/>
      <c r="N578" s="54"/>
      <c r="O578" s="3" t="str">
        <f t="shared" si="135"/>
        <v>A</v>
      </c>
      <c r="P578" s="48">
        <v>56246</v>
      </c>
      <c r="Q578" s="48">
        <v>14730</v>
      </c>
      <c r="R578" s="32"/>
      <c r="S578" s="3" t="str">
        <f t="shared" si="136"/>
        <v>A</v>
      </c>
      <c r="T578" s="48">
        <v>48077.25</v>
      </c>
      <c r="U578" s="48">
        <v>13735</v>
      </c>
      <c r="V578" s="32"/>
      <c r="W578" s="3" t="str">
        <f t="shared" si="121"/>
        <v>A</v>
      </c>
      <c r="X578" s="48">
        <v>46086</v>
      </c>
      <c r="Y578" s="48">
        <v>13205</v>
      </c>
      <c r="Z578" s="32"/>
      <c r="AA578" s="3" t="str">
        <f t="shared" si="122"/>
        <v>A</v>
      </c>
      <c r="AB578" s="48">
        <v>54111</v>
      </c>
      <c r="AC578" s="48">
        <v>17745</v>
      </c>
      <c r="AD578" s="36"/>
      <c r="AE578" s="54"/>
      <c r="AF578" s="3" t="str">
        <f t="shared" si="123"/>
        <v>A</v>
      </c>
      <c r="AG578" s="48">
        <v>0</v>
      </c>
      <c r="AH578" s="48">
        <v>0</v>
      </c>
      <c r="AI578" s="39"/>
      <c r="AJ578" s="79" t="s">
        <v>1801</v>
      </c>
      <c r="AK578" s="39"/>
      <c r="AL578" s="4">
        <f t="shared" si="129"/>
        <v>204520.25</v>
      </c>
      <c r="AM578" s="4">
        <f t="shared" si="129"/>
        <v>59415</v>
      </c>
      <c r="AN578" s="4">
        <f t="shared" si="124"/>
        <v>263935.25</v>
      </c>
      <c r="AO578" s="39"/>
      <c r="AP578" s="8">
        <f t="shared" si="130"/>
        <v>0</v>
      </c>
      <c r="AQ578" s="8">
        <f t="shared" si="130"/>
        <v>0</v>
      </c>
      <c r="AR578" s="8">
        <f t="shared" si="125"/>
        <v>0</v>
      </c>
      <c r="AS578" s="42"/>
      <c r="AT578" s="48">
        <v>204520.25</v>
      </c>
      <c r="AU578" s="48">
        <v>59415</v>
      </c>
      <c r="AV578" s="4">
        <f t="shared" si="126"/>
        <v>263935.25</v>
      </c>
      <c r="AW578" s="50" t="str">
        <f t="shared" si="127"/>
        <v/>
      </c>
      <c r="AX578" s="1" t="s">
        <v>1639</v>
      </c>
      <c r="AY578" s="2" t="s">
        <v>1640</v>
      </c>
      <c r="AZ578" s="2">
        <v>66150.080000000002</v>
      </c>
      <c r="BA578" s="73">
        <v>57881.32</v>
      </c>
      <c r="BB578" s="73">
        <v>57881.32</v>
      </c>
      <c r="BC578" s="73">
        <v>66150.080000000002</v>
      </c>
      <c r="BD578" s="73"/>
      <c r="BE578" s="66">
        <v>0</v>
      </c>
      <c r="BF578" s="66">
        <v>0.02</v>
      </c>
      <c r="BG578" s="63">
        <v>45163</v>
      </c>
      <c r="BH578" s="2"/>
      <c r="BI578" s="2"/>
      <c r="BJ578" s="2">
        <v>237165</v>
      </c>
      <c r="BK578" s="2">
        <v>12451.16</v>
      </c>
      <c r="BL578" s="1" t="s">
        <v>56</v>
      </c>
    </row>
    <row r="579" spans="1:64" x14ac:dyDescent="0.25">
      <c r="A579" s="56" t="s">
        <v>1324</v>
      </c>
      <c r="B579" s="54" t="s">
        <v>1324</v>
      </c>
      <c r="C579" s="56" t="s">
        <v>1325</v>
      </c>
      <c r="D579" s="16">
        <v>45350</v>
      </c>
      <c r="E579" s="17"/>
      <c r="F579" s="2" t="s">
        <v>109</v>
      </c>
      <c r="G579" s="2" t="s">
        <v>111</v>
      </c>
      <c r="H579" s="10" t="s">
        <v>57</v>
      </c>
      <c r="I579" s="11" t="s">
        <v>110</v>
      </c>
      <c r="J579" s="11" t="s">
        <v>460</v>
      </c>
      <c r="K579" s="61" t="s">
        <v>461</v>
      </c>
      <c r="L579" s="11" t="s">
        <v>67</v>
      </c>
      <c r="M579" s="25"/>
      <c r="N579" s="54"/>
      <c r="O579" s="3" t="str">
        <f t="shared" si="135"/>
        <v>A</v>
      </c>
      <c r="P579" s="48">
        <v>78183.400000000009</v>
      </c>
      <c r="Q579" s="48">
        <v>7897</v>
      </c>
      <c r="R579" s="32"/>
      <c r="S579" s="3" t="str">
        <f t="shared" si="136"/>
        <v>A</v>
      </c>
      <c r="T579" s="48">
        <v>69690.760000000009</v>
      </c>
      <c r="U579" s="48">
        <v>5945</v>
      </c>
      <c r="V579" s="32"/>
      <c r="W579" s="3" t="str">
        <f t="shared" si="121"/>
        <v>A</v>
      </c>
      <c r="X579" s="48">
        <v>102576.83000000002</v>
      </c>
      <c r="Y579" s="48">
        <v>7228.119999999999</v>
      </c>
      <c r="Z579" s="32"/>
      <c r="AA579" s="3" t="str">
        <f t="shared" si="122"/>
        <v>A</v>
      </c>
      <c r="AB579" s="48">
        <v>116230.54999999999</v>
      </c>
      <c r="AC579" s="48">
        <v>7369</v>
      </c>
      <c r="AD579" s="36"/>
      <c r="AE579" s="54"/>
      <c r="AF579" s="3" t="str">
        <f t="shared" si="123"/>
        <v>A</v>
      </c>
      <c r="AG579" s="48">
        <v>0</v>
      </c>
      <c r="AH579" s="48">
        <v>0</v>
      </c>
      <c r="AI579" s="39"/>
      <c r="AJ579" s="79" t="s">
        <v>1801</v>
      </c>
      <c r="AK579" s="39"/>
      <c r="AL579" s="4">
        <f t="shared" si="129"/>
        <v>366681.54000000004</v>
      </c>
      <c r="AM579" s="4">
        <f t="shared" si="129"/>
        <v>28439.119999999999</v>
      </c>
      <c r="AN579" s="4">
        <f t="shared" si="124"/>
        <v>395120.66000000003</v>
      </c>
      <c r="AO579" s="39"/>
      <c r="AP579" s="8">
        <f t="shared" si="130"/>
        <v>0</v>
      </c>
      <c r="AQ579" s="8">
        <f t="shared" si="130"/>
        <v>0</v>
      </c>
      <c r="AR579" s="8">
        <f t="shared" si="125"/>
        <v>0</v>
      </c>
      <c r="AS579" s="42"/>
      <c r="AT579" s="48">
        <v>366681.54</v>
      </c>
      <c r="AU579" s="48">
        <v>28439.120000000003</v>
      </c>
      <c r="AV579" s="4">
        <f t="shared" si="126"/>
        <v>395120.66</v>
      </c>
      <c r="AW579" s="50" t="str">
        <f t="shared" si="127"/>
        <v/>
      </c>
      <c r="AX579" s="1" t="s">
        <v>1647</v>
      </c>
      <c r="AY579" s="2" t="s">
        <v>1640</v>
      </c>
      <c r="AZ579" s="2">
        <v>228621.28</v>
      </c>
      <c r="BA579" s="73">
        <v>200043.62</v>
      </c>
      <c r="BB579" s="73">
        <v>200043.62</v>
      </c>
      <c r="BC579" s="73">
        <v>228621.28</v>
      </c>
      <c r="BD579" s="73"/>
      <c r="BE579" s="66">
        <v>0</v>
      </c>
      <c r="BF579" s="66">
        <v>0.02</v>
      </c>
      <c r="BG579" s="63">
        <v>45350</v>
      </c>
      <c r="BH579" s="2"/>
      <c r="BI579" s="2"/>
      <c r="BJ579" s="2">
        <v>826072.62</v>
      </c>
      <c r="BK579" s="2">
        <v>113794.35</v>
      </c>
      <c r="BL579" s="1" t="s">
        <v>56</v>
      </c>
    </row>
    <row r="580" spans="1:64" x14ac:dyDescent="0.25">
      <c r="A580" s="56" t="s">
        <v>1324</v>
      </c>
      <c r="B580" s="54" t="s">
        <v>1360</v>
      </c>
      <c r="C580" s="56" t="s">
        <v>1361</v>
      </c>
      <c r="D580" s="16">
        <v>0</v>
      </c>
      <c r="E580" s="17"/>
      <c r="F580" s="2" t="s">
        <v>109</v>
      </c>
      <c r="G580" s="2" t="s">
        <v>111</v>
      </c>
      <c r="H580" s="10" t="s">
        <v>57</v>
      </c>
      <c r="I580" s="11" t="s">
        <v>110</v>
      </c>
      <c r="J580" s="11" t="s">
        <v>460</v>
      </c>
      <c r="K580" s="61" t="s">
        <v>461</v>
      </c>
      <c r="L580" s="11" t="s">
        <v>67</v>
      </c>
      <c r="M580" s="25"/>
      <c r="N580" s="54"/>
      <c r="O580" s="3" t="str">
        <f t="shared" si="135"/>
        <v>A</v>
      </c>
      <c r="P580" s="48">
        <v>38205.899999999994</v>
      </c>
      <c r="Q580" s="48">
        <v>0</v>
      </c>
      <c r="R580" s="32"/>
      <c r="S580" s="3" t="str">
        <f t="shared" si="136"/>
        <v>A</v>
      </c>
      <c r="T580" s="48">
        <v>35379.300000000003</v>
      </c>
      <c r="U580" s="48"/>
      <c r="V580" s="32"/>
      <c r="W580" s="3" t="str">
        <f t="shared" si="121"/>
        <v>A</v>
      </c>
      <c r="X580" s="48">
        <v>31151.5</v>
      </c>
      <c r="Y580" s="48"/>
      <c r="Z580" s="32"/>
      <c r="AA580" s="3" t="str">
        <f t="shared" si="122"/>
        <v>A</v>
      </c>
      <c r="AB580" s="48">
        <v>32306.03</v>
      </c>
      <c r="AC580" s="48"/>
      <c r="AD580" s="36"/>
      <c r="AE580" s="54"/>
      <c r="AF580" s="3" t="str">
        <f t="shared" si="123"/>
        <v>A</v>
      </c>
      <c r="AG580" s="48">
        <v>0</v>
      </c>
      <c r="AH580" s="48">
        <v>0</v>
      </c>
      <c r="AI580" s="39"/>
      <c r="AJ580" s="79" t="s">
        <v>1801</v>
      </c>
      <c r="AK580" s="39"/>
      <c r="AL580" s="4">
        <f t="shared" si="129"/>
        <v>137042.72999999998</v>
      </c>
      <c r="AM580" s="4">
        <f t="shared" si="129"/>
        <v>0</v>
      </c>
      <c r="AN580" s="4">
        <f t="shared" si="124"/>
        <v>137042.72999999998</v>
      </c>
      <c r="AO580" s="39"/>
      <c r="AP580" s="8">
        <f t="shared" si="130"/>
        <v>0</v>
      </c>
      <c r="AQ580" s="8">
        <f t="shared" si="130"/>
        <v>0</v>
      </c>
      <c r="AR580" s="8">
        <f t="shared" si="125"/>
        <v>0</v>
      </c>
      <c r="AS580" s="42"/>
      <c r="AT580" s="48">
        <v>137042.73000000001</v>
      </c>
      <c r="AU580" s="48"/>
      <c r="AV580" s="4">
        <f t="shared" si="126"/>
        <v>137042.73000000001</v>
      </c>
      <c r="AW580" s="50" t="str">
        <f t="shared" si="127"/>
        <v/>
      </c>
      <c r="AX580" s="1" t="s">
        <v>1647</v>
      </c>
      <c r="AY580" s="2" t="s">
        <v>1640</v>
      </c>
      <c r="AZ580" s="2">
        <v>179659.36</v>
      </c>
      <c r="BA580" s="73">
        <v>157201.94</v>
      </c>
      <c r="BB580" s="73">
        <v>157201.94</v>
      </c>
      <c r="BC580" s="73">
        <v>179659.36</v>
      </c>
      <c r="BD580" s="73"/>
      <c r="BE580" s="66">
        <v>0</v>
      </c>
      <c r="BF580" s="66">
        <v>0.02</v>
      </c>
      <c r="BG580" s="63">
        <v>45389</v>
      </c>
      <c r="BH580" s="2"/>
      <c r="BI580" s="2"/>
      <c r="BJ580" s="2">
        <v>654301</v>
      </c>
      <c r="BK580" s="2">
        <v>44882.3</v>
      </c>
      <c r="BL580" s="1" t="s">
        <v>56</v>
      </c>
    </row>
    <row r="581" spans="1:64" x14ac:dyDescent="0.25">
      <c r="A581" s="56" t="s">
        <v>1326</v>
      </c>
      <c r="B581" s="54" t="s">
        <v>1326</v>
      </c>
      <c r="C581" s="56" t="s">
        <v>1327</v>
      </c>
      <c r="D581" s="16">
        <v>0</v>
      </c>
      <c r="E581" s="17"/>
      <c r="F581" s="2" t="s">
        <v>1164</v>
      </c>
      <c r="G581" s="2" t="s">
        <v>1165</v>
      </c>
      <c r="H581" s="10" t="s">
        <v>57</v>
      </c>
      <c r="I581" s="11" t="s">
        <v>53</v>
      </c>
      <c r="J581" s="11" t="s">
        <v>1166</v>
      </c>
      <c r="K581" s="61"/>
      <c r="L581" s="11" t="s">
        <v>67</v>
      </c>
      <c r="M581" s="25"/>
      <c r="N581" s="54"/>
      <c r="O581" s="3" t="str">
        <f t="shared" si="135"/>
        <v>A</v>
      </c>
      <c r="P581" s="48">
        <v>73839</v>
      </c>
      <c r="Q581" s="48">
        <v>8899</v>
      </c>
      <c r="R581" s="32"/>
      <c r="S581" s="3" t="str">
        <f t="shared" si="136"/>
        <v>A</v>
      </c>
      <c r="T581" s="48">
        <v>79281</v>
      </c>
      <c r="U581" s="48">
        <v>5219</v>
      </c>
      <c r="V581" s="32"/>
      <c r="W581" s="3" t="str">
        <f t="shared" si="121"/>
        <v>A</v>
      </c>
      <c r="X581" s="48">
        <v>64554</v>
      </c>
      <c r="Y581" s="48">
        <v>4165</v>
      </c>
      <c r="Z581" s="32"/>
      <c r="AA581" s="3" t="str">
        <f t="shared" si="122"/>
        <v>A</v>
      </c>
      <c r="AB581" s="48">
        <v>68747</v>
      </c>
      <c r="AC581" s="48">
        <v>6523</v>
      </c>
      <c r="AD581" s="36"/>
      <c r="AE581" s="54"/>
      <c r="AF581" s="3" t="str">
        <f t="shared" si="123"/>
        <v>A</v>
      </c>
      <c r="AG581" s="48">
        <v>0</v>
      </c>
      <c r="AH581" s="48">
        <v>0</v>
      </c>
      <c r="AI581" s="39"/>
      <c r="AJ581" s="79" t="s">
        <v>1801</v>
      </c>
      <c r="AK581" s="39"/>
      <c r="AL581" s="4">
        <f t="shared" si="129"/>
        <v>286421</v>
      </c>
      <c r="AM581" s="4">
        <f t="shared" si="129"/>
        <v>24806</v>
      </c>
      <c r="AN581" s="4">
        <f t="shared" si="124"/>
        <v>311227</v>
      </c>
      <c r="AO581" s="39"/>
      <c r="AP581" s="8">
        <f t="shared" si="130"/>
        <v>0</v>
      </c>
      <c r="AQ581" s="8">
        <f t="shared" si="130"/>
        <v>0</v>
      </c>
      <c r="AR581" s="8">
        <f t="shared" si="125"/>
        <v>0</v>
      </c>
      <c r="AS581" s="42"/>
      <c r="AT581" s="48">
        <v>286421</v>
      </c>
      <c r="AU581" s="48">
        <v>24806</v>
      </c>
      <c r="AV581" s="4">
        <f t="shared" si="126"/>
        <v>311227</v>
      </c>
      <c r="AW581" s="50" t="str">
        <f t="shared" si="127"/>
        <v/>
      </c>
      <c r="AX581" s="1" t="s">
        <v>1762</v>
      </c>
      <c r="AY581" s="2" t="s">
        <v>1763</v>
      </c>
      <c r="AZ581" s="2">
        <v>142540.88</v>
      </c>
      <c r="BA581" s="73">
        <v>124723.27</v>
      </c>
      <c r="BB581" s="73">
        <v>124723.27</v>
      </c>
      <c r="BC581" s="73">
        <v>142540.88</v>
      </c>
      <c r="BD581" s="73"/>
      <c r="BE581" s="66">
        <v>0</v>
      </c>
      <c r="BF581" s="66">
        <v>0.05</v>
      </c>
      <c r="BG581" s="63">
        <v>45316</v>
      </c>
      <c r="BH581" s="2"/>
      <c r="BI581" s="2"/>
      <c r="BJ581" s="2">
        <v>545481.56000000006</v>
      </c>
      <c r="BK581" s="2">
        <v>60609.06</v>
      </c>
      <c r="BL581" s="1" t="s">
        <v>56</v>
      </c>
    </row>
    <row r="582" spans="1:64" x14ac:dyDescent="0.25">
      <c r="A582" s="56" t="s">
        <v>1328</v>
      </c>
      <c r="B582" s="54" t="s">
        <v>1328</v>
      </c>
      <c r="C582" s="56" t="s">
        <v>1329</v>
      </c>
      <c r="D582" s="16">
        <v>0</v>
      </c>
      <c r="E582" s="17"/>
      <c r="F582" s="2" t="s">
        <v>1330</v>
      </c>
      <c r="G582" s="2" t="s">
        <v>1331</v>
      </c>
      <c r="H582" s="10" t="s">
        <v>98</v>
      </c>
      <c r="I582" s="11" t="s">
        <v>53</v>
      </c>
      <c r="J582" s="11" t="s">
        <v>99</v>
      </c>
      <c r="K582" s="61"/>
      <c r="L582" s="11" t="s">
        <v>67</v>
      </c>
      <c r="M582" s="25"/>
      <c r="N582" s="54"/>
      <c r="O582" s="3" t="str">
        <f t="shared" si="135"/>
        <v>A</v>
      </c>
      <c r="P582" s="48">
        <v>40641</v>
      </c>
      <c r="Q582" s="48">
        <v>18113</v>
      </c>
      <c r="R582" s="32"/>
      <c r="S582" s="3" t="str">
        <f t="shared" si="136"/>
        <v>A</v>
      </c>
      <c r="T582" s="48">
        <v>37575</v>
      </c>
      <c r="U582" s="48">
        <v>13884</v>
      </c>
      <c r="V582" s="32"/>
      <c r="W582" s="3" t="str">
        <f t="shared" si="121"/>
        <v>A</v>
      </c>
      <c r="X582" s="48">
        <v>41252</v>
      </c>
      <c r="Y582" s="48">
        <v>10836</v>
      </c>
      <c r="Z582" s="32"/>
      <c r="AA582" s="3" t="str">
        <f t="shared" si="122"/>
        <v>A</v>
      </c>
      <c r="AB582" s="48">
        <v>45515</v>
      </c>
      <c r="AC582" s="48">
        <v>13208</v>
      </c>
      <c r="AD582" s="36"/>
      <c r="AE582" s="54"/>
      <c r="AF582" s="3" t="str">
        <f t="shared" si="123"/>
        <v>A</v>
      </c>
      <c r="AG582" s="48">
        <v>0</v>
      </c>
      <c r="AH582" s="48">
        <v>0</v>
      </c>
      <c r="AI582" s="39"/>
      <c r="AJ582" s="79" t="s">
        <v>1801</v>
      </c>
      <c r="AK582" s="39"/>
      <c r="AL582" s="4">
        <f t="shared" si="129"/>
        <v>164983</v>
      </c>
      <c r="AM582" s="4">
        <f t="shared" si="129"/>
        <v>56041</v>
      </c>
      <c r="AN582" s="4">
        <f t="shared" si="124"/>
        <v>221024</v>
      </c>
      <c r="AO582" s="39"/>
      <c r="AP582" s="8">
        <f t="shared" si="130"/>
        <v>0</v>
      </c>
      <c r="AQ582" s="8">
        <f t="shared" si="130"/>
        <v>0</v>
      </c>
      <c r="AR582" s="8">
        <f t="shared" si="125"/>
        <v>0</v>
      </c>
      <c r="AS582" s="42"/>
      <c r="AT582" s="48">
        <v>164983</v>
      </c>
      <c r="AU582" s="48">
        <v>56041</v>
      </c>
      <c r="AV582" s="4">
        <f t="shared" si="126"/>
        <v>221024</v>
      </c>
      <c r="AW582" s="50" t="str">
        <f t="shared" si="127"/>
        <v/>
      </c>
      <c r="AX582" s="1" t="s">
        <v>1772</v>
      </c>
      <c r="AY582" s="2" t="s">
        <v>1773</v>
      </c>
      <c r="AZ582" s="2">
        <v>110888.32000000001</v>
      </c>
      <c r="BA582" s="73">
        <v>97027.28</v>
      </c>
      <c r="BB582" s="73">
        <v>97027.28</v>
      </c>
      <c r="BC582" s="73">
        <v>110888.32000000001</v>
      </c>
      <c r="BD582" s="73"/>
      <c r="BE582" s="66">
        <v>0</v>
      </c>
      <c r="BF582" s="66">
        <v>0.05</v>
      </c>
      <c r="BG582" s="63">
        <v>45199</v>
      </c>
      <c r="BH582" s="2"/>
      <c r="BI582" s="2"/>
      <c r="BJ582" s="2">
        <v>402138</v>
      </c>
      <c r="BK582" s="2">
        <v>21112.25</v>
      </c>
      <c r="BL582" s="1" t="s">
        <v>97</v>
      </c>
    </row>
    <row r="583" spans="1:64" x14ac:dyDescent="0.25">
      <c r="A583" s="56" t="s">
        <v>1338</v>
      </c>
      <c r="B583" s="54" t="s">
        <v>1338</v>
      </c>
      <c r="C583" s="56" t="s">
        <v>1339</v>
      </c>
      <c r="D583" s="16">
        <v>0</v>
      </c>
      <c r="E583" s="17"/>
      <c r="F583" s="2" t="s">
        <v>243</v>
      </c>
      <c r="G583" s="2" t="s">
        <v>245</v>
      </c>
      <c r="H583" s="10" t="s">
        <v>98</v>
      </c>
      <c r="I583" s="11" t="s">
        <v>244</v>
      </c>
      <c r="J583" s="11" t="s">
        <v>246</v>
      </c>
      <c r="K583" s="61" t="s">
        <v>247</v>
      </c>
      <c r="L583" s="11" t="s">
        <v>67</v>
      </c>
      <c r="M583" s="25"/>
      <c r="N583" s="54"/>
      <c r="O583" s="3" t="str">
        <f t="shared" si="135"/>
        <v>A</v>
      </c>
      <c r="P583" s="48">
        <v>117770</v>
      </c>
      <c r="Q583" s="48">
        <v>5359</v>
      </c>
      <c r="R583" s="32"/>
      <c r="S583" s="3" t="str">
        <f t="shared" si="136"/>
        <v>A</v>
      </c>
      <c r="T583" s="48">
        <v>105545</v>
      </c>
      <c r="U583" s="48">
        <v>5603</v>
      </c>
      <c r="V583" s="32"/>
      <c r="W583" s="3" t="str">
        <f t="shared" si="121"/>
        <v>A</v>
      </c>
      <c r="X583" s="48">
        <v>104630</v>
      </c>
      <c r="Y583" s="48">
        <v>4581</v>
      </c>
      <c r="Z583" s="32"/>
      <c r="AA583" s="3" t="str">
        <f t="shared" si="122"/>
        <v>A</v>
      </c>
      <c r="AB583" s="48">
        <v>130808.25</v>
      </c>
      <c r="AC583" s="48">
        <v>3819</v>
      </c>
      <c r="AD583" s="36"/>
      <c r="AE583" s="54"/>
      <c r="AF583" s="3" t="str">
        <f t="shared" si="123"/>
        <v>A</v>
      </c>
      <c r="AG583" s="48">
        <v>0</v>
      </c>
      <c r="AH583" s="48">
        <v>0</v>
      </c>
      <c r="AI583" s="39"/>
      <c r="AJ583" s="79" t="s">
        <v>1801</v>
      </c>
      <c r="AK583" s="39"/>
      <c r="AL583" s="4">
        <f t="shared" si="129"/>
        <v>458753.25</v>
      </c>
      <c r="AM583" s="4">
        <f t="shared" si="129"/>
        <v>19362</v>
      </c>
      <c r="AN583" s="4">
        <f t="shared" si="124"/>
        <v>478115.25</v>
      </c>
      <c r="AO583" s="39"/>
      <c r="AP583" s="8">
        <f t="shared" si="130"/>
        <v>0</v>
      </c>
      <c r="AQ583" s="8">
        <f t="shared" si="130"/>
        <v>0</v>
      </c>
      <c r="AR583" s="8">
        <f t="shared" si="125"/>
        <v>0</v>
      </c>
      <c r="AS583" s="42"/>
      <c r="AT583" s="48">
        <v>458753.25</v>
      </c>
      <c r="AU583" s="48">
        <v>19362</v>
      </c>
      <c r="AV583" s="4">
        <f t="shared" si="126"/>
        <v>478115.25</v>
      </c>
      <c r="AW583" s="50" t="str">
        <f t="shared" si="127"/>
        <v/>
      </c>
      <c r="AX583" s="1" t="s">
        <v>1639</v>
      </c>
      <c r="AY583" s="2" t="s">
        <v>1640</v>
      </c>
      <c r="AZ583" s="2">
        <v>127270.56</v>
      </c>
      <c r="BA583" s="73">
        <v>111361.74</v>
      </c>
      <c r="BB583" s="73">
        <v>111361.74</v>
      </c>
      <c r="BC583" s="73">
        <v>127270.56</v>
      </c>
      <c r="BD583" s="73"/>
      <c r="BE583" s="66">
        <v>0</v>
      </c>
      <c r="BF583" s="66">
        <v>0.02</v>
      </c>
      <c r="BG583" s="63">
        <v>45289</v>
      </c>
      <c r="BH583" s="2"/>
      <c r="BI583" s="2"/>
      <c r="BJ583" s="2">
        <v>484146</v>
      </c>
      <c r="BK583" s="2">
        <v>25417.67</v>
      </c>
      <c r="BL583" s="1" t="s">
        <v>97</v>
      </c>
    </row>
    <row r="584" spans="1:64" x14ac:dyDescent="0.25">
      <c r="A584" s="56" t="s">
        <v>1338</v>
      </c>
      <c r="B584" s="54" t="s">
        <v>1423</v>
      </c>
      <c r="C584" s="56" t="s">
        <v>1424</v>
      </c>
      <c r="D584" s="16">
        <v>0</v>
      </c>
      <c r="E584" s="17"/>
      <c r="F584" s="2" t="s">
        <v>243</v>
      </c>
      <c r="G584" s="2" t="s">
        <v>245</v>
      </c>
      <c r="H584" s="10" t="s">
        <v>98</v>
      </c>
      <c r="I584" s="11" t="s">
        <v>244</v>
      </c>
      <c r="J584" s="11" t="s">
        <v>246</v>
      </c>
      <c r="K584" s="61" t="s">
        <v>247</v>
      </c>
      <c r="L584" s="11" t="s">
        <v>67</v>
      </c>
      <c r="M584" s="25"/>
      <c r="N584" s="54"/>
      <c r="O584" s="3" t="str">
        <f t="shared" si="135"/>
        <v>A</v>
      </c>
      <c r="P584" s="48">
        <v>64604</v>
      </c>
      <c r="Q584" s="48">
        <v>0</v>
      </c>
      <c r="R584" s="32"/>
      <c r="S584" s="3" t="str">
        <f>IF($A584="","",IF(T584=BA584,"E","A"))</f>
        <v>A</v>
      </c>
      <c r="T584" s="48">
        <v>62109</v>
      </c>
      <c r="U584" s="48"/>
      <c r="V584" s="32"/>
      <c r="W584" s="3" t="str">
        <f t="shared" ref="W584:W647" si="137">IF($A584="","",IF(X584=0,"A",IF(X584=BB584,"E","A")))</f>
        <v>A</v>
      </c>
      <c r="X584" s="48">
        <v>62528</v>
      </c>
      <c r="Y584" s="48"/>
      <c r="Z584" s="32"/>
      <c r="AA584" s="3" t="str">
        <f t="shared" ref="AA584:AA647" si="138">IF($A584="","",IF(AB584=0,"A",IF(AB584=BC584,"E","A")))</f>
        <v>A</v>
      </c>
      <c r="AB584" s="48">
        <v>55154</v>
      </c>
      <c r="AC584" s="48"/>
      <c r="AD584" s="36"/>
      <c r="AE584" s="54"/>
      <c r="AF584" s="3" t="str">
        <f t="shared" ref="AF584:AF647" si="139">IF($A584="","",IF(AG584=0,"A",IF(AG584=BD584,"E","A")))</f>
        <v>A</v>
      </c>
      <c r="AG584" s="48">
        <v>0</v>
      </c>
      <c r="AH584" s="48">
        <v>0</v>
      </c>
      <c r="AI584" s="39"/>
      <c r="AJ584" s="79" t="s">
        <v>1801</v>
      </c>
      <c r="AK584" s="39"/>
      <c r="AL584" s="4">
        <f t="shared" si="129"/>
        <v>244395</v>
      </c>
      <c r="AM584" s="4">
        <f t="shared" si="129"/>
        <v>0</v>
      </c>
      <c r="AN584" s="4">
        <f t="shared" ref="AN584:AN647" si="140">SUM(AL584:AM584)</f>
        <v>244395</v>
      </c>
      <c r="AO584" s="39"/>
      <c r="AP584" s="8">
        <f t="shared" si="130"/>
        <v>0</v>
      </c>
      <c r="AQ584" s="8">
        <f t="shared" si="130"/>
        <v>0</v>
      </c>
      <c r="AR584" s="8">
        <f t="shared" ref="AR584:AR647" si="141">SUM(AP584:AQ584)</f>
        <v>0</v>
      </c>
      <c r="AS584" s="42"/>
      <c r="AT584" s="48">
        <v>244395</v>
      </c>
      <c r="AU584" s="48"/>
      <c r="AV584" s="4">
        <f t="shared" ref="AV584:AV647" si="142">SUM(AT584:AU584)</f>
        <v>244395</v>
      </c>
      <c r="AW584" s="50" t="str">
        <f t="shared" ref="AW584:AW647" si="143">IF(AV584=0,"",IF(AN584=AV584,"","W"))</f>
        <v/>
      </c>
      <c r="AX584" s="1" t="s">
        <v>1639</v>
      </c>
      <c r="AY584" s="2" t="s">
        <v>1640</v>
      </c>
      <c r="AZ584" s="2">
        <v>45664.959999999999</v>
      </c>
      <c r="BA584" s="73">
        <v>39956.839999999997</v>
      </c>
      <c r="BB584" s="73">
        <v>39956.839999999997</v>
      </c>
      <c r="BC584" s="73">
        <v>45664.959999999999</v>
      </c>
      <c r="BD584" s="73"/>
      <c r="BE584" s="66">
        <v>0</v>
      </c>
      <c r="BF584" s="66">
        <v>0.02</v>
      </c>
      <c r="BG584" s="63">
        <v>45330</v>
      </c>
      <c r="BH584" s="2"/>
      <c r="BI584" s="2"/>
      <c r="BJ584" s="2">
        <v>165000</v>
      </c>
      <c r="BK584" s="2"/>
      <c r="BL584" s="1" t="s">
        <v>97</v>
      </c>
    </row>
    <row r="585" spans="1:64" x14ac:dyDescent="0.25">
      <c r="A585" s="56" t="s">
        <v>1340</v>
      </c>
      <c r="B585" s="54" t="s">
        <v>1340</v>
      </c>
      <c r="C585" s="56" t="s">
        <v>1341</v>
      </c>
      <c r="D585" s="16">
        <v>43732</v>
      </c>
      <c r="E585" s="17"/>
      <c r="F585" s="2" t="s">
        <v>52</v>
      </c>
      <c r="G585" s="2" t="s">
        <v>55</v>
      </c>
      <c r="H585" s="10" t="s">
        <v>57</v>
      </c>
      <c r="I585" s="11" t="s">
        <v>54</v>
      </c>
      <c r="J585" s="11" t="s">
        <v>620</v>
      </c>
      <c r="K585" s="61" t="s">
        <v>621</v>
      </c>
      <c r="L585" s="11" t="s">
        <v>67</v>
      </c>
      <c r="M585" s="25"/>
      <c r="N585" s="54"/>
      <c r="O585" s="3" t="str">
        <f t="shared" si="135"/>
        <v>A</v>
      </c>
      <c r="P585" s="48">
        <v>43750</v>
      </c>
      <c r="Q585" s="48">
        <v>9010</v>
      </c>
      <c r="R585" s="32"/>
      <c r="S585" s="3" t="str">
        <f t="shared" ref="S585:S590" si="144">IF($A585="","",IF(T585=0,"A",IF(T585=BA585,"E","A")))</f>
        <v>A</v>
      </c>
      <c r="T585" s="48">
        <v>33910</v>
      </c>
      <c r="U585" s="48">
        <v>9574</v>
      </c>
      <c r="V585" s="32"/>
      <c r="W585" s="3" t="str">
        <f t="shared" si="137"/>
        <v>A</v>
      </c>
      <c r="X585" s="48">
        <v>37826</v>
      </c>
      <c r="Y585" s="48">
        <v>9275</v>
      </c>
      <c r="Z585" s="32"/>
      <c r="AA585" s="3" t="str">
        <f t="shared" si="138"/>
        <v>A</v>
      </c>
      <c r="AB585" s="48">
        <v>41057</v>
      </c>
      <c r="AC585" s="48">
        <v>10702</v>
      </c>
      <c r="AD585" s="36"/>
      <c r="AE585" s="54"/>
      <c r="AF585" s="3" t="str">
        <f t="shared" si="139"/>
        <v>A</v>
      </c>
      <c r="AG585" s="48">
        <v>0</v>
      </c>
      <c r="AH585" s="48">
        <v>0</v>
      </c>
      <c r="AI585" s="39"/>
      <c r="AJ585" s="79" t="s">
        <v>1801</v>
      </c>
      <c r="AK585" s="39"/>
      <c r="AL585" s="4">
        <f t="shared" si="129"/>
        <v>156543</v>
      </c>
      <c r="AM585" s="4">
        <f t="shared" si="129"/>
        <v>38561</v>
      </c>
      <c r="AN585" s="4">
        <f t="shared" si="140"/>
        <v>195104</v>
      </c>
      <c r="AO585" s="39"/>
      <c r="AP585" s="8">
        <f t="shared" si="130"/>
        <v>0</v>
      </c>
      <c r="AQ585" s="8">
        <f t="shared" si="130"/>
        <v>0</v>
      </c>
      <c r="AR585" s="8">
        <f t="shared" si="141"/>
        <v>0</v>
      </c>
      <c r="AS585" s="42"/>
      <c r="AT585" s="48">
        <v>156543</v>
      </c>
      <c r="AU585" s="48">
        <v>38561</v>
      </c>
      <c r="AV585" s="4">
        <f t="shared" si="142"/>
        <v>195104</v>
      </c>
      <c r="AW585" s="50" t="str">
        <f t="shared" si="143"/>
        <v/>
      </c>
      <c r="AX585" s="1" t="s">
        <v>1639</v>
      </c>
      <c r="AY585" s="2" t="s">
        <v>1640</v>
      </c>
      <c r="AZ585" s="2">
        <v>167367.84</v>
      </c>
      <c r="BA585" s="73">
        <v>146446.85999999999</v>
      </c>
      <c r="BB585" s="73">
        <v>146446.85999999999</v>
      </c>
      <c r="BC585" s="73">
        <v>167367.84</v>
      </c>
      <c r="BD585" s="73"/>
      <c r="BE585" s="66">
        <v>0</v>
      </c>
      <c r="BF585" s="66">
        <v>0.02</v>
      </c>
      <c r="BG585" s="63">
        <v>44936</v>
      </c>
      <c r="BH585" s="2"/>
      <c r="BI585" s="2"/>
      <c r="BJ585" s="2">
        <v>624429</v>
      </c>
      <c r="BK585" s="2">
        <v>32782.519999999997</v>
      </c>
      <c r="BL585" s="1" t="s">
        <v>56</v>
      </c>
    </row>
    <row r="586" spans="1:64" x14ac:dyDescent="0.25">
      <c r="A586" s="56" t="s">
        <v>1342</v>
      </c>
      <c r="B586" s="54" t="s">
        <v>1342</v>
      </c>
      <c r="C586" s="56" t="s">
        <v>1343</v>
      </c>
      <c r="D586" s="16">
        <v>42991</v>
      </c>
      <c r="E586" s="17"/>
      <c r="F586" s="2" t="s">
        <v>52</v>
      </c>
      <c r="G586" s="2" t="s">
        <v>55</v>
      </c>
      <c r="H586" s="10" t="s">
        <v>57</v>
      </c>
      <c r="I586" s="11" t="s">
        <v>54</v>
      </c>
      <c r="J586" s="11" t="s">
        <v>620</v>
      </c>
      <c r="K586" s="61" t="s">
        <v>621</v>
      </c>
      <c r="L586" s="11" t="s">
        <v>67</v>
      </c>
      <c r="M586" s="25"/>
      <c r="N586" s="54"/>
      <c r="O586" s="3" t="str">
        <f t="shared" si="135"/>
        <v>A</v>
      </c>
      <c r="P586" s="48">
        <v>40727</v>
      </c>
      <c r="Q586" s="48">
        <v>7259</v>
      </c>
      <c r="R586" s="32"/>
      <c r="S586" s="3" t="str">
        <f t="shared" si="144"/>
        <v>A</v>
      </c>
      <c r="T586" s="48">
        <v>38040</v>
      </c>
      <c r="U586" s="48">
        <v>6091</v>
      </c>
      <c r="V586" s="32"/>
      <c r="W586" s="3" t="str">
        <f t="shared" si="137"/>
        <v>A</v>
      </c>
      <c r="X586" s="48">
        <v>34949</v>
      </c>
      <c r="Y586" s="48">
        <v>6188</v>
      </c>
      <c r="Z586" s="32"/>
      <c r="AA586" s="3" t="str">
        <f t="shared" si="138"/>
        <v>A</v>
      </c>
      <c r="AB586" s="48">
        <v>38288</v>
      </c>
      <c r="AC586" s="48">
        <v>6025</v>
      </c>
      <c r="AD586" s="36"/>
      <c r="AE586" s="54"/>
      <c r="AF586" s="3" t="str">
        <f t="shared" si="139"/>
        <v>A</v>
      </c>
      <c r="AG586" s="48">
        <v>0</v>
      </c>
      <c r="AH586" s="48">
        <v>0</v>
      </c>
      <c r="AI586" s="39"/>
      <c r="AJ586" s="79" t="s">
        <v>1801</v>
      </c>
      <c r="AK586" s="39"/>
      <c r="AL586" s="4">
        <f t="shared" si="129"/>
        <v>152004</v>
      </c>
      <c r="AM586" s="4">
        <f t="shared" si="129"/>
        <v>25563</v>
      </c>
      <c r="AN586" s="4">
        <f t="shared" si="140"/>
        <v>177567</v>
      </c>
      <c r="AO586" s="39"/>
      <c r="AP586" s="8">
        <f t="shared" si="130"/>
        <v>0</v>
      </c>
      <c r="AQ586" s="8">
        <f t="shared" si="130"/>
        <v>0</v>
      </c>
      <c r="AR586" s="8">
        <f t="shared" si="141"/>
        <v>0</v>
      </c>
      <c r="AS586" s="42"/>
      <c r="AT586" s="48">
        <v>152004</v>
      </c>
      <c r="AU586" s="48">
        <v>25563</v>
      </c>
      <c r="AV586" s="4">
        <f t="shared" si="142"/>
        <v>177567</v>
      </c>
      <c r="AW586" s="50" t="str">
        <f t="shared" si="143"/>
        <v/>
      </c>
      <c r="AX586" s="1" t="s">
        <v>1639</v>
      </c>
      <c r="AY586" s="2" t="s">
        <v>1640</v>
      </c>
      <c r="AZ586" s="2">
        <v>33155.760000000002</v>
      </c>
      <c r="BA586" s="73">
        <v>29011.29</v>
      </c>
      <c r="BB586" s="73">
        <v>29011.29</v>
      </c>
      <c r="BC586" s="73">
        <v>33155.760000000002</v>
      </c>
      <c r="BD586" s="73"/>
      <c r="BE586" s="66">
        <v>0</v>
      </c>
      <c r="BF586" s="66">
        <v>0.02</v>
      </c>
      <c r="BG586" s="63">
        <v>44844</v>
      </c>
      <c r="BH586" s="2"/>
      <c r="BI586" s="2"/>
      <c r="BJ586" s="2">
        <v>121641</v>
      </c>
      <c r="BK586" s="2">
        <v>6386.15</v>
      </c>
      <c r="BL586" s="1" t="s">
        <v>56</v>
      </c>
    </row>
    <row r="587" spans="1:64" x14ac:dyDescent="0.25">
      <c r="A587" s="56" t="s">
        <v>1348</v>
      </c>
      <c r="B587" s="54" t="s">
        <v>1348</v>
      </c>
      <c r="C587" s="56" t="s">
        <v>1349</v>
      </c>
      <c r="D587" s="16">
        <v>45220</v>
      </c>
      <c r="E587" s="17"/>
      <c r="F587" s="2" t="s">
        <v>243</v>
      </c>
      <c r="G587" s="2" t="s">
        <v>245</v>
      </c>
      <c r="H587" s="10" t="s">
        <v>98</v>
      </c>
      <c r="I587" s="11" t="s">
        <v>244</v>
      </c>
      <c r="J587" s="11" t="s">
        <v>246</v>
      </c>
      <c r="K587" s="61" t="s">
        <v>247</v>
      </c>
      <c r="L587" s="11" t="s">
        <v>67</v>
      </c>
      <c r="M587" s="25"/>
      <c r="N587" s="54"/>
      <c r="O587" s="3" t="str">
        <f t="shared" si="135"/>
        <v>A</v>
      </c>
      <c r="P587" s="48">
        <v>54630.5</v>
      </c>
      <c r="Q587" s="48">
        <v>5506</v>
      </c>
      <c r="R587" s="32"/>
      <c r="S587" s="3" t="str">
        <f t="shared" si="144"/>
        <v>A</v>
      </c>
      <c r="T587" s="48">
        <v>43232</v>
      </c>
      <c r="U587" s="48">
        <v>4712</v>
      </c>
      <c r="V587" s="32"/>
      <c r="W587" s="3" t="str">
        <f t="shared" si="137"/>
        <v>A</v>
      </c>
      <c r="X587" s="48">
        <v>57152</v>
      </c>
      <c r="Y587" s="48">
        <v>4317</v>
      </c>
      <c r="Z587" s="32"/>
      <c r="AA587" s="3" t="str">
        <f t="shared" si="138"/>
        <v>A</v>
      </c>
      <c r="AB587" s="48">
        <v>51823</v>
      </c>
      <c r="AC587" s="48">
        <v>4378</v>
      </c>
      <c r="AD587" s="36"/>
      <c r="AE587" s="54"/>
      <c r="AF587" s="3" t="str">
        <f t="shared" si="139"/>
        <v>A</v>
      </c>
      <c r="AG587" s="48">
        <v>0</v>
      </c>
      <c r="AH587" s="48">
        <v>0</v>
      </c>
      <c r="AI587" s="39"/>
      <c r="AJ587" s="79" t="s">
        <v>1801</v>
      </c>
      <c r="AK587" s="39"/>
      <c r="AL587" s="4">
        <f t="shared" si="129"/>
        <v>206837.5</v>
      </c>
      <c r="AM587" s="4">
        <f t="shared" si="129"/>
        <v>18913</v>
      </c>
      <c r="AN587" s="4">
        <f t="shared" si="140"/>
        <v>225750.5</v>
      </c>
      <c r="AO587" s="39"/>
      <c r="AP587" s="8">
        <f t="shared" si="130"/>
        <v>0</v>
      </c>
      <c r="AQ587" s="8">
        <f t="shared" si="130"/>
        <v>0</v>
      </c>
      <c r="AR587" s="8">
        <f t="shared" si="141"/>
        <v>0</v>
      </c>
      <c r="AS587" s="42"/>
      <c r="AT587" s="48">
        <v>206837.5</v>
      </c>
      <c r="AU587" s="48">
        <v>18913</v>
      </c>
      <c r="AV587" s="4">
        <f t="shared" si="142"/>
        <v>225750.5</v>
      </c>
      <c r="AW587" s="50" t="str">
        <f t="shared" si="143"/>
        <v/>
      </c>
      <c r="AX587" s="1" t="s">
        <v>1639</v>
      </c>
      <c r="AY587" s="2" t="s">
        <v>1640</v>
      </c>
      <c r="AZ587" s="2">
        <v>155488.07999999999</v>
      </c>
      <c r="BA587" s="73">
        <v>136052.07</v>
      </c>
      <c r="BB587" s="73">
        <v>136052.07</v>
      </c>
      <c r="BC587" s="73">
        <v>155488.07999999999</v>
      </c>
      <c r="BD587" s="73"/>
      <c r="BE587" s="66">
        <v>0</v>
      </c>
      <c r="BF587" s="66">
        <v>0.02</v>
      </c>
      <c r="BG587" s="63">
        <v>45219</v>
      </c>
      <c r="BH587" s="2"/>
      <c r="BI587" s="2"/>
      <c r="BJ587" s="2">
        <v>570456</v>
      </c>
      <c r="BK587" s="2">
        <v>29948.94</v>
      </c>
      <c r="BL587" s="1" t="s">
        <v>97</v>
      </c>
    </row>
    <row r="588" spans="1:64" x14ac:dyDescent="0.25">
      <c r="A588" s="56" t="s">
        <v>1364</v>
      </c>
      <c r="B588" s="54" t="s">
        <v>1364</v>
      </c>
      <c r="C588" s="56" t="s">
        <v>1365</v>
      </c>
      <c r="D588" s="16">
        <v>0</v>
      </c>
      <c r="E588" s="17"/>
      <c r="F588" s="2" t="s">
        <v>1366</v>
      </c>
      <c r="G588" s="2" t="s">
        <v>1367</v>
      </c>
      <c r="H588" s="10" t="s">
        <v>57</v>
      </c>
      <c r="I588" s="11" t="s">
        <v>53</v>
      </c>
      <c r="J588" s="11" t="s">
        <v>156</v>
      </c>
      <c r="K588" s="61"/>
      <c r="L588" s="11" t="s">
        <v>67</v>
      </c>
      <c r="M588" s="25"/>
      <c r="N588" s="54"/>
      <c r="O588" s="3" t="str">
        <f t="shared" si="135"/>
        <v>A</v>
      </c>
      <c r="P588" s="48">
        <v>128015</v>
      </c>
      <c r="Q588" s="48">
        <v>6686</v>
      </c>
      <c r="R588" s="32"/>
      <c r="S588" s="3" t="str">
        <f t="shared" si="144"/>
        <v>A</v>
      </c>
      <c r="T588" s="48">
        <v>103909</v>
      </c>
      <c r="U588" s="48">
        <v>8066</v>
      </c>
      <c r="V588" s="32"/>
      <c r="W588" s="3" t="str">
        <f t="shared" si="137"/>
        <v>A</v>
      </c>
      <c r="X588" s="48">
        <v>107789</v>
      </c>
      <c r="Y588" s="48">
        <v>7777</v>
      </c>
      <c r="Z588" s="32"/>
      <c r="AA588" s="3" t="str">
        <f t="shared" si="138"/>
        <v>A</v>
      </c>
      <c r="AB588" s="48">
        <v>134672</v>
      </c>
      <c r="AC588" s="48">
        <v>8256</v>
      </c>
      <c r="AD588" s="36"/>
      <c r="AE588" s="54"/>
      <c r="AF588" s="3" t="str">
        <f t="shared" si="139"/>
        <v>A</v>
      </c>
      <c r="AG588" s="48">
        <v>0</v>
      </c>
      <c r="AH588" s="48">
        <v>0</v>
      </c>
      <c r="AI588" s="39"/>
      <c r="AJ588" s="79" t="s">
        <v>1801</v>
      </c>
      <c r="AK588" s="39"/>
      <c r="AL588" s="4">
        <f t="shared" si="129"/>
        <v>474385</v>
      </c>
      <c r="AM588" s="4">
        <f t="shared" si="129"/>
        <v>30785</v>
      </c>
      <c r="AN588" s="4">
        <f t="shared" si="140"/>
        <v>505170</v>
      </c>
      <c r="AO588" s="39"/>
      <c r="AP588" s="8">
        <f t="shared" si="130"/>
        <v>0</v>
      </c>
      <c r="AQ588" s="8">
        <f t="shared" si="130"/>
        <v>0</v>
      </c>
      <c r="AR588" s="8">
        <f t="shared" si="141"/>
        <v>0</v>
      </c>
      <c r="AS588" s="42"/>
      <c r="AT588" s="48">
        <v>474385</v>
      </c>
      <c r="AU588" s="48">
        <v>30785</v>
      </c>
      <c r="AV588" s="4">
        <f t="shared" si="142"/>
        <v>505170</v>
      </c>
      <c r="AW588" s="50" t="str">
        <f t="shared" si="143"/>
        <v/>
      </c>
      <c r="AX588" s="1" t="s">
        <v>1774</v>
      </c>
      <c r="AY588" s="2" t="s">
        <v>1775</v>
      </c>
      <c r="AZ588" s="2">
        <v>148881.35999999999</v>
      </c>
      <c r="BA588" s="73">
        <v>130271.19</v>
      </c>
      <c r="BB588" s="73">
        <v>130271.19</v>
      </c>
      <c r="BC588" s="73">
        <v>148881.35999999999</v>
      </c>
      <c r="BD588" s="73"/>
      <c r="BE588" s="66">
        <v>0</v>
      </c>
      <c r="BF588" s="66">
        <v>0.05</v>
      </c>
      <c r="BG588" s="63">
        <v>45615</v>
      </c>
      <c r="BH588" s="2"/>
      <c r="BI588" s="2"/>
      <c r="BJ588" s="2">
        <v>560272.5</v>
      </c>
      <c r="BK588" s="2">
        <v>62252.5</v>
      </c>
      <c r="BL588" s="1" t="s">
        <v>56</v>
      </c>
    </row>
    <row r="589" spans="1:64" x14ac:dyDescent="0.25">
      <c r="A589" s="56" t="s">
        <v>1368</v>
      </c>
      <c r="B589" s="54" t="s">
        <v>1368</v>
      </c>
      <c r="C589" s="56" t="s">
        <v>1369</v>
      </c>
      <c r="D589" s="16">
        <v>45187</v>
      </c>
      <c r="E589" s="17"/>
      <c r="F589" s="2" t="s">
        <v>1370</v>
      </c>
      <c r="G589" s="2" t="s">
        <v>1371</v>
      </c>
      <c r="H589" s="10" t="s">
        <v>57</v>
      </c>
      <c r="I589" s="11" t="s">
        <v>53</v>
      </c>
      <c r="J589" s="11" t="s">
        <v>64</v>
      </c>
      <c r="K589" s="61"/>
      <c r="L589" s="11" t="s">
        <v>67</v>
      </c>
      <c r="M589" s="25"/>
      <c r="N589" s="54"/>
      <c r="O589" s="3" t="str">
        <f t="shared" si="135"/>
        <v>A</v>
      </c>
      <c r="P589" s="48">
        <v>83350</v>
      </c>
      <c r="Q589" s="48">
        <v>40478</v>
      </c>
      <c r="R589" s="32"/>
      <c r="S589" s="3" t="str">
        <f t="shared" si="144"/>
        <v>A</v>
      </c>
      <c r="T589" s="48">
        <v>72205</v>
      </c>
      <c r="U589" s="48">
        <v>32477</v>
      </c>
      <c r="V589" s="32"/>
      <c r="W589" s="3" t="str">
        <f t="shared" si="137"/>
        <v>A</v>
      </c>
      <c r="X589" s="48">
        <v>67055</v>
      </c>
      <c r="Y589" s="48">
        <v>30708</v>
      </c>
      <c r="Z589" s="32"/>
      <c r="AA589" s="3" t="str">
        <f t="shared" si="138"/>
        <v>A</v>
      </c>
      <c r="AB589" s="48">
        <v>77310</v>
      </c>
      <c r="AC589" s="48">
        <v>29235</v>
      </c>
      <c r="AD589" s="36"/>
      <c r="AE589" s="54"/>
      <c r="AF589" s="3" t="str">
        <f t="shared" si="139"/>
        <v>A</v>
      </c>
      <c r="AG589" s="48">
        <v>0</v>
      </c>
      <c r="AH589" s="48">
        <v>0</v>
      </c>
      <c r="AI589" s="39"/>
      <c r="AJ589" s="79" t="s">
        <v>1801</v>
      </c>
      <c r="AK589" s="39"/>
      <c r="AL589" s="4">
        <f t="shared" si="129"/>
        <v>299920</v>
      </c>
      <c r="AM589" s="4">
        <f t="shared" si="129"/>
        <v>132898</v>
      </c>
      <c r="AN589" s="4">
        <f t="shared" si="140"/>
        <v>432818</v>
      </c>
      <c r="AO589" s="39"/>
      <c r="AP589" s="8">
        <f t="shared" si="130"/>
        <v>0</v>
      </c>
      <c r="AQ589" s="8">
        <f t="shared" si="130"/>
        <v>0</v>
      </c>
      <c r="AR589" s="8">
        <f t="shared" si="141"/>
        <v>0</v>
      </c>
      <c r="AS589" s="42"/>
      <c r="AT589" s="48">
        <v>299920</v>
      </c>
      <c r="AU589" s="48">
        <v>132898</v>
      </c>
      <c r="AV589" s="4">
        <f t="shared" si="142"/>
        <v>432818</v>
      </c>
      <c r="AW589" s="50" t="str">
        <f t="shared" si="143"/>
        <v/>
      </c>
      <c r="AX589" s="1" t="s">
        <v>1776</v>
      </c>
      <c r="AY589" s="2" t="s">
        <v>1777</v>
      </c>
      <c r="AZ589" s="2">
        <v>118939.6</v>
      </c>
      <c r="BA589" s="73">
        <v>104072.15</v>
      </c>
      <c r="BB589" s="73">
        <v>104072.15</v>
      </c>
      <c r="BC589" s="73">
        <v>118939.6</v>
      </c>
      <c r="BD589" s="73"/>
      <c r="BE589" s="66">
        <v>0</v>
      </c>
      <c r="BF589" s="66">
        <v>0.05</v>
      </c>
      <c r="BG589" s="63">
        <v>45185</v>
      </c>
      <c r="BH589" s="2"/>
      <c r="BI589" s="2"/>
      <c r="BJ589" s="2">
        <v>431335.8</v>
      </c>
      <c r="BK589" s="2">
        <v>47926.2</v>
      </c>
      <c r="BL589" s="1" t="s">
        <v>56</v>
      </c>
    </row>
    <row r="590" spans="1:64" x14ac:dyDescent="0.25">
      <c r="A590" s="56" t="s">
        <v>1372</v>
      </c>
      <c r="B590" s="54" t="s">
        <v>1372</v>
      </c>
      <c r="C590" s="56" t="s">
        <v>1373</v>
      </c>
      <c r="D590" s="16">
        <v>45187</v>
      </c>
      <c r="E590" s="17"/>
      <c r="F590" s="2" t="s">
        <v>423</v>
      </c>
      <c r="G590" s="2" t="s">
        <v>424</v>
      </c>
      <c r="H590" s="10" t="s">
        <v>105</v>
      </c>
      <c r="I590" s="11" t="s">
        <v>53</v>
      </c>
      <c r="J590" s="11" t="s">
        <v>312</v>
      </c>
      <c r="K590" s="61"/>
      <c r="L590" s="11" t="s">
        <v>67</v>
      </c>
      <c r="M590" s="25"/>
      <c r="N590" s="54"/>
      <c r="O590" s="3" t="str">
        <f t="shared" si="135"/>
        <v>E</v>
      </c>
      <c r="P590" s="48">
        <v>127882.88</v>
      </c>
      <c r="Q590" s="48">
        <v>6422.24</v>
      </c>
      <c r="R590" s="32"/>
      <c r="S590" s="3" t="str">
        <f t="shared" si="144"/>
        <v>E</v>
      </c>
      <c r="T590" s="48">
        <v>111897.52</v>
      </c>
      <c r="U590" s="48">
        <v>5619.46</v>
      </c>
      <c r="V590" s="32"/>
      <c r="W590" s="3" t="str">
        <f t="shared" si="137"/>
        <v>E</v>
      </c>
      <c r="X590" s="48">
        <v>111897.52</v>
      </c>
      <c r="Y590" s="48">
        <v>5619.46</v>
      </c>
      <c r="Z590" s="32"/>
      <c r="AA590" s="3" t="str">
        <f t="shared" si="138"/>
        <v>E</v>
      </c>
      <c r="AB590" s="48">
        <v>127882.88</v>
      </c>
      <c r="AC590" s="48">
        <v>6422.24</v>
      </c>
      <c r="AD590" s="36"/>
      <c r="AE590" s="54"/>
      <c r="AF590" s="3" t="str">
        <f t="shared" si="139"/>
        <v>A</v>
      </c>
      <c r="AG590" s="48"/>
      <c r="AH590" s="48"/>
      <c r="AI590" s="39"/>
      <c r="AJ590" s="79" t="s">
        <v>38</v>
      </c>
      <c r="AK590" s="39"/>
      <c r="AL590" s="4">
        <f t="shared" si="129"/>
        <v>0</v>
      </c>
      <c r="AM590" s="4">
        <f t="shared" si="129"/>
        <v>0</v>
      </c>
      <c r="AN590" s="4">
        <f t="shared" si="140"/>
        <v>0</v>
      </c>
      <c r="AO590" s="39"/>
      <c r="AP590" s="8">
        <f t="shared" si="130"/>
        <v>479560.80000000005</v>
      </c>
      <c r="AQ590" s="8">
        <f t="shared" si="130"/>
        <v>24083.4</v>
      </c>
      <c r="AR590" s="8">
        <f t="shared" si="141"/>
        <v>503644.20000000007</v>
      </c>
      <c r="AS590" s="42"/>
      <c r="AT590" s="48"/>
      <c r="AU590" s="48"/>
      <c r="AV590" s="4">
        <f t="shared" si="142"/>
        <v>0</v>
      </c>
      <c r="AW590" s="50" t="str">
        <f t="shared" si="143"/>
        <v/>
      </c>
      <c r="AX590" s="1" t="s">
        <v>1705</v>
      </c>
      <c r="AY590" s="2" t="s">
        <v>1706</v>
      </c>
      <c r="AZ590" s="2">
        <v>127882.88</v>
      </c>
      <c r="BA590" s="73">
        <v>111897.52</v>
      </c>
      <c r="BB590" s="73">
        <v>111897.52</v>
      </c>
      <c r="BC590" s="73">
        <v>127882.88</v>
      </c>
      <c r="BD590" s="73"/>
      <c r="BE590" s="66">
        <v>0</v>
      </c>
      <c r="BF590" s="66">
        <v>0.05</v>
      </c>
      <c r="BG590" s="63">
        <v>45184</v>
      </c>
      <c r="BH590" s="2"/>
      <c r="BI590" s="2"/>
      <c r="BJ590" s="2">
        <v>463768.8</v>
      </c>
      <c r="BK590" s="2">
        <v>24347.86</v>
      </c>
      <c r="BL590" s="1" t="s">
        <v>104</v>
      </c>
    </row>
    <row r="591" spans="1:64" x14ac:dyDescent="0.25">
      <c r="A591" s="56" t="s">
        <v>1372</v>
      </c>
      <c r="B591" s="54" t="s">
        <v>1458</v>
      </c>
      <c r="C591" s="56" t="s">
        <v>1459</v>
      </c>
      <c r="D591" s="16">
        <v>45370</v>
      </c>
      <c r="E591" s="17"/>
      <c r="F591" s="2" t="s">
        <v>423</v>
      </c>
      <c r="G591" s="2" t="s">
        <v>424</v>
      </c>
      <c r="H591" s="10" t="s">
        <v>105</v>
      </c>
      <c r="I591" s="11" t="s">
        <v>53</v>
      </c>
      <c r="J591" s="11" t="s">
        <v>312</v>
      </c>
      <c r="K591" s="61"/>
      <c r="L591" s="11" t="s">
        <v>67</v>
      </c>
      <c r="M591" s="25"/>
      <c r="N591" s="54"/>
      <c r="O591" s="3" t="str">
        <f t="shared" si="135"/>
        <v>E</v>
      </c>
      <c r="P591" s="48">
        <v>154223.35999999999</v>
      </c>
      <c r="Q591" s="48">
        <v>10096.799999999999</v>
      </c>
      <c r="R591" s="32"/>
      <c r="S591" s="3" t="str">
        <f>IF($A591="","",IF(T591=BA591,"E","A"))</f>
        <v>E</v>
      </c>
      <c r="T591" s="48">
        <v>134945.44</v>
      </c>
      <c r="U591" s="48">
        <v>8834.7000000000007</v>
      </c>
      <c r="V591" s="32"/>
      <c r="W591" s="3" t="str">
        <f t="shared" si="137"/>
        <v>E</v>
      </c>
      <c r="X591" s="48">
        <v>134945.44</v>
      </c>
      <c r="Y591" s="48">
        <v>8834.7000000000007</v>
      </c>
      <c r="Z591" s="32"/>
      <c r="AA591" s="3" t="str">
        <f t="shared" si="138"/>
        <v>E</v>
      </c>
      <c r="AB591" s="48">
        <v>154223.35999999999</v>
      </c>
      <c r="AC591" s="48">
        <v>10096.799999999999</v>
      </c>
      <c r="AD591" s="36"/>
      <c r="AE591" s="54"/>
      <c r="AF591" s="3" t="str">
        <f t="shared" si="139"/>
        <v>A</v>
      </c>
      <c r="AG591" s="48"/>
      <c r="AH591" s="48"/>
      <c r="AI591" s="39"/>
      <c r="AJ591" s="79" t="s">
        <v>38</v>
      </c>
      <c r="AK591" s="39"/>
      <c r="AL591" s="4">
        <f t="shared" si="129"/>
        <v>0</v>
      </c>
      <c r="AM591" s="4">
        <f t="shared" si="129"/>
        <v>0</v>
      </c>
      <c r="AN591" s="4">
        <f t="shared" si="140"/>
        <v>0</v>
      </c>
      <c r="AO591" s="39"/>
      <c r="AP591" s="8">
        <f t="shared" si="130"/>
        <v>578337.6</v>
      </c>
      <c r="AQ591" s="8">
        <f t="shared" si="130"/>
        <v>37863</v>
      </c>
      <c r="AR591" s="8">
        <f t="shared" si="141"/>
        <v>616200.6</v>
      </c>
      <c r="AS591" s="42"/>
      <c r="AT591" s="48"/>
      <c r="AU591" s="48"/>
      <c r="AV591" s="4">
        <f t="shared" si="142"/>
        <v>0</v>
      </c>
      <c r="AW591" s="50" t="str">
        <f t="shared" si="143"/>
        <v/>
      </c>
      <c r="AX591" s="1" t="s">
        <v>1705</v>
      </c>
      <c r="AY591" s="2" t="s">
        <v>1706</v>
      </c>
      <c r="AZ591" s="2">
        <v>154223.35999999999</v>
      </c>
      <c r="BA591" s="73">
        <v>134945.44</v>
      </c>
      <c r="BB591" s="73">
        <v>134945.44</v>
      </c>
      <c r="BC591" s="73">
        <v>154223.35999999999</v>
      </c>
      <c r="BD591" s="73"/>
      <c r="BE591" s="66">
        <v>0</v>
      </c>
      <c r="BF591" s="66">
        <v>0.05</v>
      </c>
      <c r="BG591" s="63">
        <v>45367</v>
      </c>
      <c r="BH591" s="2"/>
      <c r="BI591" s="2"/>
      <c r="BJ591" s="2">
        <v>553339.80000000005</v>
      </c>
      <c r="BK591" s="2">
        <v>29050.34</v>
      </c>
      <c r="BL591" s="1" t="s">
        <v>311</v>
      </c>
    </row>
    <row r="592" spans="1:64" x14ac:dyDescent="0.25">
      <c r="A592" s="56" t="s">
        <v>1374</v>
      </c>
      <c r="B592" s="54" t="s">
        <v>1374</v>
      </c>
      <c r="C592" s="56" t="s">
        <v>1375</v>
      </c>
      <c r="D592" s="16">
        <v>45254</v>
      </c>
      <c r="E592" s="17"/>
      <c r="F592" s="2" t="s">
        <v>243</v>
      </c>
      <c r="G592" s="2" t="s">
        <v>245</v>
      </c>
      <c r="H592" s="10" t="s">
        <v>105</v>
      </c>
      <c r="I592" s="11" t="s">
        <v>244</v>
      </c>
      <c r="J592" s="11" t="s">
        <v>1202</v>
      </c>
      <c r="K592" s="61" t="s">
        <v>335</v>
      </c>
      <c r="L592" s="11" t="s">
        <v>67</v>
      </c>
      <c r="M592" s="25"/>
      <c r="N592" s="54"/>
      <c r="O592" s="3" t="str">
        <f t="shared" si="135"/>
        <v>A</v>
      </c>
      <c r="P592" s="48">
        <v>92018</v>
      </c>
      <c r="Q592" s="48">
        <v>14822</v>
      </c>
      <c r="R592" s="32"/>
      <c r="S592" s="3" t="str">
        <f>IF($A592="","",IF(T592=0,"A",IF(T592=BA592,"E","A")))</f>
        <v>A</v>
      </c>
      <c r="T592" s="48">
        <v>82811</v>
      </c>
      <c r="U592" s="48">
        <v>9910</v>
      </c>
      <c r="V592" s="32"/>
      <c r="W592" s="3" t="str">
        <f t="shared" si="137"/>
        <v>A</v>
      </c>
      <c r="X592" s="48">
        <v>85493</v>
      </c>
      <c r="Y592" s="48">
        <v>7457</v>
      </c>
      <c r="Z592" s="32"/>
      <c r="AA592" s="3" t="str">
        <f t="shared" si="138"/>
        <v>A</v>
      </c>
      <c r="AB592" s="48">
        <v>98294</v>
      </c>
      <c r="AC592" s="48">
        <v>8314</v>
      </c>
      <c r="AD592" s="36"/>
      <c r="AE592" s="54"/>
      <c r="AF592" s="3" t="str">
        <f t="shared" si="139"/>
        <v>A</v>
      </c>
      <c r="AG592" s="48">
        <v>0</v>
      </c>
      <c r="AH592" s="48">
        <v>0</v>
      </c>
      <c r="AI592" s="39"/>
      <c r="AJ592" s="79" t="s">
        <v>1801</v>
      </c>
      <c r="AK592" s="39"/>
      <c r="AL592" s="4">
        <f t="shared" si="129"/>
        <v>358616</v>
      </c>
      <c r="AM592" s="4">
        <f t="shared" si="129"/>
        <v>40503</v>
      </c>
      <c r="AN592" s="4">
        <f t="shared" si="140"/>
        <v>399119</v>
      </c>
      <c r="AO592" s="39"/>
      <c r="AP592" s="8">
        <f t="shared" si="130"/>
        <v>0</v>
      </c>
      <c r="AQ592" s="8">
        <f t="shared" si="130"/>
        <v>0</v>
      </c>
      <c r="AR592" s="8">
        <f t="shared" si="141"/>
        <v>0</v>
      </c>
      <c r="AS592" s="42"/>
      <c r="AT592" s="48">
        <v>358616</v>
      </c>
      <c r="AU592" s="48">
        <v>40503</v>
      </c>
      <c r="AV592" s="4">
        <f t="shared" si="142"/>
        <v>399119</v>
      </c>
      <c r="AW592" s="50" t="str">
        <f t="shared" si="143"/>
        <v/>
      </c>
      <c r="AX592" s="1" t="s">
        <v>1639</v>
      </c>
      <c r="AY592" s="2" t="s">
        <v>1640</v>
      </c>
      <c r="AZ592" s="2">
        <v>226978.24</v>
      </c>
      <c r="BA592" s="73">
        <v>198605.96</v>
      </c>
      <c r="BB592" s="73">
        <v>198605.96</v>
      </c>
      <c r="BC592" s="73">
        <v>226978.24</v>
      </c>
      <c r="BD592" s="73"/>
      <c r="BE592" s="66">
        <v>0</v>
      </c>
      <c r="BF592" s="66">
        <v>0.02</v>
      </c>
      <c r="BG592" s="63">
        <v>45254</v>
      </c>
      <c r="BH592" s="2"/>
      <c r="BI592" s="2"/>
      <c r="BJ592" s="2">
        <v>846828</v>
      </c>
      <c r="BK592" s="2">
        <v>44458.47</v>
      </c>
      <c r="BL592" s="1" t="s">
        <v>219</v>
      </c>
    </row>
    <row r="593" spans="1:64" x14ac:dyDescent="0.25">
      <c r="A593" s="56" t="s">
        <v>1374</v>
      </c>
      <c r="B593" s="54" t="s">
        <v>1376</v>
      </c>
      <c r="C593" s="56" t="s">
        <v>1377</v>
      </c>
      <c r="D593" s="16">
        <v>45219</v>
      </c>
      <c r="E593" s="17"/>
      <c r="F593" s="2" t="s">
        <v>243</v>
      </c>
      <c r="G593" s="2" t="s">
        <v>245</v>
      </c>
      <c r="H593" s="10" t="s">
        <v>105</v>
      </c>
      <c r="I593" s="11" t="s">
        <v>244</v>
      </c>
      <c r="J593" s="11" t="s">
        <v>1202</v>
      </c>
      <c r="K593" s="61" t="s">
        <v>335</v>
      </c>
      <c r="L593" s="11" t="s">
        <v>67</v>
      </c>
      <c r="M593" s="25"/>
      <c r="N593" s="54"/>
      <c r="O593" s="3" t="str">
        <f t="shared" si="135"/>
        <v>A</v>
      </c>
      <c r="P593" s="48">
        <v>25212</v>
      </c>
      <c r="Q593" s="48">
        <v>5700</v>
      </c>
      <c r="R593" s="32"/>
      <c r="S593" s="3" t="str">
        <f>IF($A593="","",IF(T593=0,"A",IF(T593=BA593,"E","A")))</f>
        <v>A</v>
      </c>
      <c r="T593" s="48">
        <v>23656.25</v>
      </c>
      <c r="U593" s="48">
        <v>5253</v>
      </c>
      <c r="V593" s="32"/>
      <c r="W593" s="3" t="str">
        <f t="shared" si="137"/>
        <v>A</v>
      </c>
      <c r="X593" s="48">
        <v>21982.7</v>
      </c>
      <c r="Y593" s="48">
        <v>5480</v>
      </c>
      <c r="Z593" s="32"/>
      <c r="AA593" s="3" t="str">
        <f t="shared" si="138"/>
        <v>A</v>
      </c>
      <c r="AB593" s="48">
        <v>24507.5</v>
      </c>
      <c r="AC593" s="48">
        <v>5280</v>
      </c>
      <c r="AD593" s="36"/>
      <c r="AE593" s="54"/>
      <c r="AF593" s="3" t="str">
        <f t="shared" si="139"/>
        <v>A</v>
      </c>
      <c r="AG593" s="48">
        <v>0</v>
      </c>
      <c r="AH593" s="48">
        <v>0</v>
      </c>
      <c r="AI593" s="39"/>
      <c r="AJ593" s="79" t="s">
        <v>1801</v>
      </c>
      <c r="AK593" s="39"/>
      <c r="AL593" s="4">
        <f t="shared" si="129"/>
        <v>95358.45</v>
      </c>
      <c r="AM593" s="4">
        <f t="shared" si="129"/>
        <v>21713</v>
      </c>
      <c r="AN593" s="4">
        <f t="shared" si="140"/>
        <v>117071.45</v>
      </c>
      <c r="AO593" s="39"/>
      <c r="AP593" s="8">
        <f t="shared" si="130"/>
        <v>0</v>
      </c>
      <c r="AQ593" s="8">
        <f t="shared" si="130"/>
        <v>0</v>
      </c>
      <c r="AR593" s="8">
        <f t="shared" si="141"/>
        <v>0</v>
      </c>
      <c r="AS593" s="42"/>
      <c r="AT593" s="48">
        <v>95358.45</v>
      </c>
      <c r="AU593" s="48">
        <v>21713</v>
      </c>
      <c r="AV593" s="4">
        <f t="shared" si="142"/>
        <v>117071.45</v>
      </c>
      <c r="AW593" s="50" t="str">
        <f t="shared" si="143"/>
        <v/>
      </c>
      <c r="AX593" s="1" t="s">
        <v>1639</v>
      </c>
      <c r="AY593" s="2" t="s">
        <v>1640</v>
      </c>
      <c r="AZ593" s="2">
        <v>51515.519999999997</v>
      </c>
      <c r="BA593" s="73">
        <v>45076.08</v>
      </c>
      <c r="BB593" s="73">
        <v>45076.08</v>
      </c>
      <c r="BC593" s="73">
        <v>51515.519999999997</v>
      </c>
      <c r="BD593" s="73"/>
      <c r="BE593" s="66">
        <v>0</v>
      </c>
      <c r="BF593" s="66">
        <v>0.02</v>
      </c>
      <c r="BG593" s="63">
        <v>45219</v>
      </c>
      <c r="BH593" s="2"/>
      <c r="BI593" s="2"/>
      <c r="BJ593" s="2">
        <v>189000</v>
      </c>
      <c r="BK593" s="2">
        <v>9922.5</v>
      </c>
      <c r="BL593" s="1" t="s">
        <v>219</v>
      </c>
    </row>
    <row r="594" spans="1:64" x14ac:dyDescent="0.25">
      <c r="A594" s="56" t="s">
        <v>1374</v>
      </c>
      <c r="B594" s="54" t="s">
        <v>1413</v>
      </c>
      <c r="C594" s="56" t="s">
        <v>1414</v>
      </c>
      <c r="D594" s="16">
        <v>0</v>
      </c>
      <c r="E594" s="17"/>
      <c r="F594" s="2" t="s">
        <v>243</v>
      </c>
      <c r="G594" s="2" t="s">
        <v>245</v>
      </c>
      <c r="H594" s="10" t="s">
        <v>105</v>
      </c>
      <c r="I594" s="11" t="s">
        <v>244</v>
      </c>
      <c r="J594" s="11" t="s">
        <v>1202</v>
      </c>
      <c r="K594" s="61" t="s">
        <v>335</v>
      </c>
      <c r="L594" s="11" t="s">
        <v>67</v>
      </c>
      <c r="M594" s="25"/>
      <c r="N594" s="54"/>
      <c r="O594" s="3" t="str">
        <f t="shared" si="135"/>
        <v>A</v>
      </c>
      <c r="P594" s="48">
        <v>64026</v>
      </c>
      <c r="Q594" s="48">
        <v>10615</v>
      </c>
      <c r="R594" s="32"/>
      <c r="S594" s="3" t="str">
        <f>IF($A594="","",IF(T594=BA594,"E","A"))</f>
        <v>A</v>
      </c>
      <c r="T594" s="48">
        <v>64250</v>
      </c>
      <c r="U594" s="48">
        <v>10060</v>
      </c>
      <c r="V594" s="32"/>
      <c r="W594" s="3" t="str">
        <f t="shared" si="137"/>
        <v>A</v>
      </c>
      <c r="X594" s="48">
        <v>49063</v>
      </c>
      <c r="Y594" s="48">
        <v>8210</v>
      </c>
      <c r="Z594" s="32"/>
      <c r="AA594" s="3" t="str">
        <f t="shared" si="138"/>
        <v>A</v>
      </c>
      <c r="AB594" s="48">
        <v>62670</v>
      </c>
      <c r="AC594" s="48">
        <v>8650</v>
      </c>
      <c r="AD594" s="36"/>
      <c r="AE594" s="54"/>
      <c r="AF594" s="3" t="str">
        <f t="shared" si="139"/>
        <v>A</v>
      </c>
      <c r="AG594" s="48">
        <v>0</v>
      </c>
      <c r="AH594" s="48">
        <v>0</v>
      </c>
      <c r="AI594" s="39"/>
      <c r="AJ594" s="79" t="s">
        <v>1801</v>
      </c>
      <c r="AK594" s="39"/>
      <c r="AL594" s="4">
        <f t="shared" si="129"/>
        <v>240009</v>
      </c>
      <c r="AM594" s="4">
        <f t="shared" si="129"/>
        <v>37535</v>
      </c>
      <c r="AN594" s="4">
        <f t="shared" si="140"/>
        <v>277544</v>
      </c>
      <c r="AO594" s="39"/>
      <c r="AP594" s="8">
        <f t="shared" si="130"/>
        <v>0</v>
      </c>
      <c r="AQ594" s="8">
        <f t="shared" si="130"/>
        <v>0</v>
      </c>
      <c r="AR594" s="8">
        <f t="shared" si="141"/>
        <v>0</v>
      </c>
      <c r="AS594" s="42"/>
      <c r="AT594" s="48">
        <v>240009</v>
      </c>
      <c r="AU594" s="48">
        <v>37535</v>
      </c>
      <c r="AV594" s="4">
        <f t="shared" si="142"/>
        <v>277544</v>
      </c>
      <c r="AW594" s="50" t="str">
        <f t="shared" si="143"/>
        <v/>
      </c>
      <c r="AX594" s="1" t="s">
        <v>1639</v>
      </c>
      <c r="AY594" s="2" t="s">
        <v>1640</v>
      </c>
      <c r="AZ594" s="2">
        <v>78860.800000000003</v>
      </c>
      <c r="BA594" s="73">
        <v>69003.199999999997</v>
      </c>
      <c r="BB594" s="73">
        <v>69003.199999999997</v>
      </c>
      <c r="BC594" s="73">
        <v>78860.800000000003</v>
      </c>
      <c r="BD594" s="73"/>
      <c r="BE594" s="66">
        <v>0</v>
      </c>
      <c r="BF594" s="66">
        <v>0.02</v>
      </c>
      <c r="BG594" s="63">
        <v>45315</v>
      </c>
      <c r="BH594" s="2"/>
      <c r="BI594" s="2"/>
      <c r="BJ594" s="2">
        <v>301788</v>
      </c>
      <c r="BK594" s="2"/>
      <c r="BL594" s="1" t="s">
        <v>219</v>
      </c>
    </row>
    <row r="595" spans="1:64" x14ac:dyDescent="0.25">
      <c r="A595" s="56" t="s">
        <v>1374</v>
      </c>
      <c r="B595" s="54" t="s">
        <v>1570</v>
      </c>
      <c r="C595" s="56" t="s">
        <v>1571</v>
      </c>
      <c r="D595" s="16">
        <v>0</v>
      </c>
      <c r="E595" s="17"/>
      <c r="F595" s="2" t="s">
        <v>243</v>
      </c>
      <c r="G595" s="2" t="s">
        <v>245</v>
      </c>
      <c r="H595" s="10" t="s">
        <v>105</v>
      </c>
      <c r="I595" s="11" t="s">
        <v>244</v>
      </c>
      <c r="J595" s="11" t="s">
        <v>1202</v>
      </c>
      <c r="K595" s="61" t="s">
        <v>335</v>
      </c>
      <c r="L595" s="11" t="s">
        <v>67</v>
      </c>
      <c r="M595" s="25"/>
      <c r="N595" s="54"/>
      <c r="O595" s="3" t="str">
        <f t="shared" si="135"/>
        <v>A</v>
      </c>
      <c r="P595" s="48">
        <v>42705</v>
      </c>
      <c r="Q595" s="48">
        <v>2370</v>
      </c>
      <c r="R595" s="32"/>
      <c r="S595" s="3" t="str">
        <f>IF($A595="","",IF(T595=BA595,"E","A"))</f>
        <v>A</v>
      </c>
      <c r="T595" s="48">
        <v>38877</v>
      </c>
      <c r="U595" s="48">
        <v>1680</v>
      </c>
      <c r="V595" s="32"/>
      <c r="W595" s="3" t="str">
        <f t="shared" si="137"/>
        <v>A</v>
      </c>
      <c r="X595" s="48">
        <v>24914.5</v>
      </c>
      <c r="Y595" s="48">
        <v>1070</v>
      </c>
      <c r="Z595" s="32"/>
      <c r="AA595" s="3" t="str">
        <f t="shared" si="138"/>
        <v>A</v>
      </c>
      <c r="AB595" s="48">
        <v>30003.5</v>
      </c>
      <c r="AC595" s="48">
        <v>925</v>
      </c>
      <c r="AD595" s="36"/>
      <c r="AE595" s="54"/>
      <c r="AF595" s="3" t="str">
        <f t="shared" si="139"/>
        <v>A</v>
      </c>
      <c r="AG595" s="48">
        <v>0</v>
      </c>
      <c r="AH595" s="48">
        <v>0</v>
      </c>
      <c r="AI595" s="39"/>
      <c r="AJ595" s="79" t="s">
        <v>1801</v>
      </c>
      <c r="AK595" s="39"/>
      <c r="AL595" s="4">
        <f t="shared" si="129"/>
        <v>136500</v>
      </c>
      <c r="AM595" s="4">
        <f t="shared" si="129"/>
        <v>6045</v>
      </c>
      <c r="AN595" s="4">
        <f t="shared" si="140"/>
        <v>142545</v>
      </c>
      <c r="AO595" s="39"/>
      <c r="AP595" s="8">
        <f t="shared" si="130"/>
        <v>0</v>
      </c>
      <c r="AQ595" s="8">
        <f t="shared" si="130"/>
        <v>0</v>
      </c>
      <c r="AR595" s="8">
        <f t="shared" si="141"/>
        <v>0</v>
      </c>
      <c r="AS595" s="42"/>
      <c r="AT595" s="48">
        <v>136500</v>
      </c>
      <c r="AU595" s="48">
        <v>6045</v>
      </c>
      <c r="AV595" s="4">
        <f t="shared" si="142"/>
        <v>142545</v>
      </c>
      <c r="AW595" s="50" t="str">
        <f t="shared" si="143"/>
        <v/>
      </c>
      <c r="AX595" s="1" t="s">
        <v>1639</v>
      </c>
      <c r="AY595" s="2" t="s">
        <v>1640</v>
      </c>
      <c r="AZ595" s="2">
        <v>51234.720000000001</v>
      </c>
      <c r="BA595" s="73">
        <v>44830.38</v>
      </c>
      <c r="BB595" s="73">
        <v>44830.38</v>
      </c>
      <c r="BC595" s="73">
        <v>51234.720000000001</v>
      </c>
      <c r="BD595" s="73"/>
      <c r="BE595" s="66">
        <v>0</v>
      </c>
      <c r="BF595" s="66">
        <v>0.02</v>
      </c>
      <c r="BG595" s="63">
        <v>45315</v>
      </c>
      <c r="BH595" s="2"/>
      <c r="BI595" s="2"/>
      <c r="BJ595" s="2">
        <v>190032</v>
      </c>
      <c r="BK595" s="2"/>
      <c r="BL595" s="1" t="s">
        <v>219</v>
      </c>
    </row>
    <row r="596" spans="1:64" x14ac:dyDescent="0.25">
      <c r="A596" s="56" t="s">
        <v>1378</v>
      </c>
      <c r="B596" s="54" t="s">
        <v>1378</v>
      </c>
      <c r="C596" s="56" t="s">
        <v>1379</v>
      </c>
      <c r="D596" s="16">
        <v>45252</v>
      </c>
      <c r="E596" s="17"/>
      <c r="F596" s="2" t="s">
        <v>109</v>
      </c>
      <c r="G596" s="2" t="s">
        <v>111</v>
      </c>
      <c r="H596" s="10" t="s">
        <v>105</v>
      </c>
      <c r="I596" s="11" t="s">
        <v>110</v>
      </c>
      <c r="J596" s="11" t="s">
        <v>112</v>
      </c>
      <c r="K596" s="61" t="s">
        <v>113</v>
      </c>
      <c r="L596" s="11" t="s">
        <v>67</v>
      </c>
      <c r="M596" s="25"/>
      <c r="N596" s="54"/>
      <c r="O596" s="3" t="str">
        <f t="shared" si="135"/>
        <v>A</v>
      </c>
      <c r="P596" s="48">
        <v>89638</v>
      </c>
      <c r="Q596" s="48">
        <v>10305</v>
      </c>
      <c r="R596" s="32"/>
      <c r="S596" s="3" t="str">
        <f>IF($A596="","",IF(T596=0,"A",IF(T596=BA596,"E","A")))</f>
        <v>A</v>
      </c>
      <c r="T596" s="48">
        <v>78035</v>
      </c>
      <c r="U596" s="48">
        <v>11001</v>
      </c>
      <c r="V596" s="32"/>
      <c r="W596" s="3" t="str">
        <f t="shared" si="137"/>
        <v>A</v>
      </c>
      <c r="X596" s="48">
        <v>75423</v>
      </c>
      <c r="Y596" s="48">
        <v>10205</v>
      </c>
      <c r="Z596" s="32"/>
      <c r="AA596" s="3" t="str">
        <f t="shared" si="138"/>
        <v>A</v>
      </c>
      <c r="AB596" s="48">
        <v>78901</v>
      </c>
      <c r="AC596" s="48">
        <v>9251</v>
      </c>
      <c r="AD596" s="36"/>
      <c r="AE596" s="54"/>
      <c r="AF596" s="3" t="str">
        <f t="shared" si="139"/>
        <v>A</v>
      </c>
      <c r="AG596" s="48">
        <v>0</v>
      </c>
      <c r="AH596" s="48">
        <v>0</v>
      </c>
      <c r="AI596" s="39"/>
      <c r="AJ596" s="79" t="s">
        <v>1801</v>
      </c>
      <c r="AK596" s="39"/>
      <c r="AL596" s="4">
        <f t="shared" si="129"/>
        <v>321997</v>
      </c>
      <c r="AM596" s="4">
        <f t="shared" si="129"/>
        <v>40762</v>
      </c>
      <c r="AN596" s="4">
        <f t="shared" si="140"/>
        <v>362759</v>
      </c>
      <c r="AO596" s="39"/>
      <c r="AP596" s="8">
        <f t="shared" si="130"/>
        <v>0</v>
      </c>
      <c r="AQ596" s="8">
        <f t="shared" si="130"/>
        <v>0</v>
      </c>
      <c r="AR596" s="8">
        <f t="shared" si="141"/>
        <v>0</v>
      </c>
      <c r="AS596" s="42"/>
      <c r="AT596" s="48">
        <v>321997</v>
      </c>
      <c r="AU596" s="48">
        <v>40762</v>
      </c>
      <c r="AV596" s="4">
        <f t="shared" si="142"/>
        <v>362759</v>
      </c>
      <c r="AW596" s="50" t="str">
        <f t="shared" si="143"/>
        <v/>
      </c>
      <c r="AX596" s="1" t="s">
        <v>1647</v>
      </c>
      <c r="AY596" s="2" t="s">
        <v>1640</v>
      </c>
      <c r="AZ596" s="2">
        <v>186985.68</v>
      </c>
      <c r="BA596" s="73">
        <v>163612.47</v>
      </c>
      <c r="BB596" s="73">
        <v>163612.47</v>
      </c>
      <c r="BC596" s="73">
        <v>186985.68</v>
      </c>
      <c r="BD596" s="73"/>
      <c r="BE596" s="66">
        <v>0</v>
      </c>
      <c r="BF596" s="66">
        <v>0.02</v>
      </c>
      <c r="BG596" s="63">
        <v>45252</v>
      </c>
      <c r="BH596" s="2"/>
      <c r="BI596" s="2"/>
      <c r="BJ596" s="2">
        <v>697620</v>
      </c>
      <c r="BK596" s="2">
        <v>36625.050000000003</v>
      </c>
      <c r="BL596" s="1" t="s">
        <v>311</v>
      </c>
    </row>
    <row r="597" spans="1:64" x14ac:dyDescent="0.25">
      <c r="A597" s="56" t="s">
        <v>1380</v>
      </c>
      <c r="B597" s="54" t="s">
        <v>1380</v>
      </c>
      <c r="C597" s="56" t="s">
        <v>1381</v>
      </c>
      <c r="D597" s="16">
        <v>0</v>
      </c>
      <c r="E597" s="17"/>
      <c r="F597" s="2" t="s">
        <v>109</v>
      </c>
      <c r="G597" s="2" t="s">
        <v>111</v>
      </c>
      <c r="H597" s="10" t="s">
        <v>105</v>
      </c>
      <c r="I597" s="11" t="s">
        <v>110</v>
      </c>
      <c r="J597" s="11" t="s">
        <v>229</v>
      </c>
      <c r="K597" s="61" t="s">
        <v>230</v>
      </c>
      <c r="L597" s="11" t="s">
        <v>67</v>
      </c>
      <c r="M597" s="25"/>
      <c r="N597" s="54"/>
      <c r="O597" s="3" t="str">
        <f t="shared" si="135"/>
        <v>A</v>
      </c>
      <c r="P597" s="48">
        <v>83619</v>
      </c>
      <c r="Q597" s="48">
        <v>16837</v>
      </c>
      <c r="R597" s="32"/>
      <c r="S597" s="3" t="str">
        <f>IF($A597="","",IF(T597=0,"A",IF(T597=BA597,"E","A")))</f>
        <v>A</v>
      </c>
      <c r="T597" s="48">
        <v>83592</v>
      </c>
      <c r="U597" s="48">
        <v>12345</v>
      </c>
      <c r="V597" s="32"/>
      <c r="W597" s="3" t="str">
        <f t="shared" si="137"/>
        <v>A</v>
      </c>
      <c r="X597" s="48">
        <v>83065.8</v>
      </c>
      <c r="Y597" s="48">
        <v>14186</v>
      </c>
      <c r="Z597" s="32"/>
      <c r="AA597" s="3" t="str">
        <f t="shared" si="138"/>
        <v>A</v>
      </c>
      <c r="AB597" s="48">
        <v>90367</v>
      </c>
      <c r="AC597" s="48">
        <v>14986</v>
      </c>
      <c r="AD597" s="36"/>
      <c r="AE597" s="54"/>
      <c r="AF597" s="3" t="str">
        <f t="shared" si="139"/>
        <v>A</v>
      </c>
      <c r="AG597" s="48">
        <v>0</v>
      </c>
      <c r="AH597" s="48">
        <v>0</v>
      </c>
      <c r="AI597" s="39"/>
      <c r="AJ597" s="79" t="s">
        <v>1801</v>
      </c>
      <c r="AK597" s="39"/>
      <c r="AL597" s="4">
        <f t="shared" si="129"/>
        <v>340643.8</v>
      </c>
      <c r="AM597" s="4">
        <f t="shared" si="129"/>
        <v>58354</v>
      </c>
      <c r="AN597" s="4">
        <f t="shared" si="140"/>
        <v>398997.8</v>
      </c>
      <c r="AO597" s="39"/>
      <c r="AP597" s="8">
        <f t="shared" si="130"/>
        <v>0</v>
      </c>
      <c r="AQ597" s="8">
        <f t="shared" si="130"/>
        <v>0</v>
      </c>
      <c r="AR597" s="8">
        <f t="shared" si="141"/>
        <v>0</v>
      </c>
      <c r="AS597" s="42"/>
      <c r="AT597" s="48">
        <v>340643.8</v>
      </c>
      <c r="AU597" s="48">
        <v>58354</v>
      </c>
      <c r="AV597" s="4">
        <f t="shared" si="142"/>
        <v>398997.8</v>
      </c>
      <c r="AW597" s="50" t="str">
        <f t="shared" si="143"/>
        <v/>
      </c>
      <c r="AX597" s="1" t="s">
        <v>1647</v>
      </c>
      <c r="AY597" s="2" t="s">
        <v>1640</v>
      </c>
      <c r="AZ597" s="2">
        <v>205234.4</v>
      </c>
      <c r="BA597" s="73">
        <v>179580.1</v>
      </c>
      <c r="BB597" s="73">
        <v>179580.1</v>
      </c>
      <c r="BC597" s="73">
        <v>205234.4</v>
      </c>
      <c r="BD597" s="73"/>
      <c r="BE597" s="66">
        <v>0</v>
      </c>
      <c r="BF597" s="66">
        <v>0.02</v>
      </c>
      <c r="BG597" s="63">
        <v>45296</v>
      </c>
      <c r="BH597" s="2"/>
      <c r="BI597" s="2"/>
      <c r="BJ597" s="2">
        <v>785400</v>
      </c>
      <c r="BK597" s="2">
        <v>41233.5</v>
      </c>
      <c r="BL597" s="1" t="s">
        <v>219</v>
      </c>
    </row>
    <row r="598" spans="1:64" x14ac:dyDescent="0.25">
      <c r="A598" s="56" t="s">
        <v>1313</v>
      </c>
      <c r="B598" s="54" t="s">
        <v>1314</v>
      </c>
      <c r="C598" s="56" t="s">
        <v>1315</v>
      </c>
      <c r="D598" s="16">
        <v>0</v>
      </c>
      <c r="E598" s="17"/>
      <c r="F598" s="2" t="s">
        <v>243</v>
      </c>
      <c r="G598" s="2" t="s">
        <v>245</v>
      </c>
      <c r="H598" s="10" t="s">
        <v>98</v>
      </c>
      <c r="I598" s="11" t="s">
        <v>244</v>
      </c>
      <c r="J598" s="11" t="s">
        <v>246</v>
      </c>
      <c r="K598" s="61" t="s">
        <v>247</v>
      </c>
      <c r="L598" s="11" t="s">
        <v>67</v>
      </c>
      <c r="M598" s="25"/>
      <c r="N598" s="54"/>
      <c r="O598" s="3" t="str">
        <f t="shared" si="135"/>
        <v>A</v>
      </c>
      <c r="P598" s="48">
        <v>47290</v>
      </c>
      <c r="Q598" s="48">
        <v>3902</v>
      </c>
      <c r="R598" s="32"/>
      <c r="S598" s="3" t="str">
        <f>IF($A598="","",IF(T598=0,"A",IF(T598=BA598,"E","A")))</f>
        <v>A</v>
      </c>
      <c r="T598" s="48">
        <v>43915</v>
      </c>
      <c r="U598" s="48">
        <v>3672</v>
      </c>
      <c r="V598" s="32"/>
      <c r="W598" s="3" t="str">
        <f t="shared" si="137"/>
        <v>A</v>
      </c>
      <c r="X598" s="48">
        <v>37524</v>
      </c>
      <c r="Y598" s="48">
        <v>3149</v>
      </c>
      <c r="Z598" s="32"/>
      <c r="AA598" s="3" t="str">
        <f t="shared" si="138"/>
        <v>A</v>
      </c>
      <c r="AB598" s="48">
        <v>44485</v>
      </c>
      <c r="AC598" s="48">
        <v>3252</v>
      </c>
      <c r="AD598" s="36"/>
      <c r="AE598" s="54"/>
      <c r="AF598" s="3" t="str">
        <f t="shared" si="139"/>
        <v>A</v>
      </c>
      <c r="AG598" s="48">
        <v>0</v>
      </c>
      <c r="AH598" s="48">
        <v>0</v>
      </c>
      <c r="AI598" s="39"/>
      <c r="AJ598" s="79" t="s">
        <v>1801</v>
      </c>
      <c r="AK598" s="39"/>
      <c r="AL598" s="4">
        <f t="shared" si="129"/>
        <v>173214</v>
      </c>
      <c r="AM598" s="4">
        <f t="shared" si="129"/>
        <v>13975</v>
      </c>
      <c r="AN598" s="4">
        <f t="shared" si="140"/>
        <v>187189</v>
      </c>
      <c r="AO598" s="39"/>
      <c r="AP598" s="8">
        <f t="shared" si="130"/>
        <v>0</v>
      </c>
      <c r="AQ598" s="8">
        <f t="shared" si="130"/>
        <v>0</v>
      </c>
      <c r="AR598" s="8">
        <f t="shared" si="141"/>
        <v>0</v>
      </c>
      <c r="AS598" s="42"/>
      <c r="AT598" s="48">
        <v>173214</v>
      </c>
      <c r="AU598" s="48">
        <v>13975</v>
      </c>
      <c r="AV598" s="4">
        <f t="shared" si="142"/>
        <v>187189</v>
      </c>
      <c r="AW598" s="50" t="str">
        <f t="shared" si="143"/>
        <v/>
      </c>
      <c r="AX598" s="1" t="s">
        <v>1639</v>
      </c>
      <c r="AY598" s="2" t="s">
        <v>1640</v>
      </c>
      <c r="AZ598" s="2">
        <v>70288.240000000005</v>
      </c>
      <c r="BA598" s="73">
        <v>61502.21</v>
      </c>
      <c r="BB598" s="73">
        <v>61502.21</v>
      </c>
      <c r="BC598" s="73">
        <v>70288.240000000005</v>
      </c>
      <c r="BD598" s="73"/>
      <c r="BE598" s="66">
        <v>0</v>
      </c>
      <c r="BF598" s="66">
        <v>0.02</v>
      </c>
      <c r="BG598" s="63">
        <v>45140</v>
      </c>
      <c r="BH598" s="2"/>
      <c r="BI598" s="2"/>
      <c r="BJ598" s="2">
        <v>252000</v>
      </c>
      <c r="BK598" s="2"/>
      <c r="BL598" s="1" t="s">
        <v>97</v>
      </c>
    </row>
    <row r="599" spans="1:64" x14ac:dyDescent="0.25">
      <c r="A599" s="56" t="s">
        <v>1313</v>
      </c>
      <c r="B599" s="54" t="s">
        <v>1313</v>
      </c>
      <c r="C599" s="56" t="s">
        <v>1393</v>
      </c>
      <c r="D599" s="16">
        <v>45281</v>
      </c>
      <c r="E599" s="17"/>
      <c r="F599" s="2" t="s">
        <v>243</v>
      </c>
      <c r="G599" s="2" t="s">
        <v>245</v>
      </c>
      <c r="H599" s="10" t="s">
        <v>98</v>
      </c>
      <c r="I599" s="11" t="s">
        <v>244</v>
      </c>
      <c r="J599" s="11" t="s">
        <v>246</v>
      </c>
      <c r="K599" s="61" t="s">
        <v>247</v>
      </c>
      <c r="L599" s="11" t="s">
        <v>67</v>
      </c>
      <c r="M599" s="25"/>
      <c r="N599" s="54"/>
      <c r="O599" s="3" t="str">
        <f t="shared" si="135"/>
        <v>A</v>
      </c>
      <c r="P599" s="48">
        <v>46599</v>
      </c>
      <c r="Q599" s="48">
        <v>4709</v>
      </c>
      <c r="R599" s="32"/>
      <c r="S599" s="3" t="str">
        <f t="shared" ref="S599:S608" si="145">IF($A599="","",IF(T599=BA599,"E","A"))</f>
        <v>A</v>
      </c>
      <c r="T599" s="48">
        <v>39977</v>
      </c>
      <c r="U599" s="48">
        <v>3166</v>
      </c>
      <c r="V599" s="32"/>
      <c r="W599" s="3" t="str">
        <f t="shared" si="137"/>
        <v>A</v>
      </c>
      <c r="X599" s="48">
        <v>32759</v>
      </c>
      <c r="Y599" s="48">
        <v>3031</v>
      </c>
      <c r="Z599" s="32"/>
      <c r="AA599" s="3" t="str">
        <f t="shared" si="138"/>
        <v>A</v>
      </c>
      <c r="AB599" s="48">
        <v>43956</v>
      </c>
      <c r="AC599" s="48">
        <v>2820</v>
      </c>
      <c r="AD599" s="36"/>
      <c r="AE599" s="54"/>
      <c r="AF599" s="3" t="str">
        <f t="shared" si="139"/>
        <v>A</v>
      </c>
      <c r="AG599" s="48">
        <v>0</v>
      </c>
      <c r="AH599" s="48">
        <v>0</v>
      </c>
      <c r="AI599" s="39"/>
      <c r="AJ599" s="79" t="s">
        <v>1801</v>
      </c>
      <c r="AK599" s="39"/>
      <c r="AL599" s="4">
        <f t="shared" si="129"/>
        <v>163291</v>
      </c>
      <c r="AM599" s="4">
        <f t="shared" si="129"/>
        <v>13726</v>
      </c>
      <c r="AN599" s="4">
        <f t="shared" si="140"/>
        <v>177017</v>
      </c>
      <c r="AO599" s="39"/>
      <c r="AP599" s="8">
        <f t="shared" si="130"/>
        <v>0</v>
      </c>
      <c r="AQ599" s="8">
        <f t="shared" si="130"/>
        <v>0</v>
      </c>
      <c r="AR599" s="8">
        <f t="shared" si="141"/>
        <v>0</v>
      </c>
      <c r="AS599" s="42"/>
      <c r="AT599" s="48">
        <v>163291</v>
      </c>
      <c r="AU599" s="48">
        <v>13726</v>
      </c>
      <c r="AV599" s="4">
        <f t="shared" si="142"/>
        <v>177017</v>
      </c>
      <c r="AW599" s="50" t="str">
        <f t="shared" si="143"/>
        <v/>
      </c>
      <c r="AX599" s="1" t="s">
        <v>1639</v>
      </c>
      <c r="AY599" s="2" t="s">
        <v>1640</v>
      </c>
      <c r="AZ599" s="2">
        <v>131440.95999999999</v>
      </c>
      <c r="BA599" s="73">
        <v>115010.84</v>
      </c>
      <c r="BB599" s="73">
        <v>115010.84</v>
      </c>
      <c r="BC599" s="73">
        <v>131440.95999999999</v>
      </c>
      <c r="BD599" s="73"/>
      <c r="BE599" s="66">
        <v>0</v>
      </c>
      <c r="BF599" s="66">
        <v>0.02</v>
      </c>
      <c r="BG599" s="63">
        <v>45280</v>
      </c>
      <c r="BH599" s="2"/>
      <c r="BI599" s="2"/>
      <c r="BJ599" s="2">
        <v>500010</v>
      </c>
      <c r="BK599" s="2">
        <v>26250.53</v>
      </c>
      <c r="BL599" s="1" t="s">
        <v>97</v>
      </c>
    </row>
    <row r="600" spans="1:64" x14ac:dyDescent="0.25">
      <c r="A600" s="56" t="s">
        <v>1402</v>
      </c>
      <c r="B600" s="54" t="s">
        <v>1402</v>
      </c>
      <c r="C600" s="56" t="s">
        <v>1403</v>
      </c>
      <c r="D600" s="16">
        <v>45322</v>
      </c>
      <c r="E600" s="17"/>
      <c r="F600" s="2" t="s">
        <v>243</v>
      </c>
      <c r="G600" s="2" t="s">
        <v>245</v>
      </c>
      <c r="H600" s="10" t="s">
        <v>57</v>
      </c>
      <c r="I600" s="11" t="s">
        <v>244</v>
      </c>
      <c r="J600" s="11" t="s">
        <v>486</v>
      </c>
      <c r="K600" s="61" t="s">
        <v>487</v>
      </c>
      <c r="L600" s="11" t="s">
        <v>67</v>
      </c>
      <c r="M600" s="25"/>
      <c r="N600" s="54"/>
      <c r="O600" s="3" t="str">
        <f t="shared" si="135"/>
        <v>A</v>
      </c>
      <c r="P600" s="48">
        <v>21329</v>
      </c>
      <c r="Q600" s="48">
        <v>5292</v>
      </c>
      <c r="R600" s="32"/>
      <c r="S600" s="3" t="str">
        <f t="shared" si="145"/>
        <v>A</v>
      </c>
      <c r="T600" s="48">
        <v>17136</v>
      </c>
      <c r="U600" s="48">
        <v>4092</v>
      </c>
      <c r="V600" s="32"/>
      <c r="W600" s="3" t="str">
        <f t="shared" si="137"/>
        <v>A</v>
      </c>
      <c r="X600" s="48">
        <v>13404</v>
      </c>
      <c r="Y600" s="48">
        <v>2783</v>
      </c>
      <c r="Z600" s="32"/>
      <c r="AA600" s="3" t="str">
        <f t="shared" si="138"/>
        <v>A</v>
      </c>
      <c r="AB600" s="48">
        <v>16015</v>
      </c>
      <c r="AC600" s="48">
        <v>2458</v>
      </c>
      <c r="AD600" s="36"/>
      <c r="AE600" s="54"/>
      <c r="AF600" s="3" t="str">
        <f t="shared" si="139"/>
        <v>A</v>
      </c>
      <c r="AG600" s="48">
        <v>0</v>
      </c>
      <c r="AH600" s="48">
        <v>0</v>
      </c>
      <c r="AI600" s="39"/>
      <c r="AJ600" s="79" t="s">
        <v>1801</v>
      </c>
      <c r="AK600" s="39"/>
      <c r="AL600" s="4">
        <f t="shared" ref="AL600:AM663" si="146">IF($O600="A",P600,0)+IF($S600="A",T600,0)+IF($W600="A",X600,0)+IF($AA600="A",AB600,0)+IF($AF600="A",AG600,0)</f>
        <v>67884</v>
      </c>
      <c r="AM600" s="4">
        <f t="shared" si="146"/>
        <v>14625</v>
      </c>
      <c r="AN600" s="4">
        <f t="shared" si="140"/>
        <v>82509</v>
      </c>
      <c r="AO600" s="39"/>
      <c r="AP600" s="8">
        <f t="shared" ref="AP600:AQ663" si="147">IF($O600="E",P600,0)+IF($S600="E",T600,0)+IF($W600="E",X600,0)+IF($AA600="E",AB600,0)+IF($AF600="E",AG600,0)</f>
        <v>0</v>
      </c>
      <c r="AQ600" s="8">
        <f t="shared" si="147"/>
        <v>0</v>
      </c>
      <c r="AR600" s="8">
        <f t="shared" si="141"/>
        <v>0</v>
      </c>
      <c r="AS600" s="42"/>
      <c r="AT600" s="48">
        <v>67884</v>
      </c>
      <c r="AU600" s="48">
        <v>14625</v>
      </c>
      <c r="AV600" s="4">
        <f t="shared" si="142"/>
        <v>82509</v>
      </c>
      <c r="AW600" s="50" t="str">
        <f t="shared" si="143"/>
        <v/>
      </c>
      <c r="AX600" s="1" t="s">
        <v>1639</v>
      </c>
      <c r="AY600" s="2" t="s">
        <v>1640</v>
      </c>
      <c r="AZ600" s="2">
        <v>65341.04</v>
      </c>
      <c r="BA600" s="73">
        <v>57173.41</v>
      </c>
      <c r="BB600" s="73">
        <v>57173.41</v>
      </c>
      <c r="BC600" s="73">
        <v>65341.04</v>
      </c>
      <c r="BD600" s="73"/>
      <c r="BE600" s="66">
        <v>0</v>
      </c>
      <c r="BF600" s="66">
        <v>0.02</v>
      </c>
      <c r="BG600" s="63">
        <v>45315</v>
      </c>
      <c r="BH600" s="2"/>
      <c r="BI600" s="2"/>
      <c r="BJ600" s="2">
        <v>250050</v>
      </c>
      <c r="BK600" s="2">
        <v>13127.63</v>
      </c>
      <c r="BL600" s="1" t="s">
        <v>56</v>
      </c>
    </row>
    <row r="601" spans="1:64" x14ac:dyDescent="0.25">
      <c r="A601" s="56" t="s">
        <v>1404</v>
      </c>
      <c r="B601" s="54" t="s">
        <v>1404</v>
      </c>
      <c r="C601" s="56" t="s">
        <v>1405</v>
      </c>
      <c r="D601" s="16">
        <v>0</v>
      </c>
      <c r="E601" s="17"/>
      <c r="F601" s="2" t="s">
        <v>1164</v>
      </c>
      <c r="G601" s="2" t="s">
        <v>1165</v>
      </c>
      <c r="H601" s="10" t="s">
        <v>57</v>
      </c>
      <c r="I601" s="11" t="s">
        <v>53</v>
      </c>
      <c r="J601" s="11" t="s">
        <v>1166</v>
      </c>
      <c r="K601" s="61"/>
      <c r="L601" s="11" t="s">
        <v>67</v>
      </c>
      <c r="M601" s="25"/>
      <c r="N601" s="54"/>
      <c r="O601" s="3" t="str">
        <f t="shared" si="135"/>
        <v>A</v>
      </c>
      <c r="P601" s="48">
        <v>8214</v>
      </c>
      <c r="Q601" s="48">
        <v>2810</v>
      </c>
      <c r="R601" s="32"/>
      <c r="S601" s="3" t="str">
        <f t="shared" si="145"/>
        <v>A</v>
      </c>
      <c r="T601" s="48">
        <v>16788</v>
      </c>
      <c r="U601" s="48">
        <v>1792</v>
      </c>
      <c r="V601" s="32"/>
      <c r="W601" s="3" t="str">
        <f t="shared" si="137"/>
        <v>A</v>
      </c>
      <c r="X601" s="48">
        <v>9353</v>
      </c>
      <c r="Y601" s="48">
        <v>2324</v>
      </c>
      <c r="Z601" s="32"/>
      <c r="AA601" s="3" t="str">
        <f t="shared" si="138"/>
        <v>A</v>
      </c>
      <c r="AB601" s="48">
        <v>10527</v>
      </c>
      <c r="AC601" s="48">
        <v>4986</v>
      </c>
      <c r="AD601" s="36"/>
      <c r="AE601" s="54"/>
      <c r="AF601" s="3" t="str">
        <f t="shared" si="139"/>
        <v>A</v>
      </c>
      <c r="AG601" s="48">
        <v>0</v>
      </c>
      <c r="AH601" s="48">
        <v>0</v>
      </c>
      <c r="AI601" s="39"/>
      <c r="AJ601" s="79" t="s">
        <v>1801</v>
      </c>
      <c r="AK601" s="39"/>
      <c r="AL601" s="4">
        <f t="shared" si="146"/>
        <v>44882</v>
      </c>
      <c r="AM601" s="4">
        <f t="shared" si="146"/>
        <v>11912</v>
      </c>
      <c r="AN601" s="4">
        <f t="shared" si="140"/>
        <v>56794</v>
      </c>
      <c r="AO601" s="39"/>
      <c r="AP601" s="8">
        <f t="shared" si="147"/>
        <v>0</v>
      </c>
      <c r="AQ601" s="8">
        <f t="shared" si="147"/>
        <v>0</v>
      </c>
      <c r="AR601" s="8">
        <f t="shared" si="141"/>
        <v>0</v>
      </c>
      <c r="AS601" s="42"/>
      <c r="AT601" s="48">
        <v>44882</v>
      </c>
      <c r="AU601" s="48">
        <v>11912</v>
      </c>
      <c r="AV601" s="4">
        <f t="shared" si="142"/>
        <v>56794</v>
      </c>
      <c r="AW601" s="50" t="str">
        <f t="shared" si="143"/>
        <v/>
      </c>
      <c r="AX601" s="1" t="s">
        <v>1762</v>
      </c>
      <c r="AY601" s="2" t="s">
        <v>1763</v>
      </c>
      <c r="AZ601" s="2">
        <v>134049.68</v>
      </c>
      <c r="BA601" s="73">
        <v>117293.47</v>
      </c>
      <c r="BB601" s="73">
        <v>117293.47</v>
      </c>
      <c r="BC601" s="73">
        <v>134049.68</v>
      </c>
      <c r="BD601" s="73"/>
      <c r="BE601" s="66">
        <v>0</v>
      </c>
      <c r="BF601" s="66">
        <v>0.05</v>
      </c>
      <c r="BG601" s="63">
        <v>45280</v>
      </c>
      <c r="BH601" s="2"/>
      <c r="BI601" s="2"/>
      <c r="BJ601" s="2">
        <v>509933.81</v>
      </c>
      <c r="BK601" s="2">
        <v>56659.31</v>
      </c>
      <c r="BL601" s="1" t="s">
        <v>56</v>
      </c>
    </row>
    <row r="602" spans="1:64" x14ac:dyDescent="0.25">
      <c r="A602" s="56" t="s">
        <v>1406</v>
      </c>
      <c r="B602" s="54" t="s">
        <v>1406</v>
      </c>
      <c r="C602" s="56" t="s">
        <v>1407</v>
      </c>
      <c r="D602" s="16">
        <v>45277</v>
      </c>
      <c r="E602" s="17"/>
      <c r="F602" s="2" t="s">
        <v>1164</v>
      </c>
      <c r="G602" s="2" t="s">
        <v>1165</v>
      </c>
      <c r="H602" s="10" t="s">
        <v>57</v>
      </c>
      <c r="I602" s="11" t="s">
        <v>53</v>
      </c>
      <c r="J602" s="11" t="s">
        <v>1408</v>
      </c>
      <c r="K602" s="61"/>
      <c r="L602" s="11" t="s">
        <v>67</v>
      </c>
      <c r="M602" s="25"/>
      <c r="N602" s="54"/>
      <c r="O602" s="3" t="str">
        <f t="shared" si="135"/>
        <v>A</v>
      </c>
      <c r="P602" s="48">
        <v>40165</v>
      </c>
      <c r="Q602" s="48">
        <v>5660</v>
      </c>
      <c r="R602" s="32"/>
      <c r="S602" s="3" t="str">
        <f t="shared" si="145"/>
        <v>A</v>
      </c>
      <c r="T602" s="48">
        <v>41891</v>
      </c>
      <c r="U602" s="48">
        <v>4940</v>
      </c>
      <c r="V602" s="32"/>
      <c r="W602" s="3" t="str">
        <f t="shared" si="137"/>
        <v>A</v>
      </c>
      <c r="X602" s="48">
        <v>32528</v>
      </c>
      <c r="Y602" s="48">
        <v>3110</v>
      </c>
      <c r="Z602" s="32"/>
      <c r="AA602" s="3" t="str">
        <f t="shared" si="138"/>
        <v>A</v>
      </c>
      <c r="AB602" s="48">
        <v>39729</v>
      </c>
      <c r="AC602" s="48">
        <v>3358</v>
      </c>
      <c r="AD602" s="36"/>
      <c r="AE602" s="54"/>
      <c r="AF602" s="3" t="str">
        <f t="shared" si="139"/>
        <v>A</v>
      </c>
      <c r="AG602" s="48">
        <v>0</v>
      </c>
      <c r="AH602" s="48">
        <v>0</v>
      </c>
      <c r="AI602" s="39"/>
      <c r="AJ602" s="79" t="s">
        <v>1801</v>
      </c>
      <c r="AK602" s="39"/>
      <c r="AL602" s="4">
        <f t="shared" si="146"/>
        <v>154313</v>
      </c>
      <c r="AM602" s="4">
        <f t="shared" si="146"/>
        <v>17068</v>
      </c>
      <c r="AN602" s="4">
        <f t="shared" si="140"/>
        <v>171381</v>
      </c>
      <c r="AO602" s="39"/>
      <c r="AP602" s="8">
        <f t="shared" si="147"/>
        <v>0</v>
      </c>
      <c r="AQ602" s="8">
        <f t="shared" si="147"/>
        <v>0</v>
      </c>
      <c r="AR602" s="8">
        <f t="shared" si="141"/>
        <v>0</v>
      </c>
      <c r="AS602" s="42"/>
      <c r="AT602" s="48">
        <v>154313</v>
      </c>
      <c r="AU602" s="48">
        <v>17068</v>
      </c>
      <c r="AV602" s="4">
        <f t="shared" si="142"/>
        <v>171381</v>
      </c>
      <c r="AW602" s="50" t="str">
        <f t="shared" si="143"/>
        <v/>
      </c>
      <c r="AX602" s="1" t="s">
        <v>1762</v>
      </c>
      <c r="AY602" s="2" t="s">
        <v>1763</v>
      </c>
      <c r="AZ602" s="2">
        <v>129773.68</v>
      </c>
      <c r="BA602" s="73">
        <v>113551.97</v>
      </c>
      <c r="BB602" s="73">
        <v>113551.97</v>
      </c>
      <c r="BC602" s="73">
        <v>129773.68</v>
      </c>
      <c r="BD602" s="73"/>
      <c r="BE602" s="66">
        <v>0</v>
      </c>
      <c r="BF602" s="66">
        <v>0.05</v>
      </c>
      <c r="BG602" s="63">
        <v>45270</v>
      </c>
      <c r="BH602" s="2"/>
      <c r="BI602" s="2"/>
      <c r="BJ602" s="2">
        <v>493668</v>
      </c>
      <c r="BK602" s="2">
        <v>54852</v>
      </c>
      <c r="BL602" s="1" t="s">
        <v>56</v>
      </c>
    </row>
    <row r="603" spans="1:64" x14ac:dyDescent="0.25">
      <c r="A603" s="56" t="s">
        <v>1409</v>
      </c>
      <c r="B603" s="54" t="s">
        <v>1409</v>
      </c>
      <c r="C603" s="56" t="s">
        <v>1410</v>
      </c>
      <c r="D603" s="16">
        <v>45277</v>
      </c>
      <c r="E603" s="17"/>
      <c r="F603" s="2" t="s">
        <v>414</v>
      </c>
      <c r="G603" s="2" t="s">
        <v>415</v>
      </c>
      <c r="H603" s="10" t="s">
        <v>105</v>
      </c>
      <c r="I603" s="11" t="s">
        <v>53</v>
      </c>
      <c r="J603" s="11" t="s">
        <v>312</v>
      </c>
      <c r="K603" s="61"/>
      <c r="L603" s="11" t="s">
        <v>67</v>
      </c>
      <c r="M603" s="25"/>
      <c r="N603" s="54"/>
      <c r="O603" s="3" t="str">
        <f t="shared" si="135"/>
        <v>E</v>
      </c>
      <c r="P603" s="48">
        <v>108349.12</v>
      </c>
      <c r="Q603" s="48">
        <v>5194.4799999999996</v>
      </c>
      <c r="R603" s="32"/>
      <c r="S603" s="3" t="str">
        <f t="shared" si="145"/>
        <v>E</v>
      </c>
      <c r="T603" s="48">
        <v>94805.48</v>
      </c>
      <c r="U603" s="48">
        <v>4545.17</v>
      </c>
      <c r="V603" s="32"/>
      <c r="W603" s="3" t="str">
        <f t="shared" si="137"/>
        <v>E</v>
      </c>
      <c r="X603" s="48">
        <v>94805.48</v>
      </c>
      <c r="Y603" s="48">
        <v>4545.17</v>
      </c>
      <c r="Z603" s="32"/>
      <c r="AA603" s="3" t="str">
        <f t="shared" si="138"/>
        <v>E</v>
      </c>
      <c r="AB603" s="48">
        <v>108349.12</v>
      </c>
      <c r="AC603" s="48">
        <v>5194.4799999999996</v>
      </c>
      <c r="AD603" s="36"/>
      <c r="AE603" s="54"/>
      <c r="AF603" s="3" t="str">
        <f t="shared" si="139"/>
        <v>A</v>
      </c>
      <c r="AG603" s="48"/>
      <c r="AH603" s="48"/>
      <c r="AI603" s="39"/>
      <c r="AJ603" s="79" t="s">
        <v>38</v>
      </c>
      <c r="AK603" s="39"/>
      <c r="AL603" s="4">
        <f t="shared" si="146"/>
        <v>0</v>
      </c>
      <c r="AM603" s="4">
        <f t="shared" si="146"/>
        <v>0</v>
      </c>
      <c r="AN603" s="4">
        <f t="shared" si="140"/>
        <v>0</v>
      </c>
      <c r="AO603" s="39"/>
      <c r="AP603" s="8">
        <f t="shared" si="147"/>
        <v>406309.19999999995</v>
      </c>
      <c r="AQ603" s="8">
        <f t="shared" si="147"/>
        <v>19479.3</v>
      </c>
      <c r="AR603" s="8">
        <f t="shared" si="141"/>
        <v>425788.49999999994</v>
      </c>
      <c r="AS603" s="42"/>
      <c r="AT603" s="48"/>
      <c r="AU603" s="48"/>
      <c r="AV603" s="4">
        <f t="shared" si="142"/>
        <v>0</v>
      </c>
      <c r="AW603" s="50" t="str">
        <f t="shared" si="143"/>
        <v/>
      </c>
      <c r="AX603" s="1" t="s">
        <v>1703</v>
      </c>
      <c r="AY603" s="2" t="s">
        <v>1704</v>
      </c>
      <c r="AZ603" s="2">
        <v>108349.12</v>
      </c>
      <c r="BA603" s="73">
        <v>94805.48</v>
      </c>
      <c r="BB603" s="73">
        <v>94805.48</v>
      </c>
      <c r="BC603" s="73">
        <v>108349.12</v>
      </c>
      <c r="BD603" s="73"/>
      <c r="BE603" s="66">
        <v>0</v>
      </c>
      <c r="BF603" s="66">
        <v>0.05</v>
      </c>
      <c r="BG603" s="63">
        <v>45270</v>
      </c>
      <c r="BH603" s="2"/>
      <c r="BI603" s="2"/>
      <c r="BJ603" s="2">
        <v>412167</v>
      </c>
      <c r="BK603" s="2">
        <v>21638.77</v>
      </c>
      <c r="BL603" s="1" t="s">
        <v>104</v>
      </c>
    </row>
    <row r="604" spans="1:64" x14ac:dyDescent="0.25">
      <c r="A604" s="56" t="s">
        <v>1419</v>
      </c>
      <c r="B604" s="54" t="s">
        <v>1419</v>
      </c>
      <c r="C604" s="56" t="s">
        <v>1420</v>
      </c>
      <c r="D604" s="16">
        <v>45311</v>
      </c>
      <c r="E604" s="17"/>
      <c r="F604" s="2" t="s">
        <v>109</v>
      </c>
      <c r="G604" s="2" t="s">
        <v>111</v>
      </c>
      <c r="H604" s="10" t="s">
        <v>105</v>
      </c>
      <c r="I604" s="11" t="s">
        <v>110</v>
      </c>
      <c r="J604" s="11" t="s">
        <v>112</v>
      </c>
      <c r="K604" s="61" t="s">
        <v>113</v>
      </c>
      <c r="L604" s="11" t="s">
        <v>67</v>
      </c>
      <c r="M604" s="25"/>
      <c r="N604" s="54"/>
      <c r="O604" s="3" t="str">
        <f t="shared" si="135"/>
        <v>A</v>
      </c>
      <c r="P604" s="48">
        <v>151673</v>
      </c>
      <c r="Q604" s="48">
        <v>21686</v>
      </c>
      <c r="R604" s="32"/>
      <c r="S604" s="3" t="str">
        <f t="shared" si="145"/>
        <v>A</v>
      </c>
      <c r="T604" s="48">
        <v>135712.58000000002</v>
      </c>
      <c r="U604" s="48">
        <v>17709.419999999998</v>
      </c>
      <c r="V604" s="32"/>
      <c r="W604" s="3" t="str">
        <f t="shared" si="137"/>
        <v>A</v>
      </c>
      <c r="X604" s="48">
        <v>103358</v>
      </c>
      <c r="Y604" s="48">
        <v>12038</v>
      </c>
      <c r="Z604" s="32"/>
      <c r="AA604" s="3" t="str">
        <f t="shared" si="138"/>
        <v>A</v>
      </c>
      <c r="AB604" s="48">
        <v>141669.06</v>
      </c>
      <c r="AC604" s="48">
        <v>19179.28</v>
      </c>
      <c r="AD604" s="36"/>
      <c r="AE604" s="54"/>
      <c r="AF604" s="3" t="str">
        <f t="shared" si="139"/>
        <v>A</v>
      </c>
      <c r="AG604" s="48">
        <v>0</v>
      </c>
      <c r="AH604" s="48">
        <v>0</v>
      </c>
      <c r="AI604" s="39"/>
      <c r="AJ604" s="79" t="s">
        <v>1801</v>
      </c>
      <c r="AK604" s="39"/>
      <c r="AL604" s="4">
        <f t="shared" si="146"/>
        <v>532412.64</v>
      </c>
      <c r="AM604" s="4">
        <f t="shared" si="146"/>
        <v>70612.7</v>
      </c>
      <c r="AN604" s="4">
        <f t="shared" si="140"/>
        <v>603025.34</v>
      </c>
      <c r="AO604" s="39"/>
      <c r="AP604" s="8">
        <f t="shared" si="147"/>
        <v>0</v>
      </c>
      <c r="AQ604" s="8">
        <f t="shared" si="147"/>
        <v>0</v>
      </c>
      <c r="AR604" s="8">
        <f t="shared" si="141"/>
        <v>0</v>
      </c>
      <c r="AS604" s="42"/>
      <c r="AT604" s="48">
        <v>532412.64</v>
      </c>
      <c r="AU604" s="48">
        <v>70612.7</v>
      </c>
      <c r="AV604" s="4">
        <f t="shared" si="142"/>
        <v>603025.34</v>
      </c>
      <c r="AW604" s="50" t="str">
        <f t="shared" si="143"/>
        <v/>
      </c>
      <c r="AX604" s="1" t="s">
        <v>1647</v>
      </c>
      <c r="AY604" s="2" t="s">
        <v>1640</v>
      </c>
      <c r="AZ604" s="2">
        <v>143057.35999999999</v>
      </c>
      <c r="BA604" s="73">
        <v>125175.19</v>
      </c>
      <c r="BB604" s="73">
        <v>125175.19</v>
      </c>
      <c r="BC604" s="73">
        <v>143057.35999999999</v>
      </c>
      <c r="BD604" s="73"/>
      <c r="BE604" s="66">
        <v>0</v>
      </c>
      <c r="BF604" s="66">
        <v>0.02</v>
      </c>
      <c r="BG604" s="63">
        <v>45311</v>
      </c>
      <c r="BH604" s="2"/>
      <c r="BI604" s="2"/>
      <c r="BJ604" s="2">
        <v>547457.4</v>
      </c>
      <c r="BK604" s="2">
        <v>28741.51</v>
      </c>
      <c r="BL604" s="1" t="s">
        <v>104</v>
      </c>
    </row>
    <row r="605" spans="1:64" x14ac:dyDescent="0.25">
      <c r="A605" s="56" t="s">
        <v>1421</v>
      </c>
      <c r="B605" s="54" t="s">
        <v>1421</v>
      </c>
      <c r="C605" s="56" t="s">
        <v>1422</v>
      </c>
      <c r="D605" s="16">
        <v>0</v>
      </c>
      <c r="E605" s="17"/>
      <c r="F605" s="2" t="s">
        <v>109</v>
      </c>
      <c r="G605" s="2" t="s">
        <v>111</v>
      </c>
      <c r="H605" s="10" t="s">
        <v>105</v>
      </c>
      <c r="I605" s="11" t="s">
        <v>110</v>
      </c>
      <c r="J605" s="11" t="s">
        <v>420</v>
      </c>
      <c r="K605" s="61" t="s">
        <v>113</v>
      </c>
      <c r="L605" s="11" t="s">
        <v>67</v>
      </c>
      <c r="M605" s="25"/>
      <c r="N605" s="54"/>
      <c r="O605" s="3" t="str">
        <f t="shared" si="135"/>
        <v>A</v>
      </c>
      <c r="P605" s="48">
        <v>85471</v>
      </c>
      <c r="Q605" s="48">
        <v>7842</v>
      </c>
      <c r="R605" s="32"/>
      <c r="S605" s="3" t="str">
        <f t="shared" si="145"/>
        <v>A</v>
      </c>
      <c r="T605" s="48">
        <v>78509.3</v>
      </c>
      <c r="U605" s="48">
        <v>6084</v>
      </c>
      <c r="V605" s="32"/>
      <c r="W605" s="3" t="str">
        <f t="shared" si="137"/>
        <v>A</v>
      </c>
      <c r="X605" s="48">
        <v>70344</v>
      </c>
      <c r="Y605" s="48">
        <v>5030</v>
      </c>
      <c r="Z605" s="32"/>
      <c r="AA605" s="3" t="str">
        <f t="shared" si="138"/>
        <v>A</v>
      </c>
      <c r="AB605" s="48">
        <v>75748</v>
      </c>
      <c r="AC605" s="48">
        <v>5602</v>
      </c>
      <c r="AD605" s="36"/>
      <c r="AE605" s="54"/>
      <c r="AF605" s="3" t="str">
        <f t="shared" si="139"/>
        <v>A</v>
      </c>
      <c r="AG605" s="48">
        <v>0</v>
      </c>
      <c r="AH605" s="48">
        <v>0</v>
      </c>
      <c r="AI605" s="39"/>
      <c r="AJ605" s="79" t="s">
        <v>1801</v>
      </c>
      <c r="AK605" s="39"/>
      <c r="AL605" s="4">
        <f t="shared" si="146"/>
        <v>310072.3</v>
      </c>
      <c r="AM605" s="4">
        <f t="shared" si="146"/>
        <v>24558</v>
      </c>
      <c r="AN605" s="4">
        <f t="shared" si="140"/>
        <v>334630.3</v>
      </c>
      <c r="AO605" s="39"/>
      <c r="AP605" s="8">
        <f t="shared" si="147"/>
        <v>0</v>
      </c>
      <c r="AQ605" s="8">
        <f t="shared" si="147"/>
        <v>0</v>
      </c>
      <c r="AR605" s="8">
        <f t="shared" si="141"/>
        <v>0</v>
      </c>
      <c r="AS605" s="42"/>
      <c r="AT605" s="48">
        <v>310072.3</v>
      </c>
      <c r="AU605" s="48">
        <v>24558</v>
      </c>
      <c r="AV605" s="4">
        <f t="shared" si="142"/>
        <v>334630.3</v>
      </c>
      <c r="AW605" s="50" t="str">
        <f t="shared" si="143"/>
        <v/>
      </c>
      <c r="AX605" s="1" t="s">
        <v>1647</v>
      </c>
      <c r="AY605" s="2" t="s">
        <v>1640</v>
      </c>
      <c r="AZ605" s="2">
        <v>79628.639999999999</v>
      </c>
      <c r="BA605" s="73">
        <v>69675.06</v>
      </c>
      <c r="BB605" s="73">
        <v>69675.06</v>
      </c>
      <c r="BC605" s="73">
        <v>79628.639999999999</v>
      </c>
      <c r="BD605" s="73"/>
      <c r="BE605" s="66">
        <v>0</v>
      </c>
      <c r="BF605" s="66">
        <v>0.02</v>
      </c>
      <c r="BG605" s="63">
        <v>45297</v>
      </c>
      <c r="BH605" s="2"/>
      <c r="BI605" s="2"/>
      <c r="BJ605" s="2">
        <v>304726.52</v>
      </c>
      <c r="BK605" s="2">
        <v>15998.14</v>
      </c>
      <c r="BL605" s="1" t="s">
        <v>104</v>
      </c>
    </row>
    <row r="606" spans="1:64" x14ac:dyDescent="0.25">
      <c r="A606" s="56" t="s">
        <v>1425</v>
      </c>
      <c r="B606" s="54" t="s">
        <v>1425</v>
      </c>
      <c r="C606" s="56" t="s">
        <v>1426</v>
      </c>
      <c r="D606" s="16">
        <v>45398</v>
      </c>
      <c r="E606" s="17"/>
      <c r="F606" s="2" t="s">
        <v>1427</v>
      </c>
      <c r="G606" s="2" t="s">
        <v>1428</v>
      </c>
      <c r="H606" s="10" t="s">
        <v>57</v>
      </c>
      <c r="I606" s="11" t="s">
        <v>53</v>
      </c>
      <c r="J606" s="11" t="s">
        <v>64</v>
      </c>
      <c r="K606" s="61"/>
      <c r="L606" s="11" t="s">
        <v>67</v>
      </c>
      <c r="M606" s="25"/>
      <c r="N606" s="54"/>
      <c r="O606" s="3" t="str">
        <f t="shared" si="135"/>
        <v>A</v>
      </c>
      <c r="P606" s="48">
        <v>112858.85</v>
      </c>
      <c r="Q606" s="48">
        <v>16026</v>
      </c>
      <c r="R606" s="32"/>
      <c r="S606" s="3" t="str">
        <f t="shared" si="145"/>
        <v>A</v>
      </c>
      <c r="T606" s="48">
        <v>98499.1</v>
      </c>
      <c r="U606" s="48">
        <v>14868</v>
      </c>
      <c r="V606" s="32"/>
      <c r="W606" s="3" t="str">
        <f t="shared" si="137"/>
        <v>A</v>
      </c>
      <c r="X606" s="48">
        <v>72490.149999999994</v>
      </c>
      <c r="Y606" s="48">
        <v>9612</v>
      </c>
      <c r="Z606" s="32"/>
      <c r="AA606" s="3" t="str">
        <f t="shared" si="138"/>
        <v>A</v>
      </c>
      <c r="AB606" s="48">
        <v>114117.4</v>
      </c>
      <c r="AC606" s="48">
        <v>17043</v>
      </c>
      <c r="AD606" s="36"/>
      <c r="AE606" s="54"/>
      <c r="AF606" s="3" t="str">
        <f t="shared" si="139"/>
        <v>A</v>
      </c>
      <c r="AG606" s="48">
        <v>0</v>
      </c>
      <c r="AH606" s="48">
        <v>0</v>
      </c>
      <c r="AI606" s="39"/>
      <c r="AJ606" s="79" t="s">
        <v>1801</v>
      </c>
      <c r="AK606" s="39"/>
      <c r="AL606" s="4">
        <f t="shared" si="146"/>
        <v>397965.5</v>
      </c>
      <c r="AM606" s="4">
        <f t="shared" si="146"/>
        <v>57549</v>
      </c>
      <c r="AN606" s="4">
        <f t="shared" si="140"/>
        <v>455514.5</v>
      </c>
      <c r="AO606" s="39"/>
      <c r="AP606" s="8">
        <f t="shared" si="147"/>
        <v>0</v>
      </c>
      <c r="AQ606" s="8">
        <f t="shared" si="147"/>
        <v>0</v>
      </c>
      <c r="AR606" s="8">
        <f t="shared" si="141"/>
        <v>0</v>
      </c>
      <c r="AS606" s="42"/>
      <c r="AT606" s="48">
        <v>397965.5</v>
      </c>
      <c r="AU606" s="48">
        <v>57549</v>
      </c>
      <c r="AV606" s="4">
        <f t="shared" si="142"/>
        <v>455514.5</v>
      </c>
      <c r="AW606" s="50" t="str">
        <f t="shared" si="143"/>
        <v/>
      </c>
      <c r="AX606" s="1" t="s">
        <v>1778</v>
      </c>
      <c r="AY606" s="2" t="s">
        <v>1779</v>
      </c>
      <c r="AZ606" s="2">
        <v>145718.79999999999</v>
      </c>
      <c r="BA606" s="73">
        <v>127503.95</v>
      </c>
      <c r="BB606" s="73">
        <v>127503.95</v>
      </c>
      <c r="BC606" s="73">
        <v>145718.79999999999</v>
      </c>
      <c r="BD606" s="73"/>
      <c r="BE606" s="66">
        <v>0</v>
      </c>
      <c r="BF606" s="66">
        <v>0.05</v>
      </c>
      <c r="BG606" s="63">
        <v>45390</v>
      </c>
      <c r="BH606" s="2"/>
      <c r="BI606" s="2"/>
      <c r="BJ606" s="2">
        <v>530692.05000000005</v>
      </c>
      <c r="BK606" s="2">
        <v>58965.56</v>
      </c>
      <c r="BL606" s="1" t="s">
        <v>56</v>
      </c>
    </row>
    <row r="607" spans="1:64" x14ac:dyDescent="0.25">
      <c r="A607" s="56" t="s">
        <v>1425</v>
      </c>
      <c r="B607" s="54" t="s">
        <v>1558</v>
      </c>
      <c r="C607" s="56" t="s">
        <v>1559</v>
      </c>
      <c r="D607" s="16">
        <v>45734</v>
      </c>
      <c r="E607" s="17"/>
      <c r="F607" s="2" t="s">
        <v>1427</v>
      </c>
      <c r="G607" s="2" t="s">
        <v>1428</v>
      </c>
      <c r="H607" s="10" t="s">
        <v>57</v>
      </c>
      <c r="I607" s="11" t="s">
        <v>53</v>
      </c>
      <c r="J607" s="11" t="s">
        <v>64</v>
      </c>
      <c r="K607" s="61"/>
      <c r="L607" s="11" t="s">
        <v>67</v>
      </c>
      <c r="M607" s="25"/>
      <c r="N607" s="54"/>
      <c r="O607" s="3" t="str">
        <f t="shared" si="135"/>
        <v>A</v>
      </c>
      <c r="P607" s="48">
        <v>101213.85</v>
      </c>
      <c r="Q607" s="48">
        <v>8582</v>
      </c>
      <c r="R607" s="32"/>
      <c r="S607" s="3" t="str">
        <f t="shared" si="145"/>
        <v>A</v>
      </c>
      <c r="T607" s="48">
        <v>87988.4</v>
      </c>
      <c r="U607" s="48">
        <v>10590</v>
      </c>
      <c r="V607" s="32"/>
      <c r="W607" s="3" t="str">
        <f t="shared" si="137"/>
        <v>A</v>
      </c>
      <c r="X607" s="48">
        <v>87294.15</v>
      </c>
      <c r="Y607" s="48">
        <v>10418</v>
      </c>
      <c r="Z607" s="32"/>
      <c r="AA607" s="3" t="str">
        <f t="shared" si="138"/>
        <v>A</v>
      </c>
      <c r="AB607" s="48">
        <v>99616.45</v>
      </c>
      <c r="AC607" s="48">
        <v>11517</v>
      </c>
      <c r="AD607" s="36"/>
      <c r="AE607" s="54"/>
      <c r="AF607" s="3" t="str">
        <f t="shared" si="139"/>
        <v>A</v>
      </c>
      <c r="AG607" s="48">
        <v>0</v>
      </c>
      <c r="AH607" s="48">
        <v>0</v>
      </c>
      <c r="AI607" s="39"/>
      <c r="AJ607" s="79" t="s">
        <v>1801</v>
      </c>
      <c r="AK607" s="39"/>
      <c r="AL607" s="4">
        <f t="shared" si="146"/>
        <v>376112.85000000003</v>
      </c>
      <c r="AM607" s="4">
        <f t="shared" si="146"/>
        <v>41107</v>
      </c>
      <c r="AN607" s="4">
        <f t="shared" si="140"/>
        <v>417219.85000000003</v>
      </c>
      <c r="AO607" s="39"/>
      <c r="AP607" s="8">
        <f t="shared" si="147"/>
        <v>0</v>
      </c>
      <c r="AQ607" s="8">
        <f t="shared" si="147"/>
        <v>0</v>
      </c>
      <c r="AR607" s="8">
        <f t="shared" si="141"/>
        <v>0</v>
      </c>
      <c r="AS607" s="42"/>
      <c r="AT607" s="48">
        <v>376112.85000000003</v>
      </c>
      <c r="AU607" s="48">
        <v>41107</v>
      </c>
      <c r="AV607" s="4">
        <f t="shared" si="142"/>
        <v>417219.85000000003</v>
      </c>
      <c r="AW607" s="50" t="str">
        <f t="shared" si="143"/>
        <v/>
      </c>
      <c r="AX607" s="1" t="s">
        <v>1778</v>
      </c>
      <c r="AY607" s="2" t="s">
        <v>1779</v>
      </c>
      <c r="AZ607" s="2">
        <v>127526.39999999999</v>
      </c>
      <c r="BA607" s="73">
        <v>111585.60000000001</v>
      </c>
      <c r="BB607" s="73">
        <v>111585.60000000001</v>
      </c>
      <c r="BC607" s="73">
        <v>127526.39999999999</v>
      </c>
      <c r="BD607" s="73"/>
      <c r="BE607" s="66">
        <v>0</v>
      </c>
      <c r="BF607" s="66">
        <v>0.05</v>
      </c>
      <c r="BG607" s="63">
        <v>45729</v>
      </c>
      <c r="BH607" s="2"/>
      <c r="BI607" s="2"/>
      <c r="BJ607" s="2">
        <v>465990.28</v>
      </c>
      <c r="BK607" s="2">
        <v>51776.98</v>
      </c>
      <c r="BL607" s="1" t="s">
        <v>56</v>
      </c>
    </row>
    <row r="608" spans="1:64" x14ac:dyDescent="0.25">
      <c r="A608" s="56" t="s">
        <v>1429</v>
      </c>
      <c r="B608" s="54" t="s">
        <v>1429</v>
      </c>
      <c r="C608" s="56" t="s">
        <v>1430</v>
      </c>
      <c r="D608" s="16">
        <v>45276</v>
      </c>
      <c r="E608" s="17"/>
      <c r="F608" s="2" t="s">
        <v>1431</v>
      </c>
      <c r="G608" s="2" t="s">
        <v>1432</v>
      </c>
      <c r="H608" s="10" t="s">
        <v>105</v>
      </c>
      <c r="I608" s="11" t="s">
        <v>53</v>
      </c>
      <c r="J608" s="11" t="s">
        <v>312</v>
      </c>
      <c r="K608" s="61"/>
      <c r="L608" s="11" t="s">
        <v>67</v>
      </c>
      <c r="M608" s="25"/>
      <c r="N608" s="54"/>
      <c r="O608" s="3" t="str">
        <f t="shared" si="135"/>
        <v>A</v>
      </c>
      <c r="P608" s="48">
        <v>125498</v>
      </c>
      <c r="Q608" s="48">
        <v>13306</v>
      </c>
      <c r="R608" s="32"/>
      <c r="S608" s="3" t="str">
        <f t="shared" si="145"/>
        <v>A</v>
      </c>
      <c r="T608" s="48">
        <v>113751</v>
      </c>
      <c r="U608" s="48">
        <v>16305</v>
      </c>
      <c r="V608" s="32"/>
      <c r="W608" s="3" t="str">
        <f t="shared" si="137"/>
        <v>A</v>
      </c>
      <c r="X608" s="48">
        <v>92269</v>
      </c>
      <c r="Y608" s="48">
        <v>7489</v>
      </c>
      <c r="Z608" s="32"/>
      <c r="AA608" s="3" t="str">
        <f t="shared" si="138"/>
        <v>A</v>
      </c>
      <c r="AB608" s="48">
        <v>114414</v>
      </c>
      <c r="AC608" s="48">
        <v>11314</v>
      </c>
      <c r="AD608" s="36"/>
      <c r="AE608" s="54"/>
      <c r="AF608" s="3" t="str">
        <f t="shared" si="139"/>
        <v>A</v>
      </c>
      <c r="AG608" s="48">
        <v>0</v>
      </c>
      <c r="AH608" s="48">
        <v>0</v>
      </c>
      <c r="AI608" s="39"/>
      <c r="AJ608" s="79" t="s">
        <v>1801</v>
      </c>
      <c r="AK608" s="39"/>
      <c r="AL608" s="4">
        <f t="shared" si="146"/>
        <v>445932</v>
      </c>
      <c r="AM608" s="4">
        <f t="shared" si="146"/>
        <v>48414</v>
      </c>
      <c r="AN608" s="4">
        <f t="shared" si="140"/>
        <v>494346</v>
      </c>
      <c r="AO608" s="39"/>
      <c r="AP608" s="8">
        <f t="shared" si="147"/>
        <v>0</v>
      </c>
      <c r="AQ608" s="8">
        <f t="shared" si="147"/>
        <v>0</v>
      </c>
      <c r="AR608" s="8">
        <f t="shared" si="141"/>
        <v>0</v>
      </c>
      <c r="AS608" s="42"/>
      <c r="AT608" s="48">
        <v>445932</v>
      </c>
      <c r="AU608" s="48">
        <v>48414</v>
      </c>
      <c r="AV608" s="4">
        <f t="shared" si="142"/>
        <v>494346</v>
      </c>
      <c r="AW608" s="50" t="str">
        <f t="shared" si="143"/>
        <v/>
      </c>
      <c r="AX608" s="1" t="s">
        <v>1780</v>
      </c>
      <c r="AY608" s="2" t="s">
        <v>1720</v>
      </c>
      <c r="AZ608" s="2">
        <v>152103.20000000001</v>
      </c>
      <c r="BA608" s="73">
        <v>133090.29999999999</v>
      </c>
      <c r="BB608" s="73">
        <v>133090.29999999999</v>
      </c>
      <c r="BC608" s="73">
        <v>152103.20000000001</v>
      </c>
      <c r="BD608" s="73"/>
      <c r="BE608" s="66">
        <v>0</v>
      </c>
      <c r="BF608" s="66">
        <v>0.05</v>
      </c>
      <c r="BG608" s="63">
        <v>45273</v>
      </c>
      <c r="BH608" s="2"/>
      <c r="BI608" s="2"/>
      <c r="BJ608" s="2">
        <v>578610</v>
      </c>
      <c r="BK608" s="2">
        <v>30377.03</v>
      </c>
      <c r="BL608" s="1" t="s">
        <v>104</v>
      </c>
    </row>
    <row r="609" spans="1:64" x14ac:dyDescent="0.25">
      <c r="A609" s="56" t="s">
        <v>700</v>
      </c>
      <c r="B609" s="54" t="s">
        <v>701</v>
      </c>
      <c r="C609" s="56" t="s">
        <v>702</v>
      </c>
      <c r="D609" s="16">
        <v>39270</v>
      </c>
      <c r="E609" s="17"/>
      <c r="F609" s="2" t="s">
        <v>263</v>
      </c>
      <c r="G609" s="2" t="s">
        <v>264</v>
      </c>
      <c r="H609" s="10" t="s">
        <v>98</v>
      </c>
      <c r="I609" s="11" t="s">
        <v>53</v>
      </c>
      <c r="J609" s="11" t="s">
        <v>265</v>
      </c>
      <c r="K609" s="61"/>
      <c r="L609" s="11" t="s">
        <v>67</v>
      </c>
      <c r="M609" s="25"/>
      <c r="N609" s="54"/>
      <c r="O609" s="3" t="str">
        <f>IF($A609="","",IF(P609=0,"A",IF(P609=AZ609,"E","A")))</f>
        <v>E</v>
      </c>
      <c r="P609" s="48">
        <v>272234.96000000002</v>
      </c>
      <c r="Q609" s="48">
        <v>30907.040000000001</v>
      </c>
      <c r="R609" s="32"/>
      <c r="S609" s="3" t="str">
        <f>IF($A609="","",IF(T609=0,"A",IF(T609=BA609,"E","A")))</f>
        <v>E</v>
      </c>
      <c r="T609" s="48">
        <v>238205.59</v>
      </c>
      <c r="U609" s="48">
        <v>27043.66</v>
      </c>
      <c r="V609" s="32"/>
      <c r="W609" s="3" t="str">
        <f t="shared" si="137"/>
        <v>E</v>
      </c>
      <c r="X609" s="48">
        <v>238205.59</v>
      </c>
      <c r="Y609" s="48">
        <v>27043.66</v>
      </c>
      <c r="Z609" s="32"/>
      <c r="AA609" s="3" t="str">
        <f t="shared" si="138"/>
        <v>E</v>
      </c>
      <c r="AB609" s="48">
        <v>272234.96000000002</v>
      </c>
      <c r="AC609" s="48">
        <v>30907.040000000001</v>
      </c>
      <c r="AD609" s="36"/>
      <c r="AE609" s="54"/>
      <c r="AF609" s="3" t="str">
        <f t="shared" si="139"/>
        <v>A</v>
      </c>
      <c r="AG609" s="48"/>
      <c r="AH609" s="48"/>
      <c r="AI609" s="39"/>
      <c r="AJ609" s="79" t="s">
        <v>38</v>
      </c>
      <c r="AK609" s="39"/>
      <c r="AL609" s="4">
        <f t="shared" si="146"/>
        <v>0</v>
      </c>
      <c r="AM609" s="4">
        <f t="shared" si="146"/>
        <v>0</v>
      </c>
      <c r="AN609" s="4">
        <f t="shared" si="140"/>
        <v>0</v>
      </c>
      <c r="AO609" s="39"/>
      <c r="AP609" s="8">
        <f t="shared" si="147"/>
        <v>1020881.1000000001</v>
      </c>
      <c r="AQ609" s="8">
        <f t="shared" si="147"/>
        <v>115901.4</v>
      </c>
      <c r="AR609" s="8">
        <f t="shared" si="141"/>
        <v>1136782.5</v>
      </c>
      <c r="AS609" s="42"/>
      <c r="AT609" s="48"/>
      <c r="AU609" s="48"/>
      <c r="AV609" s="4">
        <f t="shared" si="142"/>
        <v>0</v>
      </c>
      <c r="AW609" s="50" t="str">
        <f t="shared" si="143"/>
        <v/>
      </c>
      <c r="AX609" s="1" t="s">
        <v>1668</v>
      </c>
      <c r="AY609" s="2" t="s">
        <v>1669</v>
      </c>
      <c r="AZ609" s="2">
        <v>272234.96000000002</v>
      </c>
      <c r="BA609" s="73">
        <v>238205.59</v>
      </c>
      <c r="BB609" s="73">
        <v>238205.59</v>
      </c>
      <c r="BC609" s="73">
        <v>272234.96000000002</v>
      </c>
      <c r="BD609" s="73"/>
      <c r="BE609" s="66">
        <v>0.04</v>
      </c>
      <c r="BF609" s="66">
        <v>0.05</v>
      </c>
      <c r="BG609" s="63">
        <v>44679</v>
      </c>
      <c r="BH609" s="74">
        <v>43984</v>
      </c>
      <c r="BI609" s="74">
        <v>44004</v>
      </c>
      <c r="BJ609" s="2"/>
      <c r="BK609" s="2"/>
      <c r="BL609" s="1" t="s">
        <v>97</v>
      </c>
    </row>
    <row r="610" spans="1:64" x14ac:dyDescent="0.25">
      <c r="A610" s="56" t="s">
        <v>700</v>
      </c>
      <c r="B610" s="54" t="s">
        <v>703</v>
      </c>
      <c r="C610" s="56" t="s">
        <v>704</v>
      </c>
      <c r="D610" s="16">
        <v>41983</v>
      </c>
      <c r="E610" s="17"/>
      <c r="F610" s="2" t="s">
        <v>263</v>
      </c>
      <c r="G610" s="2" t="s">
        <v>264</v>
      </c>
      <c r="H610" s="10" t="s">
        <v>98</v>
      </c>
      <c r="I610" s="11" t="s">
        <v>53</v>
      </c>
      <c r="J610" s="11" t="s">
        <v>265</v>
      </c>
      <c r="K610" s="61"/>
      <c r="L610" s="11" t="s">
        <v>67</v>
      </c>
      <c r="M610" s="25"/>
      <c r="N610" s="54"/>
      <c r="O610" s="3" t="str">
        <f>IF($A610="","",IF(P610=0,"A",IF(P610=AZ610,"E","A")))</f>
        <v>E</v>
      </c>
      <c r="P610" s="48">
        <v>44929.04</v>
      </c>
      <c r="Q610" s="48">
        <v>0</v>
      </c>
      <c r="R610" s="32"/>
      <c r="S610" s="3" t="str">
        <f>IF($A610="","",IF(T610=0,"A",IF(T610=BA610,"E","A")))</f>
        <v>E</v>
      </c>
      <c r="T610" s="48">
        <v>39312.910000000003</v>
      </c>
      <c r="U610" s="48">
        <v>0</v>
      </c>
      <c r="V610" s="32"/>
      <c r="W610" s="3" t="str">
        <f t="shared" si="137"/>
        <v>E</v>
      </c>
      <c r="X610" s="48">
        <v>39312.910000000003</v>
      </c>
      <c r="Y610" s="48">
        <v>0</v>
      </c>
      <c r="Z610" s="32"/>
      <c r="AA610" s="3" t="str">
        <f t="shared" si="138"/>
        <v>E</v>
      </c>
      <c r="AB610" s="48">
        <v>44929.04</v>
      </c>
      <c r="AC610" s="48">
        <v>0</v>
      </c>
      <c r="AD610" s="36"/>
      <c r="AE610" s="54"/>
      <c r="AF610" s="3" t="str">
        <f t="shared" si="139"/>
        <v>A</v>
      </c>
      <c r="AG610" s="48"/>
      <c r="AH610" s="48"/>
      <c r="AI610" s="39"/>
      <c r="AJ610" s="79" t="s">
        <v>38</v>
      </c>
      <c r="AK610" s="39"/>
      <c r="AL610" s="4">
        <f t="shared" si="146"/>
        <v>0</v>
      </c>
      <c r="AM610" s="4">
        <f t="shared" si="146"/>
        <v>0</v>
      </c>
      <c r="AN610" s="4">
        <f t="shared" si="140"/>
        <v>0</v>
      </c>
      <c r="AO610" s="39"/>
      <c r="AP610" s="8">
        <f t="shared" si="147"/>
        <v>168483.90000000002</v>
      </c>
      <c r="AQ610" s="8">
        <f t="shared" si="147"/>
        <v>0</v>
      </c>
      <c r="AR610" s="8">
        <f t="shared" si="141"/>
        <v>168483.90000000002</v>
      </c>
      <c r="AS610" s="42"/>
      <c r="AT610" s="48"/>
      <c r="AU610" s="48"/>
      <c r="AV610" s="4">
        <f t="shared" si="142"/>
        <v>0</v>
      </c>
      <c r="AW610" s="50" t="str">
        <f t="shared" si="143"/>
        <v/>
      </c>
      <c r="AX610" s="1" t="s">
        <v>1668</v>
      </c>
      <c r="AY610" s="2" t="s">
        <v>1669</v>
      </c>
      <c r="AZ610" s="2">
        <v>44929.04</v>
      </c>
      <c r="BA610" s="73">
        <v>39312.910000000003</v>
      </c>
      <c r="BB610" s="73">
        <v>39312.910000000003</v>
      </c>
      <c r="BC610" s="73">
        <v>44929.04</v>
      </c>
      <c r="BD610" s="73"/>
      <c r="BE610" s="66">
        <v>0.04</v>
      </c>
      <c r="BF610" s="66">
        <v>0.05</v>
      </c>
      <c r="BG610" s="63">
        <v>44679</v>
      </c>
      <c r="BH610" s="74">
        <v>43906</v>
      </c>
      <c r="BI610" s="74">
        <v>44788</v>
      </c>
      <c r="BJ610" s="2"/>
      <c r="BK610" s="2"/>
      <c r="BL610" s="1" t="s">
        <v>97</v>
      </c>
    </row>
    <row r="611" spans="1:64" x14ac:dyDescent="0.25">
      <c r="A611" s="56" t="s">
        <v>700</v>
      </c>
      <c r="B611" s="54" t="s">
        <v>705</v>
      </c>
      <c r="C611" s="56" t="s">
        <v>706</v>
      </c>
      <c r="D611" s="16">
        <v>37403</v>
      </c>
      <c r="E611" s="17"/>
      <c r="F611" s="2" t="s">
        <v>263</v>
      </c>
      <c r="G611" s="2" t="s">
        <v>264</v>
      </c>
      <c r="H611" s="10" t="s">
        <v>98</v>
      </c>
      <c r="I611" s="11" t="s">
        <v>53</v>
      </c>
      <c r="J611" s="11" t="s">
        <v>265</v>
      </c>
      <c r="K611" s="61"/>
      <c r="L611" s="11" t="s">
        <v>67</v>
      </c>
      <c r="M611" s="25"/>
      <c r="N611" s="54"/>
      <c r="O611" s="3" t="str">
        <f>IF($A611="","",IF(P611=0,"A",IF(P611=AZ611,"E","A")))</f>
        <v>E</v>
      </c>
      <c r="P611" s="48">
        <v>46377.919999999998</v>
      </c>
      <c r="Q611" s="48">
        <v>3585.68</v>
      </c>
      <c r="R611" s="32"/>
      <c r="S611" s="3" t="str">
        <f>IF($A611="","",IF(T611=0,"A",IF(T611=BA611,"E","A")))</f>
        <v>E</v>
      </c>
      <c r="T611" s="48">
        <v>40580.68</v>
      </c>
      <c r="U611" s="48">
        <v>3137.47</v>
      </c>
      <c r="V611" s="32"/>
      <c r="W611" s="3" t="str">
        <f t="shared" si="137"/>
        <v>E</v>
      </c>
      <c r="X611" s="48">
        <v>40580.68</v>
      </c>
      <c r="Y611" s="48">
        <v>3137.47</v>
      </c>
      <c r="Z611" s="32"/>
      <c r="AA611" s="3" t="str">
        <f t="shared" si="138"/>
        <v>E</v>
      </c>
      <c r="AB611" s="48">
        <v>46377.919999999998</v>
      </c>
      <c r="AC611" s="48">
        <v>3585.68</v>
      </c>
      <c r="AD611" s="36"/>
      <c r="AE611" s="54"/>
      <c r="AF611" s="3" t="str">
        <f t="shared" si="139"/>
        <v>A</v>
      </c>
      <c r="AG611" s="48"/>
      <c r="AH611" s="48"/>
      <c r="AI611" s="39"/>
      <c r="AJ611" s="79" t="s">
        <v>38</v>
      </c>
      <c r="AK611" s="39"/>
      <c r="AL611" s="4">
        <f t="shared" si="146"/>
        <v>0</v>
      </c>
      <c r="AM611" s="4">
        <f t="shared" si="146"/>
        <v>0</v>
      </c>
      <c r="AN611" s="4">
        <f t="shared" si="140"/>
        <v>0</v>
      </c>
      <c r="AO611" s="39"/>
      <c r="AP611" s="8">
        <f t="shared" si="147"/>
        <v>173917.2</v>
      </c>
      <c r="AQ611" s="8">
        <f t="shared" si="147"/>
        <v>13446.3</v>
      </c>
      <c r="AR611" s="8">
        <f t="shared" si="141"/>
        <v>187363.5</v>
      </c>
      <c r="AS611" s="42"/>
      <c r="AT611" s="48"/>
      <c r="AU611" s="48"/>
      <c r="AV611" s="4">
        <f t="shared" si="142"/>
        <v>0</v>
      </c>
      <c r="AW611" s="50" t="str">
        <f t="shared" si="143"/>
        <v/>
      </c>
      <c r="AX611" s="1" t="s">
        <v>1668</v>
      </c>
      <c r="AY611" s="2" t="s">
        <v>1669</v>
      </c>
      <c r="AZ611" s="2">
        <v>46377.919999999998</v>
      </c>
      <c r="BA611" s="73">
        <v>40580.68</v>
      </c>
      <c r="BB611" s="73">
        <v>40580.68</v>
      </c>
      <c r="BC611" s="73">
        <v>46377.919999999998</v>
      </c>
      <c r="BD611" s="73"/>
      <c r="BE611" s="66">
        <v>0.04</v>
      </c>
      <c r="BF611" s="66">
        <v>0.05</v>
      </c>
      <c r="BG611" s="63">
        <v>44679</v>
      </c>
      <c r="BH611" s="74">
        <v>45440</v>
      </c>
      <c r="BI611" s="74">
        <v>45505</v>
      </c>
      <c r="BJ611" s="2"/>
      <c r="BK611" s="2"/>
      <c r="BL611" s="1" t="s">
        <v>97</v>
      </c>
    </row>
    <row r="612" spans="1:64" x14ac:dyDescent="0.25">
      <c r="A612" s="56" t="s">
        <v>700</v>
      </c>
      <c r="B612" s="54" t="s">
        <v>786</v>
      </c>
      <c r="C612" s="56" t="s">
        <v>787</v>
      </c>
      <c r="D612" s="16">
        <v>42263</v>
      </c>
      <c r="E612" s="17"/>
      <c r="F612" s="2" t="s">
        <v>263</v>
      </c>
      <c r="G612" s="2" t="s">
        <v>264</v>
      </c>
      <c r="H612" s="10" t="s">
        <v>98</v>
      </c>
      <c r="I612" s="11" t="s">
        <v>53</v>
      </c>
      <c r="J612" s="11" t="s">
        <v>265</v>
      </c>
      <c r="K612" s="61"/>
      <c r="L612" s="11" t="s">
        <v>67</v>
      </c>
      <c r="M612" s="25"/>
      <c r="N612" s="54"/>
      <c r="O612" s="3" t="str">
        <f>IF($A612="","",IF(P612=0,"A",IF(P612=AZ612,"E","A")))</f>
        <v>E</v>
      </c>
      <c r="P612" s="48">
        <v>67346.64</v>
      </c>
      <c r="Q612" s="48">
        <v>7063.52</v>
      </c>
      <c r="R612" s="32"/>
      <c r="S612" s="3" t="str">
        <f>IF($A612="","",IF(T612=0,"A",IF(T612=BA612,"E","A")))</f>
        <v>E</v>
      </c>
      <c r="T612" s="48">
        <v>58928.31</v>
      </c>
      <c r="U612" s="48">
        <v>6180.58</v>
      </c>
      <c r="V612" s="32"/>
      <c r="W612" s="3" t="str">
        <f t="shared" si="137"/>
        <v>E</v>
      </c>
      <c r="X612" s="48">
        <v>58928.31</v>
      </c>
      <c r="Y612" s="48">
        <v>6180.58</v>
      </c>
      <c r="Z612" s="32"/>
      <c r="AA612" s="3" t="str">
        <f t="shared" si="138"/>
        <v>E</v>
      </c>
      <c r="AB612" s="48">
        <v>67346.64</v>
      </c>
      <c r="AC612" s="48">
        <v>7063.52</v>
      </c>
      <c r="AD612" s="36"/>
      <c r="AE612" s="54"/>
      <c r="AF612" s="3" t="str">
        <f t="shared" si="139"/>
        <v>A</v>
      </c>
      <c r="AG612" s="48"/>
      <c r="AH612" s="48"/>
      <c r="AI612" s="39"/>
      <c r="AJ612" s="79" t="s">
        <v>38</v>
      </c>
      <c r="AK612" s="39"/>
      <c r="AL612" s="4">
        <f t="shared" si="146"/>
        <v>0</v>
      </c>
      <c r="AM612" s="4">
        <f t="shared" si="146"/>
        <v>0</v>
      </c>
      <c r="AN612" s="4">
        <f t="shared" si="140"/>
        <v>0</v>
      </c>
      <c r="AO612" s="39"/>
      <c r="AP612" s="8">
        <f t="shared" si="147"/>
        <v>252549.90000000002</v>
      </c>
      <c r="AQ612" s="8">
        <f t="shared" si="147"/>
        <v>26488.2</v>
      </c>
      <c r="AR612" s="8">
        <f t="shared" si="141"/>
        <v>279038.10000000003</v>
      </c>
      <c r="AS612" s="42"/>
      <c r="AT612" s="48"/>
      <c r="AU612" s="48"/>
      <c r="AV612" s="4">
        <f t="shared" si="142"/>
        <v>0</v>
      </c>
      <c r="AW612" s="50" t="str">
        <f t="shared" si="143"/>
        <v/>
      </c>
      <c r="AX612" s="1" t="s">
        <v>1668</v>
      </c>
      <c r="AY612" s="2" t="s">
        <v>1669</v>
      </c>
      <c r="AZ612" s="2">
        <v>67346.64</v>
      </c>
      <c r="BA612" s="73">
        <v>58928.31</v>
      </c>
      <c r="BB612" s="73">
        <v>58928.31</v>
      </c>
      <c r="BC612" s="73">
        <v>67346.64</v>
      </c>
      <c r="BD612" s="73"/>
      <c r="BE612" s="66">
        <v>3.5000000000000003E-2</v>
      </c>
      <c r="BF612" s="66">
        <v>0.05</v>
      </c>
      <c r="BG612" s="63">
        <v>45725</v>
      </c>
      <c r="BH612" s="74">
        <v>43906</v>
      </c>
      <c r="BI612" s="74">
        <v>43969</v>
      </c>
      <c r="BJ612" s="2"/>
      <c r="BK612" s="2"/>
      <c r="BL612" s="1" t="s">
        <v>97</v>
      </c>
    </row>
    <row r="613" spans="1:64" x14ac:dyDescent="0.25">
      <c r="A613" s="56" t="s">
        <v>700</v>
      </c>
      <c r="B613" s="54" t="s">
        <v>1258</v>
      </c>
      <c r="C613" s="56" t="s">
        <v>1259</v>
      </c>
      <c r="D613" s="16">
        <v>0</v>
      </c>
      <c r="E613" s="17"/>
      <c r="F613" s="2" t="s">
        <v>263</v>
      </c>
      <c r="G613" s="2" t="s">
        <v>264</v>
      </c>
      <c r="H613" s="10" t="s">
        <v>98</v>
      </c>
      <c r="I613" s="11" t="s">
        <v>53</v>
      </c>
      <c r="J613" s="11" t="s">
        <v>265</v>
      </c>
      <c r="K613" s="61"/>
      <c r="L613" s="11" t="s">
        <v>67</v>
      </c>
      <c r="M613" s="25"/>
      <c r="N613" s="54"/>
      <c r="O613" s="3" t="str">
        <f>IF($A613="","",IF(P613=0,"A",IF(P613=AZ613,"E","A")))</f>
        <v>E</v>
      </c>
      <c r="P613" s="48">
        <v>104236</v>
      </c>
      <c r="Q613" s="48">
        <v>0</v>
      </c>
      <c r="R613" s="32"/>
      <c r="S613" s="3" t="str">
        <f>IF($A613="","",IF(T613=0,"A",IF(T613=BA613,"E","A")))</f>
        <v>E</v>
      </c>
      <c r="T613" s="48">
        <v>91206.5</v>
      </c>
      <c r="U613" s="48">
        <v>0</v>
      </c>
      <c r="V613" s="32"/>
      <c r="W613" s="3" t="str">
        <f t="shared" si="137"/>
        <v>E</v>
      </c>
      <c r="X613" s="48">
        <v>91206.5</v>
      </c>
      <c r="Y613" s="48">
        <v>0</v>
      </c>
      <c r="Z613" s="32"/>
      <c r="AA613" s="3" t="str">
        <f t="shared" si="138"/>
        <v>E</v>
      </c>
      <c r="AB613" s="48">
        <v>104236</v>
      </c>
      <c r="AC613" s="48">
        <v>0</v>
      </c>
      <c r="AD613" s="36"/>
      <c r="AE613" s="54"/>
      <c r="AF613" s="3" t="str">
        <f t="shared" si="139"/>
        <v>A</v>
      </c>
      <c r="AG613" s="48"/>
      <c r="AH613" s="48"/>
      <c r="AI613" s="39"/>
      <c r="AJ613" s="79" t="s">
        <v>38</v>
      </c>
      <c r="AK613" s="39"/>
      <c r="AL613" s="4">
        <f t="shared" si="146"/>
        <v>0</v>
      </c>
      <c r="AM613" s="4">
        <f t="shared" si="146"/>
        <v>0</v>
      </c>
      <c r="AN613" s="4">
        <f t="shared" si="140"/>
        <v>0</v>
      </c>
      <c r="AO613" s="39"/>
      <c r="AP613" s="8">
        <f t="shared" si="147"/>
        <v>390885</v>
      </c>
      <c r="AQ613" s="8">
        <f t="shared" si="147"/>
        <v>0</v>
      </c>
      <c r="AR613" s="8">
        <f t="shared" si="141"/>
        <v>390885</v>
      </c>
      <c r="AS613" s="42"/>
      <c r="AT613" s="48"/>
      <c r="AU613" s="48"/>
      <c r="AV613" s="4">
        <f t="shared" si="142"/>
        <v>0</v>
      </c>
      <c r="AW613" s="50" t="str">
        <f t="shared" si="143"/>
        <v/>
      </c>
      <c r="AX613" s="1" t="s">
        <v>1668</v>
      </c>
      <c r="AY613" s="2" t="s">
        <v>1669</v>
      </c>
      <c r="AZ613" s="2">
        <v>104236</v>
      </c>
      <c r="BA613" s="73">
        <v>91206.5</v>
      </c>
      <c r="BB613" s="73">
        <v>91206.5</v>
      </c>
      <c r="BC613" s="73">
        <v>104236</v>
      </c>
      <c r="BD613" s="73"/>
      <c r="BE613" s="66">
        <v>3.5000000000000003E-2</v>
      </c>
      <c r="BF613" s="66">
        <v>0.05</v>
      </c>
      <c r="BG613" s="63">
        <v>45725</v>
      </c>
      <c r="BH613" s="2"/>
      <c r="BI613" s="2"/>
      <c r="BJ613" s="2">
        <v>368739</v>
      </c>
      <c r="BK613" s="2"/>
      <c r="BL613" s="1" t="s">
        <v>97</v>
      </c>
    </row>
    <row r="614" spans="1:64" x14ac:dyDescent="0.25">
      <c r="A614" s="56" t="s">
        <v>700</v>
      </c>
      <c r="B614" s="54" t="s">
        <v>700</v>
      </c>
      <c r="C614" s="56" t="s">
        <v>1435</v>
      </c>
      <c r="D614" s="16">
        <v>45272</v>
      </c>
      <c r="E614" s="17"/>
      <c r="F614" s="2" t="s">
        <v>263</v>
      </c>
      <c r="G614" s="2" t="s">
        <v>264</v>
      </c>
      <c r="H614" s="10" t="s">
        <v>98</v>
      </c>
      <c r="I614" s="11" t="s">
        <v>53</v>
      </c>
      <c r="J614" s="11" t="s">
        <v>265</v>
      </c>
      <c r="K614" s="61"/>
      <c r="L614" s="11" t="s">
        <v>67</v>
      </c>
      <c r="M614" s="25"/>
      <c r="N614" s="54"/>
      <c r="O614" s="3" t="str">
        <f>IF($A614="","",IF(P614=AZ614,"E","A"))</f>
        <v>E</v>
      </c>
      <c r="P614" s="48">
        <v>62493.760000000002</v>
      </c>
      <c r="Q614" s="48">
        <v>2996</v>
      </c>
      <c r="R614" s="32"/>
      <c r="S614" s="3" t="str">
        <f>IF($A614="","",IF(T614=BA614,"E","A"))</f>
        <v>E</v>
      </c>
      <c r="T614" s="48">
        <v>54682.04</v>
      </c>
      <c r="U614" s="48">
        <v>2621.5</v>
      </c>
      <c r="V614" s="32"/>
      <c r="W614" s="3" t="str">
        <f t="shared" si="137"/>
        <v>E</v>
      </c>
      <c r="X614" s="48">
        <v>54682.04</v>
      </c>
      <c r="Y614" s="48">
        <v>2621.5</v>
      </c>
      <c r="Z614" s="32"/>
      <c r="AA614" s="3" t="str">
        <f t="shared" si="138"/>
        <v>E</v>
      </c>
      <c r="AB614" s="48">
        <v>62493.760000000002</v>
      </c>
      <c r="AC614" s="48">
        <v>2996</v>
      </c>
      <c r="AD614" s="36"/>
      <c r="AE614" s="54"/>
      <c r="AF614" s="3" t="str">
        <f t="shared" si="139"/>
        <v>A</v>
      </c>
      <c r="AG614" s="48"/>
      <c r="AH614" s="48"/>
      <c r="AI614" s="39"/>
      <c r="AJ614" s="79" t="s">
        <v>38</v>
      </c>
      <c r="AK614" s="39"/>
      <c r="AL614" s="4">
        <f t="shared" si="146"/>
        <v>0</v>
      </c>
      <c r="AM614" s="4">
        <f t="shared" si="146"/>
        <v>0</v>
      </c>
      <c r="AN614" s="4">
        <f t="shared" si="140"/>
        <v>0</v>
      </c>
      <c r="AO614" s="39"/>
      <c r="AP614" s="8">
        <f t="shared" si="147"/>
        <v>234351.6</v>
      </c>
      <c r="AQ614" s="8">
        <f t="shared" si="147"/>
        <v>11235</v>
      </c>
      <c r="AR614" s="8">
        <f t="shared" si="141"/>
        <v>245586.6</v>
      </c>
      <c r="AS614" s="42"/>
      <c r="AT614" s="48"/>
      <c r="AU614" s="48"/>
      <c r="AV614" s="4">
        <f t="shared" si="142"/>
        <v>0</v>
      </c>
      <c r="AW614" s="50" t="str">
        <f t="shared" si="143"/>
        <v/>
      </c>
      <c r="AX614" s="1" t="s">
        <v>1668</v>
      </c>
      <c r="AY614" s="2" t="s">
        <v>1669</v>
      </c>
      <c r="AZ614" s="2">
        <v>62493.760000000002</v>
      </c>
      <c r="BA614" s="73">
        <v>54682.04</v>
      </c>
      <c r="BB614" s="73">
        <v>54682.04</v>
      </c>
      <c r="BC614" s="73">
        <v>62493.760000000002</v>
      </c>
      <c r="BD614" s="73"/>
      <c r="BE614" s="66">
        <v>0</v>
      </c>
      <c r="BF614" s="66">
        <v>0.05</v>
      </c>
      <c r="BG614" s="63">
        <v>45272</v>
      </c>
      <c r="BH614" s="2"/>
      <c r="BI614" s="2"/>
      <c r="BJ614" s="2">
        <v>237730.5</v>
      </c>
      <c r="BK614" s="2">
        <v>12480.85</v>
      </c>
      <c r="BL614" s="1" t="s">
        <v>97</v>
      </c>
    </row>
    <row r="615" spans="1:64" x14ac:dyDescent="0.25">
      <c r="A615" s="56" t="s">
        <v>1063</v>
      </c>
      <c r="B615" s="54" t="s">
        <v>1064</v>
      </c>
      <c r="C615" s="56" t="s">
        <v>1065</v>
      </c>
      <c r="D615" s="16">
        <v>0</v>
      </c>
      <c r="E615" s="17"/>
      <c r="F615" s="2" t="s">
        <v>243</v>
      </c>
      <c r="G615" s="2" t="s">
        <v>245</v>
      </c>
      <c r="H615" s="10" t="s">
        <v>98</v>
      </c>
      <c r="I615" s="11" t="s">
        <v>244</v>
      </c>
      <c r="J615" s="11" t="s">
        <v>278</v>
      </c>
      <c r="K615" s="61" t="s">
        <v>279</v>
      </c>
      <c r="L615" s="11" t="s">
        <v>67</v>
      </c>
      <c r="M615" s="25"/>
      <c r="N615" s="54"/>
      <c r="O615" s="3" t="str">
        <f>IF($A615="","",IF(P615=0,"A",IF(P615=AZ615,"E","A")))</f>
        <v>A</v>
      </c>
      <c r="P615" s="48">
        <v>12507.35</v>
      </c>
      <c r="Q615" s="48">
        <v>0</v>
      </c>
      <c r="R615" s="32"/>
      <c r="S615" s="3" t="str">
        <f>IF($A615="","",IF(T615=0,"A",IF(T615=BA615,"E","A")))</f>
        <v>A</v>
      </c>
      <c r="T615" s="48">
        <v>9412</v>
      </c>
      <c r="U615" s="48">
        <v>0</v>
      </c>
      <c r="V615" s="32"/>
      <c r="W615" s="3" t="str">
        <f t="shared" si="137"/>
        <v>A</v>
      </c>
      <c r="X615" s="48">
        <v>10611</v>
      </c>
      <c r="Y615" s="48">
        <v>0</v>
      </c>
      <c r="Z615" s="32"/>
      <c r="AA615" s="3" t="str">
        <f t="shared" si="138"/>
        <v>A</v>
      </c>
      <c r="AB615" s="48">
        <v>13447</v>
      </c>
      <c r="AC615" s="48">
        <v>0</v>
      </c>
      <c r="AD615" s="36"/>
      <c r="AE615" s="54"/>
      <c r="AF615" s="3" t="str">
        <f t="shared" si="139"/>
        <v>A</v>
      </c>
      <c r="AG615" s="48">
        <v>0</v>
      </c>
      <c r="AH615" s="48">
        <v>0</v>
      </c>
      <c r="AI615" s="39"/>
      <c r="AJ615" s="79" t="s">
        <v>1801</v>
      </c>
      <c r="AK615" s="39"/>
      <c r="AL615" s="4">
        <f t="shared" si="146"/>
        <v>45977.35</v>
      </c>
      <c r="AM615" s="4">
        <f t="shared" si="146"/>
        <v>0</v>
      </c>
      <c r="AN615" s="4">
        <f t="shared" si="140"/>
        <v>45977.35</v>
      </c>
      <c r="AO615" s="39"/>
      <c r="AP615" s="8">
        <f t="shared" si="147"/>
        <v>0</v>
      </c>
      <c r="AQ615" s="8">
        <f t="shared" si="147"/>
        <v>0</v>
      </c>
      <c r="AR615" s="8">
        <f t="shared" si="141"/>
        <v>0</v>
      </c>
      <c r="AS615" s="42"/>
      <c r="AT615" s="48">
        <v>45977.35</v>
      </c>
      <c r="AU615" s="48">
        <v>0</v>
      </c>
      <c r="AV615" s="4">
        <f t="shared" si="142"/>
        <v>45977.35</v>
      </c>
      <c r="AW615" s="50" t="str">
        <f t="shared" si="143"/>
        <v/>
      </c>
      <c r="AX615" s="1" t="s">
        <v>1639</v>
      </c>
      <c r="AY615" s="2" t="s">
        <v>1640</v>
      </c>
      <c r="AZ615" s="2">
        <v>87859.04</v>
      </c>
      <c r="BA615" s="73">
        <v>76876.66</v>
      </c>
      <c r="BB615" s="73">
        <v>76876.66</v>
      </c>
      <c r="BC615" s="73">
        <v>87859.04</v>
      </c>
      <c r="BD615" s="73"/>
      <c r="BE615" s="66">
        <v>0</v>
      </c>
      <c r="BF615" s="66">
        <v>0.02</v>
      </c>
      <c r="BG615" s="63">
        <v>44720</v>
      </c>
      <c r="BH615" s="2"/>
      <c r="BI615" s="2"/>
      <c r="BJ615" s="2">
        <v>320872.5</v>
      </c>
      <c r="BK615" s="2">
        <v>40109.06</v>
      </c>
      <c r="BL615" s="1" t="s">
        <v>97</v>
      </c>
    </row>
    <row r="616" spans="1:64" x14ac:dyDescent="0.25">
      <c r="A616" s="56" t="s">
        <v>1063</v>
      </c>
      <c r="B616" s="54" t="s">
        <v>1063</v>
      </c>
      <c r="C616" s="56" t="s">
        <v>1436</v>
      </c>
      <c r="D616" s="16">
        <v>0</v>
      </c>
      <c r="E616" s="17"/>
      <c r="F616" s="2" t="s">
        <v>243</v>
      </c>
      <c r="G616" s="2" t="s">
        <v>245</v>
      </c>
      <c r="H616" s="10" t="s">
        <v>98</v>
      </c>
      <c r="I616" s="11" t="s">
        <v>244</v>
      </c>
      <c r="J616" s="11" t="s">
        <v>278</v>
      </c>
      <c r="K616" s="61" t="s">
        <v>279</v>
      </c>
      <c r="L616" s="11" t="s">
        <v>67</v>
      </c>
      <c r="M616" s="25"/>
      <c r="N616" s="54"/>
      <c r="O616" s="3" t="str">
        <f t="shared" ref="O616:O679" si="148">IF($A616="","",IF(P616=AZ616,"E","A"))</f>
        <v>A</v>
      </c>
      <c r="P616" s="48">
        <v>23181</v>
      </c>
      <c r="Q616" s="48">
        <v>4985</v>
      </c>
      <c r="R616" s="32"/>
      <c r="S616" s="3" t="str">
        <f>IF($A616="","",IF(T616=BA616,"E","A"))</f>
        <v>A</v>
      </c>
      <c r="T616" s="48">
        <v>20855</v>
      </c>
      <c r="U616" s="48">
        <v>4817</v>
      </c>
      <c r="V616" s="32"/>
      <c r="W616" s="3" t="str">
        <f t="shared" si="137"/>
        <v>A</v>
      </c>
      <c r="X616" s="48">
        <v>15797</v>
      </c>
      <c r="Y616" s="48">
        <v>3310</v>
      </c>
      <c r="Z616" s="32"/>
      <c r="AA616" s="3" t="str">
        <f t="shared" si="138"/>
        <v>A</v>
      </c>
      <c r="AB616" s="48">
        <v>18307</v>
      </c>
      <c r="AC616" s="48">
        <v>3783</v>
      </c>
      <c r="AD616" s="36"/>
      <c r="AE616" s="54"/>
      <c r="AF616" s="3" t="str">
        <f t="shared" si="139"/>
        <v>A</v>
      </c>
      <c r="AG616" s="48">
        <v>0</v>
      </c>
      <c r="AH616" s="48">
        <v>0</v>
      </c>
      <c r="AI616" s="39"/>
      <c r="AJ616" s="79" t="s">
        <v>1801</v>
      </c>
      <c r="AK616" s="39"/>
      <c r="AL616" s="4">
        <f t="shared" si="146"/>
        <v>78140</v>
      </c>
      <c r="AM616" s="4">
        <f t="shared" si="146"/>
        <v>16895</v>
      </c>
      <c r="AN616" s="4">
        <f t="shared" si="140"/>
        <v>95035</v>
      </c>
      <c r="AO616" s="39"/>
      <c r="AP616" s="8">
        <f t="shared" si="147"/>
        <v>0</v>
      </c>
      <c r="AQ616" s="8">
        <f t="shared" si="147"/>
        <v>0</v>
      </c>
      <c r="AR616" s="8">
        <f t="shared" si="141"/>
        <v>0</v>
      </c>
      <c r="AS616" s="42"/>
      <c r="AT616" s="48">
        <v>78140</v>
      </c>
      <c r="AU616" s="48">
        <v>16895</v>
      </c>
      <c r="AV616" s="4">
        <f t="shared" si="142"/>
        <v>95035</v>
      </c>
      <c r="AW616" s="50" t="str">
        <f t="shared" si="143"/>
        <v/>
      </c>
      <c r="AX616" s="1" t="s">
        <v>1639</v>
      </c>
      <c r="AY616" s="2" t="s">
        <v>1640</v>
      </c>
      <c r="AZ616" s="2">
        <v>120250.64</v>
      </c>
      <c r="BA616" s="73">
        <v>105219.31</v>
      </c>
      <c r="BB616" s="73">
        <v>105219.31</v>
      </c>
      <c r="BC616" s="73">
        <v>120250.64</v>
      </c>
      <c r="BD616" s="73"/>
      <c r="BE616" s="66">
        <v>0</v>
      </c>
      <c r="BF616" s="66">
        <v>0.02</v>
      </c>
      <c r="BG616" s="63">
        <v>45573</v>
      </c>
      <c r="BH616" s="2"/>
      <c r="BI616" s="2"/>
      <c r="BJ616" s="2">
        <v>445000</v>
      </c>
      <c r="BK616" s="2">
        <v>23388.75</v>
      </c>
      <c r="BL616" s="1" t="s">
        <v>97</v>
      </c>
    </row>
    <row r="617" spans="1:64" x14ac:dyDescent="0.25">
      <c r="A617" s="56" t="s">
        <v>1382</v>
      </c>
      <c r="B617" s="54" t="s">
        <v>1383</v>
      </c>
      <c r="C617" s="56" t="s">
        <v>1384</v>
      </c>
      <c r="D617" s="16">
        <v>45198</v>
      </c>
      <c r="E617" s="17"/>
      <c r="F617" s="2" t="s">
        <v>109</v>
      </c>
      <c r="G617" s="2" t="s">
        <v>111</v>
      </c>
      <c r="H617" s="10" t="s">
        <v>105</v>
      </c>
      <c r="I617" s="11" t="s">
        <v>110</v>
      </c>
      <c r="J617" s="11" t="s">
        <v>112</v>
      </c>
      <c r="K617" s="61" t="s">
        <v>113</v>
      </c>
      <c r="L617" s="11" t="s">
        <v>67</v>
      </c>
      <c r="M617" s="25"/>
      <c r="N617" s="54"/>
      <c r="O617" s="3" t="str">
        <f t="shared" si="148"/>
        <v>A</v>
      </c>
      <c r="P617" s="48">
        <v>155403.25</v>
      </c>
      <c r="Q617" s="48">
        <v>3070</v>
      </c>
      <c r="R617" s="32"/>
      <c r="S617" s="3" t="str">
        <f>IF($A617="","",IF(T617=0,"A",IF(T617=BA617,"E","A")))</f>
        <v>A</v>
      </c>
      <c r="T617" s="48">
        <v>133750.75</v>
      </c>
      <c r="U617" s="48">
        <v>1750</v>
      </c>
      <c r="V617" s="32"/>
      <c r="W617" s="3" t="str">
        <f t="shared" si="137"/>
        <v>A</v>
      </c>
      <c r="X617" s="48">
        <v>141215.54</v>
      </c>
      <c r="Y617" s="48">
        <v>1850</v>
      </c>
      <c r="Z617" s="32"/>
      <c r="AA617" s="3" t="str">
        <f t="shared" si="138"/>
        <v>A</v>
      </c>
      <c r="AB617" s="48">
        <v>160358.5</v>
      </c>
      <c r="AC617" s="48">
        <v>2205</v>
      </c>
      <c r="AD617" s="36"/>
      <c r="AE617" s="54"/>
      <c r="AF617" s="3" t="str">
        <f t="shared" si="139"/>
        <v>A</v>
      </c>
      <c r="AG617" s="48">
        <v>0</v>
      </c>
      <c r="AH617" s="48">
        <v>0</v>
      </c>
      <c r="AI617" s="39"/>
      <c r="AJ617" s="79" t="s">
        <v>1801</v>
      </c>
      <c r="AK617" s="39"/>
      <c r="AL617" s="4">
        <f t="shared" si="146"/>
        <v>590728.04</v>
      </c>
      <c r="AM617" s="4">
        <f t="shared" si="146"/>
        <v>8875</v>
      </c>
      <c r="AN617" s="4">
        <f t="shared" si="140"/>
        <v>599603.04</v>
      </c>
      <c r="AO617" s="39"/>
      <c r="AP617" s="8">
        <f t="shared" si="147"/>
        <v>0</v>
      </c>
      <c r="AQ617" s="8">
        <f t="shared" si="147"/>
        <v>0</v>
      </c>
      <c r="AR617" s="8">
        <f t="shared" si="141"/>
        <v>0</v>
      </c>
      <c r="AS617" s="42"/>
      <c r="AT617" s="48">
        <v>590728.04</v>
      </c>
      <c r="AU617" s="48">
        <v>8875</v>
      </c>
      <c r="AV617" s="4">
        <f t="shared" si="142"/>
        <v>599603.04</v>
      </c>
      <c r="AW617" s="50" t="str">
        <f t="shared" si="143"/>
        <v/>
      </c>
      <c r="AX617" s="1" t="s">
        <v>1647</v>
      </c>
      <c r="AY617" s="2" t="s">
        <v>1640</v>
      </c>
      <c r="AZ617" s="2">
        <v>51748.88</v>
      </c>
      <c r="BA617" s="73">
        <v>45280.27</v>
      </c>
      <c r="BB617" s="73">
        <v>45280.27</v>
      </c>
      <c r="BC617" s="73">
        <v>51748.88</v>
      </c>
      <c r="BD617" s="73"/>
      <c r="BE617" s="66">
        <v>0</v>
      </c>
      <c r="BF617" s="66">
        <v>0.02</v>
      </c>
      <c r="BG617" s="63">
        <v>45198</v>
      </c>
      <c r="BH617" s="2"/>
      <c r="BI617" s="2"/>
      <c r="BJ617" s="2">
        <v>187668</v>
      </c>
      <c r="BK617" s="2"/>
      <c r="BL617" s="1" t="s">
        <v>104</v>
      </c>
    </row>
    <row r="618" spans="1:64" x14ac:dyDescent="0.25">
      <c r="A618" s="56" t="s">
        <v>1382</v>
      </c>
      <c r="B618" s="54" t="s">
        <v>1385</v>
      </c>
      <c r="C618" s="56" t="s">
        <v>1386</v>
      </c>
      <c r="D618" s="16">
        <v>45204</v>
      </c>
      <c r="E618" s="17"/>
      <c r="F618" s="2" t="s">
        <v>109</v>
      </c>
      <c r="G618" s="2" t="s">
        <v>111</v>
      </c>
      <c r="H618" s="10" t="s">
        <v>105</v>
      </c>
      <c r="I618" s="11" t="s">
        <v>110</v>
      </c>
      <c r="J618" s="11" t="s">
        <v>112</v>
      </c>
      <c r="K618" s="61" t="s">
        <v>113</v>
      </c>
      <c r="L618" s="11" t="s">
        <v>67</v>
      </c>
      <c r="M618" s="25"/>
      <c r="N618" s="54"/>
      <c r="O618" s="3" t="str">
        <f t="shared" si="148"/>
        <v>A</v>
      </c>
      <c r="P618" s="48">
        <v>52388</v>
      </c>
      <c r="Q618" s="48">
        <v>6780</v>
      </c>
      <c r="R618" s="32"/>
      <c r="S618" s="3" t="str">
        <f>IF($A618="","",IF(T618=0,"A",IF(T618=BA618,"E","A")))</f>
        <v>A</v>
      </c>
      <c r="T618" s="48">
        <v>44514.75</v>
      </c>
      <c r="U618" s="48">
        <v>4340</v>
      </c>
      <c r="V618" s="32"/>
      <c r="W618" s="3" t="str">
        <f t="shared" si="137"/>
        <v>A</v>
      </c>
      <c r="X618" s="48">
        <v>49465</v>
      </c>
      <c r="Y618" s="48">
        <v>4000</v>
      </c>
      <c r="Z618" s="32"/>
      <c r="AA618" s="3" t="str">
        <f t="shared" si="138"/>
        <v>A</v>
      </c>
      <c r="AB618" s="48">
        <v>53647.25</v>
      </c>
      <c r="AC618" s="48">
        <v>3795</v>
      </c>
      <c r="AD618" s="36"/>
      <c r="AE618" s="54"/>
      <c r="AF618" s="3" t="str">
        <f t="shared" si="139"/>
        <v>A</v>
      </c>
      <c r="AG618" s="48">
        <v>0</v>
      </c>
      <c r="AH618" s="48">
        <v>0</v>
      </c>
      <c r="AI618" s="39"/>
      <c r="AJ618" s="79" t="s">
        <v>1801</v>
      </c>
      <c r="AK618" s="39"/>
      <c r="AL618" s="4">
        <f t="shared" si="146"/>
        <v>200015</v>
      </c>
      <c r="AM618" s="4">
        <f t="shared" si="146"/>
        <v>18915</v>
      </c>
      <c r="AN618" s="4">
        <f t="shared" si="140"/>
        <v>218930</v>
      </c>
      <c r="AO618" s="39"/>
      <c r="AP618" s="8">
        <f t="shared" si="147"/>
        <v>0</v>
      </c>
      <c r="AQ618" s="8">
        <f t="shared" si="147"/>
        <v>0</v>
      </c>
      <c r="AR618" s="8">
        <f t="shared" si="141"/>
        <v>0</v>
      </c>
      <c r="AS618" s="42"/>
      <c r="AT618" s="48">
        <v>200015</v>
      </c>
      <c r="AU618" s="48">
        <v>18915</v>
      </c>
      <c r="AV618" s="4">
        <f t="shared" si="142"/>
        <v>218930</v>
      </c>
      <c r="AW618" s="50" t="str">
        <f t="shared" si="143"/>
        <v/>
      </c>
      <c r="AX618" s="1" t="s">
        <v>1647</v>
      </c>
      <c r="AY618" s="2" t="s">
        <v>1640</v>
      </c>
      <c r="AZ618" s="2">
        <v>59777.440000000002</v>
      </c>
      <c r="BA618" s="73">
        <v>52305.26</v>
      </c>
      <c r="BB618" s="73">
        <v>52305.26</v>
      </c>
      <c r="BC618" s="73">
        <v>59777.440000000002</v>
      </c>
      <c r="BD618" s="73"/>
      <c r="BE618" s="66">
        <v>0</v>
      </c>
      <c r="BF618" s="66">
        <v>0.02</v>
      </c>
      <c r="BG618" s="63">
        <v>45204</v>
      </c>
      <c r="BH618" s="2"/>
      <c r="BI618" s="2"/>
      <c r="BJ618" s="2">
        <v>219312</v>
      </c>
      <c r="BK618" s="2"/>
      <c r="BL618" s="1" t="s">
        <v>104</v>
      </c>
    </row>
    <row r="619" spans="1:64" x14ac:dyDescent="0.25">
      <c r="A619" s="56" t="s">
        <v>1382</v>
      </c>
      <c r="B619" s="54" t="s">
        <v>1382</v>
      </c>
      <c r="C619" s="56" t="s">
        <v>1437</v>
      </c>
      <c r="D619" s="16">
        <v>0</v>
      </c>
      <c r="E619" s="17"/>
      <c r="F619" s="2" t="s">
        <v>109</v>
      </c>
      <c r="G619" s="2" t="s">
        <v>111</v>
      </c>
      <c r="H619" s="10" t="s">
        <v>105</v>
      </c>
      <c r="I619" s="11" t="s">
        <v>110</v>
      </c>
      <c r="J619" s="11" t="s">
        <v>112</v>
      </c>
      <c r="K619" s="61" t="s">
        <v>113</v>
      </c>
      <c r="L619" s="11" t="s">
        <v>67</v>
      </c>
      <c r="M619" s="25"/>
      <c r="N619" s="54"/>
      <c r="O619" s="3" t="str">
        <f t="shared" si="148"/>
        <v>A</v>
      </c>
      <c r="P619" s="48">
        <v>58980</v>
      </c>
      <c r="Q619" s="48">
        <v>13060</v>
      </c>
      <c r="R619" s="32"/>
      <c r="S619" s="3" t="str">
        <f t="shared" ref="S619:S682" si="149">IF($A619="","",IF(T619=BA619,"E","A"))</f>
        <v>A</v>
      </c>
      <c r="T619" s="48">
        <v>57572</v>
      </c>
      <c r="U619" s="48">
        <v>12785</v>
      </c>
      <c r="V619" s="32"/>
      <c r="W619" s="3" t="str">
        <f t="shared" si="137"/>
        <v>A</v>
      </c>
      <c r="X619" s="48">
        <v>51842</v>
      </c>
      <c r="Y619" s="48">
        <v>12380</v>
      </c>
      <c r="Z619" s="32"/>
      <c r="AA619" s="3" t="str">
        <f t="shared" si="138"/>
        <v>A</v>
      </c>
      <c r="AB619" s="48">
        <v>54982</v>
      </c>
      <c r="AC619" s="48">
        <v>11790</v>
      </c>
      <c r="AD619" s="36"/>
      <c r="AE619" s="54"/>
      <c r="AF619" s="3" t="str">
        <f t="shared" si="139"/>
        <v>A</v>
      </c>
      <c r="AG619" s="48">
        <v>0</v>
      </c>
      <c r="AH619" s="48">
        <v>0</v>
      </c>
      <c r="AI619" s="39"/>
      <c r="AJ619" s="79" t="s">
        <v>1801</v>
      </c>
      <c r="AK619" s="39"/>
      <c r="AL619" s="4">
        <f t="shared" si="146"/>
        <v>223376</v>
      </c>
      <c r="AM619" s="4">
        <f t="shared" si="146"/>
        <v>50015</v>
      </c>
      <c r="AN619" s="4">
        <f t="shared" si="140"/>
        <v>273391</v>
      </c>
      <c r="AO619" s="39"/>
      <c r="AP619" s="8">
        <f t="shared" si="147"/>
        <v>0</v>
      </c>
      <c r="AQ619" s="8">
        <f t="shared" si="147"/>
        <v>0</v>
      </c>
      <c r="AR619" s="8">
        <f t="shared" si="141"/>
        <v>0</v>
      </c>
      <c r="AS619" s="42"/>
      <c r="AT619" s="48">
        <v>223376</v>
      </c>
      <c r="AU619" s="48">
        <v>50015</v>
      </c>
      <c r="AV619" s="4">
        <f t="shared" si="142"/>
        <v>273391</v>
      </c>
      <c r="AW619" s="50" t="str">
        <f t="shared" si="143"/>
        <v/>
      </c>
      <c r="AX619" s="1" t="s">
        <v>1647</v>
      </c>
      <c r="AY619" s="2" t="s">
        <v>1640</v>
      </c>
      <c r="AZ619" s="2">
        <v>108829.36</v>
      </c>
      <c r="BA619" s="73">
        <v>95225.69</v>
      </c>
      <c r="BB619" s="73">
        <v>95225.69</v>
      </c>
      <c r="BC619" s="73">
        <v>108829.36</v>
      </c>
      <c r="BD619" s="73"/>
      <c r="BE619" s="66">
        <v>0</v>
      </c>
      <c r="BF619" s="66">
        <v>0.02</v>
      </c>
      <c r="BG619" s="63">
        <v>45373</v>
      </c>
      <c r="BH619" s="2"/>
      <c r="BI619" s="2"/>
      <c r="BJ619" s="2">
        <v>390470.40000000002</v>
      </c>
      <c r="BK619" s="2">
        <v>97617.600000000006</v>
      </c>
      <c r="BL619" s="1" t="s">
        <v>104</v>
      </c>
    </row>
    <row r="620" spans="1:64" x14ac:dyDescent="0.25">
      <c r="A620" s="56" t="s">
        <v>1440</v>
      </c>
      <c r="B620" s="54" t="s">
        <v>1440</v>
      </c>
      <c r="C620" s="56" t="s">
        <v>1441</v>
      </c>
      <c r="D620" s="16">
        <v>0</v>
      </c>
      <c r="E620" s="17"/>
      <c r="F620" s="2" t="s">
        <v>1442</v>
      </c>
      <c r="G620" s="2" t="s">
        <v>1443</v>
      </c>
      <c r="H620" s="10" t="s">
        <v>57</v>
      </c>
      <c r="I620" s="11" t="s">
        <v>53</v>
      </c>
      <c r="J620" s="11" t="s">
        <v>384</v>
      </c>
      <c r="K620" s="61"/>
      <c r="L620" s="11" t="s">
        <v>67</v>
      </c>
      <c r="M620" s="25"/>
      <c r="N620" s="54"/>
      <c r="O620" s="3" t="str">
        <f t="shared" si="148"/>
        <v>A</v>
      </c>
      <c r="P620" s="48">
        <v>133207</v>
      </c>
      <c r="Q620" s="48">
        <v>41322</v>
      </c>
      <c r="R620" s="32"/>
      <c r="S620" s="3" t="str">
        <f t="shared" si="149"/>
        <v>A</v>
      </c>
      <c r="T620" s="48">
        <v>110705</v>
      </c>
      <c r="U620" s="48">
        <v>34889</v>
      </c>
      <c r="V620" s="32"/>
      <c r="W620" s="3" t="str">
        <f t="shared" si="137"/>
        <v>A</v>
      </c>
      <c r="X620" s="48">
        <v>101632</v>
      </c>
      <c r="Y620" s="48">
        <v>24373</v>
      </c>
      <c r="Z620" s="32"/>
      <c r="AA620" s="3" t="str">
        <f t="shared" si="138"/>
        <v>A</v>
      </c>
      <c r="AB620" s="48">
        <v>121601</v>
      </c>
      <c r="AC620" s="48">
        <v>24279</v>
      </c>
      <c r="AD620" s="36"/>
      <c r="AE620" s="54"/>
      <c r="AF620" s="3" t="str">
        <f t="shared" si="139"/>
        <v>A</v>
      </c>
      <c r="AG620" s="48">
        <v>0</v>
      </c>
      <c r="AH620" s="48">
        <v>0</v>
      </c>
      <c r="AI620" s="39"/>
      <c r="AJ620" s="79" t="s">
        <v>1801</v>
      </c>
      <c r="AK620" s="39"/>
      <c r="AL620" s="4">
        <f t="shared" si="146"/>
        <v>467145</v>
      </c>
      <c r="AM620" s="4">
        <f t="shared" si="146"/>
        <v>124863</v>
      </c>
      <c r="AN620" s="4">
        <f t="shared" si="140"/>
        <v>592008</v>
      </c>
      <c r="AO620" s="39"/>
      <c r="AP620" s="8">
        <f t="shared" si="147"/>
        <v>0</v>
      </c>
      <c r="AQ620" s="8">
        <f t="shared" si="147"/>
        <v>0</v>
      </c>
      <c r="AR620" s="8">
        <f t="shared" si="141"/>
        <v>0</v>
      </c>
      <c r="AS620" s="42"/>
      <c r="AT620" s="48">
        <v>467145</v>
      </c>
      <c r="AU620" s="48">
        <v>124863</v>
      </c>
      <c r="AV620" s="4">
        <f t="shared" si="142"/>
        <v>592008</v>
      </c>
      <c r="AW620" s="50" t="str">
        <f t="shared" si="143"/>
        <v/>
      </c>
      <c r="AX620" s="1" t="s">
        <v>1781</v>
      </c>
      <c r="AY620" s="2" t="s">
        <v>1782</v>
      </c>
      <c r="AZ620" s="2">
        <v>177692.16</v>
      </c>
      <c r="BA620" s="73">
        <v>155480.64000000001</v>
      </c>
      <c r="BB620" s="73">
        <v>155480.64000000001</v>
      </c>
      <c r="BC620" s="73">
        <v>177692.16</v>
      </c>
      <c r="BD620" s="73"/>
      <c r="BE620" s="66">
        <v>0</v>
      </c>
      <c r="BF620" s="66">
        <v>0.05</v>
      </c>
      <c r="BG620" s="63">
        <v>45292</v>
      </c>
      <c r="BH620" s="2"/>
      <c r="BI620" s="2"/>
      <c r="BJ620" s="2">
        <v>680000</v>
      </c>
      <c r="BK620" s="2">
        <v>100000</v>
      </c>
      <c r="BL620" s="1" t="s">
        <v>56</v>
      </c>
    </row>
    <row r="621" spans="1:64" x14ac:dyDescent="0.25">
      <c r="A621" s="56" t="s">
        <v>1440</v>
      </c>
      <c r="B621" s="54" t="s">
        <v>1444</v>
      </c>
      <c r="C621" s="56" t="s">
        <v>1445</v>
      </c>
      <c r="D621" s="16">
        <v>0</v>
      </c>
      <c r="E621" s="17"/>
      <c r="F621" s="2" t="s">
        <v>1442</v>
      </c>
      <c r="G621" s="2" t="s">
        <v>1443</v>
      </c>
      <c r="H621" s="10" t="s">
        <v>57</v>
      </c>
      <c r="I621" s="11" t="s">
        <v>53</v>
      </c>
      <c r="J621" s="11" t="s">
        <v>384</v>
      </c>
      <c r="K621" s="61"/>
      <c r="L621" s="11" t="s">
        <v>67</v>
      </c>
      <c r="M621" s="25"/>
      <c r="N621" s="54"/>
      <c r="O621" s="3" t="str">
        <f t="shared" si="148"/>
        <v>A</v>
      </c>
      <c r="P621" s="48">
        <v>77926</v>
      </c>
      <c r="Q621" s="48">
        <v>22344</v>
      </c>
      <c r="R621" s="32"/>
      <c r="S621" s="3" t="str">
        <f t="shared" si="149"/>
        <v>A</v>
      </c>
      <c r="T621" s="48">
        <v>68672</v>
      </c>
      <c r="U621" s="48">
        <v>17951</v>
      </c>
      <c r="V621" s="32"/>
      <c r="W621" s="3" t="str">
        <f t="shared" si="137"/>
        <v>A</v>
      </c>
      <c r="X621" s="48">
        <v>64160</v>
      </c>
      <c r="Y621" s="48">
        <v>14647</v>
      </c>
      <c r="Z621" s="32"/>
      <c r="AA621" s="3" t="str">
        <f t="shared" si="138"/>
        <v>A</v>
      </c>
      <c r="AB621" s="48">
        <v>64891</v>
      </c>
      <c r="AC621" s="48">
        <v>15108</v>
      </c>
      <c r="AD621" s="36"/>
      <c r="AE621" s="54"/>
      <c r="AF621" s="3" t="str">
        <f t="shared" si="139"/>
        <v>A</v>
      </c>
      <c r="AG621" s="48">
        <v>0</v>
      </c>
      <c r="AH621" s="48">
        <v>0</v>
      </c>
      <c r="AI621" s="39"/>
      <c r="AJ621" s="79" t="s">
        <v>1801</v>
      </c>
      <c r="AK621" s="39"/>
      <c r="AL621" s="4">
        <f t="shared" si="146"/>
        <v>275649</v>
      </c>
      <c r="AM621" s="4">
        <f t="shared" si="146"/>
        <v>70050</v>
      </c>
      <c r="AN621" s="4">
        <f t="shared" si="140"/>
        <v>345699</v>
      </c>
      <c r="AO621" s="39"/>
      <c r="AP621" s="8">
        <f t="shared" si="147"/>
        <v>0</v>
      </c>
      <c r="AQ621" s="8">
        <f t="shared" si="147"/>
        <v>0</v>
      </c>
      <c r="AR621" s="8">
        <f t="shared" si="141"/>
        <v>0</v>
      </c>
      <c r="AS621" s="42"/>
      <c r="AT621" s="48">
        <v>275649</v>
      </c>
      <c r="AU621" s="48">
        <v>70050</v>
      </c>
      <c r="AV621" s="4">
        <f t="shared" si="142"/>
        <v>345699</v>
      </c>
      <c r="AW621" s="50" t="str">
        <f t="shared" si="143"/>
        <v/>
      </c>
      <c r="AX621" s="1" t="s">
        <v>1781</v>
      </c>
      <c r="AY621" s="2" t="s">
        <v>1782</v>
      </c>
      <c r="AZ621" s="2">
        <v>67941.039999999994</v>
      </c>
      <c r="BA621" s="73">
        <v>59448.41</v>
      </c>
      <c r="BB621" s="73">
        <v>59448.41</v>
      </c>
      <c r="BC621" s="73">
        <v>67941.039999999994</v>
      </c>
      <c r="BD621" s="73"/>
      <c r="BE621" s="66">
        <v>0</v>
      </c>
      <c r="BF621" s="66">
        <v>0.05</v>
      </c>
      <c r="BG621" s="63">
        <v>45292</v>
      </c>
      <c r="BH621" s="2"/>
      <c r="BI621" s="2"/>
      <c r="BJ621" s="2">
        <v>260000</v>
      </c>
      <c r="BK621" s="2">
        <v>50000</v>
      </c>
      <c r="BL621" s="1" t="s">
        <v>56</v>
      </c>
    </row>
    <row r="622" spans="1:64" x14ac:dyDescent="0.25">
      <c r="A622" s="56" t="s">
        <v>1454</v>
      </c>
      <c r="B622" s="54" t="s">
        <v>1454</v>
      </c>
      <c r="C622" s="56" t="s">
        <v>1455</v>
      </c>
      <c r="D622" s="16">
        <v>0</v>
      </c>
      <c r="E622" s="17"/>
      <c r="F622" s="2" t="s">
        <v>235</v>
      </c>
      <c r="G622" s="2" t="s">
        <v>236</v>
      </c>
      <c r="H622" s="10" t="s">
        <v>98</v>
      </c>
      <c r="I622" s="11" t="s">
        <v>53</v>
      </c>
      <c r="J622" s="11" t="s">
        <v>238</v>
      </c>
      <c r="K622" s="61"/>
      <c r="L622" s="11" t="s">
        <v>67</v>
      </c>
      <c r="M622" s="25"/>
      <c r="N622" s="54"/>
      <c r="O622" s="3" t="str">
        <f t="shared" si="148"/>
        <v>A</v>
      </c>
      <c r="P622" s="48">
        <v>268822</v>
      </c>
      <c r="Q622" s="48">
        <v>13764</v>
      </c>
      <c r="R622" s="32"/>
      <c r="S622" s="3" t="str">
        <f t="shared" si="149"/>
        <v>A</v>
      </c>
      <c r="T622" s="48">
        <v>209807</v>
      </c>
      <c r="U622" s="48">
        <v>12145</v>
      </c>
      <c r="V622" s="32"/>
      <c r="W622" s="3" t="str">
        <f t="shared" si="137"/>
        <v>A</v>
      </c>
      <c r="X622" s="48">
        <v>205766</v>
      </c>
      <c r="Y622" s="48">
        <v>13108</v>
      </c>
      <c r="Z622" s="32"/>
      <c r="AA622" s="3" t="str">
        <f t="shared" si="138"/>
        <v>A</v>
      </c>
      <c r="AB622" s="48">
        <v>241318.75</v>
      </c>
      <c r="AC622" s="48">
        <v>14601</v>
      </c>
      <c r="AD622" s="36"/>
      <c r="AE622" s="54"/>
      <c r="AF622" s="3" t="str">
        <f t="shared" si="139"/>
        <v>A</v>
      </c>
      <c r="AG622" s="48">
        <v>0</v>
      </c>
      <c r="AH622" s="48">
        <v>0</v>
      </c>
      <c r="AI622" s="39"/>
      <c r="AJ622" s="79" t="s">
        <v>1801</v>
      </c>
      <c r="AK622" s="39"/>
      <c r="AL622" s="4">
        <f t="shared" si="146"/>
        <v>925713.75</v>
      </c>
      <c r="AM622" s="4">
        <f t="shared" si="146"/>
        <v>53618</v>
      </c>
      <c r="AN622" s="4">
        <f t="shared" si="140"/>
        <v>979331.75</v>
      </c>
      <c r="AO622" s="39"/>
      <c r="AP622" s="8">
        <f t="shared" si="147"/>
        <v>0</v>
      </c>
      <c r="AQ622" s="8">
        <f t="shared" si="147"/>
        <v>0</v>
      </c>
      <c r="AR622" s="8">
        <f t="shared" si="141"/>
        <v>0</v>
      </c>
      <c r="AS622" s="42"/>
      <c r="AT622" s="48">
        <v>925713.75</v>
      </c>
      <c r="AU622" s="48">
        <v>53618</v>
      </c>
      <c r="AV622" s="4">
        <f t="shared" si="142"/>
        <v>979331.75</v>
      </c>
      <c r="AW622" s="50" t="str">
        <f t="shared" si="143"/>
        <v/>
      </c>
      <c r="AX622" s="1" t="s">
        <v>1662</v>
      </c>
      <c r="AY622" s="2" t="s">
        <v>1663</v>
      </c>
      <c r="AZ622" s="2">
        <v>169280.8</v>
      </c>
      <c r="BA622" s="73">
        <v>148120.70000000001</v>
      </c>
      <c r="BB622" s="73">
        <v>148120.70000000001</v>
      </c>
      <c r="BC622" s="73">
        <v>169280.8</v>
      </c>
      <c r="BD622" s="73"/>
      <c r="BE622" s="66">
        <v>0</v>
      </c>
      <c r="BF622" s="66">
        <v>0.05</v>
      </c>
      <c r="BG622" s="63">
        <v>45382</v>
      </c>
      <c r="BH622" s="2"/>
      <c r="BI622" s="2"/>
      <c r="BJ622" s="2">
        <v>607365</v>
      </c>
      <c r="BK622" s="2">
        <v>31886.66</v>
      </c>
      <c r="BL622" s="1" t="s">
        <v>237</v>
      </c>
    </row>
    <row r="623" spans="1:64" x14ac:dyDescent="0.25">
      <c r="A623" s="56" t="s">
        <v>1456</v>
      </c>
      <c r="B623" s="54" t="s">
        <v>1456</v>
      </c>
      <c r="C623" s="56" t="s">
        <v>1457</v>
      </c>
      <c r="D623" s="16">
        <v>0</v>
      </c>
      <c r="E623" s="17"/>
      <c r="F623" s="2" t="s">
        <v>154</v>
      </c>
      <c r="G623" s="2" t="s">
        <v>155</v>
      </c>
      <c r="H623" s="10" t="s">
        <v>57</v>
      </c>
      <c r="I623" s="11" t="s">
        <v>53</v>
      </c>
      <c r="J623" s="11" t="s">
        <v>156</v>
      </c>
      <c r="K623" s="61"/>
      <c r="L623" s="11" t="s">
        <v>67</v>
      </c>
      <c r="M623" s="25"/>
      <c r="N623" s="54"/>
      <c r="O623" s="3" t="str">
        <f t="shared" si="148"/>
        <v>A</v>
      </c>
      <c r="P623" s="48">
        <v>161202</v>
      </c>
      <c r="Q623" s="48">
        <v>18623</v>
      </c>
      <c r="R623" s="32"/>
      <c r="S623" s="3" t="str">
        <f t="shared" si="149"/>
        <v>A</v>
      </c>
      <c r="T623" s="48">
        <v>133817</v>
      </c>
      <c r="U623" s="48">
        <v>15044</v>
      </c>
      <c r="V623" s="32"/>
      <c r="W623" s="3" t="str">
        <f t="shared" si="137"/>
        <v>A</v>
      </c>
      <c r="X623" s="48">
        <v>126987</v>
      </c>
      <c r="Y623" s="48">
        <v>16681</v>
      </c>
      <c r="Z623" s="32"/>
      <c r="AA623" s="3" t="str">
        <f t="shared" si="138"/>
        <v>A</v>
      </c>
      <c r="AB623" s="48">
        <v>136824</v>
      </c>
      <c r="AC623" s="48">
        <v>16369</v>
      </c>
      <c r="AD623" s="36"/>
      <c r="AE623" s="54"/>
      <c r="AF623" s="3" t="str">
        <f t="shared" si="139"/>
        <v>A</v>
      </c>
      <c r="AG623" s="48">
        <v>0</v>
      </c>
      <c r="AH623" s="48">
        <v>0</v>
      </c>
      <c r="AI623" s="39"/>
      <c r="AJ623" s="79" t="s">
        <v>1801</v>
      </c>
      <c r="AK623" s="39"/>
      <c r="AL623" s="4">
        <f t="shared" si="146"/>
        <v>558830</v>
      </c>
      <c r="AM623" s="4">
        <f t="shared" si="146"/>
        <v>66717</v>
      </c>
      <c r="AN623" s="4">
        <f t="shared" si="140"/>
        <v>625547</v>
      </c>
      <c r="AO623" s="39"/>
      <c r="AP623" s="8">
        <f t="shared" si="147"/>
        <v>0</v>
      </c>
      <c r="AQ623" s="8">
        <f t="shared" si="147"/>
        <v>0</v>
      </c>
      <c r="AR623" s="8">
        <f t="shared" si="141"/>
        <v>0</v>
      </c>
      <c r="AS623" s="42"/>
      <c r="AT623" s="48">
        <v>558830</v>
      </c>
      <c r="AU623" s="48">
        <v>66717</v>
      </c>
      <c r="AV623" s="4">
        <f t="shared" si="142"/>
        <v>625547</v>
      </c>
      <c r="AW623" s="50" t="str">
        <f t="shared" si="143"/>
        <v/>
      </c>
      <c r="AX623" s="1" t="s">
        <v>1652</v>
      </c>
      <c r="AY623" s="2" t="s">
        <v>1653</v>
      </c>
      <c r="AZ623" s="2">
        <v>123048.32000000001</v>
      </c>
      <c r="BA623" s="73">
        <v>107667.28</v>
      </c>
      <c r="BB623" s="73">
        <v>107667.28</v>
      </c>
      <c r="BC623" s="73">
        <v>123048.32000000001</v>
      </c>
      <c r="BD623" s="73"/>
      <c r="BE623" s="66">
        <v>0</v>
      </c>
      <c r="BF623" s="66">
        <v>0.05</v>
      </c>
      <c r="BG623" s="63">
        <v>45464</v>
      </c>
      <c r="BH623" s="2"/>
      <c r="BI623" s="2"/>
      <c r="BJ623" s="2">
        <v>457212.66</v>
      </c>
      <c r="BK623" s="2">
        <v>50801.41</v>
      </c>
      <c r="BL623" s="1" t="s">
        <v>56</v>
      </c>
    </row>
    <row r="624" spans="1:64" x14ac:dyDescent="0.25">
      <c r="A624" s="56" t="s">
        <v>1460</v>
      </c>
      <c r="B624" s="54" t="s">
        <v>1460</v>
      </c>
      <c r="C624" s="56" t="s">
        <v>1461</v>
      </c>
      <c r="D624" s="16">
        <v>45398</v>
      </c>
      <c r="E624" s="17"/>
      <c r="F624" s="2" t="s">
        <v>1077</v>
      </c>
      <c r="G624" s="2" t="s">
        <v>1078</v>
      </c>
      <c r="H624" s="10" t="s">
        <v>105</v>
      </c>
      <c r="I624" s="11" t="s">
        <v>53</v>
      </c>
      <c r="J624" s="11" t="s">
        <v>106</v>
      </c>
      <c r="K624" s="61"/>
      <c r="L624" s="11" t="s">
        <v>67</v>
      </c>
      <c r="M624" s="25"/>
      <c r="N624" s="54"/>
      <c r="O624" s="3" t="str">
        <f t="shared" si="148"/>
        <v>A</v>
      </c>
      <c r="P624" s="48">
        <v>95747</v>
      </c>
      <c r="Q624" s="48">
        <v>8212</v>
      </c>
      <c r="R624" s="32"/>
      <c r="S624" s="3" t="str">
        <f t="shared" si="149"/>
        <v>A</v>
      </c>
      <c r="T624" s="48">
        <v>83470</v>
      </c>
      <c r="U624" s="48">
        <v>8615</v>
      </c>
      <c r="V624" s="32"/>
      <c r="W624" s="3" t="str">
        <f t="shared" si="137"/>
        <v>A</v>
      </c>
      <c r="X624" s="48">
        <v>82881</v>
      </c>
      <c r="Y624" s="48">
        <v>4265</v>
      </c>
      <c r="Z624" s="32"/>
      <c r="AA624" s="3" t="str">
        <f t="shared" si="138"/>
        <v>A</v>
      </c>
      <c r="AB624" s="48">
        <v>91442</v>
      </c>
      <c r="AC624" s="48">
        <v>7825</v>
      </c>
      <c r="AD624" s="36"/>
      <c r="AE624" s="54"/>
      <c r="AF624" s="3" t="str">
        <f t="shared" si="139"/>
        <v>A</v>
      </c>
      <c r="AG624" s="48">
        <v>0</v>
      </c>
      <c r="AH624" s="48">
        <v>0</v>
      </c>
      <c r="AI624" s="39"/>
      <c r="AJ624" s="79" t="s">
        <v>1801</v>
      </c>
      <c r="AK624" s="39"/>
      <c r="AL624" s="4">
        <f t="shared" si="146"/>
        <v>353540</v>
      </c>
      <c r="AM624" s="4">
        <f t="shared" si="146"/>
        <v>28917</v>
      </c>
      <c r="AN624" s="4">
        <f t="shared" si="140"/>
        <v>382457</v>
      </c>
      <c r="AO624" s="39"/>
      <c r="AP624" s="8">
        <f t="shared" si="147"/>
        <v>0</v>
      </c>
      <c r="AQ624" s="8">
        <f t="shared" si="147"/>
        <v>0</v>
      </c>
      <c r="AR624" s="8">
        <f t="shared" si="141"/>
        <v>0</v>
      </c>
      <c r="AS624" s="42"/>
      <c r="AT624" s="48">
        <v>353540</v>
      </c>
      <c r="AU624" s="48">
        <v>28917</v>
      </c>
      <c r="AV624" s="4">
        <f t="shared" si="142"/>
        <v>382457</v>
      </c>
      <c r="AW624" s="50" t="str">
        <f t="shared" si="143"/>
        <v/>
      </c>
      <c r="AX624" s="1" t="s">
        <v>1754</v>
      </c>
      <c r="AY624" s="2" t="s">
        <v>1755</v>
      </c>
      <c r="AZ624" s="2">
        <v>156231.84</v>
      </c>
      <c r="BA624" s="73">
        <v>136702.85999999999</v>
      </c>
      <c r="BB624" s="73">
        <v>136702.85999999999</v>
      </c>
      <c r="BC624" s="73">
        <v>156231.84</v>
      </c>
      <c r="BD624" s="73"/>
      <c r="BE624" s="66">
        <v>0</v>
      </c>
      <c r="BF624" s="66">
        <v>0.05</v>
      </c>
      <c r="BG624" s="63">
        <v>45397</v>
      </c>
      <c r="BH624" s="2"/>
      <c r="BI624" s="2"/>
      <c r="BJ624" s="2">
        <v>568980</v>
      </c>
      <c r="BK624" s="2">
        <v>29871.45</v>
      </c>
      <c r="BL624" s="1" t="s">
        <v>104</v>
      </c>
    </row>
    <row r="625" spans="1:64" x14ac:dyDescent="0.25">
      <c r="A625" s="56" t="s">
        <v>1464</v>
      </c>
      <c r="B625" s="54" t="s">
        <v>1464</v>
      </c>
      <c r="C625" s="56" t="s">
        <v>1465</v>
      </c>
      <c r="D625" s="16">
        <v>0</v>
      </c>
      <c r="E625" s="17"/>
      <c r="F625" s="2" t="s">
        <v>1466</v>
      </c>
      <c r="G625" s="2" t="s">
        <v>1467</v>
      </c>
      <c r="H625" s="10" t="s">
        <v>98</v>
      </c>
      <c r="I625" s="11" t="s">
        <v>53</v>
      </c>
      <c r="J625" s="11" t="s">
        <v>224</v>
      </c>
      <c r="K625" s="61"/>
      <c r="L625" s="11" t="s">
        <v>67</v>
      </c>
      <c r="M625" s="25"/>
      <c r="N625" s="54"/>
      <c r="O625" s="3" t="str">
        <f t="shared" si="148"/>
        <v>A</v>
      </c>
      <c r="P625" s="48">
        <v>42162</v>
      </c>
      <c r="Q625" s="48">
        <v>3578</v>
      </c>
      <c r="R625" s="32"/>
      <c r="S625" s="3" t="str">
        <f t="shared" si="149"/>
        <v>A</v>
      </c>
      <c r="T625" s="48">
        <v>47944</v>
      </c>
      <c r="U625" s="48">
        <v>2614</v>
      </c>
      <c r="V625" s="32"/>
      <c r="W625" s="3" t="str">
        <f t="shared" si="137"/>
        <v>A</v>
      </c>
      <c r="X625" s="48">
        <v>87303</v>
      </c>
      <c r="Y625" s="48">
        <v>2490</v>
      </c>
      <c r="Z625" s="32"/>
      <c r="AA625" s="3" t="str">
        <f t="shared" si="138"/>
        <v>A</v>
      </c>
      <c r="AB625" s="48">
        <v>122242</v>
      </c>
      <c r="AC625" s="48">
        <v>2418</v>
      </c>
      <c r="AD625" s="36"/>
      <c r="AE625" s="54"/>
      <c r="AF625" s="3" t="str">
        <f t="shared" si="139"/>
        <v>A</v>
      </c>
      <c r="AG625" s="48">
        <v>0</v>
      </c>
      <c r="AH625" s="48">
        <v>0</v>
      </c>
      <c r="AI625" s="39"/>
      <c r="AJ625" s="79" t="s">
        <v>1801</v>
      </c>
      <c r="AK625" s="39"/>
      <c r="AL625" s="4">
        <f t="shared" si="146"/>
        <v>299651</v>
      </c>
      <c r="AM625" s="4">
        <f t="shared" si="146"/>
        <v>11100</v>
      </c>
      <c r="AN625" s="4">
        <f t="shared" si="140"/>
        <v>310751</v>
      </c>
      <c r="AO625" s="39"/>
      <c r="AP625" s="8">
        <f t="shared" si="147"/>
        <v>0</v>
      </c>
      <c r="AQ625" s="8">
        <f t="shared" si="147"/>
        <v>0</v>
      </c>
      <c r="AR625" s="8">
        <f t="shared" si="141"/>
        <v>0</v>
      </c>
      <c r="AS625" s="42"/>
      <c r="AT625" s="48">
        <v>299651</v>
      </c>
      <c r="AU625" s="48">
        <v>11100</v>
      </c>
      <c r="AV625" s="4">
        <f t="shared" si="142"/>
        <v>310751</v>
      </c>
      <c r="AW625" s="50" t="str">
        <f t="shared" si="143"/>
        <v/>
      </c>
      <c r="AX625" s="1" t="s">
        <v>1783</v>
      </c>
      <c r="AY625" s="2" t="s">
        <v>1784</v>
      </c>
      <c r="AZ625" s="2">
        <v>118236.96</v>
      </c>
      <c r="BA625" s="73">
        <v>103457.34</v>
      </c>
      <c r="BB625" s="73">
        <v>103457.34</v>
      </c>
      <c r="BC625" s="73">
        <v>118236.96</v>
      </c>
      <c r="BD625" s="73"/>
      <c r="BE625" s="66">
        <v>0</v>
      </c>
      <c r="BF625" s="66">
        <v>0.05</v>
      </c>
      <c r="BG625" s="63">
        <v>45367</v>
      </c>
      <c r="BH625" s="2"/>
      <c r="BI625" s="2"/>
      <c r="BJ625" s="2">
        <v>424224</v>
      </c>
      <c r="BK625" s="2">
        <v>53028</v>
      </c>
      <c r="BL625" s="1" t="s">
        <v>97</v>
      </c>
    </row>
    <row r="626" spans="1:64" x14ac:dyDescent="0.25">
      <c r="A626" s="56" t="s">
        <v>1464</v>
      </c>
      <c r="B626" s="54" t="s">
        <v>1468</v>
      </c>
      <c r="C626" s="56" t="s">
        <v>1469</v>
      </c>
      <c r="D626" s="16">
        <v>0</v>
      </c>
      <c r="E626" s="17"/>
      <c r="F626" s="2" t="s">
        <v>1466</v>
      </c>
      <c r="G626" s="2" t="s">
        <v>1467</v>
      </c>
      <c r="H626" s="10" t="s">
        <v>98</v>
      </c>
      <c r="I626" s="11" t="s">
        <v>53</v>
      </c>
      <c r="J626" s="11" t="s">
        <v>224</v>
      </c>
      <c r="K626" s="61"/>
      <c r="L626" s="11" t="s">
        <v>67</v>
      </c>
      <c r="M626" s="25"/>
      <c r="N626" s="54"/>
      <c r="O626" s="3" t="str">
        <f t="shared" si="148"/>
        <v>A</v>
      </c>
      <c r="P626" s="48">
        <v>100430</v>
      </c>
      <c r="Q626" s="48">
        <v>4088</v>
      </c>
      <c r="R626" s="32"/>
      <c r="S626" s="3" t="str">
        <f t="shared" si="149"/>
        <v>A</v>
      </c>
      <c r="T626" s="48">
        <v>89853</v>
      </c>
      <c r="U626" s="48">
        <v>4558</v>
      </c>
      <c r="V626" s="32"/>
      <c r="W626" s="3" t="str">
        <f t="shared" si="137"/>
        <v>A</v>
      </c>
      <c r="X626" s="48">
        <v>85792</v>
      </c>
      <c r="Y626" s="48">
        <v>3489</v>
      </c>
      <c r="Z626" s="32"/>
      <c r="AA626" s="3" t="str">
        <f t="shared" si="138"/>
        <v>A</v>
      </c>
      <c r="AB626" s="48">
        <v>96803</v>
      </c>
      <c r="AC626" s="48">
        <v>3272</v>
      </c>
      <c r="AD626" s="36"/>
      <c r="AE626" s="54"/>
      <c r="AF626" s="3" t="str">
        <f t="shared" si="139"/>
        <v>A</v>
      </c>
      <c r="AG626" s="48">
        <v>0</v>
      </c>
      <c r="AH626" s="48">
        <v>0</v>
      </c>
      <c r="AI626" s="39"/>
      <c r="AJ626" s="79" t="s">
        <v>1801</v>
      </c>
      <c r="AK626" s="39"/>
      <c r="AL626" s="4">
        <f t="shared" si="146"/>
        <v>372878</v>
      </c>
      <c r="AM626" s="4">
        <f t="shared" si="146"/>
        <v>15407</v>
      </c>
      <c r="AN626" s="4">
        <f t="shared" si="140"/>
        <v>388285</v>
      </c>
      <c r="AO626" s="39"/>
      <c r="AP626" s="8">
        <f t="shared" si="147"/>
        <v>0</v>
      </c>
      <c r="AQ626" s="8">
        <f t="shared" si="147"/>
        <v>0</v>
      </c>
      <c r="AR626" s="8">
        <f t="shared" si="141"/>
        <v>0</v>
      </c>
      <c r="AS626" s="42"/>
      <c r="AT626" s="48">
        <v>372878</v>
      </c>
      <c r="AU626" s="48">
        <v>15407</v>
      </c>
      <c r="AV626" s="4">
        <f t="shared" si="142"/>
        <v>388285</v>
      </c>
      <c r="AW626" s="50" t="str">
        <f t="shared" si="143"/>
        <v/>
      </c>
      <c r="AX626" s="1" t="s">
        <v>1783</v>
      </c>
      <c r="AY626" s="2" t="s">
        <v>1784</v>
      </c>
      <c r="AZ626" s="2">
        <v>48984.480000000003</v>
      </c>
      <c r="BA626" s="73">
        <v>42861.42</v>
      </c>
      <c r="BB626" s="73">
        <v>42861.42</v>
      </c>
      <c r="BC626" s="73">
        <v>48984.480000000003</v>
      </c>
      <c r="BD626" s="73"/>
      <c r="BE626" s="66">
        <v>0</v>
      </c>
      <c r="BF626" s="66">
        <v>0.05</v>
      </c>
      <c r="BG626" s="63">
        <v>45367</v>
      </c>
      <c r="BH626" s="2"/>
      <c r="BI626" s="2"/>
      <c r="BJ626" s="2">
        <v>175752</v>
      </c>
      <c r="BK626" s="2"/>
      <c r="BL626" s="1" t="s">
        <v>97</v>
      </c>
    </row>
    <row r="627" spans="1:64" x14ac:dyDescent="0.25">
      <c r="A627" s="56" t="s">
        <v>1464</v>
      </c>
      <c r="B627" s="54" t="s">
        <v>1470</v>
      </c>
      <c r="C627" s="56" t="s">
        <v>1471</v>
      </c>
      <c r="D627" s="16">
        <v>0</v>
      </c>
      <c r="E627" s="17"/>
      <c r="F627" s="2" t="s">
        <v>1466</v>
      </c>
      <c r="G627" s="2" t="s">
        <v>1467</v>
      </c>
      <c r="H627" s="10" t="s">
        <v>98</v>
      </c>
      <c r="I627" s="11" t="s">
        <v>53</v>
      </c>
      <c r="J627" s="11" t="s">
        <v>224</v>
      </c>
      <c r="K627" s="61"/>
      <c r="L627" s="11" t="s">
        <v>67</v>
      </c>
      <c r="M627" s="25"/>
      <c r="N627" s="54"/>
      <c r="O627" s="3" t="str">
        <f t="shared" si="148"/>
        <v>A</v>
      </c>
      <c r="P627" s="48">
        <v>86312</v>
      </c>
      <c r="Q627" s="48">
        <v>2714</v>
      </c>
      <c r="R627" s="32"/>
      <c r="S627" s="3" t="str">
        <f t="shared" si="149"/>
        <v>A</v>
      </c>
      <c r="T627" s="48">
        <v>77111</v>
      </c>
      <c r="U627" s="48">
        <v>2937</v>
      </c>
      <c r="V627" s="32"/>
      <c r="W627" s="3" t="str">
        <f t="shared" si="137"/>
        <v>A</v>
      </c>
      <c r="X627" s="48">
        <v>69479</v>
      </c>
      <c r="Y627" s="48">
        <v>2634</v>
      </c>
      <c r="Z627" s="32"/>
      <c r="AA627" s="3" t="str">
        <f t="shared" si="138"/>
        <v>A</v>
      </c>
      <c r="AB627" s="48">
        <v>84838</v>
      </c>
      <c r="AC627" s="48">
        <v>3400</v>
      </c>
      <c r="AD627" s="36"/>
      <c r="AE627" s="54"/>
      <c r="AF627" s="3" t="str">
        <f t="shared" si="139"/>
        <v>A</v>
      </c>
      <c r="AG627" s="48">
        <v>0</v>
      </c>
      <c r="AH627" s="48">
        <v>0</v>
      </c>
      <c r="AI627" s="39"/>
      <c r="AJ627" s="79" t="s">
        <v>1801</v>
      </c>
      <c r="AK627" s="39"/>
      <c r="AL627" s="4">
        <f t="shared" si="146"/>
        <v>317740</v>
      </c>
      <c r="AM627" s="4">
        <f t="shared" si="146"/>
        <v>11685</v>
      </c>
      <c r="AN627" s="4">
        <f t="shared" si="140"/>
        <v>329425</v>
      </c>
      <c r="AO627" s="39"/>
      <c r="AP627" s="8">
        <f t="shared" si="147"/>
        <v>0</v>
      </c>
      <c r="AQ627" s="8">
        <f t="shared" si="147"/>
        <v>0</v>
      </c>
      <c r="AR627" s="8">
        <f t="shared" si="141"/>
        <v>0</v>
      </c>
      <c r="AS627" s="42"/>
      <c r="AT627" s="48">
        <v>317740</v>
      </c>
      <c r="AU627" s="48">
        <v>11685</v>
      </c>
      <c r="AV627" s="4">
        <f t="shared" si="142"/>
        <v>329425</v>
      </c>
      <c r="AW627" s="50" t="str">
        <f t="shared" si="143"/>
        <v/>
      </c>
      <c r="AX627" s="1" t="s">
        <v>1783</v>
      </c>
      <c r="AY627" s="2" t="s">
        <v>1784</v>
      </c>
      <c r="AZ627" s="2">
        <v>58529.760000000002</v>
      </c>
      <c r="BA627" s="73">
        <v>51213.54</v>
      </c>
      <c r="BB627" s="73">
        <v>51213.54</v>
      </c>
      <c r="BC627" s="73">
        <v>58529.760000000002</v>
      </c>
      <c r="BD627" s="73"/>
      <c r="BE627" s="66">
        <v>0</v>
      </c>
      <c r="BF627" s="66">
        <v>0.05</v>
      </c>
      <c r="BG627" s="63">
        <v>45367</v>
      </c>
      <c r="BH627" s="2"/>
      <c r="BI627" s="2"/>
      <c r="BJ627" s="2">
        <v>210000</v>
      </c>
      <c r="BK627" s="2"/>
      <c r="BL627" s="1" t="s">
        <v>97</v>
      </c>
    </row>
    <row r="628" spans="1:64" x14ac:dyDescent="0.25">
      <c r="A628" s="56" t="s">
        <v>1464</v>
      </c>
      <c r="B628" s="54" t="s">
        <v>1493</v>
      </c>
      <c r="C628" s="56" t="s">
        <v>1494</v>
      </c>
      <c r="D628" s="16">
        <v>0</v>
      </c>
      <c r="E628" s="17"/>
      <c r="F628" s="2" t="s">
        <v>1466</v>
      </c>
      <c r="G628" s="2" t="s">
        <v>1467</v>
      </c>
      <c r="H628" s="10" t="s">
        <v>98</v>
      </c>
      <c r="I628" s="11" t="s">
        <v>53</v>
      </c>
      <c r="J628" s="11" t="s">
        <v>224</v>
      </c>
      <c r="K628" s="61"/>
      <c r="L628" s="11" t="s">
        <v>67</v>
      </c>
      <c r="M628" s="25"/>
      <c r="N628" s="54"/>
      <c r="O628" s="3" t="str">
        <f t="shared" si="148"/>
        <v>A</v>
      </c>
      <c r="P628" s="48">
        <v>64037</v>
      </c>
      <c r="Q628" s="48">
        <v>270</v>
      </c>
      <c r="R628" s="32"/>
      <c r="S628" s="3" t="str">
        <f t="shared" si="149"/>
        <v>A</v>
      </c>
      <c r="T628" s="48">
        <v>56896</v>
      </c>
      <c r="U628" s="48">
        <v>615</v>
      </c>
      <c r="V628" s="32"/>
      <c r="W628" s="3" t="str">
        <f t="shared" si="137"/>
        <v>A</v>
      </c>
      <c r="X628" s="48">
        <v>56881</v>
      </c>
      <c r="Y628" s="48">
        <v>525</v>
      </c>
      <c r="Z628" s="32"/>
      <c r="AA628" s="3" t="str">
        <f t="shared" si="138"/>
        <v>A</v>
      </c>
      <c r="AB628" s="48">
        <v>70422</v>
      </c>
      <c r="AC628" s="48">
        <v>390</v>
      </c>
      <c r="AD628" s="36"/>
      <c r="AE628" s="54"/>
      <c r="AF628" s="3" t="str">
        <f t="shared" si="139"/>
        <v>A</v>
      </c>
      <c r="AG628" s="48">
        <v>0</v>
      </c>
      <c r="AH628" s="48">
        <v>0</v>
      </c>
      <c r="AI628" s="39"/>
      <c r="AJ628" s="79" t="s">
        <v>1801</v>
      </c>
      <c r="AK628" s="39"/>
      <c r="AL628" s="4">
        <f t="shared" si="146"/>
        <v>248236</v>
      </c>
      <c r="AM628" s="4">
        <f t="shared" si="146"/>
        <v>1800</v>
      </c>
      <c r="AN628" s="4">
        <f t="shared" si="140"/>
        <v>250036</v>
      </c>
      <c r="AO628" s="39"/>
      <c r="AP628" s="8">
        <f t="shared" si="147"/>
        <v>0</v>
      </c>
      <c r="AQ628" s="8">
        <f t="shared" si="147"/>
        <v>0</v>
      </c>
      <c r="AR628" s="8">
        <f t="shared" si="141"/>
        <v>0</v>
      </c>
      <c r="AS628" s="42"/>
      <c r="AT628" s="48">
        <v>248236</v>
      </c>
      <c r="AU628" s="48">
        <v>1800</v>
      </c>
      <c r="AV628" s="4">
        <f t="shared" si="142"/>
        <v>250036</v>
      </c>
      <c r="AW628" s="50" t="str">
        <f t="shared" si="143"/>
        <v/>
      </c>
      <c r="AX628" s="1" t="s">
        <v>1783</v>
      </c>
      <c r="AY628" s="2" t="s">
        <v>1784</v>
      </c>
      <c r="AZ628" s="2">
        <v>74216.240000000005</v>
      </c>
      <c r="BA628" s="73">
        <v>64939.21</v>
      </c>
      <c r="BB628" s="73">
        <v>64939.21</v>
      </c>
      <c r="BC628" s="73">
        <v>74216.240000000005</v>
      </c>
      <c r="BD628" s="73"/>
      <c r="BE628" s="66">
        <v>0</v>
      </c>
      <c r="BF628" s="66">
        <v>0.05</v>
      </c>
      <c r="BG628" s="63">
        <v>45481</v>
      </c>
      <c r="BH628" s="2"/>
      <c r="BI628" s="2"/>
      <c r="BJ628" s="2">
        <v>270000</v>
      </c>
      <c r="BK628" s="2">
        <v>14175</v>
      </c>
      <c r="BL628" s="1" t="s">
        <v>97</v>
      </c>
    </row>
    <row r="629" spans="1:64" x14ac:dyDescent="0.25">
      <c r="A629" s="56" t="s">
        <v>1472</v>
      </c>
      <c r="B629" s="54" t="s">
        <v>1472</v>
      </c>
      <c r="C629" s="56" t="s">
        <v>1473</v>
      </c>
      <c r="D629" s="16">
        <v>0</v>
      </c>
      <c r="E629" s="17"/>
      <c r="F629" s="2" t="s">
        <v>243</v>
      </c>
      <c r="G629" s="2" t="s">
        <v>245</v>
      </c>
      <c r="H629" s="10" t="s">
        <v>98</v>
      </c>
      <c r="I629" s="11" t="s">
        <v>244</v>
      </c>
      <c r="J629" s="11" t="s">
        <v>286</v>
      </c>
      <c r="K629" s="61" t="s">
        <v>1474</v>
      </c>
      <c r="L629" s="11" t="s">
        <v>67</v>
      </c>
      <c r="M629" s="25"/>
      <c r="N629" s="54"/>
      <c r="O629" s="3" t="str">
        <f t="shared" si="148"/>
        <v>A</v>
      </c>
      <c r="P629" s="48">
        <v>175016</v>
      </c>
      <c r="Q629" s="48">
        <v>12067</v>
      </c>
      <c r="R629" s="32"/>
      <c r="S629" s="3" t="str">
        <f t="shared" si="149"/>
        <v>A</v>
      </c>
      <c r="T629" s="48">
        <v>163344</v>
      </c>
      <c r="U629" s="48">
        <v>7807</v>
      </c>
      <c r="V629" s="32"/>
      <c r="W629" s="3" t="str">
        <f t="shared" si="137"/>
        <v>A</v>
      </c>
      <c r="X629" s="48">
        <v>180224</v>
      </c>
      <c r="Y629" s="48">
        <v>6700</v>
      </c>
      <c r="Z629" s="32"/>
      <c r="AA629" s="3" t="str">
        <f t="shared" si="138"/>
        <v>A</v>
      </c>
      <c r="AB629" s="48">
        <v>233759</v>
      </c>
      <c r="AC629" s="48">
        <v>11435</v>
      </c>
      <c r="AD629" s="36"/>
      <c r="AE629" s="54"/>
      <c r="AF629" s="3" t="str">
        <f t="shared" si="139"/>
        <v>A</v>
      </c>
      <c r="AG629" s="48">
        <v>0</v>
      </c>
      <c r="AH629" s="48">
        <v>0</v>
      </c>
      <c r="AI629" s="39"/>
      <c r="AJ629" s="79" t="s">
        <v>1801</v>
      </c>
      <c r="AK629" s="39"/>
      <c r="AL629" s="4">
        <f t="shared" si="146"/>
        <v>752343</v>
      </c>
      <c r="AM629" s="4">
        <f t="shared" si="146"/>
        <v>38009</v>
      </c>
      <c r="AN629" s="4">
        <f t="shared" si="140"/>
        <v>790352</v>
      </c>
      <c r="AO629" s="39"/>
      <c r="AP629" s="8">
        <f t="shared" si="147"/>
        <v>0</v>
      </c>
      <c r="AQ629" s="8">
        <f t="shared" si="147"/>
        <v>0</v>
      </c>
      <c r="AR629" s="8">
        <f t="shared" si="141"/>
        <v>0</v>
      </c>
      <c r="AS629" s="42"/>
      <c r="AT629" s="48">
        <v>752343</v>
      </c>
      <c r="AU629" s="48">
        <v>38009</v>
      </c>
      <c r="AV629" s="4">
        <f t="shared" si="142"/>
        <v>790352</v>
      </c>
      <c r="AW629" s="50" t="str">
        <f t="shared" si="143"/>
        <v/>
      </c>
      <c r="AX629" s="1" t="s">
        <v>1639</v>
      </c>
      <c r="AY629" s="2" t="s">
        <v>1640</v>
      </c>
      <c r="AZ629" s="2">
        <v>0</v>
      </c>
      <c r="BA629" s="73">
        <v>0</v>
      </c>
      <c r="BB629" s="73">
        <v>0</v>
      </c>
      <c r="BC629" s="73">
        <v>0</v>
      </c>
      <c r="BD629" s="73"/>
      <c r="BE629" s="66">
        <v>0</v>
      </c>
      <c r="BF629" s="66">
        <v>0.02</v>
      </c>
      <c r="BG629" s="63">
        <v>45349</v>
      </c>
      <c r="BH629" s="2"/>
      <c r="BI629" s="2"/>
      <c r="BJ629" s="2"/>
      <c r="BK629" s="2"/>
      <c r="BL629" s="1" t="s">
        <v>237</v>
      </c>
    </row>
    <row r="630" spans="1:64" x14ac:dyDescent="0.25">
      <c r="A630" s="56" t="s">
        <v>1477</v>
      </c>
      <c r="B630" s="54" t="s">
        <v>1477</v>
      </c>
      <c r="C630" s="56" t="s">
        <v>1478</v>
      </c>
      <c r="D630" s="16">
        <v>45442</v>
      </c>
      <c r="E630" s="17"/>
      <c r="F630" s="2" t="s">
        <v>171</v>
      </c>
      <c r="G630" s="2" t="s">
        <v>172</v>
      </c>
      <c r="H630" s="10" t="s">
        <v>105</v>
      </c>
      <c r="I630" s="11" t="s">
        <v>53</v>
      </c>
      <c r="J630" s="11" t="s">
        <v>312</v>
      </c>
      <c r="K630" s="61"/>
      <c r="L630" s="11" t="s">
        <v>67</v>
      </c>
      <c r="M630" s="25"/>
      <c r="N630" s="54"/>
      <c r="O630" s="3" t="str">
        <f t="shared" si="148"/>
        <v>A</v>
      </c>
      <c r="P630" s="48">
        <v>332000</v>
      </c>
      <c r="Q630" s="48">
        <v>29438</v>
      </c>
      <c r="R630" s="32"/>
      <c r="S630" s="3" t="str">
        <f t="shared" si="149"/>
        <v>A</v>
      </c>
      <c r="T630" s="48">
        <v>258061</v>
      </c>
      <c r="U630" s="48">
        <v>24074</v>
      </c>
      <c r="V630" s="32"/>
      <c r="W630" s="3" t="str">
        <f t="shared" si="137"/>
        <v>A</v>
      </c>
      <c r="X630" s="48">
        <v>263986</v>
      </c>
      <c r="Y630" s="48">
        <v>25269</v>
      </c>
      <c r="Z630" s="32"/>
      <c r="AA630" s="3" t="str">
        <f t="shared" si="138"/>
        <v>A</v>
      </c>
      <c r="AB630" s="48">
        <v>284043</v>
      </c>
      <c r="AC630" s="48">
        <v>23717</v>
      </c>
      <c r="AD630" s="36"/>
      <c r="AE630" s="54"/>
      <c r="AF630" s="3" t="str">
        <f t="shared" si="139"/>
        <v>A</v>
      </c>
      <c r="AG630" s="48">
        <v>0</v>
      </c>
      <c r="AH630" s="48">
        <v>0</v>
      </c>
      <c r="AI630" s="39"/>
      <c r="AJ630" s="79" t="s">
        <v>1801</v>
      </c>
      <c r="AK630" s="39"/>
      <c r="AL630" s="4">
        <f t="shared" si="146"/>
        <v>1138090</v>
      </c>
      <c r="AM630" s="4">
        <f t="shared" si="146"/>
        <v>102498</v>
      </c>
      <c r="AN630" s="4">
        <f t="shared" si="140"/>
        <v>1240588</v>
      </c>
      <c r="AO630" s="39"/>
      <c r="AP630" s="8">
        <f t="shared" si="147"/>
        <v>0</v>
      </c>
      <c r="AQ630" s="8">
        <f t="shared" si="147"/>
        <v>0</v>
      </c>
      <c r="AR630" s="8">
        <f t="shared" si="141"/>
        <v>0</v>
      </c>
      <c r="AS630" s="42"/>
      <c r="AT630" s="48">
        <v>1138090</v>
      </c>
      <c r="AU630" s="48">
        <v>102498</v>
      </c>
      <c r="AV630" s="4">
        <f t="shared" si="142"/>
        <v>1240588</v>
      </c>
      <c r="AW630" s="50" t="str">
        <f t="shared" si="143"/>
        <v/>
      </c>
      <c r="AX630" s="1" t="s">
        <v>1654</v>
      </c>
      <c r="AY630" s="2" t="s">
        <v>1655</v>
      </c>
      <c r="AZ630" s="2">
        <v>684900.24</v>
      </c>
      <c r="BA630" s="73">
        <v>599287.71</v>
      </c>
      <c r="BB630" s="73">
        <v>599287.71</v>
      </c>
      <c r="BC630" s="73">
        <v>684900.24</v>
      </c>
      <c r="BD630" s="73"/>
      <c r="BE630" s="66">
        <v>0</v>
      </c>
      <c r="BF630" s="66">
        <v>0.05</v>
      </c>
      <c r="BG630" s="63">
        <v>45439</v>
      </c>
      <c r="BH630" s="2"/>
      <c r="BI630" s="2"/>
      <c r="BJ630" s="2">
        <v>578874.30000000005</v>
      </c>
      <c r="BK630" s="2">
        <v>34037.800000000003</v>
      </c>
      <c r="BL630" s="1" t="s">
        <v>219</v>
      </c>
    </row>
    <row r="631" spans="1:64" x14ac:dyDescent="0.25">
      <c r="A631" s="56" t="s">
        <v>1477</v>
      </c>
      <c r="B631" s="54" t="s">
        <v>1489</v>
      </c>
      <c r="C631" s="56" t="s">
        <v>1490</v>
      </c>
      <c r="D631" s="16">
        <v>45502</v>
      </c>
      <c r="E631" s="17">
        <v>45831</v>
      </c>
      <c r="F631" s="2" t="s">
        <v>171</v>
      </c>
      <c r="G631" s="2" t="s">
        <v>172</v>
      </c>
      <c r="H631" s="10" t="s">
        <v>105</v>
      </c>
      <c r="I631" s="11" t="s">
        <v>53</v>
      </c>
      <c r="J631" s="11" t="s">
        <v>312</v>
      </c>
      <c r="K631" s="61"/>
      <c r="L631" s="11" t="s">
        <v>67</v>
      </c>
      <c r="M631" s="25"/>
      <c r="N631" s="54"/>
      <c r="O631" s="3" t="str">
        <f t="shared" si="148"/>
        <v>A</v>
      </c>
      <c r="P631" s="48">
        <v>29421</v>
      </c>
      <c r="Q631" s="48">
        <v>5385</v>
      </c>
      <c r="R631" s="32"/>
      <c r="S631" s="3" t="str">
        <f t="shared" si="149"/>
        <v>A</v>
      </c>
      <c r="T631" s="48">
        <v>33950</v>
      </c>
      <c r="U631" s="48">
        <v>4545</v>
      </c>
      <c r="V631" s="32"/>
      <c r="W631" s="3" t="str">
        <f t="shared" si="137"/>
        <v>A</v>
      </c>
      <c r="X631" s="48">
        <v>21660</v>
      </c>
      <c r="Y631" s="48">
        <v>5505</v>
      </c>
      <c r="Z631" s="32"/>
      <c r="AA631" s="3" t="str">
        <f t="shared" si="138"/>
        <v>A</v>
      </c>
      <c r="AB631" s="48">
        <v>12793</v>
      </c>
      <c r="AC631" s="48">
        <v>3660</v>
      </c>
      <c r="AD631" s="36"/>
      <c r="AE631" s="54"/>
      <c r="AF631" s="3" t="str">
        <f t="shared" si="139"/>
        <v>A</v>
      </c>
      <c r="AG631" s="48">
        <v>0</v>
      </c>
      <c r="AH631" s="48">
        <v>0</v>
      </c>
      <c r="AI631" s="39"/>
      <c r="AJ631" s="79" t="s">
        <v>1801</v>
      </c>
      <c r="AK631" s="39"/>
      <c r="AL631" s="4">
        <f t="shared" si="146"/>
        <v>97824</v>
      </c>
      <c r="AM631" s="4">
        <f t="shared" si="146"/>
        <v>19095</v>
      </c>
      <c r="AN631" s="4">
        <f t="shared" si="140"/>
        <v>116919</v>
      </c>
      <c r="AO631" s="39"/>
      <c r="AP631" s="8">
        <f t="shared" si="147"/>
        <v>0</v>
      </c>
      <c r="AQ631" s="8">
        <f t="shared" si="147"/>
        <v>0</v>
      </c>
      <c r="AR631" s="8">
        <f t="shared" si="141"/>
        <v>0</v>
      </c>
      <c r="AS631" s="42"/>
      <c r="AT631" s="48">
        <v>97824</v>
      </c>
      <c r="AU631" s="48">
        <v>19095</v>
      </c>
      <c r="AV631" s="4">
        <f t="shared" si="142"/>
        <v>116919</v>
      </c>
      <c r="AW631" s="50" t="str">
        <f t="shared" si="143"/>
        <v/>
      </c>
      <c r="AX631" s="1" t="s">
        <v>1654</v>
      </c>
      <c r="AY631" s="2" t="s">
        <v>1655</v>
      </c>
      <c r="AZ631" s="2">
        <v>60742.48</v>
      </c>
      <c r="BA631" s="73">
        <v>53149.67</v>
      </c>
      <c r="BB631" s="73">
        <v>53149.67</v>
      </c>
      <c r="BC631" s="73"/>
      <c r="BD631" s="73"/>
      <c r="BE631" s="66">
        <v>0</v>
      </c>
      <c r="BF631" s="66">
        <v>0.05</v>
      </c>
      <c r="BG631" s="63">
        <v>45502</v>
      </c>
      <c r="BH631" s="74">
        <v>45831</v>
      </c>
      <c r="BI631" s="2"/>
      <c r="BJ631" s="2">
        <v>220982.1</v>
      </c>
      <c r="BK631" s="2">
        <v>12993.75</v>
      </c>
      <c r="BL631" s="1" t="s">
        <v>219</v>
      </c>
    </row>
    <row r="632" spans="1:64" x14ac:dyDescent="0.25">
      <c r="A632" s="56" t="s">
        <v>1479</v>
      </c>
      <c r="B632" s="54" t="s">
        <v>1479</v>
      </c>
      <c r="C632" s="56" t="s">
        <v>1480</v>
      </c>
      <c r="D632" s="16">
        <v>54788</v>
      </c>
      <c r="E632" s="17"/>
      <c r="F632" s="2" t="s">
        <v>1481</v>
      </c>
      <c r="G632" s="2" t="s">
        <v>1482</v>
      </c>
      <c r="H632" s="10" t="s">
        <v>98</v>
      </c>
      <c r="I632" s="11" t="s">
        <v>53</v>
      </c>
      <c r="J632" s="11" t="s">
        <v>99</v>
      </c>
      <c r="K632" s="61"/>
      <c r="L632" s="11" t="s">
        <v>67</v>
      </c>
      <c r="M632" s="25"/>
      <c r="N632" s="54"/>
      <c r="O632" s="3" t="str">
        <f t="shared" si="148"/>
        <v>E</v>
      </c>
      <c r="P632" s="48"/>
      <c r="Q632" s="48"/>
      <c r="R632" s="32"/>
      <c r="S632" s="3" t="str">
        <f t="shared" si="149"/>
        <v>E</v>
      </c>
      <c r="T632" s="48"/>
      <c r="U632" s="48"/>
      <c r="V632" s="32"/>
      <c r="W632" s="3" t="str">
        <f t="shared" si="137"/>
        <v>A</v>
      </c>
      <c r="X632" s="48"/>
      <c r="Y632" s="48"/>
      <c r="Z632" s="32"/>
      <c r="AA632" s="3" t="str">
        <f t="shared" si="138"/>
        <v>A</v>
      </c>
      <c r="AB632" s="48"/>
      <c r="AC632" s="48"/>
      <c r="AD632" s="36"/>
      <c r="AE632" s="54"/>
      <c r="AF632" s="3" t="str">
        <f t="shared" si="139"/>
        <v>A</v>
      </c>
      <c r="AG632" s="48"/>
      <c r="AH632" s="48"/>
      <c r="AI632" s="39"/>
      <c r="AJ632" s="79" t="s">
        <v>38</v>
      </c>
      <c r="AK632" s="39"/>
      <c r="AL632" s="4">
        <f t="shared" si="146"/>
        <v>0</v>
      </c>
      <c r="AM632" s="4">
        <f t="shared" si="146"/>
        <v>0</v>
      </c>
      <c r="AN632" s="4">
        <f t="shared" si="140"/>
        <v>0</v>
      </c>
      <c r="AO632" s="39"/>
      <c r="AP632" s="8">
        <f t="shared" si="147"/>
        <v>0</v>
      </c>
      <c r="AQ632" s="8">
        <f t="shared" si="147"/>
        <v>0</v>
      </c>
      <c r="AR632" s="8">
        <f t="shared" si="141"/>
        <v>0</v>
      </c>
      <c r="AS632" s="42"/>
      <c r="AT632" s="48"/>
      <c r="AU632" s="48"/>
      <c r="AV632" s="4">
        <f t="shared" si="142"/>
        <v>0</v>
      </c>
      <c r="AW632" s="50" t="str">
        <f t="shared" si="143"/>
        <v/>
      </c>
      <c r="AX632" s="1" t="s">
        <v>1785</v>
      </c>
      <c r="AY632" s="2" t="s">
        <v>1786</v>
      </c>
      <c r="AZ632" s="2"/>
      <c r="BA632" s="73"/>
      <c r="BB632" s="73"/>
      <c r="BC632" s="73"/>
      <c r="BD632" s="73"/>
      <c r="BE632" s="66">
        <v>0</v>
      </c>
      <c r="BF632" s="66">
        <v>0.05</v>
      </c>
      <c r="BG632" s="63">
        <v>0</v>
      </c>
      <c r="BH632" s="2"/>
      <c r="BI632" s="2"/>
      <c r="BJ632" s="2">
        <v>502929</v>
      </c>
      <c r="BK632" s="2">
        <v>26403.77</v>
      </c>
      <c r="BL632" s="1" t="s">
        <v>97</v>
      </c>
    </row>
    <row r="633" spans="1:64" x14ac:dyDescent="0.25">
      <c r="A633" s="56" t="s">
        <v>1485</v>
      </c>
      <c r="B633" s="54" t="s">
        <v>1485</v>
      </c>
      <c r="C633" s="56" t="s">
        <v>1486</v>
      </c>
      <c r="D633" s="16">
        <v>45430</v>
      </c>
      <c r="E633" s="17"/>
      <c r="F633" s="2" t="s">
        <v>803</v>
      </c>
      <c r="G633" s="2" t="s">
        <v>804</v>
      </c>
      <c r="H633" s="10" t="s">
        <v>105</v>
      </c>
      <c r="I633" s="11" t="s">
        <v>53</v>
      </c>
      <c r="J633" s="11" t="s">
        <v>258</v>
      </c>
      <c r="K633" s="61"/>
      <c r="L633" s="11" t="s">
        <v>67</v>
      </c>
      <c r="M633" s="25"/>
      <c r="N633" s="54"/>
      <c r="O633" s="3" t="str">
        <f t="shared" si="148"/>
        <v>A</v>
      </c>
      <c r="P633" s="48">
        <v>100288</v>
      </c>
      <c r="Q633" s="48">
        <v>10753</v>
      </c>
      <c r="R633" s="32"/>
      <c r="S633" s="3" t="str">
        <f t="shared" si="149"/>
        <v>A</v>
      </c>
      <c r="T633" s="48">
        <v>86761</v>
      </c>
      <c r="U633" s="48">
        <v>10922</v>
      </c>
      <c r="V633" s="32"/>
      <c r="W633" s="3" t="str">
        <f t="shared" si="137"/>
        <v>A</v>
      </c>
      <c r="X633" s="48">
        <v>72721</v>
      </c>
      <c r="Y633" s="48">
        <v>9908</v>
      </c>
      <c r="Z633" s="32"/>
      <c r="AA633" s="3" t="str">
        <f t="shared" si="138"/>
        <v>A</v>
      </c>
      <c r="AB633" s="48">
        <v>75364</v>
      </c>
      <c r="AC633" s="48">
        <v>9073</v>
      </c>
      <c r="AD633" s="36"/>
      <c r="AE633" s="54"/>
      <c r="AF633" s="3" t="str">
        <f t="shared" si="139"/>
        <v>A</v>
      </c>
      <c r="AG633" s="48">
        <v>0</v>
      </c>
      <c r="AH633" s="48">
        <v>0</v>
      </c>
      <c r="AI633" s="39"/>
      <c r="AJ633" s="79" t="s">
        <v>1801</v>
      </c>
      <c r="AK633" s="39"/>
      <c r="AL633" s="4">
        <f t="shared" si="146"/>
        <v>335134</v>
      </c>
      <c r="AM633" s="4">
        <f t="shared" si="146"/>
        <v>40656</v>
      </c>
      <c r="AN633" s="4">
        <f t="shared" si="140"/>
        <v>375790</v>
      </c>
      <c r="AO633" s="39"/>
      <c r="AP633" s="8">
        <f t="shared" si="147"/>
        <v>0</v>
      </c>
      <c r="AQ633" s="8">
        <f t="shared" si="147"/>
        <v>0</v>
      </c>
      <c r="AR633" s="8">
        <f t="shared" si="141"/>
        <v>0</v>
      </c>
      <c r="AS633" s="42"/>
      <c r="AT633" s="48">
        <v>335134</v>
      </c>
      <c r="AU633" s="48">
        <v>40656</v>
      </c>
      <c r="AV633" s="4">
        <f t="shared" si="142"/>
        <v>375790</v>
      </c>
      <c r="AW633" s="50" t="str">
        <f t="shared" si="143"/>
        <v/>
      </c>
      <c r="AX633" s="1" t="s">
        <v>1730</v>
      </c>
      <c r="AY633" s="2" t="s">
        <v>1731</v>
      </c>
      <c r="AZ633" s="2">
        <v>150920</v>
      </c>
      <c r="BA633" s="73">
        <v>132055</v>
      </c>
      <c r="BB633" s="73">
        <v>132055</v>
      </c>
      <c r="BC633" s="73">
        <v>150920</v>
      </c>
      <c r="BD633" s="73"/>
      <c r="BE633" s="66">
        <v>0</v>
      </c>
      <c r="BF633" s="66">
        <v>0.05</v>
      </c>
      <c r="BG633" s="63">
        <v>45430</v>
      </c>
      <c r="BH633" s="2"/>
      <c r="BI633" s="2"/>
      <c r="BJ633" s="2">
        <v>559266.30000000005</v>
      </c>
      <c r="BK633" s="2">
        <v>29361.48</v>
      </c>
      <c r="BL633" s="1" t="s">
        <v>104</v>
      </c>
    </row>
    <row r="634" spans="1:64" x14ac:dyDescent="0.25">
      <c r="A634" s="56" t="s">
        <v>1485</v>
      </c>
      <c r="B634" s="54" t="s">
        <v>1566</v>
      </c>
      <c r="C634" s="56" t="s">
        <v>1567</v>
      </c>
      <c r="D634" s="16">
        <v>45646</v>
      </c>
      <c r="E634" s="17"/>
      <c r="F634" s="2" t="s">
        <v>803</v>
      </c>
      <c r="G634" s="2" t="s">
        <v>804</v>
      </c>
      <c r="H634" s="10" t="s">
        <v>105</v>
      </c>
      <c r="I634" s="11" t="s">
        <v>53</v>
      </c>
      <c r="J634" s="11" t="s">
        <v>258</v>
      </c>
      <c r="K634" s="61"/>
      <c r="L634" s="11" t="s">
        <v>67</v>
      </c>
      <c r="M634" s="25"/>
      <c r="N634" s="54"/>
      <c r="O634" s="3" t="str">
        <f t="shared" si="148"/>
        <v>A</v>
      </c>
      <c r="P634" s="48">
        <v>163752</v>
      </c>
      <c r="Q634" s="48">
        <v>11529</v>
      </c>
      <c r="R634" s="32"/>
      <c r="S634" s="3" t="str">
        <f t="shared" si="149"/>
        <v>A</v>
      </c>
      <c r="T634" s="48">
        <v>142753</v>
      </c>
      <c r="U634" s="48">
        <v>9771</v>
      </c>
      <c r="V634" s="32"/>
      <c r="W634" s="3" t="str">
        <f t="shared" si="137"/>
        <v>A</v>
      </c>
      <c r="X634" s="48">
        <v>126662</v>
      </c>
      <c r="Y634" s="48">
        <v>7168</v>
      </c>
      <c r="Z634" s="32"/>
      <c r="AA634" s="3" t="str">
        <f t="shared" si="138"/>
        <v>A</v>
      </c>
      <c r="AB634" s="48">
        <v>135234</v>
      </c>
      <c r="AC634" s="48">
        <v>8726</v>
      </c>
      <c r="AD634" s="36"/>
      <c r="AE634" s="54"/>
      <c r="AF634" s="3" t="str">
        <f t="shared" si="139"/>
        <v>A</v>
      </c>
      <c r="AG634" s="48">
        <v>0</v>
      </c>
      <c r="AH634" s="48">
        <v>0</v>
      </c>
      <c r="AI634" s="39"/>
      <c r="AJ634" s="79" t="s">
        <v>1801</v>
      </c>
      <c r="AK634" s="39"/>
      <c r="AL634" s="4">
        <f t="shared" si="146"/>
        <v>568401</v>
      </c>
      <c r="AM634" s="4">
        <f t="shared" si="146"/>
        <v>37194</v>
      </c>
      <c r="AN634" s="4">
        <f t="shared" si="140"/>
        <v>605595</v>
      </c>
      <c r="AO634" s="39"/>
      <c r="AP634" s="8">
        <f t="shared" si="147"/>
        <v>0</v>
      </c>
      <c r="AQ634" s="8">
        <f t="shared" si="147"/>
        <v>0</v>
      </c>
      <c r="AR634" s="8">
        <f t="shared" si="141"/>
        <v>0</v>
      </c>
      <c r="AS634" s="42"/>
      <c r="AT634" s="48">
        <v>568401</v>
      </c>
      <c r="AU634" s="48">
        <v>37194</v>
      </c>
      <c r="AV634" s="4">
        <f t="shared" si="142"/>
        <v>605595</v>
      </c>
      <c r="AW634" s="50" t="str">
        <f t="shared" si="143"/>
        <v/>
      </c>
      <c r="AX634" s="1" t="s">
        <v>1730</v>
      </c>
      <c r="AY634" s="2" t="s">
        <v>1731</v>
      </c>
      <c r="AZ634" s="2">
        <v>143438.07999999999</v>
      </c>
      <c r="BA634" s="73">
        <v>125508.32</v>
      </c>
      <c r="BB634" s="73">
        <v>125508.32</v>
      </c>
      <c r="BC634" s="73">
        <v>143438.07999999999</v>
      </c>
      <c r="BD634" s="73"/>
      <c r="BE634" s="66">
        <v>0</v>
      </c>
      <c r="BF634" s="66">
        <v>0.05</v>
      </c>
      <c r="BG634" s="63">
        <v>45643</v>
      </c>
      <c r="BH634" s="2"/>
      <c r="BI634" s="2"/>
      <c r="BJ634" s="2">
        <v>578874.30000000005</v>
      </c>
      <c r="BK634" s="2">
        <v>18421.2</v>
      </c>
      <c r="BL634" s="1" t="s">
        <v>104</v>
      </c>
    </row>
    <row r="635" spans="1:64" x14ac:dyDescent="0.25">
      <c r="A635" s="56" t="s">
        <v>1497</v>
      </c>
      <c r="B635" s="54" t="s">
        <v>1497</v>
      </c>
      <c r="C635" s="56" t="s">
        <v>1498</v>
      </c>
      <c r="D635" s="16">
        <v>45562</v>
      </c>
      <c r="E635" s="17"/>
      <c r="F635" s="2" t="s">
        <v>1499</v>
      </c>
      <c r="G635" s="2" t="s">
        <v>1500</v>
      </c>
      <c r="H635" s="10" t="s">
        <v>98</v>
      </c>
      <c r="I635" s="11" t="s">
        <v>53</v>
      </c>
      <c r="J635" s="11" t="s">
        <v>99</v>
      </c>
      <c r="K635" s="61"/>
      <c r="L635" s="11" t="s">
        <v>67</v>
      </c>
      <c r="M635" s="25"/>
      <c r="N635" s="54"/>
      <c r="O635" s="3" t="str">
        <f t="shared" si="148"/>
        <v>A</v>
      </c>
      <c r="P635" s="48">
        <v>81095</v>
      </c>
      <c r="Q635" s="48">
        <v>5446</v>
      </c>
      <c r="R635" s="32"/>
      <c r="S635" s="3" t="str">
        <f t="shared" si="149"/>
        <v>A</v>
      </c>
      <c r="T635" s="48">
        <v>57136</v>
      </c>
      <c r="U635" s="48">
        <v>4424</v>
      </c>
      <c r="V635" s="32"/>
      <c r="W635" s="3" t="str">
        <f t="shared" si="137"/>
        <v>A</v>
      </c>
      <c r="X635" s="48">
        <v>60514</v>
      </c>
      <c r="Y635" s="48">
        <v>3972</v>
      </c>
      <c r="Z635" s="32"/>
      <c r="AA635" s="3" t="str">
        <f t="shared" si="138"/>
        <v>A</v>
      </c>
      <c r="AB635" s="48">
        <v>68898</v>
      </c>
      <c r="AC635" s="48">
        <v>4491</v>
      </c>
      <c r="AD635" s="36"/>
      <c r="AE635" s="54"/>
      <c r="AF635" s="3" t="str">
        <f t="shared" si="139"/>
        <v>A</v>
      </c>
      <c r="AG635" s="48">
        <v>0</v>
      </c>
      <c r="AH635" s="48">
        <v>0</v>
      </c>
      <c r="AI635" s="39"/>
      <c r="AJ635" s="79" t="s">
        <v>1801</v>
      </c>
      <c r="AK635" s="39"/>
      <c r="AL635" s="4">
        <f t="shared" si="146"/>
        <v>267643</v>
      </c>
      <c r="AM635" s="4">
        <f t="shared" si="146"/>
        <v>18333</v>
      </c>
      <c r="AN635" s="4">
        <f t="shared" si="140"/>
        <v>285976</v>
      </c>
      <c r="AO635" s="39"/>
      <c r="AP635" s="8">
        <f t="shared" si="147"/>
        <v>0</v>
      </c>
      <c r="AQ635" s="8">
        <f t="shared" si="147"/>
        <v>0</v>
      </c>
      <c r="AR635" s="8">
        <f t="shared" si="141"/>
        <v>0</v>
      </c>
      <c r="AS635" s="42"/>
      <c r="AT635" s="48">
        <v>267643</v>
      </c>
      <c r="AU635" s="48">
        <v>18333</v>
      </c>
      <c r="AV635" s="4">
        <f t="shared" si="142"/>
        <v>285976</v>
      </c>
      <c r="AW635" s="50" t="str">
        <f t="shared" si="143"/>
        <v/>
      </c>
      <c r="AX635" s="1" t="s">
        <v>1787</v>
      </c>
      <c r="AY635" s="2" t="s">
        <v>1788</v>
      </c>
      <c r="AZ635" s="2">
        <v>192925.36</v>
      </c>
      <c r="BA635" s="73">
        <v>168809.69</v>
      </c>
      <c r="BB635" s="73">
        <v>168809.69</v>
      </c>
      <c r="BC635" s="73">
        <v>192925.36</v>
      </c>
      <c r="BD635" s="73"/>
      <c r="BE635" s="66">
        <v>0</v>
      </c>
      <c r="BF635" s="66">
        <v>0.05</v>
      </c>
      <c r="BG635" s="63">
        <v>45559</v>
      </c>
      <c r="BH635" s="2"/>
      <c r="BI635" s="2"/>
      <c r="BJ635" s="2">
        <v>705711</v>
      </c>
      <c r="BK635" s="2">
        <v>37049.83</v>
      </c>
      <c r="BL635" s="1" t="s">
        <v>97</v>
      </c>
    </row>
    <row r="636" spans="1:64" x14ac:dyDescent="0.25">
      <c r="A636" s="56" t="s">
        <v>1501</v>
      </c>
      <c r="B636" s="54" t="s">
        <v>1501</v>
      </c>
      <c r="C636" s="56" t="s">
        <v>1502</v>
      </c>
      <c r="D636" s="16">
        <v>0</v>
      </c>
      <c r="E636" s="17"/>
      <c r="F636" s="2" t="s">
        <v>102</v>
      </c>
      <c r="G636" s="2" t="s">
        <v>103</v>
      </c>
      <c r="H636" s="10" t="s">
        <v>105</v>
      </c>
      <c r="I636" s="11" t="s">
        <v>53</v>
      </c>
      <c r="J636" s="11" t="s">
        <v>106</v>
      </c>
      <c r="K636" s="61"/>
      <c r="L636" s="11" t="s">
        <v>67</v>
      </c>
      <c r="M636" s="25"/>
      <c r="N636" s="54"/>
      <c r="O636" s="3" t="str">
        <f t="shared" si="148"/>
        <v>A</v>
      </c>
      <c r="P636" s="48">
        <v>375592</v>
      </c>
      <c r="Q636" s="48">
        <v>55495</v>
      </c>
      <c r="R636" s="32"/>
      <c r="S636" s="3" t="str">
        <f t="shared" si="149"/>
        <v>A</v>
      </c>
      <c r="T636" s="48">
        <v>316309</v>
      </c>
      <c r="U636" s="48">
        <v>41293</v>
      </c>
      <c r="V636" s="32"/>
      <c r="W636" s="3" t="str">
        <f t="shared" si="137"/>
        <v>A</v>
      </c>
      <c r="X636" s="48">
        <v>298151</v>
      </c>
      <c r="Y636" s="48">
        <v>38346</v>
      </c>
      <c r="Z636" s="32"/>
      <c r="AA636" s="3" t="str">
        <f t="shared" si="138"/>
        <v>A</v>
      </c>
      <c r="AB636" s="48">
        <v>315877</v>
      </c>
      <c r="AC636" s="48">
        <v>39628</v>
      </c>
      <c r="AD636" s="36"/>
      <c r="AE636" s="54"/>
      <c r="AF636" s="3" t="str">
        <f t="shared" si="139"/>
        <v>A</v>
      </c>
      <c r="AG636" s="48">
        <v>0</v>
      </c>
      <c r="AH636" s="48">
        <v>0</v>
      </c>
      <c r="AI636" s="39"/>
      <c r="AJ636" s="79" t="s">
        <v>1801</v>
      </c>
      <c r="AK636" s="39"/>
      <c r="AL636" s="4">
        <f t="shared" si="146"/>
        <v>1305929</v>
      </c>
      <c r="AM636" s="4">
        <f t="shared" si="146"/>
        <v>174762</v>
      </c>
      <c r="AN636" s="4">
        <f t="shared" si="140"/>
        <v>1480691</v>
      </c>
      <c r="AO636" s="39"/>
      <c r="AP636" s="8">
        <f t="shared" si="147"/>
        <v>0</v>
      </c>
      <c r="AQ636" s="8">
        <f t="shared" si="147"/>
        <v>0</v>
      </c>
      <c r="AR636" s="8">
        <f t="shared" si="141"/>
        <v>0</v>
      </c>
      <c r="AS636" s="42"/>
      <c r="AT636" s="48">
        <v>1305929</v>
      </c>
      <c r="AU636" s="48">
        <v>174762</v>
      </c>
      <c r="AV636" s="4">
        <f t="shared" si="142"/>
        <v>1480691</v>
      </c>
      <c r="AW636" s="50" t="str">
        <f t="shared" si="143"/>
        <v/>
      </c>
      <c r="AX636" s="1" t="s">
        <v>1645</v>
      </c>
      <c r="AY636" s="2" t="s">
        <v>1646</v>
      </c>
      <c r="AZ636" s="2">
        <v>101327.36</v>
      </c>
      <c r="BA636" s="73">
        <v>88661.440000000002</v>
      </c>
      <c r="BB636" s="73">
        <v>88661.440000000002</v>
      </c>
      <c r="BC636" s="73">
        <v>101327.36</v>
      </c>
      <c r="BD636" s="73"/>
      <c r="BE636" s="66">
        <v>0</v>
      </c>
      <c r="BF636" s="66">
        <v>0.05</v>
      </c>
      <c r="BG636" s="63">
        <v>45539</v>
      </c>
      <c r="BH636" s="2"/>
      <c r="BI636" s="2"/>
      <c r="BJ636" s="2">
        <v>370650</v>
      </c>
      <c r="BK636" s="2">
        <v>19459.13</v>
      </c>
      <c r="BL636" s="1" t="s">
        <v>104</v>
      </c>
    </row>
    <row r="637" spans="1:64" x14ac:dyDescent="0.25">
      <c r="A637" s="56" t="s">
        <v>1507</v>
      </c>
      <c r="B637" s="54" t="s">
        <v>1507</v>
      </c>
      <c r="C637" s="56" t="s">
        <v>1508</v>
      </c>
      <c r="D637" s="16">
        <v>45624</v>
      </c>
      <c r="E637" s="17"/>
      <c r="F637" s="2" t="s">
        <v>904</v>
      </c>
      <c r="G637" s="2" t="s">
        <v>906</v>
      </c>
      <c r="H637" s="10" t="s">
        <v>57</v>
      </c>
      <c r="I637" s="11" t="s">
        <v>905</v>
      </c>
      <c r="J637" s="11" t="s">
        <v>58</v>
      </c>
      <c r="K637" s="61" t="s">
        <v>59</v>
      </c>
      <c r="L637" s="11" t="s">
        <v>67</v>
      </c>
      <c r="M637" s="25"/>
      <c r="N637" s="54"/>
      <c r="O637" s="3" t="str">
        <f t="shared" si="148"/>
        <v>A</v>
      </c>
      <c r="P637" s="48">
        <v>137449</v>
      </c>
      <c r="Q637" s="48">
        <v>34640</v>
      </c>
      <c r="R637" s="32"/>
      <c r="S637" s="3" t="str">
        <f t="shared" si="149"/>
        <v>A</v>
      </c>
      <c r="T637" s="48">
        <v>115414</v>
      </c>
      <c r="U637" s="48">
        <v>32492</v>
      </c>
      <c r="V637" s="32"/>
      <c r="W637" s="3" t="str">
        <f t="shared" si="137"/>
        <v>A</v>
      </c>
      <c r="X637" s="48">
        <v>113048</v>
      </c>
      <c r="Y637" s="48">
        <v>28564</v>
      </c>
      <c r="Z637" s="32"/>
      <c r="AA637" s="3" t="str">
        <f t="shared" si="138"/>
        <v>A</v>
      </c>
      <c r="AB637" s="48">
        <v>133623</v>
      </c>
      <c r="AC637" s="48">
        <v>32381</v>
      </c>
      <c r="AD637" s="36"/>
      <c r="AE637" s="54"/>
      <c r="AF637" s="3" t="str">
        <f t="shared" si="139"/>
        <v>A</v>
      </c>
      <c r="AG637" s="48">
        <v>0</v>
      </c>
      <c r="AH637" s="48">
        <v>0</v>
      </c>
      <c r="AI637" s="39"/>
      <c r="AJ637" s="79" t="s">
        <v>1801</v>
      </c>
      <c r="AK637" s="39"/>
      <c r="AL637" s="4">
        <f t="shared" si="146"/>
        <v>499534</v>
      </c>
      <c r="AM637" s="4">
        <f t="shared" si="146"/>
        <v>128077</v>
      </c>
      <c r="AN637" s="4">
        <f t="shared" si="140"/>
        <v>627611</v>
      </c>
      <c r="AO637" s="39"/>
      <c r="AP637" s="8">
        <f t="shared" si="147"/>
        <v>0</v>
      </c>
      <c r="AQ637" s="8">
        <f t="shared" si="147"/>
        <v>0</v>
      </c>
      <c r="AR637" s="8">
        <f t="shared" si="141"/>
        <v>0</v>
      </c>
      <c r="AS637" s="42"/>
      <c r="AT637" s="48">
        <v>499534</v>
      </c>
      <c r="AU637" s="48">
        <v>128077</v>
      </c>
      <c r="AV637" s="4">
        <f t="shared" si="142"/>
        <v>627611</v>
      </c>
      <c r="AW637" s="50" t="str">
        <f t="shared" si="143"/>
        <v/>
      </c>
      <c r="AX637" s="1" t="s">
        <v>1740</v>
      </c>
      <c r="AY637" s="2" t="s">
        <v>1741</v>
      </c>
      <c r="AZ637" s="2">
        <v>107877.68</v>
      </c>
      <c r="BA637" s="73">
        <v>94392.97</v>
      </c>
      <c r="BB637" s="73">
        <v>94392.97</v>
      </c>
      <c r="BC637" s="73">
        <v>107877.68</v>
      </c>
      <c r="BD637" s="73"/>
      <c r="BE637" s="66">
        <v>0</v>
      </c>
      <c r="BF637" s="66">
        <v>0</v>
      </c>
      <c r="BG637" s="63">
        <v>45621</v>
      </c>
      <c r="BH637" s="2"/>
      <c r="BI637" s="2"/>
      <c r="BJ637" s="2">
        <v>396462</v>
      </c>
      <c r="BK637" s="2">
        <v>20814.259999999998</v>
      </c>
      <c r="BL637" s="1" t="s">
        <v>56</v>
      </c>
    </row>
    <row r="638" spans="1:64" x14ac:dyDescent="0.25">
      <c r="A638" s="56" t="s">
        <v>1509</v>
      </c>
      <c r="B638" s="54" t="s">
        <v>1509</v>
      </c>
      <c r="C638" s="56" t="s">
        <v>1510</v>
      </c>
      <c r="D638" s="16">
        <v>0</v>
      </c>
      <c r="E638" s="17">
        <v>45824</v>
      </c>
      <c r="F638" s="2" t="s">
        <v>953</v>
      </c>
      <c r="G638" s="2" t="s">
        <v>954</v>
      </c>
      <c r="H638" s="10" t="s">
        <v>98</v>
      </c>
      <c r="I638" s="11" t="s">
        <v>53</v>
      </c>
      <c r="J638" s="11" t="s">
        <v>99</v>
      </c>
      <c r="K638" s="61"/>
      <c r="L638" s="11" t="s">
        <v>67</v>
      </c>
      <c r="M638" s="25"/>
      <c r="N638" s="54"/>
      <c r="O638" s="3" t="str">
        <f t="shared" si="148"/>
        <v>E</v>
      </c>
      <c r="P638" s="48"/>
      <c r="Q638" s="48"/>
      <c r="R638" s="32"/>
      <c r="S638" s="3" t="str">
        <f t="shared" si="149"/>
        <v>E</v>
      </c>
      <c r="T638" s="48"/>
      <c r="U638" s="48"/>
      <c r="V638" s="32"/>
      <c r="W638" s="3" t="str">
        <f t="shared" si="137"/>
        <v>A</v>
      </c>
      <c r="X638" s="48"/>
      <c r="Y638" s="48"/>
      <c r="Z638" s="32"/>
      <c r="AA638" s="3" t="str">
        <f t="shared" si="138"/>
        <v>A</v>
      </c>
      <c r="AB638" s="48"/>
      <c r="AC638" s="48"/>
      <c r="AD638" s="36"/>
      <c r="AE638" s="54"/>
      <c r="AF638" s="3" t="str">
        <f t="shared" si="139"/>
        <v>A</v>
      </c>
      <c r="AG638" s="48"/>
      <c r="AH638" s="48"/>
      <c r="AI638" s="39"/>
      <c r="AJ638" s="79" t="s">
        <v>38</v>
      </c>
      <c r="AK638" s="39"/>
      <c r="AL638" s="4">
        <f t="shared" si="146"/>
        <v>0</v>
      </c>
      <c r="AM638" s="4">
        <f t="shared" si="146"/>
        <v>0</v>
      </c>
      <c r="AN638" s="4">
        <f t="shared" si="140"/>
        <v>0</v>
      </c>
      <c r="AO638" s="39"/>
      <c r="AP638" s="8">
        <f t="shared" si="147"/>
        <v>0</v>
      </c>
      <c r="AQ638" s="8">
        <f t="shared" si="147"/>
        <v>0</v>
      </c>
      <c r="AR638" s="8">
        <f t="shared" si="141"/>
        <v>0</v>
      </c>
      <c r="AS638" s="42"/>
      <c r="AT638" s="48"/>
      <c r="AU638" s="48"/>
      <c r="AV638" s="4">
        <f t="shared" si="142"/>
        <v>0</v>
      </c>
      <c r="AW638" s="50" t="str">
        <f t="shared" si="143"/>
        <v/>
      </c>
      <c r="AX638" s="1" t="s">
        <v>1744</v>
      </c>
      <c r="AY638" s="2" t="s">
        <v>1745</v>
      </c>
      <c r="AZ638" s="2"/>
      <c r="BA638" s="73"/>
      <c r="BB638" s="73"/>
      <c r="BC638" s="73"/>
      <c r="BD638" s="73"/>
      <c r="BE638" s="66">
        <v>0</v>
      </c>
      <c r="BF638" s="66">
        <v>0.05</v>
      </c>
      <c r="BG638" s="63">
        <v>45488</v>
      </c>
      <c r="BH638" s="74">
        <v>45768</v>
      </c>
      <c r="BI638" s="2"/>
      <c r="BJ638" s="2">
        <v>558103.5</v>
      </c>
      <c r="BK638" s="2">
        <v>69762.94</v>
      </c>
      <c r="BL638" s="1" t="s">
        <v>97</v>
      </c>
    </row>
    <row r="639" spans="1:64" x14ac:dyDescent="0.25">
      <c r="A639" s="56" t="s">
        <v>1509</v>
      </c>
      <c r="B639" s="54" t="s">
        <v>1531</v>
      </c>
      <c r="C639" s="56" t="s">
        <v>1532</v>
      </c>
      <c r="D639" s="16">
        <v>0</v>
      </c>
      <c r="E639" s="17">
        <v>45731</v>
      </c>
      <c r="F639" s="2" t="s">
        <v>953</v>
      </c>
      <c r="G639" s="2" t="s">
        <v>954</v>
      </c>
      <c r="H639" s="10" t="s">
        <v>98</v>
      </c>
      <c r="I639" s="11" t="s">
        <v>53</v>
      </c>
      <c r="J639" s="11" t="s">
        <v>99</v>
      </c>
      <c r="K639" s="61"/>
      <c r="L639" s="11" t="s">
        <v>67</v>
      </c>
      <c r="M639" s="25"/>
      <c r="N639" s="54"/>
      <c r="O639" s="3" t="str">
        <f t="shared" si="148"/>
        <v>E</v>
      </c>
      <c r="P639" s="48"/>
      <c r="Q639" s="48"/>
      <c r="R639" s="32"/>
      <c r="S639" s="3" t="str">
        <f t="shared" si="149"/>
        <v>E</v>
      </c>
      <c r="T639" s="48"/>
      <c r="U639" s="48"/>
      <c r="V639" s="32"/>
      <c r="W639" s="3" t="str">
        <f t="shared" si="137"/>
        <v>A</v>
      </c>
      <c r="X639" s="48"/>
      <c r="Y639" s="48"/>
      <c r="Z639" s="32"/>
      <c r="AA639" s="3" t="str">
        <f t="shared" si="138"/>
        <v>A</v>
      </c>
      <c r="AB639" s="48"/>
      <c r="AC639" s="48"/>
      <c r="AD639" s="36"/>
      <c r="AE639" s="54"/>
      <c r="AF639" s="3" t="str">
        <f t="shared" si="139"/>
        <v>A</v>
      </c>
      <c r="AG639" s="48"/>
      <c r="AH639" s="48"/>
      <c r="AI639" s="39"/>
      <c r="AJ639" s="79" t="s">
        <v>38</v>
      </c>
      <c r="AK639" s="39"/>
      <c r="AL639" s="4">
        <f t="shared" si="146"/>
        <v>0</v>
      </c>
      <c r="AM639" s="4">
        <f t="shared" si="146"/>
        <v>0</v>
      </c>
      <c r="AN639" s="4">
        <f t="shared" si="140"/>
        <v>0</v>
      </c>
      <c r="AO639" s="39"/>
      <c r="AP639" s="8">
        <f t="shared" si="147"/>
        <v>0</v>
      </c>
      <c r="AQ639" s="8">
        <f t="shared" si="147"/>
        <v>0</v>
      </c>
      <c r="AR639" s="8">
        <f t="shared" si="141"/>
        <v>0</v>
      </c>
      <c r="AS639" s="42"/>
      <c r="AT639" s="48"/>
      <c r="AU639" s="48"/>
      <c r="AV639" s="4">
        <f t="shared" si="142"/>
        <v>0</v>
      </c>
      <c r="AW639" s="50" t="str">
        <f t="shared" si="143"/>
        <v/>
      </c>
      <c r="AX639" s="1" t="s">
        <v>1744</v>
      </c>
      <c r="AY639" s="2" t="s">
        <v>1745</v>
      </c>
      <c r="AZ639" s="2"/>
      <c r="BA639" s="73"/>
      <c r="BB639" s="73"/>
      <c r="BC639" s="73"/>
      <c r="BD639" s="73"/>
      <c r="BE639" s="66">
        <v>0</v>
      </c>
      <c r="BF639" s="66">
        <v>0.05</v>
      </c>
      <c r="BG639" s="63">
        <v>45600</v>
      </c>
      <c r="BH639" s="74">
        <v>45731</v>
      </c>
      <c r="BI639" s="2"/>
      <c r="BJ639" s="2">
        <v>600530.15</v>
      </c>
      <c r="BK639" s="2">
        <v>33531.440000000002</v>
      </c>
      <c r="BL639" s="1" t="s">
        <v>97</v>
      </c>
    </row>
    <row r="640" spans="1:64" x14ac:dyDescent="0.25">
      <c r="A640" s="56" t="s">
        <v>1511</v>
      </c>
      <c r="B640" s="54" t="s">
        <v>1511</v>
      </c>
      <c r="C640" s="56" t="s">
        <v>1512</v>
      </c>
      <c r="D640" s="16">
        <v>45755</v>
      </c>
      <c r="E640" s="17"/>
      <c r="F640" s="2" t="s">
        <v>1513</v>
      </c>
      <c r="G640" s="2" t="s">
        <v>1514</v>
      </c>
      <c r="H640" s="10" t="s">
        <v>57</v>
      </c>
      <c r="I640" s="11" t="s">
        <v>53</v>
      </c>
      <c r="J640" s="11" t="s">
        <v>319</v>
      </c>
      <c r="K640" s="61"/>
      <c r="L640" s="11" t="s">
        <v>67</v>
      </c>
      <c r="M640" s="25"/>
      <c r="N640" s="54"/>
      <c r="O640" s="3" t="str">
        <f t="shared" si="148"/>
        <v>A</v>
      </c>
      <c r="P640" s="48">
        <v>95451.006714000017</v>
      </c>
      <c r="Q640" s="48">
        <v>12674.993289</v>
      </c>
      <c r="R640" s="32"/>
      <c r="S640" s="3" t="str">
        <f t="shared" si="149"/>
        <v>A</v>
      </c>
      <c r="T640" s="48">
        <v>85080.150001000002</v>
      </c>
      <c r="U640" s="48">
        <v>11749</v>
      </c>
      <c r="V640" s="32"/>
      <c r="W640" s="3" t="str">
        <f t="shared" si="137"/>
        <v>A</v>
      </c>
      <c r="X640" s="48">
        <v>81815.5</v>
      </c>
      <c r="Y640" s="48">
        <v>15658</v>
      </c>
      <c r="Z640" s="32"/>
      <c r="AA640" s="3" t="str">
        <f t="shared" si="138"/>
        <v>A</v>
      </c>
      <c r="AB640" s="48">
        <v>93169</v>
      </c>
      <c r="AC640" s="48">
        <v>14549</v>
      </c>
      <c r="AD640" s="36"/>
      <c r="AE640" s="54"/>
      <c r="AF640" s="3" t="str">
        <f t="shared" si="139"/>
        <v>A</v>
      </c>
      <c r="AG640" s="48">
        <v>0</v>
      </c>
      <c r="AH640" s="48">
        <v>0</v>
      </c>
      <c r="AI640" s="39"/>
      <c r="AJ640" s="79" t="s">
        <v>1801</v>
      </c>
      <c r="AK640" s="39"/>
      <c r="AL640" s="4">
        <f t="shared" si="146"/>
        <v>355515.65671500005</v>
      </c>
      <c r="AM640" s="4">
        <f t="shared" si="146"/>
        <v>54630.993288999998</v>
      </c>
      <c r="AN640" s="4">
        <f t="shared" si="140"/>
        <v>410146.65000400005</v>
      </c>
      <c r="AO640" s="39"/>
      <c r="AP640" s="8">
        <f t="shared" si="147"/>
        <v>0</v>
      </c>
      <c r="AQ640" s="8">
        <f t="shared" si="147"/>
        <v>0</v>
      </c>
      <c r="AR640" s="8">
        <f t="shared" si="141"/>
        <v>0</v>
      </c>
      <c r="AS640" s="42"/>
      <c r="AT640" s="48">
        <v>355515.65671500005</v>
      </c>
      <c r="AU640" s="48">
        <v>54630.993288999998</v>
      </c>
      <c r="AV640" s="4">
        <f t="shared" si="142"/>
        <v>410146.65000400005</v>
      </c>
      <c r="AW640" s="50" t="str">
        <f t="shared" si="143"/>
        <v/>
      </c>
      <c r="AX640" s="1" t="s">
        <v>1789</v>
      </c>
      <c r="AY640" s="2" t="s">
        <v>1790</v>
      </c>
      <c r="AZ640" s="2">
        <v>206602.64</v>
      </c>
      <c r="BA640" s="73">
        <v>180777.31</v>
      </c>
      <c r="BB640" s="73">
        <v>180777.31</v>
      </c>
      <c r="BC640" s="73">
        <v>206602.64</v>
      </c>
      <c r="BD640" s="73"/>
      <c r="BE640" s="66">
        <v>0</v>
      </c>
      <c r="BF640" s="66">
        <v>0.05</v>
      </c>
      <c r="BG640" s="63">
        <v>45751</v>
      </c>
      <c r="BH640" s="2"/>
      <c r="BI640" s="2"/>
      <c r="BJ640" s="2">
        <v>766299.2</v>
      </c>
      <c r="BK640" s="2">
        <v>85144.3</v>
      </c>
      <c r="BL640" s="1" t="s">
        <v>56</v>
      </c>
    </row>
    <row r="641" spans="1:64" x14ac:dyDescent="0.25">
      <c r="A641" s="56" t="s">
        <v>1515</v>
      </c>
      <c r="B641" s="54" t="s">
        <v>1515</v>
      </c>
      <c r="C641" s="56" t="s">
        <v>1516</v>
      </c>
      <c r="D641" s="16">
        <v>45618</v>
      </c>
      <c r="E641" s="17"/>
      <c r="F641" s="2" t="s">
        <v>143</v>
      </c>
      <c r="G641" s="2" t="s">
        <v>144</v>
      </c>
      <c r="H641" s="10" t="s">
        <v>105</v>
      </c>
      <c r="I641" s="11" t="s">
        <v>53</v>
      </c>
      <c r="J641" s="11" t="s">
        <v>145</v>
      </c>
      <c r="K641" s="61"/>
      <c r="L641" s="11" t="s">
        <v>67</v>
      </c>
      <c r="M641" s="25"/>
      <c r="N641" s="54"/>
      <c r="O641" s="3" t="str">
        <f t="shared" si="148"/>
        <v>E</v>
      </c>
      <c r="P641" s="48">
        <v>118840.08</v>
      </c>
      <c r="Q641" s="48">
        <v>6133.6</v>
      </c>
      <c r="R641" s="32"/>
      <c r="S641" s="3" t="str">
        <f t="shared" si="149"/>
        <v>E</v>
      </c>
      <c r="T641" s="48">
        <v>103985.07</v>
      </c>
      <c r="U641" s="48">
        <v>5366.9</v>
      </c>
      <c r="V641" s="32"/>
      <c r="W641" s="3" t="str">
        <f t="shared" si="137"/>
        <v>E</v>
      </c>
      <c r="X641" s="48">
        <v>103985.07</v>
      </c>
      <c r="Y641" s="48">
        <v>5366.9</v>
      </c>
      <c r="Z641" s="32"/>
      <c r="AA641" s="3" t="str">
        <f t="shared" si="138"/>
        <v>E</v>
      </c>
      <c r="AB641" s="48">
        <v>118840.08</v>
      </c>
      <c r="AC641" s="48">
        <v>6133.6</v>
      </c>
      <c r="AD641" s="36"/>
      <c r="AE641" s="54"/>
      <c r="AF641" s="3" t="str">
        <f t="shared" si="139"/>
        <v>A</v>
      </c>
      <c r="AG641" s="48"/>
      <c r="AH641" s="48"/>
      <c r="AI641" s="39"/>
      <c r="AJ641" s="79" t="s">
        <v>38</v>
      </c>
      <c r="AK641" s="39"/>
      <c r="AL641" s="4">
        <f t="shared" si="146"/>
        <v>0</v>
      </c>
      <c r="AM641" s="4">
        <f t="shared" si="146"/>
        <v>0</v>
      </c>
      <c r="AN641" s="4">
        <f t="shared" si="140"/>
        <v>0</v>
      </c>
      <c r="AO641" s="39"/>
      <c r="AP641" s="8">
        <f t="shared" si="147"/>
        <v>445650.30000000005</v>
      </c>
      <c r="AQ641" s="8">
        <f t="shared" si="147"/>
        <v>23001</v>
      </c>
      <c r="AR641" s="8">
        <f t="shared" si="141"/>
        <v>468651.30000000005</v>
      </c>
      <c r="AS641" s="42"/>
      <c r="AT641" s="48"/>
      <c r="AU641" s="48"/>
      <c r="AV641" s="4">
        <f t="shared" si="142"/>
        <v>0</v>
      </c>
      <c r="AW641" s="50" t="str">
        <f t="shared" si="143"/>
        <v/>
      </c>
      <c r="AX641" s="1" t="s">
        <v>1650</v>
      </c>
      <c r="AY641" s="2" t="s">
        <v>1651</v>
      </c>
      <c r="AZ641" s="2">
        <v>118840.08</v>
      </c>
      <c r="BA641" s="73">
        <v>103985.07</v>
      </c>
      <c r="BB641" s="73">
        <v>103985.07</v>
      </c>
      <c r="BC641" s="73">
        <v>118840.08</v>
      </c>
      <c r="BD641" s="73"/>
      <c r="BE641" s="66">
        <v>0</v>
      </c>
      <c r="BF641" s="66">
        <v>0.05</v>
      </c>
      <c r="BG641" s="63">
        <v>45616</v>
      </c>
      <c r="BH641" s="2"/>
      <c r="BI641" s="2"/>
      <c r="BJ641" s="2">
        <v>447220.8</v>
      </c>
      <c r="BK641" s="2">
        <v>23479.09</v>
      </c>
      <c r="BL641" s="1" t="s">
        <v>104</v>
      </c>
    </row>
    <row r="642" spans="1:64" x14ac:dyDescent="0.25">
      <c r="A642" s="56" t="s">
        <v>1517</v>
      </c>
      <c r="B642" s="54" t="s">
        <v>1517</v>
      </c>
      <c r="C642" s="56" t="s">
        <v>1518</v>
      </c>
      <c r="D642" s="16">
        <v>45558</v>
      </c>
      <c r="E642" s="17"/>
      <c r="F642" s="2" t="s">
        <v>342</v>
      </c>
      <c r="G642" s="2" t="s">
        <v>343</v>
      </c>
      <c r="H642" s="10" t="s">
        <v>57</v>
      </c>
      <c r="I642" s="11" t="s">
        <v>53</v>
      </c>
      <c r="J642" s="11" t="s">
        <v>156</v>
      </c>
      <c r="K642" s="61"/>
      <c r="L642" s="11" t="s">
        <v>67</v>
      </c>
      <c r="M642" s="25"/>
      <c r="N642" s="54"/>
      <c r="O642" s="3" t="str">
        <f t="shared" si="148"/>
        <v>A</v>
      </c>
      <c r="P642" s="48">
        <v>131730</v>
      </c>
      <c r="Q642" s="48">
        <v>59908</v>
      </c>
      <c r="R642" s="32"/>
      <c r="S642" s="3" t="str">
        <f t="shared" si="149"/>
        <v>A</v>
      </c>
      <c r="T642" s="48">
        <v>115255</v>
      </c>
      <c r="U642" s="48">
        <v>56424</v>
      </c>
      <c r="V642" s="32"/>
      <c r="W642" s="3" t="str">
        <f t="shared" si="137"/>
        <v>A</v>
      </c>
      <c r="X642" s="48">
        <v>113570</v>
      </c>
      <c r="Y642" s="48">
        <v>49043</v>
      </c>
      <c r="Z642" s="32"/>
      <c r="AA642" s="3" t="str">
        <f t="shared" si="138"/>
        <v>A</v>
      </c>
      <c r="AB642" s="48">
        <v>120020</v>
      </c>
      <c r="AC642" s="48">
        <v>53550</v>
      </c>
      <c r="AD642" s="36"/>
      <c r="AE642" s="54"/>
      <c r="AF642" s="3" t="str">
        <f t="shared" si="139"/>
        <v>A</v>
      </c>
      <c r="AG642" s="48">
        <v>0</v>
      </c>
      <c r="AH642" s="48">
        <v>0</v>
      </c>
      <c r="AI642" s="39"/>
      <c r="AJ642" s="79" t="s">
        <v>1801</v>
      </c>
      <c r="AK642" s="39"/>
      <c r="AL642" s="4">
        <f t="shared" si="146"/>
        <v>480575</v>
      </c>
      <c r="AM642" s="4">
        <f t="shared" si="146"/>
        <v>218925</v>
      </c>
      <c r="AN642" s="4">
        <f t="shared" si="140"/>
        <v>699500</v>
      </c>
      <c r="AO642" s="39"/>
      <c r="AP642" s="8">
        <f t="shared" si="147"/>
        <v>0</v>
      </c>
      <c r="AQ642" s="8">
        <f t="shared" si="147"/>
        <v>0</v>
      </c>
      <c r="AR642" s="8">
        <f t="shared" si="141"/>
        <v>0</v>
      </c>
      <c r="AS642" s="42"/>
      <c r="AT642" s="48">
        <v>480575</v>
      </c>
      <c r="AU642" s="48">
        <v>218925</v>
      </c>
      <c r="AV642" s="4">
        <f t="shared" si="142"/>
        <v>699500</v>
      </c>
      <c r="AW642" s="50" t="str">
        <f t="shared" si="143"/>
        <v/>
      </c>
      <c r="AX642" s="1" t="s">
        <v>1686</v>
      </c>
      <c r="AY642" s="2" t="s">
        <v>1687</v>
      </c>
      <c r="AZ642" s="2">
        <v>209997.92</v>
      </c>
      <c r="BA642" s="73">
        <v>183748.18</v>
      </c>
      <c r="BB642" s="73">
        <v>183748.18</v>
      </c>
      <c r="BC642" s="73">
        <v>209997.92</v>
      </c>
      <c r="BD642" s="73"/>
      <c r="BE642" s="66">
        <v>0</v>
      </c>
      <c r="BF642" s="66">
        <v>0.05</v>
      </c>
      <c r="BG642" s="63">
        <v>45553</v>
      </c>
      <c r="BH642" s="2"/>
      <c r="BI642" s="2"/>
      <c r="BJ642" s="2">
        <v>768161.48</v>
      </c>
      <c r="BK642" s="2">
        <v>85351.27</v>
      </c>
      <c r="BL642" s="1" t="s">
        <v>56</v>
      </c>
    </row>
    <row r="643" spans="1:64" x14ac:dyDescent="0.25">
      <c r="A643" s="56" t="s">
        <v>1523</v>
      </c>
      <c r="B643" s="54" t="s">
        <v>1523</v>
      </c>
      <c r="C643" s="56" t="s">
        <v>1524</v>
      </c>
      <c r="D643" s="16">
        <v>45644</v>
      </c>
      <c r="E643" s="17"/>
      <c r="F643" s="2" t="s">
        <v>1525</v>
      </c>
      <c r="G643" s="2" t="s">
        <v>1526</v>
      </c>
      <c r="H643" s="10" t="s">
        <v>105</v>
      </c>
      <c r="I643" s="11" t="s">
        <v>53</v>
      </c>
      <c r="J643" s="11" t="s">
        <v>350</v>
      </c>
      <c r="K643" s="61"/>
      <c r="L643" s="11" t="s">
        <v>67</v>
      </c>
      <c r="M643" s="25"/>
      <c r="N643" s="54"/>
      <c r="O643" s="3" t="str">
        <f t="shared" si="148"/>
        <v>A</v>
      </c>
      <c r="P643" s="48">
        <v>144287</v>
      </c>
      <c r="Q643" s="48">
        <v>19200</v>
      </c>
      <c r="R643" s="32"/>
      <c r="S643" s="3" t="str">
        <f t="shared" si="149"/>
        <v>A</v>
      </c>
      <c r="T643" s="48">
        <v>129521</v>
      </c>
      <c r="U643" s="48">
        <v>10563</v>
      </c>
      <c r="V643" s="32"/>
      <c r="W643" s="3" t="str">
        <f t="shared" si="137"/>
        <v>A</v>
      </c>
      <c r="X643" s="48">
        <v>111469</v>
      </c>
      <c r="Y643" s="48">
        <v>8425</v>
      </c>
      <c r="Z643" s="32"/>
      <c r="AA643" s="3" t="str">
        <f t="shared" si="138"/>
        <v>A</v>
      </c>
      <c r="AB643" s="48">
        <v>138663</v>
      </c>
      <c r="AC643" s="48">
        <v>12624</v>
      </c>
      <c r="AD643" s="36"/>
      <c r="AE643" s="54"/>
      <c r="AF643" s="3" t="str">
        <f t="shared" si="139"/>
        <v>A</v>
      </c>
      <c r="AG643" s="48">
        <v>0</v>
      </c>
      <c r="AH643" s="48">
        <v>0</v>
      </c>
      <c r="AI643" s="39"/>
      <c r="AJ643" s="79" t="s">
        <v>1801</v>
      </c>
      <c r="AK643" s="39"/>
      <c r="AL643" s="4">
        <f t="shared" si="146"/>
        <v>523940</v>
      </c>
      <c r="AM643" s="4">
        <f t="shared" si="146"/>
        <v>50812</v>
      </c>
      <c r="AN643" s="4">
        <f t="shared" si="140"/>
        <v>574752</v>
      </c>
      <c r="AO643" s="39"/>
      <c r="AP643" s="8">
        <f t="shared" si="147"/>
        <v>0</v>
      </c>
      <c r="AQ643" s="8">
        <f t="shared" si="147"/>
        <v>0</v>
      </c>
      <c r="AR643" s="8">
        <f t="shared" si="141"/>
        <v>0</v>
      </c>
      <c r="AS643" s="42"/>
      <c r="AT643" s="48">
        <v>523940</v>
      </c>
      <c r="AU643" s="48">
        <v>50812</v>
      </c>
      <c r="AV643" s="4">
        <f t="shared" si="142"/>
        <v>574752</v>
      </c>
      <c r="AW643" s="50" t="str">
        <f t="shared" si="143"/>
        <v/>
      </c>
      <c r="AX643" s="1" t="s">
        <v>1791</v>
      </c>
      <c r="AY643" s="2" t="s">
        <v>1792</v>
      </c>
      <c r="AZ643" s="2">
        <v>141129.04</v>
      </c>
      <c r="BA643" s="73">
        <v>123487.91</v>
      </c>
      <c r="BB643" s="73">
        <v>123487.91</v>
      </c>
      <c r="BC643" s="73">
        <v>141129.04</v>
      </c>
      <c r="BD643" s="73"/>
      <c r="BE643" s="66">
        <v>0</v>
      </c>
      <c r="BF643" s="66">
        <v>0.05</v>
      </c>
      <c r="BG643" s="63">
        <v>45639</v>
      </c>
      <c r="BH643" s="2"/>
      <c r="BI643" s="2"/>
      <c r="BJ643" s="2">
        <v>541518</v>
      </c>
      <c r="BK643" s="2">
        <v>28429.7</v>
      </c>
      <c r="BL643" s="1" t="s">
        <v>219</v>
      </c>
    </row>
    <row r="644" spans="1:64" x14ac:dyDescent="0.25">
      <c r="A644" s="56" t="s">
        <v>1523</v>
      </c>
      <c r="B644" s="54" t="s">
        <v>1617</v>
      </c>
      <c r="C644" s="56" t="s">
        <v>1618</v>
      </c>
      <c r="D644" s="16">
        <v>54788</v>
      </c>
      <c r="E644" s="17"/>
      <c r="F644" s="2" t="s">
        <v>1525</v>
      </c>
      <c r="G644" s="2" t="s">
        <v>1526</v>
      </c>
      <c r="H644" s="10" t="s">
        <v>105</v>
      </c>
      <c r="I644" s="11" t="s">
        <v>53</v>
      </c>
      <c r="J644" s="11" t="s">
        <v>350</v>
      </c>
      <c r="K644" s="61"/>
      <c r="L644" s="11" t="s">
        <v>67</v>
      </c>
      <c r="M644" s="25"/>
      <c r="N644" s="54"/>
      <c r="O644" s="3" t="str">
        <f t="shared" si="148"/>
        <v>E</v>
      </c>
      <c r="P644" s="48"/>
      <c r="Q644" s="48"/>
      <c r="R644" s="32"/>
      <c r="S644" s="3" t="str">
        <f t="shared" si="149"/>
        <v>E</v>
      </c>
      <c r="T644" s="48"/>
      <c r="U644" s="48"/>
      <c r="V644" s="32"/>
      <c r="W644" s="3" t="str">
        <f t="shared" si="137"/>
        <v>A</v>
      </c>
      <c r="X644" s="48"/>
      <c r="Y644" s="48"/>
      <c r="Z644" s="32"/>
      <c r="AA644" s="3" t="str">
        <f t="shared" si="138"/>
        <v>A</v>
      </c>
      <c r="AB644" s="48"/>
      <c r="AC644" s="48"/>
      <c r="AD644" s="36"/>
      <c r="AE644" s="54"/>
      <c r="AF644" s="3" t="str">
        <f t="shared" si="139"/>
        <v>A</v>
      </c>
      <c r="AG644" s="48"/>
      <c r="AH644" s="48"/>
      <c r="AI644" s="39"/>
      <c r="AJ644" s="79" t="s">
        <v>38</v>
      </c>
      <c r="AK644" s="39"/>
      <c r="AL644" s="4">
        <f t="shared" si="146"/>
        <v>0</v>
      </c>
      <c r="AM644" s="4">
        <f t="shared" si="146"/>
        <v>0</v>
      </c>
      <c r="AN644" s="4">
        <f t="shared" si="140"/>
        <v>0</v>
      </c>
      <c r="AO644" s="39"/>
      <c r="AP644" s="8">
        <f t="shared" si="147"/>
        <v>0</v>
      </c>
      <c r="AQ644" s="8">
        <f t="shared" si="147"/>
        <v>0</v>
      </c>
      <c r="AR644" s="8">
        <f t="shared" si="141"/>
        <v>0</v>
      </c>
      <c r="AS644" s="42"/>
      <c r="AT644" s="48"/>
      <c r="AU644" s="48"/>
      <c r="AV644" s="4">
        <f t="shared" si="142"/>
        <v>0</v>
      </c>
      <c r="AW644" s="50" t="str">
        <f t="shared" si="143"/>
        <v/>
      </c>
      <c r="AX644" s="1" t="s">
        <v>1791</v>
      </c>
      <c r="AY644" s="2" t="s">
        <v>1792</v>
      </c>
      <c r="AZ644" s="2"/>
      <c r="BA644" s="73"/>
      <c r="BB644" s="73"/>
      <c r="BC644" s="73"/>
      <c r="BD644" s="73"/>
      <c r="BE644" s="66">
        <v>0</v>
      </c>
      <c r="BF644" s="66">
        <v>0.05</v>
      </c>
      <c r="BG644" s="63">
        <v>0</v>
      </c>
      <c r="BH644" s="2"/>
      <c r="BI644" s="2"/>
      <c r="BJ644" s="2">
        <v>578874.30000000005</v>
      </c>
      <c r="BK644" s="2">
        <v>15890.33</v>
      </c>
      <c r="BL644" s="1" t="s">
        <v>219</v>
      </c>
    </row>
    <row r="645" spans="1:64" x14ac:dyDescent="0.25">
      <c r="A645" s="56" t="s">
        <v>1535</v>
      </c>
      <c r="B645" s="54" t="s">
        <v>1535</v>
      </c>
      <c r="C645" s="56" t="s">
        <v>1536</v>
      </c>
      <c r="D645" s="16">
        <v>0</v>
      </c>
      <c r="E645" s="17"/>
      <c r="F645" s="2" t="s">
        <v>1537</v>
      </c>
      <c r="G645" s="2" t="s">
        <v>1538</v>
      </c>
      <c r="H645" s="10" t="s">
        <v>98</v>
      </c>
      <c r="I645" s="11" t="s">
        <v>53</v>
      </c>
      <c r="J645" s="11" t="s">
        <v>224</v>
      </c>
      <c r="K645" s="61"/>
      <c r="L645" s="11" t="s">
        <v>67</v>
      </c>
      <c r="M645" s="25"/>
      <c r="N645" s="54"/>
      <c r="O645" s="3" t="str">
        <f t="shared" si="148"/>
        <v>A</v>
      </c>
      <c r="P645" s="48">
        <v>186116</v>
      </c>
      <c r="Q645" s="48">
        <v>6037</v>
      </c>
      <c r="R645" s="32"/>
      <c r="S645" s="3" t="str">
        <f t="shared" si="149"/>
        <v>A</v>
      </c>
      <c r="T645" s="48">
        <v>187498</v>
      </c>
      <c r="U645" s="48">
        <v>13761</v>
      </c>
      <c r="V645" s="32"/>
      <c r="W645" s="3" t="str">
        <f t="shared" si="137"/>
        <v>A</v>
      </c>
      <c r="X645" s="48">
        <v>173118</v>
      </c>
      <c r="Y645" s="48">
        <v>1937</v>
      </c>
      <c r="Z645" s="32"/>
      <c r="AA645" s="3" t="str">
        <f t="shared" si="138"/>
        <v>A</v>
      </c>
      <c r="AB645" s="48">
        <v>139051</v>
      </c>
      <c r="AC645" s="48">
        <v>8304</v>
      </c>
      <c r="AD645" s="36"/>
      <c r="AE645" s="54"/>
      <c r="AF645" s="3" t="str">
        <f t="shared" si="139"/>
        <v>A</v>
      </c>
      <c r="AG645" s="48">
        <v>0</v>
      </c>
      <c r="AH645" s="48">
        <v>0</v>
      </c>
      <c r="AI645" s="39"/>
      <c r="AJ645" s="79" t="s">
        <v>1801</v>
      </c>
      <c r="AK645" s="39"/>
      <c r="AL645" s="4">
        <f t="shared" si="146"/>
        <v>685783</v>
      </c>
      <c r="AM645" s="4">
        <f t="shared" si="146"/>
        <v>30039</v>
      </c>
      <c r="AN645" s="4">
        <f t="shared" si="140"/>
        <v>715822</v>
      </c>
      <c r="AO645" s="39"/>
      <c r="AP645" s="8">
        <f t="shared" si="147"/>
        <v>0</v>
      </c>
      <c r="AQ645" s="8">
        <f t="shared" si="147"/>
        <v>0</v>
      </c>
      <c r="AR645" s="8">
        <f t="shared" si="141"/>
        <v>0</v>
      </c>
      <c r="AS645" s="42"/>
      <c r="AT645" s="48">
        <v>685783</v>
      </c>
      <c r="AU645" s="48">
        <v>30039</v>
      </c>
      <c r="AV645" s="4">
        <f t="shared" si="142"/>
        <v>715822</v>
      </c>
      <c r="AW645" s="50" t="str">
        <f t="shared" si="143"/>
        <v/>
      </c>
      <c r="AX645" s="1" t="s">
        <v>1793</v>
      </c>
      <c r="AY645" s="2" t="s">
        <v>1794</v>
      </c>
      <c r="AZ645" s="2">
        <v>138920.16</v>
      </c>
      <c r="BA645" s="73">
        <v>121555.14</v>
      </c>
      <c r="BB645" s="73">
        <v>121555.14</v>
      </c>
      <c r="BC645" s="73">
        <v>138920.16</v>
      </c>
      <c r="BD645" s="73"/>
      <c r="BE645" s="66">
        <v>0</v>
      </c>
      <c r="BF645" s="66">
        <v>0.05</v>
      </c>
      <c r="BG645" s="63">
        <v>45665</v>
      </c>
      <c r="BH645" s="2"/>
      <c r="BI645" s="2"/>
      <c r="BJ645" s="2">
        <v>531273.6</v>
      </c>
      <c r="BK645" s="2">
        <v>27891.86</v>
      </c>
      <c r="BL645" s="1" t="s">
        <v>97</v>
      </c>
    </row>
    <row r="646" spans="1:64" x14ac:dyDescent="0.25">
      <c r="A646" s="56" t="s">
        <v>1535</v>
      </c>
      <c r="B646" s="54" t="s">
        <v>1627</v>
      </c>
      <c r="C646" s="56" t="s">
        <v>1628</v>
      </c>
      <c r="D646" s="16">
        <v>54788</v>
      </c>
      <c r="E646" s="17"/>
      <c r="F646" s="2" t="s">
        <v>1537</v>
      </c>
      <c r="G646" s="2" t="s">
        <v>1538</v>
      </c>
      <c r="H646" s="10" t="s">
        <v>98</v>
      </c>
      <c r="I646" s="11" t="s">
        <v>53</v>
      </c>
      <c r="J646" s="11" t="s">
        <v>224</v>
      </c>
      <c r="K646" s="61"/>
      <c r="L646" s="11" t="s">
        <v>67</v>
      </c>
      <c r="M646" s="25"/>
      <c r="N646" s="54"/>
      <c r="O646" s="3" t="str">
        <f t="shared" si="148"/>
        <v>E</v>
      </c>
      <c r="P646" s="48"/>
      <c r="Q646" s="48"/>
      <c r="R646" s="32"/>
      <c r="S646" s="3" t="str">
        <f t="shared" si="149"/>
        <v>E</v>
      </c>
      <c r="T646" s="48"/>
      <c r="U646" s="48"/>
      <c r="V646" s="32"/>
      <c r="W646" s="3" t="str">
        <f t="shared" si="137"/>
        <v>A</v>
      </c>
      <c r="X646" s="48"/>
      <c r="Y646" s="48"/>
      <c r="Z646" s="32"/>
      <c r="AA646" s="3" t="str">
        <f t="shared" si="138"/>
        <v>A</v>
      </c>
      <c r="AB646" s="48"/>
      <c r="AC646" s="48"/>
      <c r="AD646" s="36"/>
      <c r="AE646" s="54"/>
      <c r="AF646" s="3" t="str">
        <f t="shared" si="139"/>
        <v>A</v>
      </c>
      <c r="AG646" s="48"/>
      <c r="AH646" s="48"/>
      <c r="AI646" s="39"/>
      <c r="AJ646" s="79" t="s">
        <v>38</v>
      </c>
      <c r="AK646" s="39"/>
      <c r="AL646" s="4">
        <f t="shared" si="146"/>
        <v>0</v>
      </c>
      <c r="AM646" s="4">
        <f t="shared" si="146"/>
        <v>0</v>
      </c>
      <c r="AN646" s="4">
        <f t="shared" si="140"/>
        <v>0</v>
      </c>
      <c r="AO646" s="39"/>
      <c r="AP646" s="8">
        <f t="shared" si="147"/>
        <v>0</v>
      </c>
      <c r="AQ646" s="8">
        <f t="shared" si="147"/>
        <v>0</v>
      </c>
      <c r="AR646" s="8">
        <f t="shared" si="141"/>
        <v>0</v>
      </c>
      <c r="AS646" s="42"/>
      <c r="AT646" s="48"/>
      <c r="AU646" s="48"/>
      <c r="AV646" s="4">
        <f t="shared" si="142"/>
        <v>0</v>
      </c>
      <c r="AW646" s="50" t="str">
        <f t="shared" si="143"/>
        <v/>
      </c>
      <c r="AX646" s="1" t="s">
        <v>1793</v>
      </c>
      <c r="AY646" s="2" t="s">
        <v>1794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0</v>
      </c>
      <c r="BH646" s="2"/>
      <c r="BI646" s="2"/>
      <c r="BJ646" s="2">
        <v>229980</v>
      </c>
      <c r="BK646" s="2">
        <v>6899.4</v>
      </c>
      <c r="BL646" s="1" t="s">
        <v>97</v>
      </c>
    </row>
    <row r="647" spans="1:64" x14ac:dyDescent="0.25">
      <c r="A647" s="56" t="s">
        <v>1541</v>
      </c>
      <c r="B647" s="54" t="s">
        <v>1541</v>
      </c>
      <c r="C647" s="56" t="s">
        <v>1542</v>
      </c>
      <c r="D647" s="16">
        <v>0</v>
      </c>
      <c r="E647" s="17"/>
      <c r="F647" s="2" t="s">
        <v>904</v>
      </c>
      <c r="G647" s="2" t="s">
        <v>906</v>
      </c>
      <c r="H647" s="10" t="s">
        <v>57</v>
      </c>
      <c r="I647" s="11" t="s">
        <v>905</v>
      </c>
      <c r="J647" s="11" t="s">
        <v>338</v>
      </c>
      <c r="K647" s="61" t="s">
        <v>339</v>
      </c>
      <c r="L647" s="11" t="s">
        <v>67</v>
      </c>
      <c r="M647" s="25"/>
      <c r="N647" s="54"/>
      <c r="O647" s="3" t="str">
        <f t="shared" si="148"/>
        <v>A</v>
      </c>
      <c r="P647" s="48">
        <v>318842</v>
      </c>
      <c r="Q647" s="48">
        <v>78272</v>
      </c>
      <c r="R647" s="32"/>
      <c r="S647" s="3" t="str">
        <f t="shared" si="149"/>
        <v>A</v>
      </c>
      <c r="T647" s="48">
        <v>272985</v>
      </c>
      <c r="U647" s="48">
        <v>71657</v>
      </c>
      <c r="V647" s="32"/>
      <c r="W647" s="3" t="str">
        <f t="shared" si="137"/>
        <v>A</v>
      </c>
      <c r="X647" s="48">
        <v>243549</v>
      </c>
      <c r="Y647" s="48">
        <v>60017</v>
      </c>
      <c r="Z647" s="32"/>
      <c r="AA647" s="3" t="str">
        <f t="shared" si="138"/>
        <v>A</v>
      </c>
      <c r="AB647" s="48">
        <v>264206</v>
      </c>
      <c r="AC647" s="48">
        <v>55834</v>
      </c>
      <c r="AD647" s="36"/>
      <c r="AE647" s="54"/>
      <c r="AF647" s="3" t="str">
        <f t="shared" si="139"/>
        <v>A</v>
      </c>
      <c r="AG647" s="48">
        <v>0</v>
      </c>
      <c r="AH647" s="48">
        <v>0</v>
      </c>
      <c r="AI647" s="39"/>
      <c r="AJ647" s="79" t="s">
        <v>1801</v>
      </c>
      <c r="AK647" s="39"/>
      <c r="AL647" s="4">
        <f t="shared" si="146"/>
        <v>1099582</v>
      </c>
      <c r="AM647" s="4">
        <f t="shared" si="146"/>
        <v>265780</v>
      </c>
      <c r="AN647" s="4">
        <f t="shared" si="140"/>
        <v>1365362</v>
      </c>
      <c r="AO647" s="39"/>
      <c r="AP647" s="8">
        <f t="shared" si="147"/>
        <v>0</v>
      </c>
      <c r="AQ647" s="8">
        <f t="shared" si="147"/>
        <v>0</v>
      </c>
      <c r="AR647" s="8">
        <f t="shared" si="141"/>
        <v>0</v>
      </c>
      <c r="AS647" s="42"/>
      <c r="AT647" s="48">
        <v>1099582</v>
      </c>
      <c r="AU647" s="48">
        <v>265780</v>
      </c>
      <c r="AV647" s="4">
        <f t="shared" si="142"/>
        <v>1365362</v>
      </c>
      <c r="AW647" s="50" t="str">
        <f t="shared" si="143"/>
        <v/>
      </c>
      <c r="AX647" s="1" t="s">
        <v>1740</v>
      </c>
      <c r="AY647" s="2" t="s">
        <v>1741</v>
      </c>
      <c r="AZ647" s="2">
        <v>0</v>
      </c>
      <c r="BA647" s="73">
        <v>0</v>
      </c>
      <c r="BB647" s="73">
        <v>0</v>
      </c>
      <c r="BC647" s="73">
        <v>0</v>
      </c>
      <c r="BD647" s="73"/>
      <c r="BE647" s="66">
        <v>0</v>
      </c>
      <c r="BF647" s="66">
        <v>0</v>
      </c>
      <c r="BG647" s="63">
        <v>45586</v>
      </c>
      <c r="BH647" s="2"/>
      <c r="BI647" s="2"/>
      <c r="BJ647" s="2">
        <v>1201512</v>
      </c>
      <c r="BK647" s="2">
        <v>241178.5</v>
      </c>
      <c r="BL647" s="1" t="s">
        <v>56</v>
      </c>
    </row>
    <row r="648" spans="1:64" x14ac:dyDescent="0.25">
      <c r="A648" s="56" t="s">
        <v>1543</v>
      </c>
      <c r="B648" s="54" t="s">
        <v>1543</v>
      </c>
      <c r="C648" s="56" t="s">
        <v>1544</v>
      </c>
      <c r="D648" s="16">
        <v>45604</v>
      </c>
      <c r="E648" s="17"/>
      <c r="F648" s="2" t="s">
        <v>171</v>
      </c>
      <c r="G648" s="2" t="s">
        <v>172</v>
      </c>
      <c r="H648" s="10" t="s">
        <v>105</v>
      </c>
      <c r="I648" s="11" t="s">
        <v>53</v>
      </c>
      <c r="J648" s="11" t="s">
        <v>312</v>
      </c>
      <c r="K648" s="61"/>
      <c r="L648" s="11" t="s">
        <v>67</v>
      </c>
      <c r="M648" s="25"/>
      <c r="N648" s="54"/>
      <c r="O648" s="3" t="str">
        <f t="shared" si="148"/>
        <v>A</v>
      </c>
      <c r="P648" s="48">
        <v>167969</v>
      </c>
      <c r="Q648" s="48">
        <v>20495</v>
      </c>
      <c r="R648" s="32"/>
      <c r="S648" s="3" t="str">
        <f t="shared" si="149"/>
        <v>A</v>
      </c>
      <c r="T648" s="48">
        <v>137359</v>
      </c>
      <c r="U648" s="48">
        <v>17770</v>
      </c>
      <c r="V648" s="32"/>
      <c r="W648" s="3" t="str">
        <f t="shared" ref="W648:W711" si="150">IF($A648="","",IF(X648=0,"A",IF(X648=BB648,"E","A")))</f>
        <v>A</v>
      </c>
      <c r="X648" s="48">
        <v>132870</v>
      </c>
      <c r="Y648" s="48">
        <v>9910</v>
      </c>
      <c r="Z648" s="32"/>
      <c r="AA648" s="3" t="str">
        <f t="shared" ref="AA648:AA711" si="151">IF($A648="","",IF(AB648=0,"A",IF(AB648=BC648,"E","A")))</f>
        <v>A</v>
      </c>
      <c r="AB648" s="48">
        <v>148332</v>
      </c>
      <c r="AC648" s="48">
        <v>12890</v>
      </c>
      <c r="AD648" s="36"/>
      <c r="AE648" s="54"/>
      <c r="AF648" s="3" t="str">
        <f t="shared" ref="AF648:AF711" si="152">IF($A648="","",IF(AG648=0,"A",IF(AG648=BD648,"E","A")))</f>
        <v>A</v>
      </c>
      <c r="AG648" s="48">
        <v>0</v>
      </c>
      <c r="AH648" s="48">
        <v>0</v>
      </c>
      <c r="AI648" s="39"/>
      <c r="AJ648" s="79" t="s">
        <v>1801</v>
      </c>
      <c r="AK648" s="39"/>
      <c r="AL648" s="4">
        <f t="shared" si="146"/>
        <v>586530</v>
      </c>
      <c r="AM648" s="4">
        <f t="shared" si="146"/>
        <v>61065</v>
      </c>
      <c r="AN648" s="4">
        <f t="shared" ref="AN648:AN697" si="153">SUM(AL648:AM648)</f>
        <v>647595</v>
      </c>
      <c r="AO648" s="39"/>
      <c r="AP648" s="8">
        <f t="shared" si="147"/>
        <v>0</v>
      </c>
      <c r="AQ648" s="8">
        <f t="shared" si="147"/>
        <v>0</v>
      </c>
      <c r="AR648" s="8">
        <f t="shared" ref="AR648:AR697" si="154">SUM(AP648:AQ648)</f>
        <v>0</v>
      </c>
      <c r="AS648" s="42"/>
      <c r="AT648" s="48">
        <v>586530</v>
      </c>
      <c r="AU648" s="48">
        <v>61065</v>
      </c>
      <c r="AV648" s="4">
        <f t="shared" ref="AV648:AV697" si="155">SUM(AT648:AU648)</f>
        <v>647595</v>
      </c>
      <c r="AW648" s="50" t="str">
        <f t="shared" ref="AW648:AW711" si="156">IF(AV648=0,"",IF(AN648=AV648,"","W"))</f>
        <v/>
      </c>
      <c r="AX648" s="1" t="s">
        <v>1654</v>
      </c>
      <c r="AY648" s="2" t="s">
        <v>1655</v>
      </c>
      <c r="AZ648" s="2">
        <v>584046.48</v>
      </c>
      <c r="BA648" s="73">
        <v>511040.67</v>
      </c>
      <c r="BB648" s="73">
        <v>511040.67</v>
      </c>
      <c r="BC648" s="73">
        <v>584046.48</v>
      </c>
      <c r="BD648" s="73"/>
      <c r="BE648" s="66">
        <v>0</v>
      </c>
      <c r="BF648" s="66">
        <v>0.05</v>
      </c>
      <c r="BG648" s="63">
        <v>45589</v>
      </c>
      <c r="BH648" s="2"/>
      <c r="BI648" s="2"/>
      <c r="BJ648" s="2">
        <v>2197893.27</v>
      </c>
      <c r="BK648" s="2">
        <v>578874.30000000005</v>
      </c>
      <c r="BL648" s="1" t="s">
        <v>219</v>
      </c>
    </row>
    <row r="649" spans="1:64" x14ac:dyDescent="0.25">
      <c r="A649" s="56" t="s">
        <v>1549</v>
      </c>
      <c r="B649" s="54" t="s">
        <v>1549</v>
      </c>
      <c r="C649" s="56" t="s">
        <v>1550</v>
      </c>
      <c r="D649" s="16">
        <v>0</v>
      </c>
      <c r="E649" s="17"/>
      <c r="F649" s="2" t="s">
        <v>1164</v>
      </c>
      <c r="G649" s="2" t="s">
        <v>1165</v>
      </c>
      <c r="H649" s="10" t="s">
        <v>57</v>
      </c>
      <c r="I649" s="11" t="s">
        <v>53</v>
      </c>
      <c r="J649" s="11" t="s">
        <v>1408</v>
      </c>
      <c r="K649" s="61"/>
      <c r="L649" s="11" t="s">
        <v>67</v>
      </c>
      <c r="M649" s="25"/>
      <c r="N649" s="54"/>
      <c r="O649" s="3" t="str">
        <f t="shared" si="148"/>
        <v>A</v>
      </c>
      <c r="P649" s="48">
        <v>56976</v>
      </c>
      <c r="Q649" s="48">
        <v>5625</v>
      </c>
      <c r="R649" s="32"/>
      <c r="S649" s="3" t="str">
        <f t="shared" si="149"/>
        <v>A</v>
      </c>
      <c r="T649" s="48">
        <v>53688.02</v>
      </c>
      <c r="U649" s="48">
        <v>3950</v>
      </c>
      <c r="V649" s="32"/>
      <c r="W649" s="3" t="str">
        <f t="shared" si="150"/>
        <v>A</v>
      </c>
      <c r="X649" s="48">
        <v>49203.02</v>
      </c>
      <c r="Y649" s="48">
        <v>4600</v>
      </c>
      <c r="Z649" s="32"/>
      <c r="AA649" s="3" t="str">
        <f t="shared" si="151"/>
        <v>A</v>
      </c>
      <c r="AB649" s="48">
        <v>51882</v>
      </c>
      <c r="AC649" s="48">
        <v>5365</v>
      </c>
      <c r="AD649" s="36"/>
      <c r="AE649" s="54"/>
      <c r="AF649" s="3" t="str">
        <f t="shared" si="152"/>
        <v>A</v>
      </c>
      <c r="AG649" s="48">
        <v>0</v>
      </c>
      <c r="AH649" s="48">
        <v>0</v>
      </c>
      <c r="AI649" s="39"/>
      <c r="AJ649" s="79" t="s">
        <v>1801</v>
      </c>
      <c r="AK649" s="39"/>
      <c r="AL649" s="4">
        <f t="shared" si="146"/>
        <v>211749.03999999998</v>
      </c>
      <c r="AM649" s="4">
        <f t="shared" si="146"/>
        <v>19540</v>
      </c>
      <c r="AN649" s="4">
        <f t="shared" si="153"/>
        <v>231289.03999999998</v>
      </c>
      <c r="AO649" s="39"/>
      <c r="AP649" s="8">
        <f t="shared" si="147"/>
        <v>0</v>
      </c>
      <c r="AQ649" s="8">
        <f t="shared" si="147"/>
        <v>0</v>
      </c>
      <c r="AR649" s="8">
        <f t="shared" si="154"/>
        <v>0</v>
      </c>
      <c r="AS649" s="42"/>
      <c r="AT649" s="48">
        <v>211749.04</v>
      </c>
      <c r="AU649" s="48">
        <v>19540</v>
      </c>
      <c r="AV649" s="4">
        <f t="shared" si="155"/>
        <v>231289.04</v>
      </c>
      <c r="AW649" s="50" t="str">
        <f t="shared" si="156"/>
        <v/>
      </c>
      <c r="AX649" s="1" t="s">
        <v>1762</v>
      </c>
      <c r="AY649" s="2" t="s">
        <v>1763</v>
      </c>
      <c r="AZ649" s="2">
        <v>136581.84</v>
      </c>
      <c r="BA649" s="73">
        <v>119509.11</v>
      </c>
      <c r="BB649" s="73">
        <v>119509.11</v>
      </c>
      <c r="BC649" s="73">
        <v>136581.84</v>
      </c>
      <c r="BD649" s="73"/>
      <c r="BE649" s="66">
        <v>0</v>
      </c>
      <c r="BF649" s="66">
        <v>0.05</v>
      </c>
      <c r="BG649" s="63">
        <v>45596</v>
      </c>
      <c r="BH649" s="2"/>
      <c r="BI649" s="2"/>
      <c r="BJ649" s="2">
        <v>512262</v>
      </c>
      <c r="BK649" s="2">
        <v>26893.759999999998</v>
      </c>
      <c r="BL649" s="1" t="s">
        <v>56</v>
      </c>
    </row>
    <row r="650" spans="1:64" x14ac:dyDescent="0.25">
      <c r="A650" s="56" t="s">
        <v>1551</v>
      </c>
      <c r="B650" s="54" t="s">
        <v>1551</v>
      </c>
      <c r="C650" s="56" t="s">
        <v>1552</v>
      </c>
      <c r="D650" s="16">
        <v>0</v>
      </c>
      <c r="E650" s="17"/>
      <c r="F650" s="2" t="s">
        <v>1164</v>
      </c>
      <c r="G650" s="2" t="s">
        <v>1165</v>
      </c>
      <c r="H650" s="10" t="s">
        <v>57</v>
      </c>
      <c r="I650" s="11" t="s">
        <v>53</v>
      </c>
      <c r="J650" s="11" t="s">
        <v>1553</v>
      </c>
      <c r="K650" s="61"/>
      <c r="L650" s="11" t="s">
        <v>67</v>
      </c>
      <c r="M650" s="25"/>
      <c r="N650" s="54"/>
      <c r="O650" s="3" t="str">
        <f t="shared" si="148"/>
        <v>A</v>
      </c>
      <c r="P650" s="48">
        <v>25043.119999999999</v>
      </c>
      <c r="Q650" s="48">
        <v>3125</v>
      </c>
      <c r="R650" s="32"/>
      <c r="S650" s="3" t="str">
        <f t="shared" si="149"/>
        <v>A</v>
      </c>
      <c r="T650" s="48">
        <v>30085.08</v>
      </c>
      <c r="U650" s="48">
        <v>3500</v>
      </c>
      <c r="V650" s="32"/>
      <c r="W650" s="3" t="str">
        <f t="shared" si="150"/>
        <v>A</v>
      </c>
      <c r="X650" s="48">
        <v>23278.03</v>
      </c>
      <c r="Y650" s="48">
        <v>2555</v>
      </c>
      <c r="Z650" s="32"/>
      <c r="AA650" s="3" t="str">
        <f t="shared" si="151"/>
        <v>A</v>
      </c>
      <c r="AB650" s="48">
        <v>22266.18</v>
      </c>
      <c r="AC650" s="48">
        <v>2030</v>
      </c>
      <c r="AD650" s="36"/>
      <c r="AE650" s="54"/>
      <c r="AF650" s="3" t="str">
        <f t="shared" si="152"/>
        <v>A</v>
      </c>
      <c r="AG650" s="48">
        <v>0</v>
      </c>
      <c r="AH650" s="48">
        <v>0</v>
      </c>
      <c r="AI650" s="39"/>
      <c r="AJ650" s="79" t="s">
        <v>1801</v>
      </c>
      <c r="AK650" s="39"/>
      <c r="AL650" s="4">
        <f t="shared" si="146"/>
        <v>100672.41</v>
      </c>
      <c r="AM650" s="4">
        <f t="shared" si="146"/>
        <v>11210</v>
      </c>
      <c r="AN650" s="4">
        <f t="shared" si="153"/>
        <v>111882.41</v>
      </c>
      <c r="AO650" s="39"/>
      <c r="AP650" s="8">
        <f t="shared" si="147"/>
        <v>0</v>
      </c>
      <c r="AQ650" s="8">
        <f t="shared" si="147"/>
        <v>0</v>
      </c>
      <c r="AR650" s="8">
        <f t="shared" si="154"/>
        <v>0</v>
      </c>
      <c r="AS650" s="42"/>
      <c r="AT650" s="48">
        <v>100672.41</v>
      </c>
      <c r="AU650" s="48">
        <v>11210</v>
      </c>
      <c r="AV650" s="4">
        <f t="shared" si="155"/>
        <v>111882.41</v>
      </c>
      <c r="AW650" s="50" t="str">
        <f t="shared" si="156"/>
        <v/>
      </c>
      <c r="AX650" s="1" t="s">
        <v>1762</v>
      </c>
      <c r="AY650" s="2" t="s">
        <v>1763</v>
      </c>
      <c r="AZ650" s="2">
        <v>140790.79999999999</v>
      </c>
      <c r="BA650" s="73">
        <v>123191.95</v>
      </c>
      <c r="BB650" s="73">
        <v>123191.95</v>
      </c>
      <c r="BC650" s="73">
        <v>140790.79999999999</v>
      </c>
      <c r="BD650" s="73"/>
      <c r="BE650" s="66">
        <v>0</v>
      </c>
      <c r="BF650" s="66">
        <v>0.05</v>
      </c>
      <c r="BG650" s="63">
        <v>45596</v>
      </c>
      <c r="BH650" s="2"/>
      <c r="BI650" s="2"/>
      <c r="BJ650" s="2">
        <v>528048</v>
      </c>
      <c r="BK650" s="2">
        <v>27722.52</v>
      </c>
      <c r="BL650" s="1" t="s">
        <v>56</v>
      </c>
    </row>
    <row r="651" spans="1:64" x14ac:dyDescent="0.25">
      <c r="A651" s="56" t="s">
        <v>1551</v>
      </c>
      <c r="B651" s="54" t="s">
        <v>1554</v>
      </c>
      <c r="C651" s="56" t="s">
        <v>1555</v>
      </c>
      <c r="D651" s="16">
        <v>45634</v>
      </c>
      <c r="E651" s="17"/>
      <c r="F651" s="2" t="s">
        <v>1164</v>
      </c>
      <c r="G651" s="2" t="s">
        <v>1165</v>
      </c>
      <c r="H651" s="10" t="s">
        <v>57</v>
      </c>
      <c r="I651" s="11" t="s">
        <v>53</v>
      </c>
      <c r="J651" s="11" t="s">
        <v>1408</v>
      </c>
      <c r="K651" s="61"/>
      <c r="L651" s="11" t="s">
        <v>67</v>
      </c>
      <c r="M651" s="25"/>
      <c r="N651" s="54"/>
      <c r="O651" s="3" t="str">
        <f t="shared" si="148"/>
        <v>A</v>
      </c>
      <c r="P651" s="48">
        <v>12087</v>
      </c>
      <c r="Q651" s="48">
        <v>2911</v>
      </c>
      <c r="R651" s="32"/>
      <c r="S651" s="3" t="str">
        <f t="shared" si="149"/>
        <v>A</v>
      </c>
      <c r="T651" s="48">
        <v>11174.000004</v>
      </c>
      <c r="U651" s="48">
        <v>3405</v>
      </c>
      <c r="V651" s="32"/>
      <c r="W651" s="3" t="str">
        <f t="shared" si="150"/>
        <v>A</v>
      </c>
      <c r="X651" s="48">
        <v>10700.00001</v>
      </c>
      <c r="Y651" s="48">
        <v>2615</v>
      </c>
      <c r="Z651" s="32"/>
      <c r="AA651" s="3" t="str">
        <f t="shared" si="151"/>
        <v>A</v>
      </c>
      <c r="AB651" s="48">
        <v>12130.999995</v>
      </c>
      <c r="AC651" s="48">
        <v>3490</v>
      </c>
      <c r="AD651" s="36"/>
      <c r="AE651" s="54"/>
      <c r="AF651" s="3" t="str">
        <f t="shared" si="152"/>
        <v>A</v>
      </c>
      <c r="AG651" s="48">
        <v>0</v>
      </c>
      <c r="AH651" s="48">
        <v>0</v>
      </c>
      <c r="AI651" s="39"/>
      <c r="AJ651" s="79" t="s">
        <v>1801</v>
      </c>
      <c r="AK651" s="39"/>
      <c r="AL651" s="4">
        <f t="shared" si="146"/>
        <v>46092.000009000003</v>
      </c>
      <c r="AM651" s="4">
        <f t="shared" si="146"/>
        <v>12421</v>
      </c>
      <c r="AN651" s="4">
        <f t="shared" si="153"/>
        <v>58513.000009000003</v>
      </c>
      <c r="AO651" s="39"/>
      <c r="AP651" s="8">
        <f t="shared" si="147"/>
        <v>0</v>
      </c>
      <c r="AQ651" s="8">
        <f t="shared" si="147"/>
        <v>0</v>
      </c>
      <c r="AR651" s="8">
        <f t="shared" si="154"/>
        <v>0</v>
      </c>
      <c r="AS651" s="42"/>
      <c r="AT651" s="48">
        <v>46092.000009000003</v>
      </c>
      <c r="AU651" s="48">
        <v>12421</v>
      </c>
      <c r="AV651" s="4">
        <f t="shared" si="155"/>
        <v>58513.000009000003</v>
      </c>
      <c r="AW651" s="50" t="str">
        <f t="shared" si="156"/>
        <v/>
      </c>
      <c r="AX651" s="1" t="s">
        <v>1762</v>
      </c>
      <c r="AY651" s="2" t="s">
        <v>1763</v>
      </c>
      <c r="AZ651" s="2">
        <v>163208.56</v>
      </c>
      <c r="BA651" s="73">
        <v>142807.49</v>
      </c>
      <c r="BB651" s="73">
        <v>142807.49</v>
      </c>
      <c r="BC651" s="73">
        <v>163208.56</v>
      </c>
      <c r="BD651" s="73"/>
      <c r="BE651" s="66">
        <v>0</v>
      </c>
      <c r="BF651" s="66">
        <v>0.05</v>
      </c>
      <c r="BG651" s="63">
        <v>45634</v>
      </c>
      <c r="BH651" s="2"/>
      <c r="BI651" s="2"/>
      <c r="BJ651" s="2">
        <v>626238</v>
      </c>
      <c r="BK651" s="2">
        <v>32877.5</v>
      </c>
      <c r="BL651" s="1" t="s">
        <v>56</v>
      </c>
    </row>
    <row r="652" spans="1:64" x14ac:dyDescent="0.25">
      <c r="A652" s="56" t="s">
        <v>1560</v>
      </c>
      <c r="B652" s="54" t="s">
        <v>1560</v>
      </c>
      <c r="C652" s="56" t="s">
        <v>1561</v>
      </c>
      <c r="D652" s="16">
        <v>45029</v>
      </c>
      <c r="E652" s="17"/>
      <c r="F652" s="2" t="s">
        <v>1562</v>
      </c>
      <c r="G652" s="2" t="s">
        <v>1563</v>
      </c>
      <c r="H652" s="10" t="s">
        <v>98</v>
      </c>
      <c r="I652" s="11" t="s">
        <v>53</v>
      </c>
      <c r="J652" s="11" t="s">
        <v>296</v>
      </c>
      <c r="K652" s="61"/>
      <c r="L652" s="11" t="s">
        <v>67</v>
      </c>
      <c r="M652" s="25"/>
      <c r="N652" s="54"/>
      <c r="O652" s="3" t="str">
        <f t="shared" si="148"/>
        <v>A</v>
      </c>
      <c r="P652" s="48">
        <v>154404</v>
      </c>
      <c r="Q652" s="48">
        <v>1188</v>
      </c>
      <c r="R652" s="32"/>
      <c r="S652" s="3" t="str">
        <f t="shared" si="149"/>
        <v>A</v>
      </c>
      <c r="T652" s="48">
        <v>153265</v>
      </c>
      <c r="U652" s="48">
        <v>1584</v>
      </c>
      <c r="V652" s="32"/>
      <c r="W652" s="3" t="str">
        <f t="shared" si="150"/>
        <v>A</v>
      </c>
      <c r="X652" s="48">
        <v>149650</v>
      </c>
      <c r="Y652" s="48">
        <v>1826</v>
      </c>
      <c r="Z652" s="32"/>
      <c r="AA652" s="3" t="str">
        <f t="shared" si="151"/>
        <v>A</v>
      </c>
      <c r="AB652" s="48">
        <v>171049</v>
      </c>
      <c r="AC652" s="48">
        <v>2266</v>
      </c>
      <c r="AD652" s="36"/>
      <c r="AE652" s="54"/>
      <c r="AF652" s="3" t="str">
        <f t="shared" si="152"/>
        <v>A</v>
      </c>
      <c r="AG652" s="48">
        <v>0</v>
      </c>
      <c r="AH652" s="48">
        <v>0</v>
      </c>
      <c r="AI652" s="39"/>
      <c r="AJ652" s="79" t="s">
        <v>1801</v>
      </c>
      <c r="AK652" s="39"/>
      <c r="AL652" s="4">
        <f t="shared" si="146"/>
        <v>628368</v>
      </c>
      <c r="AM652" s="4">
        <f t="shared" si="146"/>
        <v>6864</v>
      </c>
      <c r="AN652" s="4">
        <f t="shared" si="153"/>
        <v>635232</v>
      </c>
      <c r="AO652" s="39"/>
      <c r="AP652" s="8">
        <f t="shared" si="147"/>
        <v>0</v>
      </c>
      <c r="AQ652" s="8">
        <f t="shared" si="147"/>
        <v>0</v>
      </c>
      <c r="AR652" s="8">
        <f t="shared" si="154"/>
        <v>0</v>
      </c>
      <c r="AS652" s="42"/>
      <c r="AT652" s="48">
        <v>628368</v>
      </c>
      <c r="AU652" s="48">
        <v>6864</v>
      </c>
      <c r="AV652" s="4">
        <f t="shared" si="155"/>
        <v>635232</v>
      </c>
      <c r="AW652" s="50" t="str">
        <f t="shared" si="156"/>
        <v/>
      </c>
      <c r="AX652" s="1" t="s">
        <v>1795</v>
      </c>
      <c r="AY652" s="2" t="s">
        <v>1675</v>
      </c>
      <c r="AZ652" s="2">
        <v>150822</v>
      </c>
      <c r="BA652" s="73">
        <v>131969.25</v>
      </c>
      <c r="BB652" s="73">
        <v>131969.25</v>
      </c>
      <c r="BC652" s="73">
        <v>150822</v>
      </c>
      <c r="BD652" s="73"/>
      <c r="BE652" s="66">
        <v>0</v>
      </c>
      <c r="BF652" s="66">
        <v>0.05</v>
      </c>
      <c r="BG652" s="63">
        <v>45026</v>
      </c>
      <c r="BH652" s="2"/>
      <c r="BI652" s="2"/>
      <c r="BJ652" s="2">
        <v>578710</v>
      </c>
      <c r="BK652" s="2">
        <v>28807.279999999999</v>
      </c>
      <c r="BL652" s="1" t="s">
        <v>97</v>
      </c>
    </row>
    <row r="653" spans="1:64" x14ac:dyDescent="0.25">
      <c r="A653" s="56" t="s">
        <v>1560</v>
      </c>
      <c r="B653" s="54" t="s">
        <v>1629</v>
      </c>
      <c r="C653" s="56" t="s">
        <v>1630</v>
      </c>
      <c r="D653" s="16">
        <v>54788</v>
      </c>
      <c r="E653" s="17"/>
      <c r="F653" s="2" t="s">
        <v>1562</v>
      </c>
      <c r="G653" s="2" t="s">
        <v>1563</v>
      </c>
      <c r="H653" s="10" t="s">
        <v>98</v>
      </c>
      <c r="I653" s="11" t="s">
        <v>53</v>
      </c>
      <c r="J653" s="11" t="s">
        <v>296</v>
      </c>
      <c r="K653" s="61"/>
      <c r="L653" s="11" t="s">
        <v>67</v>
      </c>
      <c r="M653" s="25"/>
      <c r="N653" s="54"/>
      <c r="O653" s="3" t="str">
        <f t="shared" si="148"/>
        <v>E</v>
      </c>
      <c r="P653" s="48"/>
      <c r="Q653" s="48"/>
      <c r="R653" s="32"/>
      <c r="S653" s="3" t="str">
        <f t="shared" si="149"/>
        <v>E</v>
      </c>
      <c r="T653" s="48"/>
      <c r="U653" s="48"/>
      <c r="V653" s="32"/>
      <c r="W653" s="3" t="str">
        <f t="shared" si="150"/>
        <v>A</v>
      </c>
      <c r="X653" s="48"/>
      <c r="Y653" s="48"/>
      <c r="Z653" s="32"/>
      <c r="AA653" s="3" t="str">
        <f t="shared" si="151"/>
        <v>A</v>
      </c>
      <c r="AB653" s="48"/>
      <c r="AC653" s="48"/>
      <c r="AD653" s="36"/>
      <c r="AE653" s="54"/>
      <c r="AF653" s="3" t="str">
        <f t="shared" si="152"/>
        <v>A</v>
      </c>
      <c r="AG653" s="48"/>
      <c r="AH653" s="48"/>
      <c r="AI653" s="39"/>
      <c r="AJ653" s="79" t="s">
        <v>38</v>
      </c>
      <c r="AK653" s="39"/>
      <c r="AL653" s="4">
        <f t="shared" si="146"/>
        <v>0</v>
      </c>
      <c r="AM653" s="4">
        <f t="shared" si="146"/>
        <v>0</v>
      </c>
      <c r="AN653" s="4">
        <f t="shared" si="153"/>
        <v>0</v>
      </c>
      <c r="AO653" s="39"/>
      <c r="AP653" s="8">
        <f t="shared" si="147"/>
        <v>0</v>
      </c>
      <c r="AQ653" s="8">
        <f t="shared" si="147"/>
        <v>0</v>
      </c>
      <c r="AR653" s="8">
        <f t="shared" si="154"/>
        <v>0</v>
      </c>
      <c r="AS653" s="42"/>
      <c r="AT653" s="48"/>
      <c r="AU653" s="48"/>
      <c r="AV653" s="4">
        <f t="shared" si="155"/>
        <v>0</v>
      </c>
      <c r="AW653" s="50" t="str">
        <f t="shared" si="156"/>
        <v/>
      </c>
      <c r="AX653" s="1" t="s">
        <v>1795</v>
      </c>
      <c r="AY653" s="2" t="s">
        <v>1675</v>
      </c>
      <c r="AZ653" s="2"/>
      <c r="BA653" s="73"/>
      <c r="BB653" s="73"/>
      <c r="BC653" s="73"/>
      <c r="BD653" s="73"/>
      <c r="BE653" s="66">
        <v>0</v>
      </c>
      <c r="BF653" s="66">
        <v>0.05</v>
      </c>
      <c r="BG653" s="63">
        <v>0</v>
      </c>
      <c r="BH653" s="2"/>
      <c r="BI653" s="2"/>
      <c r="BJ653" s="2">
        <v>210000</v>
      </c>
      <c r="BK653" s="2"/>
      <c r="BL653" s="1" t="s">
        <v>97</v>
      </c>
    </row>
    <row r="654" spans="1:64" x14ac:dyDescent="0.25">
      <c r="A654" s="56" t="s">
        <v>1568</v>
      </c>
      <c r="B654" s="54" t="s">
        <v>1568</v>
      </c>
      <c r="C654" s="56" t="s">
        <v>1569</v>
      </c>
      <c r="D654" s="16">
        <v>45730</v>
      </c>
      <c r="E654" s="17"/>
      <c r="F654" s="2" t="s">
        <v>526</v>
      </c>
      <c r="G654" s="2" t="s">
        <v>527</v>
      </c>
      <c r="H654" s="10" t="s">
        <v>57</v>
      </c>
      <c r="I654" s="11" t="s">
        <v>53</v>
      </c>
      <c r="J654" s="11" t="s">
        <v>387</v>
      </c>
      <c r="K654" s="61"/>
      <c r="L654" s="11" t="s">
        <v>67</v>
      </c>
      <c r="M654" s="25"/>
      <c r="N654" s="54"/>
      <c r="O654" s="3" t="str">
        <f t="shared" si="148"/>
        <v>A</v>
      </c>
      <c r="P654" s="48">
        <v>209171</v>
      </c>
      <c r="Q654" s="48">
        <v>17542</v>
      </c>
      <c r="R654" s="32"/>
      <c r="S654" s="3" t="str">
        <f t="shared" si="149"/>
        <v>A</v>
      </c>
      <c r="T654" s="48">
        <v>176630</v>
      </c>
      <c r="U654" s="48">
        <v>11542</v>
      </c>
      <c r="V654" s="32"/>
      <c r="W654" s="3" t="str">
        <f t="shared" si="150"/>
        <v>A</v>
      </c>
      <c r="X654" s="48">
        <v>168798</v>
      </c>
      <c r="Y654" s="48">
        <v>15250</v>
      </c>
      <c r="Z654" s="32"/>
      <c r="AA654" s="3" t="str">
        <f t="shared" si="151"/>
        <v>A</v>
      </c>
      <c r="AB654" s="48">
        <v>193294</v>
      </c>
      <c r="AC654" s="48">
        <v>14148</v>
      </c>
      <c r="AD654" s="36"/>
      <c r="AE654" s="54"/>
      <c r="AF654" s="3" t="str">
        <f t="shared" si="152"/>
        <v>A</v>
      </c>
      <c r="AG654" s="48">
        <v>0</v>
      </c>
      <c r="AH654" s="48">
        <v>0</v>
      </c>
      <c r="AI654" s="39"/>
      <c r="AJ654" s="79" t="s">
        <v>1801</v>
      </c>
      <c r="AK654" s="39"/>
      <c r="AL654" s="4">
        <f t="shared" si="146"/>
        <v>747893</v>
      </c>
      <c r="AM654" s="4">
        <f t="shared" si="146"/>
        <v>58482</v>
      </c>
      <c r="AN654" s="4">
        <f t="shared" si="153"/>
        <v>806375</v>
      </c>
      <c r="AO654" s="39"/>
      <c r="AP654" s="8">
        <f t="shared" si="147"/>
        <v>0</v>
      </c>
      <c r="AQ654" s="8">
        <f t="shared" si="147"/>
        <v>0</v>
      </c>
      <c r="AR654" s="8">
        <f t="shared" si="154"/>
        <v>0</v>
      </c>
      <c r="AS654" s="42"/>
      <c r="AT654" s="48">
        <v>747893</v>
      </c>
      <c r="AU654" s="48">
        <v>58482</v>
      </c>
      <c r="AV654" s="4">
        <f t="shared" si="155"/>
        <v>806375</v>
      </c>
      <c r="AW654" s="50" t="str">
        <f t="shared" si="156"/>
        <v/>
      </c>
      <c r="AX654" s="1" t="s">
        <v>1721</v>
      </c>
      <c r="AY654" s="2" t="s">
        <v>1722</v>
      </c>
      <c r="AZ654" s="2">
        <v>118564.56</v>
      </c>
      <c r="BA654" s="73">
        <v>103743.99</v>
      </c>
      <c r="BB654" s="73">
        <v>103743.99</v>
      </c>
      <c r="BC654" s="73">
        <v>118564.56</v>
      </c>
      <c r="BD654" s="73"/>
      <c r="BE654" s="66">
        <v>0</v>
      </c>
      <c r="BF654" s="66">
        <v>0.05</v>
      </c>
      <c r="BG654" s="63">
        <v>45730</v>
      </c>
      <c r="BH654" s="2"/>
      <c r="BI654" s="2"/>
      <c r="BJ654" s="2">
        <v>433243</v>
      </c>
      <c r="BK654" s="2">
        <v>121703</v>
      </c>
      <c r="BL654" s="1" t="s">
        <v>56</v>
      </c>
    </row>
    <row r="655" spans="1:64" x14ac:dyDescent="0.25">
      <c r="A655" s="56" t="s">
        <v>1568</v>
      </c>
      <c r="B655" s="54" t="s">
        <v>1631</v>
      </c>
      <c r="C655" s="56" t="s">
        <v>671</v>
      </c>
      <c r="D655" s="16">
        <v>54788</v>
      </c>
      <c r="E655" s="17"/>
      <c r="F655" s="2" t="s">
        <v>526</v>
      </c>
      <c r="G655" s="2" t="s">
        <v>527</v>
      </c>
      <c r="H655" s="10" t="s">
        <v>57</v>
      </c>
      <c r="I655" s="11" t="s">
        <v>53</v>
      </c>
      <c r="J655" s="11" t="s">
        <v>1632</v>
      </c>
      <c r="K655" s="61"/>
      <c r="L655" s="11" t="s">
        <v>67</v>
      </c>
      <c r="M655" s="25"/>
      <c r="N655" s="54"/>
      <c r="O655" s="3" t="str">
        <f t="shared" si="148"/>
        <v>E</v>
      </c>
      <c r="P655" s="48"/>
      <c r="Q655" s="48"/>
      <c r="R655" s="32"/>
      <c r="S655" s="3" t="str">
        <f t="shared" si="149"/>
        <v>E</v>
      </c>
      <c r="T655" s="48"/>
      <c r="U655" s="48"/>
      <c r="V655" s="32"/>
      <c r="W655" s="3" t="str">
        <f t="shared" si="150"/>
        <v>A</v>
      </c>
      <c r="X655" s="48"/>
      <c r="Y655" s="48"/>
      <c r="Z655" s="32"/>
      <c r="AA655" s="3" t="str">
        <f t="shared" si="151"/>
        <v>A</v>
      </c>
      <c r="AB655" s="48"/>
      <c r="AC655" s="48"/>
      <c r="AD655" s="36"/>
      <c r="AE655" s="54"/>
      <c r="AF655" s="3" t="str">
        <f t="shared" si="152"/>
        <v>A</v>
      </c>
      <c r="AG655" s="48"/>
      <c r="AH655" s="48"/>
      <c r="AI655" s="39"/>
      <c r="AJ655" s="79" t="s">
        <v>38</v>
      </c>
      <c r="AK655" s="39"/>
      <c r="AL655" s="4">
        <f t="shared" si="146"/>
        <v>0</v>
      </c>
      <c r="AM655" s="4">
        <f t="shared" si="146"/>
        <v>0</v>
      </c>
      <c r="AN655" s="4">
        <f t="shared" si="153"/>
        <v>0</v>
      </c>
      <c r="AO655" s="39"/>
      <c r="AP655" s="8">
        <f t="shared" si="147"/>
        <v>0</v>
      </c>
      <c r="AQ655" s="8">
        <f t="shared" si="147"/>
        <v>0</v>
      </c>
      <c r="AR655" s="8">
        <f t="shared" si="154"/>
        <v>0</v>
      </c>
      <c r="AS655" s="42"/>
      <c r="AT655" s="48"/>
      <c r="AU655" s="48"/>
      <c r="AV655" s="4">
        <f t="shared" si="155"/>
        <v>0</v>
      </c>
      <c r="AW655" s="50" t="str">
        <f t="shared" si="156"/>
        <v/>
      </c>
      <c r="AX655" s="1" t="s">
        <v>1721</v>
      </c>
      <c r="AY655" s="2" t="s">
        <v>1722</v>
      </c>
      <c r="AZ655" s="2"/>
      <c r="BA655" s="73"/>
      <c r="BB655" s="73"/>
      <c r="BC655" s="73"/>
      <c r="BD655" s="73"/>
      <c r="BE655" s="66">
        <v>0</v>
      </c>
      <c r="BF655" s="66">
        <v>0.05</v>
      </c>
      <c r="BG655" s="63">
        <v>0</v>
      </c>
      <c r="BH655" s="2"/>
      <c r="BI655" s="2"/>
      <c r="BJ655" s="2">
        <v>4001</v>
      </c>
      <c r="BK655" s="2">
        <v>1579</v>
      </c>
      <c r="BL655" s="1" t="s">
        <v>56</v>
      </c>
    </row>
    <row r="656" spans="1:64" x14ac:dyDescent="0.25">
      <c r="A656" s="56" t="s">
        <v>1578</v>
      </c>
      <c r="B656" s="54" t="s">
        <v>1578</v>
      </c>
      <c r="C656" s="56" t="s">
        <v>1579</v>
      </c>
      <c r="D656" s="16">
        <v>54788</v>
      </c>
      <c r="E656" s="17"/>
      <c r="F656" s="2" t="s">
        <v>431</v>
      </c>
      <c r="G656" s="2" t="s">
        <v>432</v>
      </c>
      <c r="H656" s="10" t="s">
        <v>57</v>
      </c>
      <c r="I656" s="11" t="s">
        <v>53</v>
      </c>
      <c r="J656" s="11" t="s">
        <v>397</v>
      </c>
      <c r="K656" s="61"/>
      <c r="L656" s="11" t="s">
        <v>67</v>
      </c>
      <c r="M656" s="25"/>
      <c r="N656" s="54"/>
      <c r="O656" s="3" t="str">
        <f t="shared" si="148"/>
        <v>E</v>
      </c>
      <c r="P656" s="48"/>
      <c r="Q656" s="48"/>
      <c r="R656" s="32"/>
      <c r="S656" s="3" t="str">
        <f t="shared" si="149"/>
        <v>E</v>
      </c>
      <c r="T656" s="48"/>
      <c r="U656" s="48"/>
      <c r="V656" s="32"/>
      <c r="W656" s="3" t="str">
        <f t="shared" si="150"/>
        <v>A</v>
      </c>
      <c r="X656" s="48"/>
      <c r="Y656" s="48"/>
      <c r="Z656" s="32"/>
      <c r="AA656" s="3" t="str">
        <f t="shared" si="151"/>
        <v>A</v>
      </c>
      <c r="AB656" s="48"/>
      <c r="AC656" s="48"/>
      <c r="AD656" s="36"/>
      <c r="AE656" s="54"/>
      <c r="AF656" s="3" t="str">
        <f t="shared" si="152"/>
        <v>A</v>
      </c>
      <c r="AG656" s="48"/>
      <c r="AH656" s="48"/>
      <c r="AI656" s="39"/>
      <c r="AJ656" s="79" t="s">
        <v>38</v>
      </c>
      <c r="AK656" s="39"/>
      <c r="AL656" s="4">
        <f t="shared" si="146"/>
        <v>0</v>
      </c>
      <c r="AM656" s="4">
        <f t="shared" si="146"/>
        <v>0</v>
      </c>
      <c r="AN656" s="4">
        <f t="shared" si="153"/>
        <v>0</v>
      </c>
      <c r="AO656" s="39"/>
      <c r="AP656" s="8">
        <f t="shared" si="147"/>
        <v>0</v>
      </c>
      <c r="AQ656" s="8">
        <f t="shared" si="147"/>
        <v>0</v>
      </c>
      <c r="AR656" s="8">
        <f t="shared" si="154"/>
        <v>0</v>
      </c>
      <c r="AS656" s="42"/>
      <c r="AT656" s="48"/>
      <c r="AU656" s="48"/>
      <c r="AV656" s="4">
        <f t="shared" si="155"/>
        <v>0</v>
      </c>
      <c r="AW656" s="50" t="str">
        <f t="shared" si="156"/>
        <v/>
      </c>
      <c r="AX656" s="1" t="s">
        <v>1707</v>
      </c>
      <c r="AY656" s="2" t="s">
        <v>1708</v>
      </c>
      <c r="AZ656" s="2"/>
      <c r="BA656" s="73"/>
      <c r="BB656" s="73"/>
      <c r="BC656" s="73"/>
      <c r="BD656" s="73"/>
      <c r="BE656" s="66">
        <v>0</v>
      </c>
      <c r="BF656" s="66">
        <v>0.05</v>
      </c>
      <c r="BG656" s="63">
        <v>0</v>
      </c>
      <c r="BH656" s="2"/>
      <c r="BI656" s="2"/>
      <c r="BJ656" s="2">
        <v>555048</v>
      </c>
      <c r="BK656" s="2">
        <v>29140.02</v>
      </c>
      <c r="BL656" s="1" t="s">
        <v>396</v>
      </c>
    </row>
    <row r="657" spans="1:64" x14ac:dyDescent="0.25">
      <c r="A657" s="56" t="s">
        <v>1580</v>
      </c>
      <c r="B657" s="54" t="s">
        <v>1580</v>
      </c>
      <c r="C657" s="56" t="s">
        <v>1581</v>
      </c>
      <c r="D657" s="16">
        <v>43118</v>
      </c>
      <c r="E657" s="17"/>
      <c r="F657" s="2" t="s">
        <v>423</v>
      </c>
      <c r="G657" s="2" t="s">
        <v>424</v>
      </c>
      <c r="H657" s="10" t="s">
        <v>105</v>
      </c>
      <c r="I657" s="11" t="s">
        <v>53</v>
      </c>
      <c r="J657" s="11" t="s">
        <v>312</v>
      </c>
      <c r="K657" s="61"/>
      <c r="L657" s="11" t="s">
        <v>67</v>
      </c>
      <c r="M657" s="25"/>
      <c r="N657" s="54"/>
      <c r="O657" s="3" t="str">
        <f t="shared" si="148"/>
        <v>A</v>
      </c>
      <c r="P657" s="48">
        <v>51389</v>
      </c>
      <c r="Q657" s="48">
        <v>8790</v>
      </c>
      <c r="R657" s="32"/>
      <c r="S657" s="3" t="str">
        <f t="shared" si="149"/>
        <v>A</v>
      </c>
      <c r="T657" s="48">
        <v>41731</v>
      </c>
      <c r="U657" s="48">
        <v>12487</v>
      </c>
      <c r="V657" s="32"/>
      <c r="W657" s="3" t="str">
        <f t="shared" si="150"/>
        <v>A</v>
      </c>
      <c r="X657" s="48">
        <v>37640</v>
      </c>
      <c r="Y657" s="48">
        <v>7435</v>
      </c>
      <c r="Z657" s="32"/>
      <c r="AA657" s="3" t="str">
        <f t="shared" si="151"/>
        <v>A</v>
      </c>
      <c r="AB657" s="48">
        <v>43683</v>
      </c>
      <c r="AC657" s="48">
        <v>10179</v>
      </c>
      <c r="AD657" s="36"/>
      <c r="AE657" s="54"/>
      <c r="AF657" s="3" t="str">
        <f t="shared" si="152"/>
        <v>A</v>
      </c>
      <c r="AG657" s="48">
        <v>0</v>
      </c>
      <c r="AH657" s="48">
        <v>0</v>
      </c>
      <c r="AI657" s="39"/>
      <c r="AJ657" s="79" t="s">
        <v>1801</v>
      </c>
      <c r="AK657" s="39"/>
      <c r="AL657" s="4">
        <f t="shared" si="146"/>
        <v>174443</v>
      </c>
      <c r="AM657" s="4">
        <f t="shared" si="146"/>
        <v>38891</v>
      </c>
      <c r="AN657" s="4">
        <f t="shared" si="153"/>
        <v>213334</v>
      </c>
      <c r="AO657" s="39"/>
      <c r="AP657" s="8">
        <f t="shared" si="147"/>
        <v>0</v>
      </c>
      <c r="AQ657" s="8">
        <f t="shared" si="147"/>
        <v>0</v>
      </c>
      <c r="AR657" s="8">
        <f t="shared" si="154"/>
        <v>0</v>
      </c>
      <c r="AS657" s="42"/>
      <c r="AT657" s="48">
        <v>174443</v>
      </c>
      <c r="AU657" s="48">
        <v>38891</v>
      </c>
      <c r="AV657" s="4">
        <f t="shared" si="155"/>
        <v>213334</v>
      </c>
      <c r="AW657" s="50" t="str">
        <f t="shared" si="156"/>
        <v/>
      </c>
      <c r="AX657" s="1" t="s">
        <v>1705</v>
      </c>
      <c r="AY657" s="2" t="s">
        <v>1706</v>
      </c>
      <c r="AZ657" s="2">
        <v>159942.24</v>
      </c>
      <c r="BA657" s="73">
        <v>139949.46</v>
      </c>
      <c r="BB657" s="73">
        <v>139949.46</v>
      </c>
      <c r="BC657" s="73">
        <v>159942.24</v>
      </c>
      <c r="BD657" s="73"/>
      <c r="BE657" s="66">
        <v>0</v>
      </c>
      <c r="BF657" s="66">
        <v>0.05</v>
      </c>
      <c r="BG657" s="63">
        <v>44925</v>
      </c>
      <c r="BH657" s="2"/>
      <c r="BI657" s="2"/>
      <c r="BJ657" s="2">
        <v>578874.30000000005</v>
      </c>
      <c r="BK657" s="2">
        <v>32252.09</v>
      </c>
      <c r="BL657" s="1" t="s">
        <v>104</v>
      </c>
    </row>
    <row r="658" spans="1:64" x14ac:dyDescent="0.25">
      <c r="A658" s="56" t="s">
        <v>1582</v>
      </c>
      <c r="B658" s="54" t="s">
        <v>1582</v>
      </c>
      <c r="C658" s="56" t="s">
        <v>1583</v>
      </c>
      <c r="D658" s="16">
        <v>54788</v>
      </c>
      <c r="E658" s="17"/>
      <c r="F658" s="2" t="s">
        <v>904</v>
      </c>
      <c r="G658" s="2" t="s">
        <v>906</v>
      </c>
      <c r="H658" s="10" t="s">
        <v>57</v>
      </c>
      <c r="I658" s="11" t="s">
        <v>905</v>
      </c>
      <c r="J658" s="11" t="s">
        <v>338</v>
      </c>
      <c r="K658" s="61" t="s">
        <v>339</v>
      </c>
      <c r="L658" s="11" t="s">
        <v>67</v>
      </c>
      <c r="M658" s="25"/>
      <c r="N658" s="54"/>
      <c r="O658" s="3" t="str">
        <f t="shared" si="148"/>
        <v>E</v>
      </c>
      <c r="P658" s="48"/>
      <c r="Q658" s="48"/>
      <c r="R658" s="32"/>
      <c r="S658" s="3" t="str">
        <f t="shared" si="149"/>
        <v>E</v>
      </c>
      <c r="T658" s="48"/>
      <c r="U658" s="48"/>
      <c r="V658" s="32"/>
      <c r="W658" s="3" t="str">
        <f t="shared" si="150"/>
        <v>A</v>
      </c>
      <c r="X658" s="48"/>
      <c r="Y658" s="48"/>
      <c r="Z658" s="32"/>
      <c r="AA658" s="3" t="str">
        <f t="shared" si="151"/>
        <v>A</v>
      </c>
      <c r="AB658" s="48"/>
      <c r="AC658" s="48"/>
      <c r="AD658" s="36"/>
      <c r="AE658" s="54"/>
      <c r="AF658" s="3" t="str">
        <f t="shared" si="152"/>
        <v>A</v>
      </c>
      <c r="AG658" s="48"/>
      <c r="AH658" s="48"/>
      <c r="AI658" s="39"/>
      <c r="AJ658" s="79" t="s">
        <v>38</v>
      </c>
      <c r="AK658" s="39"/>
      <c r="AL658" s="4">
        <f t="shared" si="146"/>
        <v>0</v>
      </c>
      <c r="AM658" s="4">
        <f t="shared" si="146"/>
        <v>0</v>
      </c>
      <c r="AN658" s="4">
        <f t="shared" si="153"/>
        <v>0</v>
      </c>
      <c r="AO658" s="39"/>
      <c r="AP658" s="8">
        <f t="shared" si="147"/>
        <v>0</v>
      </c>
      <c r="AQ658" s="8">
        <f t="shared" si="147"/>
        <v>0</v>
      </c>
      <c r="AR658" s="8">
        <f t="shared" si="154"/>
        <v>0</v>
      </c>
      <c r="AS658" s="42"/>
      <c r="AT658" s="48"/>
      <c r="AU658" s="48"/>
      <c r="AV658" s="4">
        <f t="shared" si="155"/>
        <v>0</v>
      </c>
      <c r="AW658" s="50" t="str">
        <f t="shared" si="156"/>
        <v/>
      </c>
      <c r="AX658" s="1" t="s">
        <v>1740</v>
      </c>
      <c r="AY658" s="2" t="s">
        <v>1741</v>
      </c>
      <c r="AZ658" s="2"/>
      <c r="BA658" s="73"/>
      <c r="BB658" s="73"/>
      <c r="BC658" s="73"/>
      <c r="BD658" s="73"/>
      <c r="BE658" s="66">
        <v>0</v>
      </c>
      <c r="BF658" s="66">
        <v>0</v>
      </c>
      <c r="BG658" s="63">
        <v>0</v>
      </c>
      <c r="BH658" s="2"/>
      <c r="BI658" s="2"/>
      <c r="BJ658" s="2">
        <v>933103.5</v>
      </c>
      <c r="BK658" s="2">
        <v>48987.93</v>
      </c>
      <c r="BL658" s="1" t="s">
        <v>56</v>
      </c>
    </row>
    <row r="659" spans="1:64" x14ac:dyDescent="0.25">
      <c r="A659" s="56" t="s">
        <v>1586</v>
      </c>
      <c r="B659" s="54" t="s">
        <v>1586</v>
      </c>
      <c r="C659" s="56" t="s">
        <v>1587</v>
      </c>
      <c r="D659" s="16">
        <v>54788</v>
      </c>
      <c r="E659" s="17"/>
      <c r="F659" s="2" t="s">
        <v>1588</v>
      </c>
      <c r="G659" s="2" t="s">
        <v>1589</v>
      </c>
      <c r="H659" s="10" t="s">
        <v>98</v>
      </c>
      <c r="I659" s="11" t="s">
        <v>53</v>
      </c>
      <c r="J659" s="11" t="s">
        <v>99</v>
      </c>
      <c r="K659" s="61"/>
      <c r="L659" s="11" t="s">
        <v>67</v>
      </c>
      <c r="M659" s="25"/>
      <c r="N659" s="54"/>
      <c r="O659" s="3" t="str">
        <f t="shared" si="148"/>
        <v>E</v>
      </c>
      <c r="P659" s="48"/>
      <c r="Q659" s="48"/>
      <c r="R659" s="32"/>
      <c r="S659" s="3" t="str">
        <f t="shared" si="149"/>
        <v>E</v>
      </c>
      <c r="T659" s="48"/>
      <c r="U659" s="48"/>
      <c r="V659" s="32"/>
      <c r="W659" s="3" t="str">
        <f t="shared" si="150"/>
        <v>A</v>
      </c>
      <c r="X659" s="48"/>
      <c r="Y659" s="48"/>
      <c r="Z659" s="32"/>
      <c r="AA659" s="3" t="str">
        <f t="shared" si="151"/>
        <v>A</v>
      </c>
      <c r="AB659" s="48"/>
      <c r="AC659" s="48"/>
      <c r="AD659" s="36"/>
      <c r="AE659" s="54"/>
      <c r="AF659" s="3" t="str">
        <f t="shared" si="152"/>
        <v>A</v>
      </c>
      <c r="AG659" s="48"/>
      <c r="AH659" s="48"/>
      <c r="AI659" s="39"/>
      <c r="AJ659" s="79" t="s">
        <v>38</v>
      </c>
      <c r="AK659" s="39"/>
      <c r="AL659" s="4">
        <f t="shared" si="146"/>
        <v>0</v>
      </c>
      <c r="AM659" s="4">
        <f t="shared" si="146"/>
        <v>0</v>
      </c>
      <c r="AN659" s="4">
        <f t="shared" si="153"/>
        <v>0</v>
      </c>
      <c r="AO659" s="39"/>
      <c r="AP659" s="8">
        <f t="shared" si="147"/>
        <v>0</v>
      </c>
      <c r="AQ659" s="8">
        <f t="shared" si="147"/>
        <v>0</v>
      </c>
      <c r="AR659" s="8">
        <f t="shared" si="154"/>
        <v>0</v>
      </c>
      <c r="AS659" s="42"/>
      <c r="AT659" s="48"/>
      <c r="AU659" s="48"/>
      <c r="AV659" s="4">
        <f t="shared" si="155"/>
        <v>0</v>
      </c>
      <c r="AW659" s="50" t="str">
        <f t="shared" si="156"/>
        <v/>
      </c>
      <c r="AX659" s="1" t="s">
        <v>1796</v>
      </c>
      <c r="AY659" s="2" t="s">
        <v>1797</v>
      </c>
      <c r="AZ659" s="2"/>
      <c r="BA659" s="73"/>
      <c r="BB659" s="73"/>
      <c r="BC659" s="73"/>
      <c r="BD659" s="73"/>
      <c r="BE659" s="66">
        <v>0</v>
      </c>
      <c r="BF659" s="66">
        <v>0.05</v>
      </c>
      <c r="BG659" s="63">
        <v>0</v>
      </c>
      <c r="BH659" s="2"/>
      <c r="BI659" s="2"/>
      <c r="BJ659" s="2">
        <v>552430</v>
      </c>
      <c r="BK659" s="2">
        <v>29002.58</v>
      </c>
      <c r="BL659" s="1" t="s">
        <v>97</v>
      </c>
    </row>
    <row r="660" spans="1:64" x14ac:dyDescent="0.25">
      <c r="A660" s="56" t="s">
        <v>1590</v>
      </c>
      <c r="B660" s="54" t="s">
        <v>1590</v>
      </c>
      <c r="C660" s="56" t="s">
        <v>1591</v>
      </c>
      <c r="D660" s="16">
        <v>0</v>
      </c>
      <c r="E660" s="17"/>
      <c r="F660" s="2" t="s">
        <v>143</v>
      </c>
      <c r="G660" s="2" t="s">
        <v>144</v>
      </c>
      <c r="H660" s="10" t="s">
        <v>105</v>
      </c>
      <c r="I660" s="11" t="s">
        <v>53</v>
      </c>
      <c r="J660" s="11" t="s">
        <v>145</v>
      </c>
      <c r="K660" s="61"/>
      <c r="L660" s="11" t="s">
        <v>67</v>
      </c>
      <c r="M660" s="25"/>
      <c r="N660" s="54"/>
      <c r="O660" s="3" t="str">
        <f t="shared" si="148"/>
        <v>E</v>
      </c>
      <c r="P660" s="48">
        <v>129630.56</v>
      </c>
      <c r="Q660" s="48">
        <v>8306.08</v>
      </c>
      <c r="R660" s="32"/>
      <c r="S660" s="3" t="str">
        <f t="shared" si="149"/>
        <v>E</v>
      </c>
      <c r="T660" s="48">
        <v>113426.74</v>
      </c>
      <c r="U660" s="48">
        <v>7267.82</v>
      </c>
      <c r="V660" s="32"/>
      <c r="W660" s="3" t="str">
        <f t="shared" si="150"/>
        <v>E</v>
      </c>
      <c r="X660" s="48">
        <v>113426.74</v>
      </c>
      <c r="Y660" s="48">
        <v>7267.82</v>
      </c>
      <c r="Z660" s="32"/>
      <c r="AA660" s="3" t="str">
        <f t="shared" si="151"/>
        <v>E</v>
      </c>
      <c r="AB660" s="48">
        <v>129630.56</v>
      </c>
      <c r="AC660" s="48">
        <v>8306.08</v>
      </c>
      <c r="AD660" s="36"/>
      <c r="AE660" s="54"/>
      <c r="AF660" s="3" t="str">
        <f t="shared" si="152"/>
        <v>A</v>
      </c>
      <c r="AG660" s="48"/>
      <c r="AH660" s="48"/>
      <c r="AI660" s="39"/>
      <c r="AJ660" s="79" t="s">
        <v>38</v>
      </c>
      <c r="AK660" s="39"/>
      <c r="AL660" s="4">
        <f t="shared" si="146"/>
        <v>0</v>
      </c>
      <c r="AM660" s="4">
        <f t="shared" si="146"/>
        <v>0</v>
      </c>
      <c r="AN660" s="4">
        <f t="shared" si="153"/>
        <v>0</v>
      </c>
      <c r="AO660" s="39"/>
      <c r="AP660" s="8">
        <f t="shared" si="147"/>
        <v>486114.6</v>
      </c>
      <c r="AQ660" s="8">
        <f t="shared" si="147"/>
        <v>31147.800000000003</v>
      </c>
      <c r="AR660" s="8">
        <f t="shared" si="154"/>
        <v>517262.39999999997</v>
      </c>
      <c r="AS660" s="42"/>
      <c r="AT660" s="48"/>
      <c r="AU660" s="48"/>
      <c r="AV660" s="4">
        <f t="shared" si="155"/>
        <v>0</v>
      </c>
      <c r="AW660" s="50" t="str">
        <f t="shared" si="156"/>
        <v/>
      </c>
      <c r="AX660" s="1" t="s">
        <v>1650</v>
      </c>
      <c r="AY660" s="2" t="s">
        <v>1651</v>
      </c>
      <c r="AZ660" s="2">
        <v>129630.56</v>
      </c>
      <c r="BA660" s="73">
        <v>113426.74</v>
      </c>
      <c r="BB660" s="73">
        <v>113426.74</v>
      </c>
      <c r="BC660" s="73">
        <v>129630.56</v>
      </c>
      <c r="BD660" s="73"/>
      <c r="BE660" s="66">
        <v>0</v>
      </c>
      <c r="BF660" s="66">
        <v>0.05</v>
      </c>
      <c r="BG660" s="63">
        <v>45782</v>
      </c>
      <c r="BH660" s="2"/>
      <c r="BI660" s="2"/>
      <c r="BJ660" s="2">
        <v>489867.86</v>
      </c>
      <c r="BK660" s="2">
        <v>28804.23</v>
      </c>
      <c r="BL660" s="1" t="s">
        <v>104</v>
      </c>
    </row>
    <row r="661" spans="1:64" x14ac:dyDescent="0.25">
      <c r="A661" s="56" t="s">
        <v>1608</v>
      </c>
      <c r="B661" s="54" t="s">
        <v>1608</v>
      </c>
      <c r="C661" s="56" t="s">
        <v>1609</v>
      </c>
      <c r="D661" s="16">
        <v>45836</v>
      </c>
      <c r="E661" s="17"/>
      <c r="F661" s="2" t="s">
        <v>904</v>
      </c>
      <c r="G661" s="2" t="s">
        <v>906</v>
      </c>
      <c r="H661" s="10" t="s">
        <v>57</v>
      </c>
      <c r="I661" s="11" t="s">
        <v>905</v>
      </c>
      <c r="J661" s="11" t="s">
        <v>338</v>
      </c>
      <c r="K661" s="61" t="s">
        <v>1610</v>
      </c>
      <c r="L661" s="11" t="s">
        <v>67</v>
      </c>
      <c r="M661" s="25"/>
      <c r="N661" s="54"/>
      <c r="O661" s="3" t="str">
        <f t="shared" si="148"/>
        <v>E</v>
      </c>
      <c r="P661" s="48"/>
      <c r="Q661" s="48"/>
      <c r="R661" s="32"/>
      <c r="S661" s="3" t="str">
        <f t="shared" si="149"/>
        <v>E</v>
      </c>
      <c r="T661" s="48"/>
      <c r="U661" s="48"/>
      <c r="V661" s="32"/>
      <c r="W661" s="3" t="str">
        <f t="shared" si="150"/>
        <v>A</v>
      </c>
      <c r="X661" s="48">
        <v>0</v>
      </c>
      <c r="Y661" s="48">
        <v>0</v>
      </c>
      <c r="Z661" s="32"/>
      <c r="AA661" s="3" t="str">
        <f t="shared" si="151"/>
        <v>A</v>
      </c>
      <c r="AB661" s="48">
        <v>25072</v>
      </c>
      <c r="AC661" s="48">
        <v>7493</v>
      </c>
      <c r="AD661" s="36"/>
      <c r="AE661" s="54"/>
      <c r="AF661" s="3" t="str">
        <f t="shared" si="152"/>
        <v>A</v>
      </c>
      <c r="AG661" s="48">
        <v>0</v>
      </c>
      <c r="AH661" s="48">
        <v>0</v>
      </c>
      <c r="AI661" s="39"/>
      <c r="AJ661" s="79" t="s">
        <v>38</v>
      </c>
      <c r="AK661" s="39"/>
      <c r="AL661" s="4">
        <f t="shared" si="146"/>
        <v>25072</v>
      </c>
      <c r="AM661" s="4">
        <f t="shared" si="146"/>
        <v>7493</v>
      </c>
      <c r="AN661" s="4">
        <f t="shared" si="153"/>
        <v>32565</v>
      </c>
      <c r="AO661" s="39"/>
      <c r="AP661" s="8">
        <f t="shared" si="147"/>
        <v>0</v>
      </c>
      <c r="AQ661" s="8">
        <f t="shared" si="147"/>
        <v>0</v>
      </c>
      <c r="AR661" s="8">
        <f t="shared" si="154"/>
        <v>0</v>
      </c>
      <c r="AS661" s="42"/>
      <c r="AT661" s="48">
        <v>25072</v>
      </c>
      <c r="AU661" s="48">
        <v>7493</v>
      </c>
      <c r="AV661" s="4">
        <f t="shared" si="155"/>
        <v>32565</v>
      </c>
      <c r="AW661" s="50" t="str">
        <f t="shared" si="156"/>
        <v/>
      </c>
      <c r="AX661" s="1" t="s">
        <v>1740</v>
      </c>
      <c r="AY661" s="2" t="s">
        <v>1741</v>
      </c>
      <c r="AZ661" s="2"/>
      <c r="BA661" s="73"/>
      <c r="BB661" s="73"/>
      <c r="BC661" s="73">
        <v>241595.28</v>
      </c>
      <c r="BD661" s="73"/>
      <c r="BE661" s="66">
        <v>0</v>
      </c>
      <c r="BF661" s="66">
        <v>0</v>
      </c>
      <c r="BG661" s="63">
        <v>45832</v>
      </c>
      <c r="BH661" s="2"/>
      <c r="BI661" s="2"/>
      <c r="BJ661" s="2">
        <v>933193.5</v>
      </c>
      <c r="BK661" s="2">
        <v>48987.93</v>
      </c>
      <c r="BL661" s="1" t="s">
        <v>56</v>
      </c>
    </row>
    <row r="662" spans="1:64" x14ac:dyDescent="0.25">
      <c r="A662" s="56" t="s">
        <v>1611</v>
      </c>
      <c r="B662" s="54" t="s">
        <v>1611</v>
      </c>
      <c r="C662" s="56" t="s">
        <v>1612</v>
      </c>
      <c r="D662" s="16">
        <v>54788</v>
      </c>
      <c r="E662" s="17"/>
      <c r="F662" s="2" t="s">
        <v>904</v>
      </c>
      <c r="G662" s="2" t="s">
        <v>906</v>
      </c>
      <c r="H662" s="10" t="s">
        <v>57</v>
      </c>
      <c r="I662" s="11" t="s">
        <v>905</v>
      </c>
      <c r="J662" s="11" t="s">
        <v>338</v>
      </c>
      <c r="K662" s="61" t="s">
        <v>1610</v>
      </c>
      <c r="L662" s="11" t="s">
        <v>67</v>
      </c>
      <c r="M662" s="25"/>
      <c r="N662" s="54"/>
      <c r="O662" s="3" t="str">
        <f t="shared" si="148"/>
        <v>E</v>
      </c>
      <c r="P662" s="48"/>
      <c r="Q662" s="48"/>
      <c r="R662" s="32"/>
      <c r="S662" s="3" t="str">
        <f t="shared" si="149"/>
        <v>E</v>
      </c>
      <c r="T662" s="48"/>
      <c r="U662" s="48"/>
      <c r="V662" s="32"/>
      <c r="W662" s="3" t="str">
        <f t="shared" si="150"/>
        <v>A</v>
      </c>
      <c r="X662" s="48"/>
      <c r="Y662" s="48"/>
      <c r="Z662" s="32"/>
      <c r="AA662" s="3" t="str">
        <f t="shared" si="151"/>
        <v>A</v>
      </c>
      <c r="AB662" s="48"/>
      <c r="AC662" s="48"/>
      <c r="AD662" s="36"/>
      <c r="AE662" s="54"/>
      <c r="AF662" s="3" t="str">
        <f t="shared" si="152"/>
        <v>A</v>
      </c>
      <c r="AG662" s="48"/>
      <c r="AH662" s="48"/>
      <c r="AI662" s="39"/>
      <c r="AJ662" s="79" t="s">
        <v>38</v>
      </c>
      <c r="AK662" s="39"/>
      <c r="AL662" s="4">
        <f t="shared" si="146"/>
        <v>0</v>
      </c>
      <c r="AM662" s="4">
        <f t="shared" si="146"/>
        <v>0</v>
      </c>
      <c r="AN662" s="4">
        <f t="shared" si="153"/>
        <v>0</v>
      </c>
      <c r="AO662" s="39"/>
      <c r="AP662" s="8">
        <f t="shared" si="147"/>
        <v>0</v>
      </c>
      <c r="AQ662" s="8">
        <f t="shared" si="147"/>
        <v>0</v>
      </c>
      <c r="AR662" s="8">
        <f t="shared" si="154"/>
        <v>0</v>
      </c>
      <c r="AS662" s="42"/>
      <c r="AT662" s="48"/>
      <c r="AU662" s="48"/>
      <c r="AV662" s="4">
        <f t="shared" si="155"/>
        <v>0</v>
      </c>
      <c r="AW662" s="50" t="str">
        <f t="shared" si="156"/>
        <v/>
      </c>
      <c r="AX662" s="1" t="s">
        <v>1740</v>
      </c>
      <c r="AY662" s="2" t="s">
        <v>1741</v>
      </c>
      <c r="AZ662" s="2"/>
      <c r="BA662" s="73"/>
      <c r="BB662" s="73"/>
      <c r="BC662" s="73"/>
      <c r="BD662" s="73"/>
      <c r="BE662" s="66">
        <v>0</v>
      </c>
      <c r="BF662" s="66">
        <v>0</v>
      </c>
      <c r="BG662" s="63">
        <v>0</v>
      </c>
      <c r="BH662" s="2"/>
      <c r="BI662" s="2"/>
      <c r="BJ662" s="2">
        <v>933193.5</v>
      </c>
      <c r="BK662" s="2">
        <v>48987.93</v>
      </c>
      <c r="BL662" s="1" t="s">
        <v>56</v>
      </c>
    </row>
    <row r="663" spans="1:64" x14ac:dyDescent="0.25">
      <c r="A663" s="56" t="s">
        <v>1613</v>
      </c>
      <c r="B663" s="54" t="s">
        <v>1613</v>
      </c>
      <c r="C663" s="56" t="s">
        <v>1614</v>
      </c>
      <c r="D663" s="16">
        <v>45755</v>
      </c>
      <c r="E663" s="17"/>
      <c r="F663" s="2" t="s">
        <v>1164</v>
      </c>
      <c r="G663" s="2" t="s">
        <v>1165</v>
      </c>
      <c r="H663" s="10" t="s">
        <v>57</v>
      </c>
      <c r="I663" s="11" t="s">
        <v>53</v>
      </c>
      <c r="J663" s="11" t="s">
        <v>1166</v>
      </c>
      <c r="K663" s="61"/>
      <c r="L663" s="11" t="s">
        <v>67</v>
      </c>
      <c r="M663" s="25"/>
      <c r="N663" s="54"/>
      <c r="O663" s="3" t="str">
        <f t="shared" si="148"/>
        <v>E</v>
      </c>
      <c r="P663" s="48">
        <v>199033.84</v>
      </c>
      <c r="Q663" s="48">
        <v>26443.040000000001</v>
      </c>
      <c r="R663" s="32"/>
      <c r="S663" s="3" t="str">
        <f t="shared" si="149"/>
        <v>A</v>
      </c>
      <c r="T663" s="48">
        <v>82471</v>
      </c>
      <c r="U663" s="48">
        <v>8656</v>
      </c>
      <c r="V663" s="32"/>
      <c r="W663" s="3" t="str">
        <f t="shared" si="150"/>
        <v>A</v>
      </c>
      <c r="X663" s="48">
        <v>74726</v>
      </c>
      <c r="Y663" s="48">
        <v>7665</v>
      </c>
      <c r="Z663" s="32"/>
      <c r="AA663" s="3" t="str">
        <f t="shared" si="151"/>
        <v>A</v>
      </c>
      <c r="AB663" s="48">
        <v>82441</v>
      </c>
      <c r="AC663" s="48">
        <v>7865</v>
      </c>
      <c r="AD663" s="36"/>
      <c r="AE663" s="54"/>
      <c r="AF663" s="3" t="str">
        <f t="shared" si="152"/>
        <v>A</v>
      </c>
      <c r="AG663" s="48">
        <v>0</v>
      </c>
      <c r="AH663" s="48">
        <v>0</v>
      </c>
      <c r="AI663" s="39"/>
      <c r="AJ663" s="79" t="s">
        <v>38</v>
      </c>
      <c r="AK663" s="39"/>
      <c r="AL663" s="4">
        <f t="shared" si="146"/>
        <v>239638</v>
      </c>
      <c r="AM663" s="4">
        <f t="shared" si="146"/>
        <v>24186</v>
      </c>
      <c r="AN663" s="4">
        <f t="shared" si="153"/>
        <v>263824</v>
      </c>
      <c r="AO663" s="39"/>
      <c r="AP663" s="8">
        <f t="shared" si="147"/>
        <v>199033.84</v>
      </c>
      <c r="AQ663" s="8">
        <f t="shared" si="147"/>
        <v>26443.040000000001</v>
      </c>
      <c r="AR663" s="8">
        <f t="shared" si="154"/>
        <v>225476.88</v>
      </c>
      <c r="AS663" s="42"/>
      <c r="AT663" s="48">
        <v>239638</v>
      </c>
      <c r="AU663" s="48">
        <v>24186</v>
      </c>
      <c r="AV663" s="4">
        <f t="shared" si="155"/>
        <v>263824</v>
      </c>
      <c r="AW663" s="50" t="str">
        <f t="shared" si="156"/>
        <v/>
      </c>
      <c r="AX663" s="1" t="s">
        <v>1762</v>
      </c>
      <c r="AY663" s="2" t="s">
        <v>1763</v>
      </c>
      <c r="AZ663" s="2">
        <v>199033.84</v>
      </c>
      <c r="BA663" s="73">
        <v>174154.61</v>
      </c>
      <c r="BB663" s="73">
        <v>174154.61</v>
      </c>
      <c r="BC663" s="73">
        <v>199033.84</v>
      </c>
      <c r="BD663" s="73"/>
      <c r="BE663" s="66">
        <v>0</v>
      </c>
      <c r="BF663" s="66">
        <v>0.05</v>
      </c>
      <c r="BG663" s="63">
        <v>45755</v>
      </c>
      <c r="BH663" s="2"/>
      <c r="BI663" s="2"/>
      <c r="BJ663" s="2">
        <v>738225.97</v>
      </c>
      <c r="BK663" s="2">
        <v>82025.100000000006</v>
      </c>
      <c r="BL663" s="1" t="s">
        <v>56</v>
      </c>
    </row>
    <row r="664" spans="1:64" x14ac:dyDescent="0.25">
      <c r="A664" s="56" t="s">
        <v>1613</v>
      </c>
      <c r="B664" s="54" t="s">
        <v>1615</v>
      </c>
      <c r="C664" s="56" t="s">
        <v>1616</v>
      </c>
      <c r="D664" s="16">
        <v>45755</v>
      </c>
      <c r="E664" s="17"/>
      <c r="F664" s="2" t="s">
        <v>1164</v>
      </c>
      <c r="G664" s="2" t="s">
        <v>1165</v>
      </c>
      <c r="H664" s="10" t="s">
        <v>57</v>
      </c>
      <c r="I664" s="11" t="s">
        <v>53</v>
      </c>
      <c r="J664" s="11" t="s">
        <v>1166</v>
      </c>
      <c r="K664" s="61"/>
      <c r="L664" s="11" t="s">
        <v>67</v>
      </c>
      <c r="M664" s="25"/>
      <c r="N664" s="54"/>
      <c r="O664" s="3" t="str">
        <f t="shared" si="148"/>
        <v>A</v>
      </c>
      <c r="P664" s="48">
        <v>23023</v>
      </c>
      <c r="Q664" s="48">
        <v>4922</v>
      </c>
      <c r="R664" s="32"/>
      <c r="S664" s="3" t="str">
        <f t="shared" si="149"/>
        <v>A</v>
      </c>
      <c r="T664" s="48">
        <v>15330</v>
      </c>
      <c r="U664" s="48">
        <v>3140</v>
      </c>
      <c r="V664" s="32"/>
      <c r="W664" s="3" t="str">
        <f t="shared" si="150"/>
        <v>A</v>
      </c>
      <c r="X664" s="48">
        <v>13196.93</v>
      </c>
      <c r="Y664" s="48">
        <v>2859</v>
      </c>
      <c r="Z664" s="32"/>
      <c r="AA664" s="3" t="str">
        <f t="shared" si="151"/>
        <v>A</v>
      </c>
      <c r="AB664" s="48">
        <v>16226.07</v>
      </c>
      <c r="AC664" s="48">
        <v>4444</v>
      </c>
      <c r="AD664" s="36"/>
      <c r="AE664" s="54"/>
      <c r="AF664" s="3" t="str">
        <f t="shared" si="152"/>
        <v>A</v>
      </c>
      <c r="AG664" s="48">
        <v>0</v>
      </c>
      <c r="AH664" s="48">
        <v>0</v>
      </c>
      <c r="AI664" s="39"/>
      <c r="AJ664" s="79" t="s">
        <v>1801</v>
      </c>
      <c r="AK664" s="39"/>
      <c r="AL664" s="4">
        <f t="shared" ref="AL664:AM669" si="157">IF($O664="A",P664,0)+IF($S664="A",T664,0)+IF($W664="A",X664,0)+IF($AA664="A",AB664,0)+IF($AF664="A",AG664,0)</f>
        <v>67776</v>
      </c>
      <c r="AM664" s="4">
        <f t="shared" si="157"/>
        <v>15365</v>
      </c>
      <c r="AN664" s="4">
        <f t="shared" si="153"/>
        <v>83141</v>
      </c>
      <c r="AO664" s="39"/>
      <c r="AP664" s="8">
        <f t="shared" ref="AP664:AQ669" si="158">IF($O664="E",P664,0)+IF($S664="E",T664,0)+IF($W664="E",X664,0)+IF($AA664="E",AB664,0)+IF($AF664="E",AG664,0)</f>
        <v>0</v>
      </c>
      <c r="AQ664" s="8">
        <f t="shared" si="158"/>
        <v>0</v>
      </c>
      <c r="AR664" s="8">
        <f t="shared" si="154"/>
        <v>0</v>
      </c>
      <c r="AS664" s="42"/>
      <c r="AT664" s="48">
        <v>67776</v>
      </c>
      <c r="AU664" s="48">
        <v>15365</v>
      </c>
      <c r="AV664" s="4">
        <f t="shared" si="155"/>
        <v>83141</v>
      </c>
      <c r="AW664" s="50" t="str">
        <f t="shared" si="156"/>
        <v/>
      </c>
      <c r="AX664" s="1" t="s">
        <v>1762</v>
      </c>
      <c r="AY664" s="2" t="s">
        <v>1763</v>
      </c>
      <c r="AZ664" s="2">
        <v>86060.4</v>
      </c>
      <c r="BA664" s="73">
        <v>75302.850000000006</v>
      </c>
      <c r="BB664" s="73">
        <v>75302.850000000006</v>
      </c>
      <c r="BC664" s="73">
        <v>86060.4</v>
      </c>
      <c r="BD664" s="73"/>
      <c r="BE664" s="66">
        <v>0</v>
      </c>
      <c r="BF664" s="66">
        <v>0.05</v>
      </c>
      <c r="BG664" s="63">
        <v>45755</v>
      </c>
      <c r="BH664" s="2"/>
      <c r="BI664" s="2"/>
      <c r="BJ664" s="2">
        <v>319202.08</v>
      </c>
      <c r="BK664" s="2">
        <v>169432.33</v>
      </c>
      <c r="BL664" s="1" t="s">
        <v>56</v>
      </c>
    </row>
    <row r="665" spans="1:64" x14ac:dyDescent="0.25">
      <c r="A665" s="56" t="s">
        <v>1621</v>
      </c>
      <c r="B665" s="54" t="s">
        <v>1621</v>
      </c>
      <c r="C665" s="56" t="s">
        <v>1622</v>
      </c>
      <c r="D665" s="16">
        <v>54788</v>
      </c>
      <c r="E665" s="17"/>
      <c r="F665" s="2" t="s">
        <v>1466</v>
      </c>
      <c r="G665" s="2" t="s">
        <v>1467</v>
      </c>
      <c r="H665" s="10" t="s">
        <v>98</v>
      </c>
      <c r="I665" s="11" t="s">
        <v>53</v>
      </c>
      <c r="J665" s="11" t="s">
        <v>224</v>
      </c>
      <c r="K665" s="61"/>
      <c r="L665" s="11" t="s">
        <v>67</v>
      </c>
      <c r="M665" s="25"/>
      <c r="N665" s="54"/>
      <c r="O665" s="3" t="str">
        <f t="shared" si="148"/>
        <v>E</v>
      </c>
      <c r="P665" s="48"/>
      <c r="Q665" s="48"/>
      <c r="R665" s="32"/>
      <c r="S665" s="3" t="str">
        <f t="shared" si="149"/>
        <v>E</v>
      </c>
      <c r="T665" s="48"/>
      <c r="U665" s="48"/>
      <c r="V665" s="32"/>
      <c r="W665" s="3" t="str">
        <f t="shared" si="150"/>
        <v>A</v>
      </c>
      <c r="X665" s="48"/>
      <c r="Y665" s="48"/>
      <c r="Z665" s="32"/>
      <c r="AA665" s="3" t="str">
        <f t="shared" si="151"/>
        <v>A</v>
      </c>
      <c r="AB665" s="48"/>
      <c r="AC665" s="48"/>
      <c r="AD665" s="36"/>
      <c r="AE665" s="54"/>
      <c r="AF665" s="3" t="str">
        <f t="shared" si="152"/>
        <v>A</v>
      </c>
      <c r="AG665" s="48"/>
      <c r="AH665" s="48"/>
      <c r="AI665" s="39"/>
      <c r="AJ665" s="79" t="s">
        <v>38</v>
      </c>
      <c r="AK665" s="39"/>
      <c r="AL665" s="4">
        <f t="shared" si="157"/>
        <v>0</v>
      </c>
      <c r="AM665" s="4">
        <f t="shared" si="157"/>
        <v>0</v>
      </c>
      <c r="AN665" s="4">
        <f t="shared" si="153"/>
        <v>0</v>
      </c>
      <c r="AO665" s="39"/>
      <c r="AP665" s="8">
        <f t="shared" si="158"/>
        <v>0</v>
      </c>
      <c r="AQ665" s="8">
        <f t="shared" si="158"/>
        <v>0</v>
      </c>
      <c r="AR665" s="8">
        <f t="shared" si="154"/>
        <v>0</v>
      </c>
      <c r="AS665" s="42"/>
      <c r="AT665" s="48"/>
      <c r="AU665" s="48"/>
      <c r="AV665" s="4">
        <f t="shared" si="155"/>
        <v>0</v>
      </c>
      <c r="AW665" s="50" t="str">
        <f t="shared" si="156"/>
        <v/>
      </c>
      <c r="AX665" s="1" t="s">
        <v>1783</v>
      </c>
      <c r="AY665" s="2" t="s">
        <v>1784</v>
      </c>
      <c r="AZ665" s="2"/>
      <c r="BA665" s="73"/>
      <c r="BB665" s="73"/>
      <c r="BC665" s="73"/>
      <c r="BD665" s="73"/>
      <c r="BE665" s="66">
        <v>0</v>
      </c>
      <c r="BF665" s="66">
        <v>0.05</v>
      </c>
      <c r="BG665" s="63">
        <v>0</v>
      </c>
      <c r="BH665" s="2"/>
      <c r="BI665" s="2"/>
      <c r="BJ665" s="2">
        <v>1508943</v>
      </c>
      <c r="BK665" s="2">
        <v>15009.44</v>
      </c>
      <c r="BL665" s="1" t="s">
        <v>97</v>
      </c>
    </row>
    <row r="666" spans="1:64" x14ac:dyDescent="0.25">
      <c r="A666" s="56" t="s">
        <v>1623</v>
      </c>
      <c r="B666" s="54" t="s">
        <v>1623</v>
      </c>
      <c r="C666" s="56" t="s">
        <v>1624</v>
      </c>
      <c r="D666" s="16">
        <v>54788</v>
      </c>
      <c r="E666" s="17"/>
      <c r="F666" s="2" t="s">
        <v>1466</v>
      </c>
      <c r="G666" s="2" t="s">
        <v>1467</v>
      </c>
      <c r="H666" s="10" t="s">
        <v>98</v>
      </c>
      <c r="I666" s="11" t="s">
        <v>53</v>
      </c>
      <c r="J666" s="11" t="s">
        <v>224</v>
      </c>
      <c r="K666" s="61"/>
      <c r="L666" s="11" t="s">
        <v>67</v>
      </c>
      <c r="M666" s="25"/>
      <c r="N666" s="54"/>
      <c r="O666" s="3" t="str">
        <f t="shared" si="148"/>
        <v>E</v>
      </c>
      <c r="P666" s="48"/>
      <c r="Q666" s="48"/>
      <c r="R666" s="32"/>
      <c r="S666" s="3" t="str">
        <f t="shared" si="149"/>
        <v>E</v>
      </c>
      <c r="T666" s="48"/>
      <c r="U666" s="48"/>
      <c r="V666" s="32"/>
      <c r="W666" s="3" t="str">
        <f t="shared" si="150"/>
        <v>A</v>
      </c>
      <c r="X666" s="48"/>
      <c r="Y666" s="48"/>
      <c r="Z666" s="32"/>
      <c r="AA666" s="3" t="str">
        <f t="shared" si="151"/>
        <v>A</v>
      </c>
      <c r="AB666" s="48"/>
      <c r="AC666" s="48"/>
      <c r="AD666" s="36"/>
      <c r="AE666" s="54"/>
      <c r="AF666" s="3" t="str">
        <f t="shared" si="152"/>
        <v>A</v>
      </c>
      <c r="AG666" s="48"/>
      <c r="AH666" s="48"/>
      <c r="AI666" s="39"/>
      <c r="AJ666" s="79" t="s">
        <v>38</v>
      </c>
      <c r="AK666" s="39"/>
      <c r="AL666" s="4">
        <f t="shared" si="157"/>
        <v>0</v>
      </c>
      <c r="AM666" s="4">
        <f t="shared" si="157"/>
        <v>0</v>
      </c>
      <c r="AN666" s="4">
        <f t="shared" si="153"/>
        <v>0</v>
      </c>
      <c r="AO666" s="39"/>
      <c r="AP666" s="8">
        <f t="shared" si="158"/>
        <v>0</v>
      </c>
      <c r="AQ666" s="8">
        <f t="shared" si="158"/>
        <v>0</v>
      </c>
      <c r="AR666" s="8">
        <f t="shared" si="154"/>
        <v>0</v>
      </c>
      <c r="AS666" s="42"/>
      <c r="AT666" s="48"/>
      <c r="AU666" s="48"/>
      <c r="AV666" s="4">
        <f t="shared" si="155"/>
        <v>0</v>
      </c>
      <c r="AW666" s="50" t="str">
        <f t="shared" si="156"/>
        <v/>
      </c>
      <c r="AX666" s="1" t="s">
        <v>1783</v>
      </c>
      <c r="AY666" s="2" t="s">
        <v>1784</v>
      </c>
      <c r="AZ666" s="2"/>
      <c r="BA666" s="73"/>
      <c r="BB666" s="73"/>
      <c r="BC666" s="73"/>
      <c r="BD666" s="73"/>
      <c r="BE666" s="66">
        <v>0</v>
      </c>
      <c r="BF666" s="66">
        <v>0.05</v>
      </c>
      <c r="BG666" s="63">
        <v>0</v>
      </c>
      <c r="BH666" s="2"/>
      <c r="BI666" s="2"/>
      <c r="BJ666" s="2">
        <v>584325</v>
      </c>
      <c r="BK666" s="2">
        <v>30677.06</v>
      </c>
      <c r="BL666" s="1" t="s">
        <v>97</v>
      </c>
    </row>
    <row r="667" spans="1:64" x14ac:dyDescent="0.25">
      <c r="A667" s="56" t="s">
        <v>1625</v>
      </c>
      <c r="B667" s="54" t="s">
        <v>1625</v>
      </c>
      <c r="C667" s="56" t="s">
        <v>1626</v>
      </c>
      <c r="D667" s="16">
        <v>54788</v>
      </c>
      <c r="E667" s="17"/>
      <c r="F667" s="2" t="s">
        <v>904</v>
      </c>
      <c r="G667" s="2" t="s">
        <v>906</v>
      </c>
      <c r="H667" s="10" t="s">
        <v>57</v>
      </c>
      <c r="I667" s="11" t="s">
        <v>905</v>
      </c>
      <c r="J667" s="11" t="s">
        <v>190</v>
      </c>
      <c r="K667" s="61" t="s">
        <v>191</v>
      </c>
      <c r="L667" s="11" t="s">
        <v>67</v>
      </c>
      <c r="M667" s="25"/>
      <c r="N667" s="54"/>
      <c r="O667" s="3" t="str">
        <f t="shared" si="148"/>
        <v>E</v>
      </c>
      <c r="P667" s="48"/>
      <c r="Q667" s="48"/>
      <c r="R667" s="32"/>
      <c r="S667" s="3" t="str">
        <f t="shared" si="149"/>
        <v>E</v>
      </c>
      <c r="T667" s="48"/>
      <c r="U667" s="48"/>
      <c r="V667" s="32"/>
      <c r="W667" s="3" t="str">
        <f t="shared" si="150"/>
        <v>A</v>
      </c>
      <c r="X667" s="48"/>
      <c r="Y667" s="48"/>
      <c r="Z667" s="32"/>
      <c r="AA667" s="3" t="str">
        <f t="shared" si="151"/>
        <v>A</v>
      </c>
      <c r="AB667" s="48"/>
      <c r="AC667" s="48"/>
      <c r="AD667" s="36"/>
      <c r="AE667" s="54"/>
      <c r="AF667" s="3" t="str">
        <f t="shared" si="152"/>
        <v>A</v>
      </c>
      <c r="AG667" s="48"/>
      <c r="AH667" s="48"/>
      <c r="AI667" s="39"/>
      <c r="AJ667" s="79" t="s">
        <v>38</v>
      </c>
      <c r="AK667" s="39"/>
      <c r="AL667" s="4">
        <f t="shared" si="157"/>
        <v>0</v>
      </c>
      <c r="AM667" s="4">
        <f t="shared" si="157"/>
        <v>0</v>
      </c>
      <c r="AN667" s="4">
        <f t="shared" si="153"/>
        <v>0</v>
      </c>
      <c r="AO667" s="39"/>
      <c r="AP667" s="8">
        <f t="shared" si="158"/>
        <v>0</v>
      </c>
      <c r="AQ667" s="8">
        <f t="shared" si="158"/>
        <v>0</v>
      </c>
      <c r="AR667" s="8">
        <f t="shared" si="154"/>
        <v>0</v>
      </c>
      <c r="AS667" s="42"/>
      <c r="AT667" s="48"/>
      <c r="AU667" s="48"/>
      <c r="AV667" s="4">
        <f t="shared" si="155"/>
        <v>0</v>
      </c>
      <c r="AW667" s="50" t="str">
        <f t="shared" si="156"/>
        <v/>
      </c>
      <c r="AX667" s="1" t="s">
        <v>1740</v>
      </c>
      <c r="AY667" s="2" t="s">
        <v>1741</v>
      </c>
      <c r="AZ667" s="2"/>
      <c r="BA667" s="73"/>
      <c r="BB667" s="73"/>
      <c r="BC667" s="73"/>
      <c r="BD667" s="73"/>
      <c r="BE667" s="66">
        <v>0</v>
      </c>
      <c r="BF667" s="66">
        <v>0</v>
      </c>
      <c r="BG667" s="63">
        <v>0</v>
      </c>
      <c r="BH667" s="2"/>
      <c r="BI667" s="2"/>
      <c r="BJ667" s="2">
        <v>349343</v>
      </c>
      <c r="BK667" s="2">
        <v>89418</v>
      </c>
      <c r="BL667" s="1" t="s">
        <v>56</v>
      </c>
    </row>
    <row r="668" spans="1:64" x14ac:dyDescent="0.25">
      <c r="A668" s="56" t="s">
        <v>1633</v>
      </c>
      <c r="B668" s="54" t="s">
        <v>1633</v>
      </c>
      <c r="C668" s="56" t="s">
        <v>1634</v>
      </c>
      <c r="D668" s="16">
        <v>54788</v>
      </c>
      <c r="E668" s="17"/>
      <c r="F668" s="2" t="s">
        <v>492</v>
      </c>
      <c r="G668" s="2" t="s">
        <v>493</v>
      </c>
      <c r="H668" s="10" t="s">
        <v>57</v>
      </c>
      <c r="I668" s="11" t="s">
        <v>53</v>
      </c>
      <c r="J668" s="11" t="s">
        <v>387</v>
      </c>
      <c r="K668" s="61"/>
      <c r="L668" s="11" t="s">
        <v>67</v>
      </c>
      <c r="M668" s="25"/>
      <c r="N668" s="54"/>
      <c r="O668" s="3" t="str">
        <f t="shared" si="148"/>
        <v>E</v>
      </c>
      <c r="P668" s="48"/>
      <c r="Q668" s="48"/>
      <c r="R668" s="32"/>
      <c r="S668" s="3" t="str">
        <f t="shared" si="149"/>
        <v>E</v>
      </c>
      <c r="T668" s="48"/>
      <c r="U668" s="48"/>
      <c r="V668" s="32"/>
      <c r="W668" s="3" t="str">
        <f t="shared" si="150"/>
        <v>A</v>
      </c>
      <c r="X668" s="48"/>
      <c r="Y668" s="48"/>
      <c r="Z668" s="32"/>
      <c r="AA668" s="3" t="str">
        <f t="shared" si="151"/>
        <v>A</v>
      </c>
      <c r="AB668" s="48"/>
      <c r="AC668" s="48"/>
      <c r="AD668" s="36"/>
      <c r="AE668" s="54"/>
      <c r="AF668" s="3" t="str">
        <f t="shared" si="152"/>
        <v>A</v>
      </c>
      <c r="AG668" s="48"/>
      <c r="AH668" s="48"/>
      <c r="AI668" s="39"/>
      <c r="AJ668" s="79" t="s">
        <v>38</v>
      </c>
      <c r="AK668" s="39"/>
      <c r="AL668" s="4">
        <f t="shared" si="157"/>
        <v>0</v>
      </c>
      <c r="AM668" s="4">
        <f t="shared" si="157"/>
        <v>0</v>
      </c>
      <c r="AN668" s="4">
        <f t="shared" si="153"/>
        <v>0</v>
      </c>
      <c r="AO668" s="39"/>
      <c r="AP668" s="8">
        <f t="shared" si="158"/>
        <v>0</v>
      </c>
      <c r="AQ668" s="8">
        <f t="shared" si="158"/>
        <v>0</v>
      </c>
      <c r="AR668" s="8">
        <f t="shared" si="154"/>
        <v>0</v>
      </c>
      <c r="AS668" s="42"/>
      <c r="AT668" s="48"/>
      <c r="AU668" s="48"/>
      <c r="AV668" s="4">
        <f t="shared" si="155"/>
        <v>0</v>
      </c>
      <c r="AW668" s="50" t="str">
        <f t="shared" si="156"/>
        <v/>
      </c>
      <c r="AX668" s="1" t="s">
        <v>1713</v>
      </c>
      <c r="AY668" s="2" t="s">
        <v>1714</v>
      </c>
      <c r="AZ668" s="2"/>
      <c r="BA668" s="73"/>
      <c r="BB668" s="73"/>
      <c r="BC668" s="73"/>
      <c r="BD668" s="73"/>
      <c r="BE668" s="66">
        <v>0</v>
      </c>
      <c r="BF668" s="66">
        <v>0.05</v>
      </c>
      <c r="BG668" s="63">
        <v>0</v>
      </c>
      <c r="BH668" s="2"/>
      <c r="BI668" s="2"/>
      <c r="BJ668" s="2">
        <v>435000</v>
      </c>
      <c r="BK668" s="2">
        <v>58201</v>
      </c>
      <c r="BL668" s="1" t="s">
        <v>56</v>
      </c>
    </row>
    <row r="669" spans="1:64" x14ac:dyDescent="0.25">
      <c r="A669" s="56" t="s">
        <v>1635</v>
      </c>
      <c r="B669" s="54" t="s">
        <v>1635</v>
      </c>
      <c r="C669" s="56" t="s">
        <v>1636</v>
      </c>
      <c r="D669" s="16">
        <v>54788</v>
      </c>
      <c r="E669" s="17"/>
      <c r="F669" s="2" t="s">
        <v>1637</v>
      </c>
      <c r="G669" s="2" t="s">
        <v>1638</v>
      </c>
      <c r="H669" s="10" t="s">
        <v>98</v>
      </c>
      <c r="I669" s="11" t="s">
        <v>53</v>
      </c>
      <c r="J669" s="11" t="s">
        <v>296</v>
      </c>
      <c r="K669" s="61"/>
      <c r="L669" s="11" t="s">
        <v>67</v>
      </c>
      <c r="M669" s="25"/>
      <c r="N669" s="54"/>
      <c r="O669" s="3" t="str">
        <f t="shared" si="148"/>
        <v>E</v>
      </c>
      <c r="P669" s="48"/>
      <c r="Q669" s="48"/>
      <c r="R669" s="32"/>
      <c r="S669" s="3" t="str">
        <f t="shared" si="149"/>
        <v>E</v>
      </c>
      <c r="T669" s="48"/>
      <c r="U669" s="48"/>
      <c r="V669" s="32"/>
      <c r="W669" s="3" t="str">
        <f t="shared" si="150"/>
        <v>A</v>
      </c>
      <c r="X669" s="48"/>
      <c r="Y669" s="48"/>
      <c r="Z669" s="32"/>
      <c r="AA669" s="3" t="str">
        <f t="shared" si="151"/>
        <v>A</v>
      </c>
      <c r="AB669" s="48"/>
      <c r="AC669" s="48"/>
      <c r="AD669" s="36"/>
      <c r="AE669" s="54"/>
      <c r="AF669" s="3" t="str">
        <f t="shared" si="152"/>
        <v>A</v>
      </c>
      <c r="AG669" s="48"/>
      <c r="AH669" s="48"/>
      <c r="AI669" s="39"/>
      <c r="AJ669" s="79" t="s">
        <v>38</v>
      </c>
      <c r="AK669" s="39"/>
      <c r="AL669" s="4">
        <f t="shared" si="157"/>
        <v>0</v>
      </c>
      <c r="AM669" s="4">
        <f t="shared" si="157"/>
        <v>0</v>
      </c>
      <c r="AN669" s="4">
        <f t="shared" si="153"/>
        <v>0</v>
      </c>
      <c r="AO669" s="39"/>
      <c r="AP669" s="8">
        <f t="shared" si="158"/>
        <v>0</v>
      </c>
      <c r="AQ669" s="8">
        <f t="shared" si="158"/>
        <v>0</v>
      </c>
      <c r="AR669" s="8">
        <f t="shared" si="154"/>
        <v>0</v>
      </c>
      <c r="AS669" s="42"/>
      <c r="AT669" s="48"/>
      <c r="AU669" s="48"/>
      <c r="AV669" s="4">
        <f t="shared" si="155"/>
        <v>0</v>
      </c>
      <c r="AW669" s="50" t="str">
        <f t="shared" si="156"/>
        <v/>
      </c>
      <c r="AX669" s="1" t="s">
        <v>1798</v>
      </c>
      <c r="AY669" s="2" t="s">
        <v>1799</v>
      </c>
      <c r="AZ669" s="2"/>
      <c r="BA669" s="73"/>
      <c r="BB669" s="73"/>
      <c r="BC669" s="73"/>
      <c r="BD669" s="73"/>
      <c r="BE669" s="66">
        <v>0</v>
      </c>
      <c r="BF669" s="66">
        <v>0.05</v>
      </c>
      <c r="BG669" s="63">
        <v>0</v>
      </c>
      <c r="BH669" s="2"/>
      <c r="BI669" s="2"/>
      <c r="BJ669" s="2">
        <v>580950</v>
      </c>
      <c r="BK669" s="2">
        <v>30499.88</v>
      </c>
      <c r="BL669" s="1" t="s">
        <v>97</v>
      </c>
    </row>
    <row r="670" spans="1:64" x14ac:dyDescent="0.25">
      <c r="A670" s="56"/>
      <c r="B670" s="54"/>
      <c r="C670" s="56" t="s">
        <v>1800</v>
      </c>
      <c r="D670" s="16"/>
      <c r="E670" s="17"/>
      <c r="F670" s="2"/>
      <c r="G670" s="2"/>
      <c r="H670" s="10"/>
      <c r="I670" s="11"/>
      <c r="J670" s="11"/>
      <c r="K670" s="61"/>
      <c r="L670" s="11"/>
      <c r="M670" s="25"/>
      <c r="N670" s="54"/>
      <c r="O670" s="3" t="str">
        <f t="shared" si="148"/>
        <v/>
      </c>
      <c r="P670" s="48"/>
      <c r="Q670" s="48"/>
      <c r="R670" s="32"/>
      <c r="S670" s="3" t="str">
        <f t="shared" si="149"/>
        <v/>
      </c>
      <c r="T670" s="48"/>
      <c r="U670" s="48"/>
      <c r="V670" s="32"/>
      <c r="W670" s="3" t="str">
        <f t="shared" si="150"/>
        <v/>
      </c>
      <c r="X670" s="48"/>
      <c r="Y670" s="48"/>
      <c r="Z670" s="32"/>
      <c r="AA670" s="3" t="str">
        <f t="shared" si="151"/>
        <v/>
      </c>
      <c r="AB670" s="48"/>
      <c r="AC670" s="48"/>
      <c r="AD670" s="36"/>
      <c r="AE670" s="54"/>
      <c r="AF670" s="3" t="str">
        <f t="shared" si="152"/>
        <v/>
      </c>
      <c r="AG670" s="48"/>
      <c r="AH670" s="48"/>
      <c r="AI670" s="39"/>
      <c r="AJ670" s="79"/>
      <c r="AK670" s="39"/>
      <c r="AL670" s="4">
        <f>SUM(AL8:AL669)</f>
        <v>230687760.83339283</v>
      </c>
      <c r="AM670" s="4">
        <f>SUM(AM8:AM669)</f>
        <v>35491487.946623005</v>
      </c>
      <c r="AN670" s="4">
        <f t="shared" si="153"/>
        <v>266179248.78001583</v>
      </c>
      <c r="AO670" s="39"/>
      <c r="AP670" s="8">
        <f>SUM(AP8:AP669)</f>
        <v>26924705.410000004</v>
      </c>
      <c r="AQ670" s="8">
        <f>SUM(AQ8:AQ669)</f>
        <v>3384552.4599999995</v>
      </c>
      <c r="AR670" s="8">
        <f t="shared" si="154"/>
        <v>30309257.870000005</v>
      </c>
      <c r="AS670" s="42"/>
      <c r="AT670" s="48">
        <f>SUM(AT8:AT669)</f>
        <v>230687760.83339283</v>
      </c>
      <c r="AU670" s="48">
        <f>SUM(AU8:AU669)</f>
        <v>35491487.946623005</v>
      </c>
      <c r="AV670" s="4">
        <f t="shared" si="155"/>
        <v>266179248.78001583</v>
      </c>
      <c r="AW670" s="50" t="str">
        <f t="shared" si="156"/>
        <v/>
      </c>
      <c r="AX670" s="1"/>
      <c r="AY670" s="2"/>
      <c r="AZ670" s="2"/>
      <c r="BA670" s="73"/>
      <c r="BB670" s="73"/>
      <c r="BC670" s="73"/>
      <c r="BD670" s="73"/>
      <c r="BE670" s="66"/>
      <c r="BF670" s="66"/>
      <c r="BG670" s="63"/>
      <c r="BH670" s="2"/>
      <c r="BI670" s="2"/>
      <c r="BJ670" s="2"/>
      <c r="BK670" s="2"/>
    </row>
    <row r="671" spans="1:64" x14ac:dyDescent="0.25">
      <c r="A671" s="56"/>
      <c r="B671" s="54"/>
      <c r="C671" s="56"/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54"/>
      <c r="O671" s="3" t="str">
        <f t="shared" si="148"/>
        <v/>
      </c>
      <c r="P671" s="48"/>
      <c r="Q671" s="48"/>
      <c r="R671" s="32"/>
      <c r="S671" s="3" t="str">
        <f t="shared" si="149"/>
        <v/>
      </c>
      <c r="T671" s="48"/>
      <c r="U671" s="48"/>
      <c r="V671" s="32"/>
      <c r="W671" s="3" t="str">
        <f t="shared" si="150"/>
        <v/>
      </c>
      <c r="X671" s="48"/>
      <c r="Y671" s="48"/>
      <c r="Z671" s="32"/>
      <c r="AA671" s="3" t="str">
        <f t="shared" si="151"/>
        <v/>
      </c>
      <c r="AB671" s="48"/>
      <c r="AC671" s="48"/>
      <c r="AD671" s="36"/>
      <c r="AE671" s="54"/>
      <c r="AF671" s="3" t="str">
        <f t="shared" si="152"/>
        <v/>
      </c>
      <c r="AG671" s="48"/>
      <c r="AH671" s="48"/>
      <c r="AI671" s="39"/>
      <c r="AJ671" s="79"/>
      <c r="AK671" s="39"/>
      <c r="AL671" s="4">
        <f t="shared" ref="AL671:AM697" si="159">IF($O671="A",P671,0)+IF($S671="A",T671,0)+IF($W671="A",X671,0)+IF($AA671="A",AB671,0)+IF($AF671="A",AG671,0)</f>
        <v>0</v>
      </c>
      <c r="AM671" s="4">
        <f t="shared" si="159"/>
        <v>0</v>
      </c>
      <c r="AN671" s="4">
        <f t="shared" si="153"/>
        <v>0</v>
      </c>
      <c r="AO671" s="39"/>
      <c r="AP671" s="8">
        <f t="shared" ref="AP671:AQ697" si="160">IF($O671="E",P671,0)+IF($S671="E",T671,0)+IF($W671="E",X671,0)+IF($AA671="E",AB671,0)+IF($AF671="E",AG671,0)</f>
        <v>0</v>
      </c>
      <c r="AQ671" s="8">
        <f t="shared" si="160"/>
        <v>0</v>
      </c>
      <c r="AR671" s="8">
        <f t="shared" si="154"/>
        <v>0</v>
      </c>
      <c r="AS671" s="42"/>
      <c r="AT671" s="48"/>
      <c r="AU671" s="48"/>
      <c r="AV671" s="4">
        <f t="shared" si="155"/>
        <v>0</v>
      </c>
      <c r="AW671" s="50" t="str">
        <f t="shared" si="156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56"/>
      <c r="B672" s="54"/>
      <c r="C672" s="56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54"/>
      <c r="O672" s="3" t="str">
        <f t="shared" si="148"/>
        <v/>
      </c>
      <c r="P672" s="48"/>
      <c r="Q672" s="48"/>
      <c r="R672" s="32"/>
      <c r="S672" s="3" t="str">
        <f t="shared" si="149"/>
        <v/>
      </c>
      <c r="T672" s="48"/>
      <c r="U672" s="48"/>
      <c r="V672" s="32"/>
      <c r="W672" s="3" t="str">
        <f t="shared" si="150"/>
        <v/>
      </c>
      <c r="X672" s="48"/>
      <c r="Y672" s="48"/>
      <c r="Z672" s="32"/>
      <c r="AA672" s="3" t="str">
        <f t="shared" si="151"/>
        <v/>
      </c>
      <c r="AB672" s="48"/>
      <c r="AC672" s="48"/>
      <c r="AD672" s="36"/>
      <c r="AE672" s="54"/>
      <c r="AF672" s="3" t="str">
        <f t="shared" si="152"/>
        <v/>
      </c>
      <c r="AG672" s="48"/>
      <c r="AH672" s="48"/>
      <c r="AI672" s="39"/>
      <c r="AJ672" s="79"/>
      <c r="AK672" s="39"/>
      <c r="AL672" s="4">
        <f t="shared" si="159"/>
        <v>0</v>
      </c>
      <c r="AM672" s="4">
        <f t="shared" si="159"/>
        <v>0</v>
      </c>
      <c r="AN672" s="4">
        <f t="shared" si="153"/>
        <v>0</v>
      </c>
      <c r="AO672" s="39"/>
      <c r="AP672" s="8">
        <f t="shared" si="160"/>
        <v>0</v>
      </c>
      <c r="AQ672" s="8">
        <f t="shared" si="160"/>
        <v>0</v>
      </c>
      <c r="AR672" s="8">
        <f t="shared" si="154"/>
        <v>0</v>
      </c>
      <c r="AS672" s="42"/>
      <c r="AT672" s="48"/>
      <c r="AU672" s="48"/>
      <c r="AV672" s="4">
        <f t="shared" si="155"/>
        <v>0</v>
      </c>
      <c r="AW672" s="50" t="str">
        <f t="shared" si="156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56"/>
      <c r="B673" s="54"/>
      <c r="C673" s="56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54"/>
      <c r="O673" s="3" t="str">
        <f t="shared" si="148"/>
        <v/>
      </c>
      <c r="P673" s="48"/>
      <c r="Q673" s="48"/>
      <c r="R673" s="32"/>
      <c r="S673" s="3" t="str">
        <f t="shared" si="149"/>
        <v/>
      </c>
      <c r="T673" s="48"/>
      <c r="U673" s="48"/>
      <c r="V673" s="32"/>
      <c r="W673" s="3" t="str">
        <f t="shared" si="150"/>
        <v/>
      </c>
      <c r="X673" s="48"/>
      <c r="Y673" s="48"/>
      <c r="Z673" s="32"/>
      <c r="AA673" s="3" t="str">
        <f t="shared" si="151"/>
        <v/>
      </c>
      <c r="AB673" s="48"/>
      <c r="AC673" s="48"/>
      <c r="AD673" s="36"/>
      <c r="AE673" s="54"/>
      <c r="AF673" s="3" t="str">
        <f t="shared" si="152"/>
        <v/>
      </c>
      <c r="AG673" s="48"/>
      <c r="AH673" s="48"/>
      <c r="AI673" s="39"/>
      <c r="AJ673" s="79"/>
      <c r="AK673" s="39"/>
      <c r="AL673" s="4">
        <f t="shared" si="159"/>
        <v>0</v>
      </c>
      <c r="AM673" s="4">
        <f t="shared" si="159"/>
        <v>0</v>
      </c>
      <c r="AN673" s="4">
        <f t="shared" si="153"/>
        <v>0</v>
      </c>
      <c r="AO673" s="39"/>
      <c r="AP673" s="8">
        <f t="shared" si="160"/>
        <v>0</v>
      </c>
      <c r="AQ673" s="8">
        <f t="shared" si="160"/>
        <v>0</v>
      </c>
      <c r="AR673" s="8">
        <f t="shared" si="154"/>
        <v>0</v>
      </c>
      <c r="AS673" s="42"/>
      <c r="AT673" s="48"/>
      <c r="AU673" s="48"/>
      <c r="AV673" s="4">
        <f t="shared" si="155"/>
        <v>0</v>
      </c>
      <c r="AW673" s="50" t="str">
        <f t="shared" si="156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56"/>
      <c r="B674" s="54"/>
      <c r="C674" s="56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54"/>
      <c r="O674" s="3" t="str">
        <f t="shared" si="148"/>
        <v/>
      </c>
      <c r="P674" s="48"/>
      <c r="Q674" s="48"/>
      <c r="R674" s="32"/>
      <c r="S674" s="3" t="str">
        <f t="shared" si="149"/>
        <v/>
      </c>
      <c r="T674" s="48"/>
      <c r="U674" s="48"/>
      <c r="V674" s="32"/>
      <c r="W674" s="3" t="str">
        <f t="shared" si="150"/>
        <v/>
      </c>
      <c r="X674" s="48"/>
      <c r="Y674" s="48"/>
      <c r="Z674" s="32"/>
      <c r="AA674" s="3" t="str">
        <f t="shared" si="151"/>
        <v/>
      </c>
      <c r="AB674" s="48"/>
      <c r="AC674" s="48"/>
      <c r="AD674" s="36"/>
      <c r="AE674" s="54"/>
      <c r="AF674" s="3" t="str">
        <f t="shared" si="152"/>
        <v/>
      </c>
      <c r="AG674" s="48"/>
      <c r="AH674" s="48"/>
      <c r="AI674" s="39"/>
      <c r="AJ674" s="79"/>
      <c r="AK674" s="39"/>
      <c r="AL674" s="4">
        <f t="shared" si="159"/>
        <v>0</v>
      </c>
      <c r="AM674" s="4">
        <f t="shared" si="159"/>
        <v>0</v>
      </c>
      <c r="AN674" s="4">
        <f t="shared" si="153"/>
        <v>0</v>
      </c>
      <c r="AO674" s="39"/>
      <c r="AP674" s="8">
        <f t="shared" si="160"/>
        <v>0</v>
      </c>
      <c r="AQ674" s="8">
        <f t="shared" si="160"/>
        <v>0</v>
      </c>
      <c r="AR674" s="8">
        <f t="shared" si="154"/>
        <v>0</v>
      </c>
      <c r="AS674" s="42"/>
      <c r="AT674" s="48"/>
      <c r="AU674" s="48"/>
      <c r="AV674" s="4">
        <f t="shared" si="155"/>
        <v>0</v>
      </c>
      <c r="AW674" s="50" t="str">
        <f t="shared" si="156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56"/>
      <c r="B675" s="54"/>
      <c r="C675" s="56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54"/>
      <c r="O675" s="3" t="str">
        <f t="shared" si="148"/>
        <v/>
      </c>
      <c r="P675" s="48"/>
      <c r="Q675" s="48"/>
      <c r="R675" s="32"/>
      <c r="S675" s="3" t="str">
        <f t="shared" si="149"/>
        <v/>
      </c>
      <c r="T675" s="48"/>
      <c r="U675" s="48"/>
      <c r="V675" s="32"/>
      <c r="W675" s="3" t="str">
        <f t="shared" si="150"/>
        <v/>
      </c>
      <c r="X675" s="48"/>
      <c r="Y675" s="48"/>
      <c r="Z675" s="32"/>
      <c r="AA675" s="3" t="str">
        <f t="shared" si="151"/>
        <v/>
      </c>
      <c r="AB675" s="48"/>
      <c r="AC675" s="48"/>
      <c r="AD675" s="36"/>
      <c r="AE675" s="54"/>
      <c r="AF675" s="3" t="str">
        <f t="shared" si="152"/>
        <v/>
      </c>
      <c r="AG675" s="48"/>
      <c r="AH675" s="48"/>
      <c r="AI675" s="39"/>
      <c r="AJ675" s="79"/>
      <c r="AK675" s="39"/>
      <c r="AL675" s="4">
        <f t="shared" si="159"/>
        <v>0</v>
      </c>
      <c r="AM675" s="4">
        <f t="shared" si="159"/>
        <v>0</v>
      </c>
      <c r="AN675" s="4">
        <f t="shared" si="153"/>
        <v>0</v>
      </c>
      <c r="AO675" s="39"/>
      <c r="AP675" s="8">
        <f t="shared" si="160"/>
        <v>0</v>
      </c>
      <c r="AQ675" s="8">
        <f t="shared" si="160"/>
        <v>0</v>
      </c>
      <c r="AR675" s="8">
        <f t="shared" si="154"/>
        <v>0</v>
      </c>
      <c r="AS675" s="42"/>
      <c r="AT675" s="48"/>
      <c r="AU675" s="48"/>
      <c r="AV675" s="4">
        <f t="shared" si="155"/>
        <v>0</v>
      </c>
      <c r="AW675" s="50" t="str">
        <f t="shared" si="156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56"/>
      <c r="B676" s="54"/>
      <c r="C676" s="56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54"/>
      <c r="O676" s="3" t="str">
        <f t="shared" si="148"/>
        <v/>
      </c>
      <c r="P676" s="48"/>
      <c r="Q676" s="48"/>
      <c r="R676" s="32"/>
      <c r="S676" s="3" t="str">
        <f t="shared" si="149"/>
        <v/>
      </c>
      <c r="T676" s="48"/>
      <c r="U676" s="48"/>
      <c r="V676" s="32"/>
      <c r="W676" s="3" t="str">
        <f t="shared" si="150"/>
        <v/>
      </c>
      <c r="X676" s="48"/>
      <c r="Y676" s="48"/>
      <c r="Z676" s="32"/>
      <c r="AA676" s="3" t="str">
        <f t="shared" si="151"/>
        <v/>
      </c>
      <c r="AB676" s="48"/>
      <c r="AC676" s="48"/>
      <c r="AD676" s="36"/>
      <c r="AE676" s="54"/>
      <c r="AF676" s="3" t="str">
        <f t="shared" si="152"/>
        <v/>
      </c>
      <c r="AG676" s="48"/>
      <c r="AH676" s="48"/>
      <c r="AI676" s="39"/>
      <c r="AJ676" s="79"/>
      <c r="AK676" s="39"/>
      <c r="AL676" s="4">
        <f t="shared" si="159"/>
        <v>0</v>
      </c>
      <c r="AM676" s="4">
        <f t="shared" si="159"/>
        <v>0</v>
      </c>
      <c r="AN676" s="4">
        <f t="shared" si="153"/>
        <v>0</v>
      </c>
      <c r="AO676" s="39"/>
      <c r="AP676" s="8">
        <f t="shared" si="160"/>
        <v>0</v>
      </c>
      <c r="AQ676" s="8">
        <f t="shared" si="160"/>
        <v>0</v>
      </c>
      <c r="AR676" s="8">
        <f t="shared" si="154"/>
        <v>0</v>
      </c>
      <c r="AS676" s="42"/>
      <c r="AT676" s="48"/>
      <c r="AU676" s="48"/>
      <c r="AV676" s="4">
        <f t="shared" si="155"/>
        <v>0</v>
      </c>
      <c r="AW676" s="50" t="str">
        <f t="shared" si="156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56"/>
      <c r="B677" s="54"/>
      <c r="C677" s="56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54"/>
      <c r="O677" s="3" t="str">
        <f t="shared" si="148"/>
        <v/>
      </c>
      <c r="P677" s="48"/>
      <c r="Q677" s="48"/>
      <c r="R677" s="32"/>
      <c r="S677" s="3" t="str">
        <f t="shared" si="149"/>
        <v/>
      </c>
      <c r="T677" s="48"/>
      <c r="U677" s="48"/>
      <c r="V677" s="32"/>
      <c r="W677" s="3" t="str">
        <f t="shared" si="150"/>
        <v/>
      </c>
      <c r="X677" s="48"/>
      <c r="Y677" s="48"/>
      <c r="Z677" s="32"/>
      <c r="AA677" s="3" t="str">
        <f t="shared" si="151"/>
        <v/>
      </c>
      <c r="AB677" s="48"/>
      <c r="AC677" s="48"/>
      <c r="AD677" s="36"/>
      <c r="AE677" s="54"/>
      <c r="AF677" s="3" t="str">
        <f t="shared" si="152"/>
        <v/>
      </c>
      <c r="AG677" s="48"/>
      <c r="AH677" s="48"/>
      <c r="AI677" s="39"/>
      <c r="AJ677" s="79"/>
      <c r="AK677" s="39"/>
      <c r="AL677" s="4">
        <f t="shared" si="159"/>
        <v>0</v>
      </c>
      <c r="AM677" s="4">
        <f t="shared" si="159"/>
        <v>0</v>
      </c>
      <c r="AN677" s="4">
        <f t="shared" si="153"/>
        <v>0</v>
      </c>
      <c r="AO677" s="39"/>
      <c r="AP677" s="8">
        <f t="shared" si="160"/>
        <v>0</v>
      </c>
      <c r="AQ677" s="8">
        <f t="shared" si="160"/>
        <v>0</v>
      </c>
      <c r="AR677" s="8">
        <f t="shared" si="154"/>
        <v>0</v>
      </c>
      <c r="AS677" s="42"/>
      <c r="AT677" s="48"/>
      <c r="AU677" s="48"/>
      <c r="AV677" s="4">
        <f t="shared" si="155"/>
        <v>0</v>
      </c>
      <c r="AW677" s="50" t="str">
        <f t="shared" si="156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56"/>
      <c r="B678" s="54"/>
      <c r="C678" s="56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54"/>
      <c r="O678" s="3" t="str">
        <f t="shared" si="148"/>
        <v/>
      </c>
      <c r="P678" s="48"/>
      <c r="Q678" s="48"/>
      <c r="R678" s="32"/>
      <c r="S678" s="3" t="str">
        <f t="shared" si="149"/>
        <v/>
      </c>
      <c r="T678" s="48"/>
      <c r="U678" s="48"/>
      <c r="V678" s="32"/>
      <c r="W678" s="3" t="str">
        <f t="shared" si="150"/>
        <v/>
      </c>
      <c r="X678" s="48"/>
      <c r="Y678" s="48"/>
      <c r="Z678" s="32"/>
      <c r="AA678" s="3" t="str">
        <f t="shared" si="151"/>
        <v/>
      </c>
      <c r="AB678" s="48"/>
      <c r="AC678" s="48"/>
      <c r="AD678" s="36"/>
      <c r="AE678" s="54"/>
      <c r="AF678" s="3" t="str">
        <f t="shared" si="152"/>
        <v/>
      </c>
      <c r="AG678" s="48"/>
      <c r="AH678" s="48"/>
      <c r="AI678" s="39"/>
      <c r="AJ678" s="79"/>
      <c r="AK678" s="39"/>
      <c r="AL678" s="4">
        <f t="shared" si="159"/>
        <v>0</v>
      </c>
      <c r="AM678" s="4">
        <f t="shared" si="159"/>
        <v>0</v>
      </c>
      <c r="AN678" s="4">
        <f t="shared" si="153"/>
        <v>0</v>
      </c>
      <c r="AO678" s="39"/>
      <c r="AP678" s="8">
        <f t="shared" si="160"/>
        <v>0</v>
      </c>
      <c r="AQ678" s="8">
        <f t="shared" si="160"/>
        <v>0</v>
      </c>
      <c r="AR678" s="8">
        <f t="shared" si="154"/>
        <v>0</v>
      </c>
      <c r="AS678" s="42"/>
      <c r="AT678" s="48"/>
      <c r="AU678" s="48"/>
      <c r="AV678" s="4">
        <f t="shared" si="155"/>
        <v>0</v>
      </c>
      <c r="AW678" s="50" t="str">
        <f t="shared" si="156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56"/>
      <c r="B679" s="54"/>
      <c r="C679" s="56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54"/>
      <c r="O679" s="3" t="str">
        <f t="shared" si="148"/>
        <v/>
      </c>
      <c r="P679" s="48"/>
      <c r="Q679" s="48"/>
      <c r="R679" s="32"/>
      <c r="S679" s="3" t="str">
        <f t="shared" si="149"/>
        <v/>
      </c>
      <c r="T679" s="48"/>
      <c r="U679" s="48"/>
      <c r="V679" s="32"/>
      <c r="W679" s="3" t="str">
        <f t="shared" si="150"/>
        <v/>
      </c>
      <c r="X679" s="48"/>
      <c r="Y679" s="48"/>
      <c r="Z679" s="32"/>
      <c r="AA679" s="3" t="str">
        <f t="shared" si="151"/>
        <v/>
      </c>
      <c r="AB679" s="48"/>
      <c r="AC679" s="48"/>
      <c r="AD679" s="36"/>
      <c r="AE679" s="54"/>
      <c r="AF679" s="3" t="str">
        <f t="shared" si="152"/>
        <v/>
      </c>
      <c r="AG679" s="48"/>
      <c r="AH679" s="48"/>
      <c r="AI679" s="39"/>
      <c r="AJ679" s="79"/>
      <c r="AK679" s="39"/>
      <c r="AL679" s="4">
        <f t="shared" si="159"/>
        <v>0</v>
      </c>
      <c r="AM679" s="4">
        <f t="shared" si="159"/>
        <v>0</v>
      </c>
      <c r="AN679" s="4">
        <f t="shared" si="153"/>
        <v>0</v>
      </c>
      <c r="AO679" s="39"/>
      <c r="AP679" s="8">
        <f t="shared" si="160"/>
        <v>0</v>
      </c>
      <c r="AQ679" s="8">
        <f t="shared" si="160"/>
        <v>0</v>
      </c>
      <c r="AR679" s="8">
        <f t="shared" si="154"/>
        <v>0</v>
      </c>
      <c r="AS679" s="42"/>
      <c r="AT679" s="48"/>
      <c r="AU679" s="48"/>
      <c r="AV679" s="4">
        <f t="shared" si="155"/>
        <v>0</v>
      </c>
      <c r="AW679" s="50" t="str">
        <f t="shared" si="156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56"/>
      <c r="B680" s="54"/>
      <c r="C680" s="56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54"/>
      <c r="O680" s="3" t="str">
        <f t="shared" ref="O680:O743" si="161">IF($A680="","",IF(P680=AZ680,"E","A"))</f>
        <v/>
      </c>
      <c r="P680" s="48"/>
      <c r="Q680" s="48"/>
      <c r="R680" s="32"/>
      <c r="S680" s="3" t="str">
        <f t="shared" si="149"/>
        <v/>
      </c>
      <c r="T680" s="48"/>
      <c r="U680" s="48"/>
      <c r="V680" s="32"/>
      <c r="W680" s="3" t="str">
        <f t="shared" si="150"/>
        <v/>
      </c>
      <c r="X680" s="48"/>
      <c r="Y680" s="48"/>
      <c r="Z680" s="32"/>
      <c r="AA680" s="3" t="str">
        <f t="shared" si="151"/>
        <v/>
      </c>
      <c r="AB680" s="48"/>
      <c r="AC680" s="48"/>
      <c r="AD680" s="36"/>
      <c r="AE680" s="54"/>
      <c r="AF680" s="3" t="str">
        <f t="shared" si="152"/>
        <v/>
      </c>
      <c r="AG680" s="48"/>
      <c r="AH680" s="48"/>
      <c r="AI680" s="39"/>
      <c r="AJ680" s="79"/>
      <c r="AK680" s="39"/>
      <c r="AL680" s="4">
        <f t="shared" si="159"/>
        <v>0</v>
      </c>
      <c r="AM680" s="4">
        <f t="shared" si="159"/>
        <v>0</v>
      </c>
      <c r="AN680" s="4">
        <f t="shared" si="153"/>
        <v>0</v>
      </c>
      <c r="AO680" s="39"/>
      <c r="AP680" s="8">
        <f t="shared" si="160"/>
        <v>0</v>
      </c>
      <c r="AQ680" s="8">
        <f t="shared" si="160"/>
        <v>0</v>
      </c>
      <c r="AR680" s="8">
        <f t="shared" si="154"/>
        <v>0</v>
      </c>
      <c r="AS680" s="42"/>
      <c r="AT680" s="48"/>
      <c r="AU680" s="48"/>
      <c r="AV680" s="4">
        <f t="shared" si="155"/>
        <v>0</v>
      </c>
      <c r="AW680" s="50" t="str">
        <f t="shared" si="156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56"/>
      <c r="B681" s="54"/>
      <c r="C681" s="56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54"/>
      <c r="O681" s="3" t="str">
        <f t="shared" si="161"/>
        <v/>
      </c>
      <c r="P681" s="48"/>
      <c r="Q681" s="48"/>
      <c r="R681" s="32"/>
      <c r="S681" s="3" t="str">
        <f t="shared" si="149"/>
        <v/>
      </c>
      <c r="T681" s="48"/>
      <c r="U681" s="48"/>
      <c r="V681" s="32"/>
      <c r="W681" s="3" t="str">
        <f t="shared" si="150"/>
        <v/>
      </c>
      <c r="X681" s="48"/>
      <c r="Y681" s="48"/>
      <c r="Z681" s="32"/>
      <c r="AA681" s="3" t="str">
        <f t="shared" si="151"/>
        <v/>
      </c>
      <c r="AB681" s="48"/>
      <c r="AC681" s="48"/>
      <c r="AD681" s="36"/>
      <c r="AE681" s="54"/>
      <c r="AF681" s="3" t="str">
        <f t="shared" si="152"/>
        <v/>
      </c>
      <c r="AG681" s="48"/>
      <c r="AH681" s="48"/>
      <c r="AI681" s="39"/>
      <c r="AJ681" s="79"/>
      <c r="AK681" s="39"/>
      <c r="AL681" s="4">
        <f t="shared" si="159"/>
        <v>0</v>
      </c>
      <c r="AM681" s="4">
        <f t="shared" si="159"/>
        <v>0</v>
      </c>
      <c r="AN681" s="4">
        <f t="shared" si="153"/>
        <v>0</v>
      </c>
      <c r="AO681" s="39"/>
      <c r="AP681" s="8">
        <f t="shared" si="160"/>
        <v>0</v>
      </c>
      <c r="AQ681" s="8">
        <f t="shared" si="160"/>
        <v>0</v>
      </c>
      <c r="AR681" s="8">
        <f t="shared" si="154"/>
        <v>0</v>
      </c>
      <c r="AS681" s="42"/>
      <c r="AT681" s="48"/>
      <c r="AU681" s="48"/>
      <c r="AV681" s="4">
        <f t="shared" si="155"/>
        <v>0</v>
      </c>
      <c r="AW681" s="50" t="str">
        <f t="shared" si="156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56"/>
      <c r="B682" s="54"/>
      <c r="C682" s="56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54"/>
      <c r="O682" s="3" t="str">
        <f t="shared" si="161"/>
        <v/>
      </c>
      <c r="P682" s="48"/>
      <c r="Q682" s="48"/>
      <c r="R682" s="32"/>
      <c r="S682" s="3" t="str">
        <f t="shared" si="149"/>
        <v/>
      </c>
      <c r="T682" s="48"/>
      <c r="U682" s="48"/>
      <c r="V682" s="32"/>
      <c r="W682" s="3" t="str">
        <f t="shared" si="150"/>
        <v/>
      </c>
      <c r="X682" s="48"/>
      <c r="Y682" s="48"/>
      <c r="Z682" s="32"/>
      <c r="AA682" s="3" t="str">
        <f t="shared" si="151"/>
        <v/>
      </c>
      <c r="AB682" s="48"/>
      <c r="AC682" s="48"/>
      <c r="AD682" s="36"/>
      <c r="AE682" s="54"/>
      <c r="AF682" s="3" t="str">
        <f t="shared" si="152"/>
        <v/>
      </c>
      <c r="AG682" s="48"/>
      <c r="AH682" s="48"/>
      <c r="AI682" s="39"/>
      <c r="AJ682" s="79"/>
      <c r="AK682" s="39"/>
      <c r="AL682" s="4">
        <f t="shared" si="159"/>
        <v>0</v>
      </c>
      <c r="AM682" s="4">
        <f t="shared" si="159"/>
        <v>0</v>
      </c>
      <c r="AN682" s="4">
        <f t="shared" si="153"/>
        <v>0</v>
      </c>
      <c r="AO682" s="39"/>
      <c r="AP682" s="8">
        <f t="shared" si="160"/>
        <v>0</v>
      </c>
      <c r="AQ682" s="8">
        <f t="shared" si="160"/>
        <v>0</v>
      </c>
      <c r="AR682" s="8">
        <f t="shared" si="154"/>
        <v>0</v>
      </c>
      <c r="AS682" s="42"/>
      <c r="AT682" s="48"/>
      <c r="AU682" s="48"/>
      <c r="AV682" s="4">
        <f t="shared" si="155"/>
        <v>0</v>
      </c>
      <c r="AW682" s="50" t="str">
        <f t="shared" si="156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56"/>
      <c r="B683" s="54"/>
      <c r="C683" s="56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54"/>
      <c r="O683" s="3" t="str">
        <f t="shared" si="161"/>
        <v/>
      </c>
      <c r="P683" s="48"/>
      <c r="Q683" s="48"/>
      <c r="R683" s="32"/>
      <c r="S683" s="3" t="str">
        <f t="shared" ref="S683:S746" si="162">IF($A683="","",IF(T683=BA683,"E","A"))</f>
        <v/>
      </c>
      <c r="T683" s="48"/>
      <c r="U683" s="48"/>
      <c r="V683" s="32"/>
      <c r="W683" s="3" t="str">
        <f t="shared" si="150"/>
        <v/>
      </c>
      <c r="X683" s="48"/>
      <c r="Y683" s="48"/>
      <c r="Z683" s="32"/>
      <c r="AA683" s="3" t="str">
        <f t="shared" si="151"/>
        <v/>
      </c>
      <c r="AB683" s="48"/>
      <c r="AC683" s="48"/>
      <c r="AD683" s="36"/>
      <c r="AE683" s="54"/>
      <c r="AF683" s="3" t="str">
        <f t="shared" si="152"/>
        <v/>
      </c>
      <c r="AG683" s="48"/>
      <c r="AH683" s="48"/>
      <c r="AI683" s="39"/>
      <c r="AJ683" s="79"/>
      <c r="AK683" s="39"/>
      <c r="AL683" s="4">
        <f t="shared" si="159"/>
        <v>0</v>
      </c>
      <c r="AM683" s="4">
        <f t="shared" si="159"/>
        <v>0</v>
      </c>
      <c r="AN683" s="4">
        <f t="shared" si="153"/>
        <v>0</v>
      </c>
      <c r="AO683" s="39"/>
      <c r="AP683" s="8">
        <f t="shared" si="160"/>
        <v>0</v>
      </c>
      <c r="AQ683" s="8">
        <f t="shared" si="160"/>
        <v>0</v>
      </c>
      <c r="AR683" s="8">
        <f t="shared" si="154"/>
        <v>0</v>
      </c>
      <c r="AS683" s="42"/>
      <c r="AT683" s="48"/>
      <c r="AU683" s="48"/>
      <c r="AV683" s="4">
        <f t="shared" si="155"/>
        <v>0</v>
      </c>
      <c r="AW683" s="50" t="str">
        <f t="shared" si="156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56"/>
      <c r="B684" s="54"/>
      <c r="C684" s="56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54"/>
      <c r="O684" s="3" t="str">
        <f t="shared" si="161"/>
        <v/>
      </c>
      <c r="P684" s="48"/>
      <c r="Q684" s="48"/>
      <c r="R684" s="32"/>
      <c r="S684" s="3" t="str">
        <f t="shared" si="162"/>
        <v/>
      </c>
      <c r="T684" s="48"/>
      <c r="U684" s="48"/>
      <c r="V684" s="32"/>
      <c r="W684" s="3" t="str">
        <f t="shared" si="150"/>
        <v/>
      </c>
      <c r="X684" s="48"/>
      <c r="Y684" s="48"/>
      <c r="Z684" s="32"/>
      <c r="AA684" s="3" t="str">
        <f t="shared" si="151"/>
        <v/>
      </c>
      <c r="AB684" s="48"/>
      <c r="AC684" s="48"/>
      <c r="AD684" s="36"/>
      <c r="AE684" s="54"/>
      <c r="AF684" s="3" t="str">
        <f t="shared" si="152"/>
        <v/>
      </c>
      <c r="AG684" s="48"/>
      <c r="AH684" s="48"/>
      <c r="AI684" s="39"/>
      <c r="AJ684" s="79"/>
      <c r="AK684" s="39"/>
      <c r="AL684" s="4">
        <f t="shared" si="159"/>
        <v>0</v>
      </c>
      <c r="AM684" s="4">
        <f t="shared" si="159"/>
        <v>0</v>
      </c>
      <c r="AN684" s="4">
        <f t="shared" si="153"/>
        <v>0</v>
      </c>
      <c r="AO684" s="39"/>
      <c r="AP684" s="8">
        <f t="shared" si="160"/>
        <v>0</v>
      </c>
      <c r="AQ684" s="8">
        <f t="shared" si="160"/>
        <v>0</v>
      </c>
      <c r="AR684" s="8">
        <f t="shared" si="154"/>
        <v>0</v>
      </c>
      <c r="AS684" s="42"/>
      <c r="AT684" s="48"/>
      <c r="AU684" s="48"/>
      <c r="AV684" s="4">
        <f t="shared" si="155"/>
        <v>0</v>
      </c>
      <c r="AW684" s="50" t="str">
        <f t="shared" si="156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56"/>
      <c r="B685" s="54"/>
      <c r="C685" s="56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54"/>
      <c r="O685" s="3" t="str">
        <f t="shared" si="161"/>
        <v/>
      </c>
      <c r="P685" s="48"/>
      <c r="Q685" s="48"/>
      <c r="R685" s="32"/>
      <c r="S685" s="3" t="str">
        <f t="shared" si="162"/>
        <v/>
      </c>
      <c r="T685" s="48"/>
      <c r="U685" s="48"/>
      <c r="V685" s="32"/>
      <c r="W685" s="3" t="str">
        <f t="shared" si="150"/>
        <v/>
      </c>
      <c r="X685" s="48"/>
      <c r="Y685" s="48"/>
      <c r="Z685" s="32"/>
      <c r="AA685" s="3" t="str">
        <f t="shared" si="151"/>
        <v/>
      </c>
      <c r="AB685" s="48"/>
      <c r="AC685" s="48"/>
      <c r="AD685" s="36"/>
      <c r="AE685" s="54"/>
      <c r="AF685" s="3" t="str">
        <f t="shared" si="152"/>
        <v/>
      </c>
      <c r="AG685" s="48"/>
      <c r="AH685" s="48"/>
      <c r="AI685" s="39"/>
      <c r="AJ685" s="79"/>
      <c r="AK685" s="39"/>
      <c r="AL685" s="4">
        <f t="shared" si="159"/>
        <v>0</v>
      </c>
      <c r="AM685" s="4">
        <f t="shared" si="159"/>
        <v>0</v>
      </c>
      <c r="AN685" s="4">
        <f t="shared" si="153"/>
        <v>0</v>
      </c>
      <c r="AO685" s="39"/>
      <c r="AP685" s="8">
        <f t="shared" si="160"/>
        <v>0</v>
      </c>
      <c r="AQ685" s="8">
        <f t="shared" si="160"/>
        <v>0</v>
      </c>
      <c r="AR685" s="8">
        <f t="shared" si="154"/>
        <v>0</v>
      </c>
      <c r="AS685" s="42"/>
      <c r="AT685" s="48"/>
      <c r="AU685" s="48"/>
      <c r="AV685" s="4">
        <f t="shared" si="155"/>
        <v>0</v>
      </c>
      <c r="AW685" s="50" t="str">
        <f t="shared" si="156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56"/>
      <c r="B686" s="54"/>
      <c r="C686" s="56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54"/>
      <c r="O686" s="3" t="str">
        <f t="shared" si="161"/>
        <v/>
      </c>
      <c r="P686" s="48"/>
      <c r="Q686" s="48"/>
      <c r="R686" s="32"/>
      <c r="S686" s="3" t="str">
        <f t="shared" si="162"/>
        <v/>
      </c>
      <c r="T686" s="48"/>
      <c r="U686" s="48"/>
      <c r="V686" s="32"/>
      <c r="W686" s="3" t="str">
        <f t="shared" si="150"/>
        <v/>
      </c>
      <c r="X686" s="48"/>
      <c r="Y686" s="48"/>
      <c r="Z686" s="32"/>
      <c r="AA686" s="3" t="str">
        <f t="shared" si="151"/>
        <v/>
      </c>
      <c r="AB686" s="48"/>
      <c r="AC686" s="48"/>
      <c r="AD686" s="36"/>
      <c r="AE686" s="54"/>
      <c r="AF686" s="3" t="str">
        <f t="shared" si="152"/>
        <v/>
      </c>
      <c r="AG686" s="48"/>
      <c r="AH686" s="48"/>
      <c r="AI686" s="39"/>
      <c r="AJ686" s="79"/>
      <c r="AK686" s="39"/>
      <c r="AL686" s="4">
        <f t="shared" si="159"/>
        <v>0</v>
      </c>
      <c r="AM686" s="4">
        <f t="shared" si="159"/>
        <v>0</v>
      </c>
      <c r="AN686" s="4">
        <f t="shared" si="153"/>
        <v>0</v>
      </c>
      <c r="AO686" s="39"/>
      <c r="AP686" s="8">
        <f t="shared" si="160"/>
        <v>0</v>
      </c>
      <c r="AQ686" s="8">
        <f t="shared" si="160"/>
        <v>0</v>
      </c>
      <c r="AR686" s="8">
        <f t="shared" si="154"/>
        <v>0</v>
      </c>
      <c r="AS686" s="42"/>
      <c r="AT686" s="48"/>
      <c r="AU686" s="48"/>
      <c r="AV686" s="4">
        <f t="shared" si="155"/>
        <v>0</v>
      </c>
      <c r="AW686" s="50" t="str">
        <f t="shared" si="156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56"/>
      <c r="B687" s="54"/>
      <c r="C687" s="56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54"/>
      <c r="O687" s="3" t="str">
        <f t="shared" si="161"/>
        <v/>
      </c>
      <c r="P687" s="48"/>
      <c r="Q687" s="48"/>
      <c r="R687" s="32"/>
      <c r="S687" s="3" t="str">
        <f t="shared" si="162"/>
        <v/>
      </c>
      <c r="T687" s="48"/>
      <c r="U687" s="48"/>
      <c r="V687" s="32"/>
      <c r="W687" s="3" t="str">
        <f t="shared" si="150"/>
        <v/>
      </c>
      <c r="X687" s="48"/>
      <c r="Y687" s="48"/>
      <c r="Z687" s="32"/>
      <c r="AA687" s="3" t="str">
        <f t="shared" si="151"/>
        <v/>
      </c>
      <c r="AB687" s="48"/>
      <c r="AC687" s="48"/>
      <c r="AD687" s="36"/>
      <c r="AE687" s="54"/>
      <c r="AF687" s="3" t="str">
        <f t="shared" si="152"/>
        <v/>
      </c>
      <c r="AG687" s="48"/>
      <c r="AH687" s="48"/>
      <c r="AI687" s="39"/>
      <c r="AJ687" s="79"/>
      <c r="AK687" s="39"/>
      <c r="AL687" s="4">
        <f t="shared" si="159"/>
        <v>0</v>
      </c>
      <c r="AM687" s="4">
        <f t="shared" si="159"/>
        <v>0</v>
      </c>
      <c r="AN687" s="4">
        <f t="shared" si="153"/>
        <v>0</v>
      </c>
      <c r="AO687" s="39"/>
      <c r="AP687" s="8">
        <f t="shared" si="160"/>
        <v>0</v>
      </c>
      <c r="AQ687" s="8">
        <f t="shared" si="160"/>
        <v>0</v>
      </c>
      <c r="AR687" s="8">
        <f t="shared" si="154"/>
        <v>0</v>
      </c>
      <c r="AS687" s="42"/>
      <c r="AT687" s="48"/>
      <c r="AU687" s="48"/>
      <c r="AV687" s="4">
        <f t="shared" si="155"/>
        <v>0</v>
      </c>
      <c r="AW687" s="50" t="str">
        <f t="shared" si="156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56"/>
      <c r="B688" s="54"/>
      <c r="C688" s="56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54"/>
      <c r="O688" s="3" t="str">
        <f t="shared" si="161"/>
        <v/>
      </c>
      <c r="P688" s="48"/>
      <c r="Q688" s="48"/>
      <c r="R688" s="32"/>
      <c r="S688" s="3" t="str">
        <f t="shared" si="162"/>
        <v/>
      </c>
      <c r="T688" s="48"/>
      <c r="U688" s="48"/>
      <c r="V688" s="32"/>
      <c r="W688" s="3" t="str">
        <f t="shared" si="150"/>
        <v/>
      </c>
      <c r="X688" s="48"/>
      <c r="Y688" s="48"/>
      <c r="Z688" s="32"/>
      <c r="AA688" s="3" t="str">
        <f t="shared" si="151"/>
        <v/>
      </c>
      <c r="AB688" s="48"/>
      <c r="AC688" s="48"/>
      <c r="AD688" s="36"/>
      <c r="AE688" s="54"/>
      <c r="AF688" s="3" t="str">
        <f t="shared" si="152"/>
        <v/>
      </c>
      <c r="AG688" s="48"/>
      <c r="AH688" s="48"/>
      <c r="AI688" s="39"/>
      <c r="AJ688" s="79"/>
      <c r="AK688" s="39"/>
      <c r="AL688" s="4">
        <f t="shared" si="159"/>
        <v>0</v>
      </c>
      <c r="AM688" s="4">
        <f t="shared" si="159"/>
        <v>0</v>
      </c>
      <c r="AN688" s="4">
        <f t="shared" si="153"/>
        <v>0</v>
      </c>
      <c r="AO688" s="39"/>
      <c r="AP688" s="8">
        <f t="shared" si="160"/>
        <v>0</v>
      </c>
      <c r="AQ688" s="8">
        <f t="shared" si="160"/>
        <v>0</v>
      </c>
      <c r="AR688" s="8">
        <f t="shared" si="154"/>
        <v>0</v>
      </c>
      <c r="AS688" s="42"/>
      <c r="AT688" s="48"/>
      <c r="AU688" s="48"/>
      <c r="AV688" s="4">
        <f t="shared" si="155"/>
        <v>0</v>
      </c>
      <c r="AW688" s="50" t="str">
        <f t="shared" si="156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56"/>
      <c r="B689" s="54"/>
      <c r="C689" s="56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54"/>
      <c r="O689" s="3" t="str">
        <f t="shared" si="161"/>
        <v/>
      </c>
      <c r="P689" s="48"/>
      <c r="Q689" s="48"/>
      <c r="R689" s="32"/>
      <c r="S689" s="3" t="str">
        <f t="shared" si="162"/>
        <v/>
      </c>
      <c r="T689" s="48"/>
      <c r="U689" s="48"/>
      <c r="V689" s="32"/>
      <c r="W689" s="3" t="str">
        <f t="shared" si="150"/>
        <v/>
      </c>
      <c r="X689" s="48"/>
      <c r="Y689" s="48"/>
      <c r="Z689" s="32"/>
      <c r="AA689" s="3" t="str">
        <f t="shared" si="151"/>
        <v/>
      </c>
      <c r="AB689" s="48"/>
      <c r="AC689" s="48"/>
      <c r="AD689" s="36"/>
      <c r="AE689" s="54"/>
      <c r="AF689" s="3" t="str">
        <f t="shared" si="152"/>
        <v/>
      </c>
      <c r="AG689" s="48"/>
      <c r="AH689" s="48"/>
      <c r="AI689" s="39"/>
      <c r="AJ689" s="79"/>
      <c r="AK689" s="39"/>
      <c r="AL689" s="4">
        <f t="shared" si="159"/>
        <v>0</v>
      </c>
      <c r="AM689" s="4">
        <f t="shared" si="159"/>
        <v>0</v>
      </c>
      <c r="AN689" s="4">
        <f t="shared" si="153"/>
        <v>0</v>
      </c>
      <c r="AO689" s="39"/>
      <c r="AP689" s="8">
        <f t="shared" si="160"/>
        <v>0</v>
      </c>
      <c r="AQ689" s="8">
        <f t="shared" si="160"/>
        <v>0</v>
      </c>
      <c r="AR689" s="8">
        <f t="shared" si="154"/>
        <v>0</v>
      </c>
      <c r="AS689" s="42"/>
      <c r="AT689" s="48"/>
      <c r="AU689" s="48"/>
      <c r="AV689" s="4">
        <f t="shared" si="155"/>
        <v>0</v>
      </c>
      <c r="AW689" s="50" t="str">
        <f t="shared" si="156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56"/>
      <c r="B690" s="54"/>
      <c r="C690" s="56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54"/>
      <c r="O690" s="3" t="str">
        <f t="shared" si="161"/>
        <v/>
      </c>
      <c r="P690" s="48"/>
      <c r="Q690" s="48"/>
      <c r="R690" s="32"/>
      <c r="S690" s="3" t="str">
        <f t="shared" si="162"/>
        <v/>
      </c>
      <c r="T690" s="48"/>
      <c r="U690" s="48"/>
      <c r="V690" s="32"/>
      <c r="W690" s="3" t="str">
        <f t="shared" si="150"/>
        <v/>
      </c>
      <c r="X690" s="48"/>
      <c r="Y690" s="48"/>
      <c r="Z690" s="32"/>
      <c r="AA690" s="3" t="str">
        <f t="shared" si="151"/>
        <v/>
      </c>
      <c r="AB690" s="48"/>
      <c r="AC690" s="48"/>
      <c r="AD690" s="36"/>
      <c r="AE690" s="54"/>
      <c r="AF690" s="3" t="str">
        <f t="shared" si="152"/>
        <v/>
      </c>
      <c r="AG690" s="48"/>
      <c r="AH690" s="48"/>
      <c r="AI690" s="39"/>
      <c r="AJ690" s="79"/>
      <c r="AK690" s="39"/>
      <c r="AL690" s="4">
        <f t="shared" si="159"/>
        <v>0</v>
      </c>
      <c r="AM690" s="4">
        <f t="shared" si="159"/>
        <v>0</v>
      </c>
      <c r="AN690" s="4">
        <f t="shared" si="153"/>
        <v>0</v>
      </c>
      <c r="AO690" s="39"/>
      <c r="AP690" s="8">
        <f t="shared" si="160"/>
        <v>0</v>
      </c>
      <c r="AQ690" s="8">
        <f t="shared" si="160"/>
        <v>0</v>
      </c>
      <c r="AR690" s="8">
        <f t="shared" si="154"/>
        <v>0</v>
      </c>
      <c r="AS690" s="42"/>
      <c r="AT690" s="48"/>
      <c r="AU690" s="48"/>
      <c r="AV690" s="4">
        <f t="shared" si="155"/>
        <v>0</v>
      </c>
      <c r="AW690" s="50" t="str">
        <f t="shared" si="156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56"/>
      <c r="B691" s="54"/>
      <c r="C691" s="56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54"/>
      <c r="O691" s="3" t="str">
        <f t="shared" si="161"/>
        <v/>
      </c>
      <c r="P691" s="48"/>
      <c r="Q691" s="48"/>
      <c r="R691" s="32"/>
      <c r="S691" s="3" t="str">
        <f t="shared" si="162"/>
        <v/>
      </c>
      <c r="T691" s="48"/>
      <c r="U691" s="48"/>
      <c r="V691" s="32"/>
      <c r="W691" s="3" t="str">
        <f t="shared" si="150"/>
        <v/>
      </c>
      <c r="X691" s="48"/>
      <c r="Y691" s="48"/>
      <c r="Z691" s="32"/>
      <c r="AA691" s="3" t="str">
        <f t="shared" si="151"/>
        <v/>
      </c>
      <c r="AB691" s="48"/>
      <c r="AC691" s="48"/>
      <c r="AD691" s="36"/>
      <c r="AE691" s="54"/>
      <c r="AF691" s="3" t="str">
        <f t="shared" si="152"/>
        <v/>
      </c>
      <c r="AG691" s="48"/>
      <c r="AH691" s="48"/>
      <c r="AI691" s="39"/>
      <c r="AJ691" s="79"/>
      <c r="AK691" s="39"/>
      <c r="AL691" s="4">
        <f t="shared" si="159"/>
        <v>0</v>
      </c>
      <c r="AM691" s="4">
        <f t="shared" si="159"/>
        <v>0</v>
      </c>
      <c r="AN691" s="4">
        <f t="shared" si="153"/>
        <v>0</v>
      </c>
      <c r="AO691" s="39"/>
      <c r="AP691" s="8">
        <f t="shared" si="160"/>
        <v>0</v>
      </c>
      <c r="AQ691" s="8">
        <f t="shared" si="160"/>
        <v>0</v>
      </c>
      <c r="AR691" s="8">
        <f t="shared" si="154"/>
        <v>0</v>
      </c>
      <c r="AS691" s="42"/>
      <c r="AT691" s="48"/>
      <c r="AU691" s="48"/>
      <c r="AV691" s="4">
        <f t="shared" si="155"/>
        <v>0</v>
      </c>
      <c r="AW691" s="50" t="str">
        <f t="shared" si="156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56"/>
      <c r="B692" s="54"/>
      <c r="C692" s="56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54"/>
      <c r="O692" s="3" t="str">
        <f t="shared" si="161"/>
        <v/>
      </c>
      <c r="P692" s="48"/>
      <c r="Q692" s="48"/>
      <c r="R692" s="32"/>
      <c r="S692" s="3" t="str">
        <f t="shared" si="162"/>
        <v/>
      </c>
      <c r="T692" s="48"/>
      <c r="U692" s="48"/>
      <c r="V692" s="32"/>
      <c r="W692" s="3" t="str">
        <f t="shared" si="150"/>
        <v/>
      </c>
      <c r="X692" s="48"/>
      <c r="Y692" s="48"/>
      <c r="Z692" s="32"/>
      <c r="AA692" s="3" t="str">
        <f t="shared" si="151"/>
        <v/>
      </c>
      <c r="AB692" s="48"/>
      <c r="AC692" s="48"/>
      <c r="AD692" s="36"/>
      <c r="AE692" s="54"/>
      <c r="AF692" s="3" t="str">
        <f t="shared" si="152"/>
        <v/>
      </c>
      <c r="AG692" s="48"/>
      <c r="AH692" s="48"/>
      <c r="AI692" s="39"/>
      <c r="AJ692" s="79"/>
      <c r="AK692" s="39"/>
      <c r="AL692" s="4">
        <f t="shared" si="159"/>
        <v>0</v>
      </c>
      <c r="AM692" s="4">
        <f t="shared" si="159"/>
        <v>0</v>
      </c>
      <c r="AN692" s="4">
        <f t="shared" si="153"/>
        <v>0</v>
      </c>
      <c r="AO692" s="39"/>
      <c r="AP692" s="8">
        <f t="shared" si="160"/>
        <v>0</v>
      </c>
      <c r="AQ692" s="8">
        <f t="shared" si="160"/>
        <v>0</v>
      </c>
      <c r="AR692" s="8">
        <f t="shared" si="154"/>
        <v>0</v>
      </c>
      <c r="AS692" s="42"/>
      <c r="AT692" s="48"/>
      <c r="AU692" s="48"/>
      <c r="AV692" s="4">
        <f t="shared" si="155"/>
        <v>0</v>
      </c>
      <c r="AW692" s="50" t="str">
        <f t="shared" si="156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56"/>
      <c r="B693" s="54"/>
      <c r="C693" s="56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54"/>
      <c r="O693" s="3" t="str">
        <f t="shared" si="161"/>
        <v/>
      </c>
      <c r="P693" s="48"/>
      <c r="Q693" s="48"/>
      <c r="R693" s="32"/>
      <c r="S693" s="3" t="str">
        <f t="shared" si="162"/>
        <v/>
      </c>
      <c r="T693" s="48"/>
      <c r="U693" s="48"/>
      <c r="V693" s="32"/>
      <c r="W693" s="3" t="str">
        <f t="shared" si="150"/>
        <v/>
      </c>
      <c r="X693" s="48"/>
      <c r="Y693" s="48"/>
      <c r="Z693" s="32"/>
      <c r="AA693" s="3" t="str">
        <f t="shared" si="151"/>
        <v/>
      </c>
      <c r="AB693" s="48"/>
      <c r="AC693" s="48"/>
      <c r="AD693" s="36"/>
      <c r="AE693" s="54"/>
      <c r="AF693" s="3" t="str">
        <f t="shared" si="152"/>
        <v/>
      </c>
      <c r="AG693" s="48"/>
      <c r="AH693" s="48"/>
      <c r="AI693" s="39"/>
      <c r="AJ693" s="79"/>
      <c r="AK693" s="39"/>
      <c r="AL693" s="4">
        <f t="shared" si="159"/>
        <v>0</v>
      </c>
      <c r="AM693" s="4">
        <f t="shared" si="159"/>
        <v>0</v>
      </c>
      <c r="AN693" s="4">
        <f t="shared" si="153"/>
        <v>0</v>
      </c>
      <c r="AO693" s="39"/>
      <c r="AP693" s="8">
        <f t="shared" si="160"/>
        <v>0</v>
      </c>
      <c r="AQ693" s="8">
        <f t="shared" si="160"/>
        <v>0</v>
      </c>
      <c r="AR693" s="8">
        <f t="shared" si="154"/>
        <v>0</v>
      </c>
      <c r="AS693" s="42"/>
      <c r="AT693" s="48"/>
      <c r="AU693" s="48"/>
      <c r="AV693" s="4">
        <f t="shared" si="155"/>
        <v>0</v>
      </c>
      <c r="AW693" s="50" t="str">
        <f t="shared" si="156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56"/>
      <c r="B694" s="54"/>
      <c r="C694" s="56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54"/>
      <c r="O694" s="3" t="str">
        <f t="shared" si="161"/>
        <v/>
      </c>
      <c r="P694" s="48"/>
      <c r="Q694" s="48"/>
      <c r="R694" s="32"/>
      <c r="S694" s="3" t="str">
        <f t="shared" si="162"/>
        <v/>
      </c>
      <c r="T694" s="48"/>
      <c r="U694" s="48"/>
      <c r="V694" s="32"/>
      <c r="W694" s="3" t="str">
        <f t="shared" si="150"/>
        <v/>
      </c>
      <c r="X694" s="48"/>
      <c r="Y694" s="48"/>
      <c r="Z694" s="32"/>
      <c r="AA694" s="3" t="str">
        <f t="shared" si="151"/>
        <v/>
      </c>
      <c r="AB694" s="48"/>
      <c r="AC694" s="48"/>
      <c r="AD694" s="36"/>
      <c r="AE694" s="54"/>
      <c r="AF694" s="3" t="str">
        <f t="shared" si="152"/>
        <v/>
      </c>
      <c r="AG694" s="48"/>
      <c r="AH694" s="48"/>
      <c r="AI694" s="39"/>
      <c r="AJ694" s="79"/>
      <c r="AK694" s="39"/>
      <c r="AL694" s="4">
        <f t="shared" si="159"/>
        <v>0</v>
      </c>
      <c r="AM694" s="4">
        <f t="shared" si="159"/>
        <v>0</v>
      </c>
      <c r="AN694" s="4">
        <f t="shared" si="153"/>
        <v>0</v>
      </c>
      <c r="AO694" s="39"/>
      <c r="AP694" s="8">
        <f t="shared" si="160"/>
        <v>0</v>
      </c>
      <c r="AQ694" s="8">
        <f t="shared" si="160"/>
        <v>0</v>
      </c>
      <c r="AR694" s="8">
        <f t="shared" si="154"/>
        <v>0</v>
      </c>
      <c r="AS694" s="42"/>
      <c r="AT694" s="48"/>
      <c r="AU694" s="48"/>
      <c r="AV694" s="4">
        <f t="shared" si="155"/>
        <v>0</v>
      </c>
      <c r="AW694" s="50" t="str">
        <f t="shared" si="156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56"/>
      <c r="B695" s="54"/>
      <c r="C695" s="56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54"/>
      <c r="O695" s="3" t="str">
        <f t="shared" si="161"/>
        <v/>
      </c>
      <c r="P695" s="48"/>
      <c r="Q695" s="48"/>
      <c r="R695" s="32"/>
      <c r="S695" s="3" t="str">
        <f t="shared" si="162"/>
        <v/>
      </c>
      <c r="T695" s="48"/>
      <c r="U695" s="48"/>
      <c r="V695" s="32"/>
      <c r="W695" s="3" t="str">
        <f t="shared" si="150"/>
        <v/>
      </c>
      <c r="X695" s="48"/>
      <c r="Y695" s="48"/>
      <c r="Z695" s="32"/>
      <c r="AA695" s="3" t="str">
        <f t="shared" si="151"/>
        <v/>
      </c>
      <c r="AB695" s="48"/>
      <c r="AC695" s="48"/>
      <c r="AD695" s="36"/>
      <c r="AE695" s="54"/>
      <c r="AF695" s="3" t="str">
        <f t="shared" si="152"/>
        <v/>
      </c>
      <c r="AG695" s="48"/>
      <c r="AH695" s="48"/>
      <c r="AI695" s="39"/>
      <c r="AJ695" s="79"/>
      <c r="AK695" s="39"/>
      <c r="AL695" s="4">
        <f t="shared" si="159"/>
        <v>0</v>
      </c>
      <c r="AM695" s="4">
        <f t="shared" si="159"/>
        <v>0</v>
      </c>
      <c r="AN695" s="4">
        <f t="shared" si="153"/>
        <v>0</v>
      </c>
      <c r="AO695" s="39"/>
      <c r="AP695" s="8">
        <f t="shared" si="160"/>
        <v>0</v>
      </c>
      <c r="AQ695" s="8">
        <f t="shared" si="160"/>
        <v>0</v>
      </c>
      <c r="AR695" s="8">
        <f t="shared" si="154"/>
        <v>0</v>
      </c>
      <c r="AS695" s="42"/>
      <c r="AT695" s="48"/>
      <c r="AU695" s="48"/>
      <c r="AV695" s="4">
        <f t="shared" si="155"/>
        <v>0</v>
      </c>
      <c r="AW695" s="50" t="str">
        <f t="shared" si="156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56"/>
      <c r="B696" s="54"/>
      <c r="C696" s="56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54"/>
      <c r="O696" s="3" t="str">
        <f t="shared" si="161"/>
        <v/>
      </c>
      <c r="P696" s="48"/>
      <c r="Q696" s="48"/>
      <c r="R696" s="32"/>
      <c r="S696" s="3" t="str">
        <f t="shared" si="162"/>
        <v/>
      </c>
      <c r="T696" s="48"/>
      <c r="U696" s="48"/>
      <c r="V696" s="32"/>
      <c r="W696" s="3" t="str">
        <f t="shared" si="150"/>
        <v/>
      </c>
      <c r="X696" s="48"/>
      <c r="Y696" s="48"/>
      <c r="Z696" s="32"/>
      <c r="AA696" s="3" t="str">
        <f t="shared" si="151"/>
        <v/>
      </c>
      <c r="AB696" s="48"/>
      <c r="AC696" s="48"/>
      <c r="AD696" s="36"/>
      <c r="AE696" s="54"/>
      <c r="AF696" s="3" t="str">
        <f t="shared" si="152"/>
        <v/>
      </c>
      <c r="AG696" s="48"/>
      <c r="AH696" s="48"/>
      <c r="AI696" s="39"/>
      <c r="AJ696" s="79"/>
      <c r="AK696" s="39"/>
      <c r="AL696" s="4">
        <f t="shared" si="159"/>
        <v>0</v>
      </c>
      <c r="AM696" s="4">
        <f t="shared" si="159"/>
        <v>0</v>
      </c>
      <c r="AN696" s="4">
        <f t="shared" si="153"/>
        <v>0</v>
      </c>
      <c r="AO696" s="39"/>
      <c r="AP696" s="8">
        <f t="shared" si="160"/>
        <v>0</v>
      </c>
      <c r="AQ696" s="8">
        <f t="shared" si="160"/>
        <v>0</v>
      </c>
      <c r="AR696" s="8">
        <f t="shared" si="154"/>
        <v>0</v>
      </c>
      <c r="AS696" s="42"/>
      <c r="AT696" s="48"/>
      <c r="AU696" s="48"/>
      <c r="AV696" s="4">
        <f t="shared" si="155"/>
        <v>0</v>
      </c>
      <c r="AW696" s="50" t="str">
        <f t="shared" si="156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56"/>
      <c r="B697" s="54"/>
      <c r="C697" s="56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54"/>
      <c r="O697" s="3" t="str">
        <f t="shared" si="161"/>
        <v/>
      </c>
      <c r="P697" s="48"/>
      <c r="Q697" s="48"/>
      <c r="R697" s="32"/>
      <c r="S697" s="3" t="str">
        <f t="shared" si="162"/>
        <v/>
      </c>
      <c r="T697" s="48"/>
      <c r="U697" s="48"/>
      <c r="V697" s="32"/>
      <c r="W697" s="3" t="str">
        <f t="shared" si="150"/>
        <v/>
      </c>
      <c r="X697" s="48"/>
      <c r="Y697" s="48"/>
      <c r="Z697" s="32"/>
      <c r="AA697" s="3" t="str">
        <f t="shared" si="151"/>
        <v/>
      </c>
      <c r="AB697" s="48"/>
      <c r="AC697" s="48"/>
      <c r="AD697" s="36"/>
      <c r="AE697" s="54"/>
      <c r="AF697" s="3" t="str">
        <f t="shared" si="152"/>
        <v/>
      </c>
      <c r="AG697" s="48"/>
      <c r="AH697" s="48"/>
      <c r="AI697" s="39"/>
      <c r="AJ697" s="79"/>
      <c r="AK697" s="39"/>
      <c r="AL697" s="4">
        <f t="shared" si="159"/>
        <v>0</v>
      </c>
      <c r="AM697" s="4">
        <f t="shared" si="159"/>
        <v>0</v>
      </c>
      <c r="AN697" s="4">
        <f t="shared" si="153"/>
        <v>0</v>
      </c>
      <c r="AO697" s="39"/>
      <c r="AP697" s="8">
        <f t="shared" si="160"/>
        <v>0</v>
      </c>
      <c r="AQ697" s="8">
        <f t="shared" si="160"/>
        <v>0</v>
      </c>
      <c r="AR697" s="8">
        <f t="shared" si="154"/>
        <v>0</v>
      </c>
      <c r="AS697" s="42"/>
      <c r="AT697" s="48"/>
      <c r="AU697" s="48"/>
      <c r="AV697" s="4">
        <f t="shared" si="155"/>
        <v>0</v>
      </c>
      <c r="AW697" s="50" t="str">
        <f t="shared" si="156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56"/>
      <c r="B698" s="54"/>
      <c r="C698" s="56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54"/>
      <c r="O698" s="3" t="str">
        <f t="shared" si="161"/>
        <v/>
      </c>
      <c r="P698" s="48"/>
      <c r="Q698" s="48"/>
      <c r="R698" s="32"/>
      <c r="S698" s="3" t="str">
        <f t="shared" si="162"/>
        <v/>
      </c>
      <c r="T698" s="48"/>
      <c r="U698" s="48"/>
      <c r="V698" s="32"/>
      <c r="W698" s="3" t="str">
        <f t="shared" si="150"/>
        <v/>
      </c>
      <c r="X698" s="48"/>
      <c r="Y698" s="48"/>
      <c r="Z698" s="32"/>
      <c r="AA698" s="3" t="str">
        <f t="shared" si="151"/>
        <v/>
      </c>
      <c r="AB698" s="48"/>
      <c r="AC698" s="48"/>
      <c r="AD698" s="36"/>
      <c r="AE698" s="54"/>
      <c r="AF698" s="3" t="str">
        <f t="shared" si="152"/>
        <v/>
      </c>
      <c r="AG698" s="48"/>
      <c r="AH698" s="48"/>
      <c r="AI698" s="39"/>
      <c r="AJ698" s="79"/>
      <c r="AK698" s="39"/>
      <c r="AL698" s="4">
        <f t="shared" ref="AL698:AM761" si="163">IF($O698="A",P698,0)+IF($S698="A",T698,0)+IF($W698="A",X698,0)+IF($AA698="A",AB698,0)+IF($AF698="A",AG698,0)</f>
        <v>0</v>
      </c>
      <c r="AM698" s="4">
        <f t="shared" si="163"/>
        <v>0</v>
      </c>
      <c r="AN698" s="4">
        <f t="shared" ref="AN698:AN761" si="164">SUM(AL698:AM698)</f>
        <v>0</v>
      </c>
      <c r="AO698" s="39"/>
      <c r="AP698" s="8">
        <f t="shared" ref="AP698:AQ761" si="165">IF($O698="E",P698,0)+IF($S698="E",T698,0)+IF($W698="E",X698,0)+IF($AA698="E",AB698,0)+IF($AF698="E",AG698,0)</f>
        <v>0</v>
      </c>
      <c r="AQ698" s="8">
        <f t="shared" si="165"/>
        <v>0</v>
      </c>
      <c r="AR698" s="8">
        <f t="shared" ref="AR698:AR761" si="166">SUM(AP698:AQ698)</f>
        <v>0</v>
      </c>
      <c r="AS698" s="42"/>
      <c r="AT698" s="48"/>
      <c r="AU698" s="48"/>
      <c r="AV698" s="4">
        <f t="shared" ref="AV698:AV761" si="167">SUM(AT698:AU698)</f>
        <v>0</v>
      </c>
      <c r="AW698" s="50" t="str">
        <f t="shared" si="156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56"/>
      <c r="B699" s="54"/>
      <c r="C699" s="56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54"/>
      <c r="O699" s="3" t="str">
        <f t="shared" si="161"/>
        <v/>
      </c>
      <c r="P699" s="48"/>
      <c r="Q699" s="48"/>
      <c r="R699" s="32"/>
      <c r="S699" s="3" t="str">
        <f t="shared" si="162"/>
        <v/>
      </c>
      <c r="T699" s="48"/>
      <c r="U699" s="48"/>
      <c r="V699" s="32"/>
      <c r="W699" s="3" t="str">
        <f t="shared" si="150"/>
        <v/>
      </c>
      <c r="X699" s="48"/>
      <c r="Y699" s="48"/>
      <c r="Z699" s="32"/>
      <c r="AA699" s="3" t="str">
        <f t="shared" si="151"/>
        <v/>
      </c>
      <c r="AB699" s="48"/>
      <c r="AC699" s="48"/>
      <c r="AD699" s="36"/>
      <c r="AE699" s="54"/>
      <c r="AF699" s="3" t="str">
        <f t="shared" si="152"/>
        <v/>
      </c>
      <c r="AG699" s="48"/>
      <c r="AH699" s="48"/>
      <c r="AI699" s="39"/>
      <c r="AJ699" s="79"/>
      <c r="AK699" s="39"/>
      <c r="AL699" s="4">
        <f t="shared" si="163"/>
        <v>0</v>
      </c>
      <c r="AM699" s="4">
        <f t="shared" si="163"/>
        <v>0</v>
      </c>
      <c r="AN699" s="4">
        <f t="shared" si="164"/>
        <v>0</v>
      </c>
      <c r="AO699" s="39"/>
      <c r="AP699" s="8">
        <f t="shared" si="165"/>
        <v>0</v>
      </c>
      <c r="AQ699" s="8">
        <f t="shared" si="165"/>
        <v>0</v>
      </c>
      <c r="AR699" s="8">
        <f t="shared" si="166"/>
        <v>0</v>
      </c>
      <c r="AS699" s="42"/>
      <c r="AT699" s="48"/>
      <c r="AU699" s="48"/>
      <c r="AV699" s="4">
        <f t="shared" si="167"/>
        <v>0</v>
      </c>
      <c r="AW699" s="50" t="str">
        <f t="shared" si="156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56"/>
      <c r="B700" s="54"/>
      <c r="C700" s="56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54"/>
      <c r="O700" s="3" t="str">
        <f t="shared" si="161"/>
        <v/>
      </c>
      <c r="P700" s="48"/>
      <c r="Q700" s="48"/>
      <c r="R700" s="32"/>
      <c r="S700" s="3" t="str">
        <f t="shared" si="162"/>
        <v/>
      </c>
      <c r="T700" s="48"/>
      <c r="U700" s="48"/>
      <c r="V700" s="32"/>
      <c r="W700" s="3" t="str">
        <f t="shared" si="150"/>
        <v/>
      </c>
      <c r="X700" s="48"/>
      <c r="Y700" s="48"/>
      <c r="Z700" s="32"/>
      <c r="AA700" s="3" t="str">
        <f t="shared" si="151"/>
        <v/>
      </c>
      <c r="AB700" s="48"/>
      <c r="AC700" s="48"/>
      <c r="AD700" s="36"/>
      <c r="AE700" s="54"/>
      <c r="AF700" s="3" t="str">
        <f t="shared" si="152"/>
        <v/>
      </c>
      <c r="AG700" s="48"/>
      <c r="AH700" s="48"/>
      <c r="AI700" s="39"/>
      <c r="AJ700" s="79"/>
      <c r="AK700" s="39"/>
      <c r="AL700" s="4">
        <f t="shared" si="163"/>
        <v>0</v>
      </c>
      <c r="AM700" s="4">
        <f t="shared" si="163"/>
        <v>0</v>
      </c>
      <c r="AN700" s="4">
        <f t="shared" si="164"/>
        <v>0</v>
      </c>
      <c r="AO700" s="39"/>
      <c r="AP700" s="8">
        <f t="shared" si="165"/>
        <v>0</v>
      </c>
      <c r="AQ700" s="8">
        <f t="shared" si="165"/>
        <v>0</v>
      </c>
      <c r="AR700" s="8">
        <f t="shared" si="166"/>
        <v>0</v>
      </c>
      <c r="AS700" s="42"/>
      <c r="AT700" s="48"/>
      <c r="AU700" s="48"/>
      <c r="AV700" s="4">
        <f t="shared" si="167"/>
        <v>0</v>
      </c>
      <c r="AW700" s="50" t="str">
        <f t="shared" si="156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56"/>
      <c r="B701" s="54"/>
      <c r="C701" s="56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54"/>
      <c r="O701" s="3" t="str">
        <f t="shared" si="161"/>
        <v/>
      </c>
      <c r="P701" s="48"/>
      <c r="Q701" s="48"/>
      <c r="R701" s="32"/>
      <c r="S701" s="3" t="str">
        <f t="shared" si="162"/>
        <v/>
      </c>
      <c r="T701" s="48"/>
      <c r="U701" s="48"/>
      <c r="V701" s="32"/>
      <c r="W701" s="3" t="str">
        <f t="shared" si="150"/>
        <v/>
      </c>
      <c r="X701" s="48"/>
      <c r="Y701" s="48"/>
      <c r="Z701" s="32"/>
      <c r="AA701" s="3" t="str">
        <f t="shared" si="151"/>
        <v/>
      </c>
      <c r="AB701" s="48"/>
      <c r="AC701" s="48"/>
      <c r="AD701" s="36"/>
      <c r="AE701" s="54"/>
      <c r="AF701" s="3" t="str">
        <f t="shared" si="152"/>
        <v/>
      </c>
      <c r="AG701" s="48"/>
      <c r="AH701" s="48"/>
      <c r="AI701" s="39"/>
      <c r="AJ701" s="79"/>
      <c r="AK701" s="39"/>
      <c r="AL701" s="4">
        <f t="shared" si="163"/>
        <v>0</v>
      </c>
      <c r="AM701" s="4">
        <f t="shared" si="163"/>
        <v>0</v>
      </c>
      <c r="AN701" s="4">
        <f t="shared" si="164"/>
        <v>0</v>
      </c>
      <c r="AO701" s="39"/>
      <c r="AP701" s="8">
        <f t="shared" si="165"/>
        <v>0</v>
      </c>
      <c r="AQ701" s="8">
        <f t="shared" si="165"/>
        <v>0</v>
      </c>
      <c r="AR701" s="8">
        <f t="shared" si="166"/>
        <v>0</v>
      </c>
      <c r="AS701" s="42"/>
      <c r="AT701" s="48"/>
      <c r="AU701" s="48"/>
      <c r="AV701" s="4">
        <f t="shared" si="167"/>
        <v>0</v>
      </c>
      <c r="AW701" s="50" t="str">
        <f t="shared" si="156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56"/>
      <c r="B702" s="54"/>
      <c r="C702" s="56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54"/>
      <c r="O702" s="3" t="str">
        <f t="shared" si="161"/>
        <v/>
      </c>
      <c r="P702" s="48"/>
      <c r="Q702" s="48"/>
      <c r="R702" s="32"/>
      <c r="S702" s="3" t="str">
        <f t="shared" si="162"/>
        <v/>
      </c>
      <c r="T702" s="48"/>
      <c r="U702" s="48"/>
      <c r="V702" s="32"/>
      <c r="W702" s="3" t="str">
        <f t="shared" si="150"/>
        <v/>
      </c>
      <c r="X702" s="48"/>
      <c r="Y702" s="48"/>
      <c r="Z702" s="32"/>
      <c r="AA702" s="3" t="str">
        <f t="shared" si="151"/>
        <v/>
      </c>
      <c r="AB702" s="48"/>
      <c r="AC702" s="48"/>
      <c r="AD702" s="36"/>
      <c r="AE702" s="54"/>
      <c r="AF702" s="3" t="str">
        <f t="shared" si="152"/>
        <v/>
      </c>
      <c r="AG702" s="48"/>
      <c r="AH702" s="48"/>
      <c r="AI702" s="39"/>
      <c r="AJ702" s="79"/>
      <c r="AK702" s="39"/>
      <c r="AL702" s="4">
        <f t="shared" si="163"/>
        <v>0</v>
      </c>
      <c r="AM702" s="4">
        <f t="shared" si="163"/>
        <v>0</v>
      </c>
      <c r="AN702" s="4">
        <f t="shared" si="164"/>
        <v>0</v>
      </c>
      <c r="AO702" s="39"/>
      <c r="AP702" s="8">
        <f t="shared" si="165"/>
        <v>0</v>
      </c>
      <c r="AQ702" s="8">
        <f t="shared" si="165"/>
        <v>0</v>
      </c>
      <c r="AR702" s="8">
        <f t="shared" si="166"/>
        <v>0</v>
      </c>
      <c r="AS702" s="42"/>
      <c r="AT702" s="48"/>
      <c r="AU702" s="48"/>
      <c r="AV702" s="4">
        <f t="shared" si="167"/>
        <v>0</v>
      </c>
      <c r="AW702" s="50" t="str">
        <f t="shared" si="156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56"/>
      <c r="B703" s="54"/>
      <c r="C703" s="56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54"/>
      <c r="O703" s="3" t="str">
        <f t="shared" si="161"/>
        <v/>
      </c>
      <c r="P703" s="48"/>
      <c r="Q703" s="48"/>
      <c r="R703" s="32"/>
      <c r="S703" s="3" t="str">
        <f t="shared" si="162"/>
        <v/>
      </c>
      <c r="T703" s="48"/>
      <c r="U703" s="48"/>
      <c r="V703" s="32"/>
      <c r="W703" s="3" t="str">
        <f t="shared" si="150"/>
        <v/>
      </c>
      <c r="X703" s="48"/>
      <c r="Y703" s="48"/>
      <c r="Z703" s="32"/>
      <c r="AA703" s="3" t="str">
        <f t="shared" si="151"/>
        <v/>
      </c>
      <c r="AB703" s="48"/>
      <c r="AC703" s="48"/>
      <c r="AD703" s="36"/>
      <c r="AE703" s="54"/>
      <c r="AF703" s="3" t="str">
        <f t="shared" si="152"/>
        <v/>
      </c>
      <c r="AG703" s="48"/>
      <c r="AH703" s="48"/>
      <c r="AI703" s="39"/>
      <c r="AJ703" s="79"/>
      <c r="AK703" s="39"/>
      <c r="AL703" s="4">
        <f t="shared" si="163"/>
        <v>0</v>
      </c>
      <c r="AM703" s="4">
        <f t="shared" si="163"/>
        <v>0</v>
      </c>
      <c r="AN703" s="4">
        <f t="shared" si="164"/>
        <v>0</v>
      </c>
      <c r="AO703" s="39"/>
      <c r="AP703" s="8">
        <f t="shared" si="165"/>
        <v>0</v>
      </c>
      <c r="AQ703" s="8">
        <f t="shared" si="165"/>
        <v>0</v>
      </c>
      <c r="AR703" s="8">
        <f t="shared" si="166"/>
        <v>0</v>
      </c>
      <c r="AS703" s="42"/>
      <c r="AT703" s="48"/>
      <c r="AU703" s="48"/>
      <c r="AV703" s="4">
        <f t="shared" si="167"/>
        <v>0</v>
      </c>
      <c r="AW703" s="50" t="str">
        <f t="shared" si="156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56"/>
      <c r="B704" s="54"/>
      <c r="C704" s="56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54"/>
      <c r="O704" s="3" t="str">
        <f t="shared" si="161"/>
        <v/>
      </c>
      <c r="P704" s="48"/>
      <c r="Q704" s="48"/>
      <c r="R704" s="32"/>
      <c r="S704" s="3" t="str">
        <f t="shared" si="162"/>
        <v/>
      </c>
      <c r="T704" s="48"/>
      <c r="U704" s="48"/>
      <c r="V704" s="32"/>
      <c r="W704" s="3" t="str">
        <f t="shared" si="150"/>
        <v/>
      </c>
      <c r="X704" s="48"/>
      <c r="Y704" s="48"/>
      <c r="Z704" s="32"/>
      <c r="AA704" s="3" t="str">
        <f t="shared" si="151"/>
        <v/>
      </c>
      <c r="AB704" s="48"/>
      <c r="AC704" s="48"/>
      <c r="AD704" s="36"/>
      <c r="AE704" s="54"/>
      <c r="AF704" s="3" t="str">
        <f t="shared" si="152"/>
        <v/>
      </c>
      <c r="AG704" s="48"/>
      <c r="AH704" s="48"/>
      <c r="AI704" s="39"/>
      <c r="AJ704" s="79"/>
      <c r="AK704" s="39"/>
      <c r="AL704" s="4">
        <f t="shared" si="163"/>
        <v>0</v>
      </c>
      <c r="AM704" s="4">
        <f t="shared" si="163"/>
        <v>0</v>
      </c>
      <c r="AN704" s="4">
        <f t="shared" si="164"/>
        <v>0</v>
      </c>
      <c r="AO704" s="39"/>
      <c r="AP704" s="8">
        <f t="shared" si="165"/>
        <v>0</v>
      </c>
      <c r="AQ704" s="8">
        <f t="shared" si="165"/>
        <v>0</v>
      </c>
      <c r="AR704" s="8">
        <f t="shared" si="166"/>
        <v>0</v>
      </c>
      <c r="AS704" s="42"/>
      <c r="AT704" s="48"/>
      <c r="AU704" s="48"/>
      <c r="AV704" s="4">
        <f t="shared" si="167"/>
        <v>0</v>
      </c>
      <c r="AW704" s="50" t="str">
        <f t="shared" si="156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56"/>
      <c r="B705" s="54"/>
      <c r="C705" s="56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54"/>
      <c r="O705" s="3" t="str">
        <f t="shared" si="161"/>
        <v/>
      </c>
      <c r="P705" s="48"/>
      <c r="Q705" s="48"/>
      <c r="R705" s="32"/>
      <c r="S705" s="3" t="str">
        <f t="shared" si="162"/>
        <v/>
      </c>
      <c r="T705" s="48"/>
      <c r="U705" s="48"/>
      <c r="V705" s="32"/>
      <c r="W705" s="3" t="str">
        <f t="shared" si="150"/>
        <v/>
      </c>
      <c r="X705" s="48"/>
      <c r="Y705" s="48"/>
      <c r="Z705" s="32"/>
      <c r="AA705" s="3" t="str">
        <f t="shared" si="151"/>
        <v/>
      </c>
      <c r="AB705" s="48"/>
      <c r="AC705" s="48"/>
      <c r="AD705" s="36"/>
      <c r="AE705" s="54"/>
      <c r="AF705" s="3" t="str">
        <f t="shared" si="152"/>
        <v/>
      </c>
      <c r="AG705" s="48"/>
      <c r="AH705" s="48"/>
      <c r="AI705" s="39"/>
      <c r="AJ705" s="79"/>
      <c r="AK705" s="39"/>
      <c r="AL705" s="4">
        <f t="shared" si="163"/>
        <v>0</v>
      </c>
      <c r="AM705" s="4">
        <f t="shared" si="163"/>
        <v>0</v>
      </c>
      <c r="AN705" s="4">
        <f t="shared" si="164"/>
        <v>0</v>
      </c>
      <c r="AO705" s="39"/>
      <c r="AP705" s="8">
        <f t="shared" si="165"/>
        <v>0</v>
      </c>
      <c r="AQ705" s="8">
        <f t="shared" si="165"/>
        <v>0</v>
      </c>
      <c r="AR705" s="8">
        <f t="shared" si="166"/>
        <v>0</v>
      </c>
      <c r="AS705" s="42"/>
      <c r="AT705" s="48"/>
      <c r="AU705" s="48"/>
      <c r="AV705" s="4">
        <f t="shared" si="167"/>
        <v>0</v>
      </c>
      <c r="AW705" s="50" t="str">
        <f t="shared" si="156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56"/>
      <c r="B706" s="54"/>
      <c r="C706" s="56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54"/>
      <c r="O706" s="3" t="str">
        <f t="shared" si="161"/>
        <v/>
      </c>
      <c r="P706" s="48"/>
      <c r="Q706" s="48"/>
      <c r="R706" s="32"/>
      <c r="S706" s="3" t="str">
        <f t="shared" si="162"/>
        <v/>
      </c>
      <c r="T706" s="48"/>
      <c r="U706" s="48"/>
      <c r="V706" s="32"/>
      <c r="W706" s="3" t="str">
        <f t="shared" si="150"/>
        <v/>
      </c>
      <c r="X706" s="48"/>
      <c r="Y706" s="48"/>
      <c r="Z706" s="32"/>
      <c r="AA706" s="3" t="str">
        <f t="shared" si="151"/>
        <v/>
      </c>
      <c r="AB706" s="48"/>
      <c r="AC706" s="48"/>
      <c r="AD706" s="36"/>
      <c r="AE706" s="54"/>
      <c r="AF706" s="3" t="str">
        <f t="shared" si="152"/>
        <v/>
      </c>
      <c r="AG706" s="48"/>
      <c r="AH706" s="48"/>
      <c r="AI706" s="39"/>
      <c r="AJ706" s="79"/>
      <c r="AK706" s="39"/>
      <c r="AL706" s="4">
        <f t="shared" si="163"/>
        <v>0</v>
      </c>
      <c r="AM706" s="4">
        <f t="shared" si="163"/>
        <v>0</v>
      </c>
      <c r="AN706" s="4">
        <f t="shared" si="164"/>
        <v>0</v>
      </c>
      <c r="AO706" s="39"/>
      <c r="AP706" s="8">
        <f t="shared" si="165"/>
        <v>0</v>
      </c>
      <c r="AQ706" s="8">
        <f t="shared" si="165"/>
        <v>0</v>
      </c>
      <c r="AR706" s="8">
        <f t="shared" si="166"/>
        <v>0</v>
      </c>
      <c r="AS706" s="42"/>
      <c r="AT706" s="48"/>
      <c r="AU706" s="48"/>
      <c r="AV706" s="4">
        <f t="shared" si="167"/>
        <v>0</v>
      </c>
      <c r="AW706" s="50" t="str">
        <f t="shared" si="156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56"/>
      <c r="B707" s="54"/>
      <c r="C707" s="56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54"/>
      <c r="O707" s="3" t="str">
        <f t="shared" si="161"/>
        <v/>
      </c>
      <c r="P707" s="48"/>
      <c r="Q707" s="48"/>
      <c r="R707" s="32"/>
      <c r="S707" s="3" t="str">
        <f t="shared" si="162"/>
        <v/>
      </c>
      <c r="T707" s="48"/>
      <c r="U707" s="48"/>
      <c r="V707" s="32"/>
      <c r="W707" s="3" t="str">
        <f t="shared" si="150"/>
        <v/>
      </c>
      <c r="X707" s="48"/>
      <c r="Y707" s="48"/>
      <c r="Z707" s="32"/>
      <c r="AA707" s="3" t="str">
        <f t="shared" si="151"/>
        <v/>
      </c>
      <c r="AB707" s="48"/>
      <c r="AC707" s="48"/>
      <c r="AD707" s="36"/>
      <c r="AE707" s="54"/>
      <c r="AF707" s="3" t="str">
        <f t="shared" si="152"/>
        <v/>
      </c>
      <c r="AG707" s="48"/>
      <c r="AH707" s="48"/>
      <c r="AI707" s="39"/>
      <c r="AJ707" s="79"/>
      <c r="AK707" s="39"/>
      <c r="AL707" s="4">
        <f t="shared" si="163"/>
        <v>0</v>
      </c>
      <c r="AM707" s="4">
        <f t="shared" si="163"/>
        <v>0</v>
      </c>
      <c r="AN707" s="4">
        <f t="shared" si="164"/>
        <v>0</v>
      </c>
      <c r="AO707" s="39"/>
      <c r="AP707" s="8">
        <f t="shared" si="165"/>
        <v>0</v>
      </c>
      <c r="AQ707" s="8">
        <f t="shared" si="165"/>
        <v>0</v>
      </c>
      <c r="AR707" s="8">
        <f t="shared" si="166"/>
        <v>0</v>
      </c>
      <c r="AS707" s="42"/>
      <c r="AT707" s="48"/>
      <c r="AU707" s="48"/>
      <c r="AV707" s="4">
        <f t="shared" si="167"/>
        <v>0</v>
      </c>
      <c r="AW707" s="50" t="str">
        <f t="shared" si="156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56"/>
      <c r="B708" s="54"/>
      <c r="C708" s="56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54"/>
      <c r="O708" s="3" t="str">
        <f t="shared" si="161"/>
        <v/>
      </c>
      <c r="P708" s="48"/>
      <c r="Q708" s="48"/>
      <c r="R708" s="32"/>
      <c r="S708" s="3" t="str">
        <f t="shared" si="162"/>
        <v/>
      </c>
      <c r="T708" s="48"/>
      <c r="U708" s="48"/>
      <c r="V708" s="32"/>
      <c r="W708" s="3" t="str">
        <f t="shared" si="150"/>
        <v/>
      </c>
      <c r="X708" s="48"/>
      <c r="Y708" s="48"/>
      <c r="Z708" s="32"/>
      <c r="AA708" s="3" t="str">
        <f t="shared" si="151"/>
        <v/>
      </c>
      <c r="AB708" s="48"/>
      <c r="AC708" s="48"/>
      <c r="AD708" s="36"/>
      <c r="AE708" s="54"/>
      <c r="AF708" s="3" t="str">
        <f t="shared" si="152"/>
        <v/>
      </c>
      <c r="AG708" s="48"/>
      <c r="AH708" s="48"/>
      <c r="AI708" s="39"/>
      <c r="AJ708" s="79"/>
      <c r="AK708" s="39"/>
      <c r="AL708" s="4">
        <f t="shared" si="163"/>
        <v>0</v>
      </c>
      <c r="AM708" s="4">
        <f t="shared" si="163"/>
        <v>0</v>
      </c>
      <c r="AN708" s="4">
        <f t="shared" si="164"/>
        <v>0</v>
      </c>
      <c r="AO708" s="39"/>
      <c r="AP708" s="8">
        <f t="shared" si="165"/>
        <v>0</v>
      </c>
      <c r="AQ708" s="8">
        <f t="shared" si="165"/>
        <v>0</v>
      </c>
      <c r="AR708" s="8">
        <f t="shared" si="166"/>
        <v>0</v>
      </c>
      <c r="AS708" s="42"/>
      <c r="AT708" s="48"/>
      <c r="AU708" s="48"/>
      <c r="AV708" s="4">
        <f t="shared" si="167"/>
        <v>0</v>
      </c>
      <c r="AW708" s="50" t="str">
        <f t="shared" si="156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56"/>
      <c r="B709" s="54"/>
      <c r="C709" s="56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54"/>
      <c r="O709" s="3" t="str">
        <f t="shared" si="161"/>
        <v/>
      </c>
      <c r="P709" s="48"/>
      <c r="Q709" s="48"/>
      <c r="R709" s="32"/>
      <c r="S709" s="3" t="str">
        <f t="shared" si="162"/>
        <v/>
      </c>
      <c r="T709" s="48"/>
      <c r="U709" s="48"/>
      <c r="V709" s="32"/>
      <c r="W709" s="3" t="str">
        <f t="shared" si="150"/>
        <v/>
      </c>
      <c r="X709" s="48"/>
      <c r="Y709" s="48"/>
      <c r="Z709" s="32"/>
      <c r="AA709" s="3" t="str">
        <f t="shared" si="151"/>
        <v/>
      </c>
      <c r="AB709" s="48"/>
      <c r="AC709" s="48"/>
      <c r="AD709" s="36"/>
      <c r="AE709" s="54"/>
      <c r="AF709" s="3" t="str">
        <f t="shared" si="152"/>
        <v/>
      </c>
      <c r="AG709" s="48"/>
      <c r="AH709" s="48"/>
      <c r="AI709" s="39"/>
      <c r="AJ709" s="79"/>
      <c r="AK709" s="39"/>
      <c r="AL709" s="4">
        <f t="shared" si="163"/>
        <v>0</v>
      </c>
      <c r="AM709" s="4">
        <f t="shared" si="163"/>
        <v>0</v>
      </c>
      <c r="AN709" s="4">
        <f t="shared" si="164"/>
        <v>0</v>
      </c>
      <c r="AO709" s="39"/>
      <c r="AP709" s="8">
        <f t="shared" si="165"/>
        <v>0</v>
      </c>
      <c r="AQ709" s="8">
        <f t="shared" si="165"/>
        <v>0</v>
      </c>
      <c r="AR709" s="8">
        <f t="shared" si="166"/>
        <v>0</v>
      </c>
      <c r="AS709" s="42"/>
      <c r="AT709" s="48"/>
      <c r="AU709" s="48"/>
      <c r="AV709" s="4">
        <f t="shared" si="167"/>
        <v>0</v>
      </c>
      <c r="AW709" s="50" t="str">
        <f t="shared" si="156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56"/>
      <c r="B710" s="54"/>
      <c r="C710" s="56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54"/>
      <c r="O710" s="3" t="str">
        <f t="shared" si="161"/>
        <v/>
      </c>
      <c r="P710" s="48"/>
      <c r="Q710" s="48"/>
      <c r="R710" s="32"/>
      <c r="S710" s="3" t="str">
        <f t="shared" si="162"/>
        <v/>
      </c>
      <c r="T710" s="48"/>
      <c r="U710" s="48"/>
      <c r="V710" s="32"/>
      <c r="W710" s="3" t="str">
        <f t="shared" si="150"/>
        <v/>
      </c>
      <c r="X710" s="48"/>
      <c r="Y710" s="48"/>
      <c r="Z710" s="32"/>
      <c r="AA710" s="3" t="str">
        <f t="shared" si="151"/>
        <v/>
      </c>
      <c r="AB710" s="48"/>
      <c r="AC710" s="48"/>
      <c r="AD710" s="36"/>
      <c r="AE710" s="54"/>
      <c r="AF710" s="3" t="str">
        <f t="shared" si="152"/>
        <v/>
      </c>
      <c r="AG710" s="48"/>
      <c r="AH710" s="48"/>
      <c r="AI710" s="39"/>
      <c r="AJ710" s="79"/>
      <c r="AK710" s="39"/>
      <c r="AL710" s="4">
        <f t="shared" si="163"/>
        <v>0</v>
      </c>
      <c r="AM710" s="4">
        <f t="shared" si="163"/>
        <v>0</v>
      </c>
      <c r="AN710" s="4">
        <f t="shared" si="164"/>
        <v>0</v>
      </c>
      <c r="AO710" s="39"/>
      <c r="AP710" s="8">
        <f t="shared" si="165"/>
        <v>0</v>
      </c>
      <c r="AQ710" s="8">
        <f t="shared" si="165"/>
        <v>0</v>
      </c>
      <c r="AR710" s="8">
        <f t="shared" si="166"/>
        <v>0</v>
      </c>
      <c r="AS710" s="42"/>
      <c r="AT710" s="48"/>
      <c r="AU710" s="48"/>
      <c r="AV710" s="4">
        <f t="shared" si="167"/>
        <v>0</v>
      </c>
      <c r="AW710" s="50" t="str">
        <f t="shared" si="156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56"/>
      <c r="B711" s="54"/>
      <c r="C711" s="56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54"/>
      <c r="O711" s="3" t="str">
        <f t="shared" si="161"/>
        <v/>
      </c>
      <c r="P711" s="48"/>
      <c r="Q711" s="48"/>
      <c r="R711" s="32"/>
      <c r="S711" s="3" t="str">
        <f t="shared" si="162"/>
        <v/>
      </c>
      <c r="T711" s="48"/>
      <c r="U711" s="48"/>
      <c r="V711" s="32"/>
      <c r="W711" s="3" t="str">
        <f t="shared" si="150"/>
        <v/>
      </c>
      <c r="X711" s="48"/>
      <c r="Y711" s="48"/>
      <c r="Z711" s="32"/>
      <c r="AA711" s="3" t="str">
        <f t="shared" si="151"/>
        <v/>
      </c>
      <c r="AB711" s="48"/>
      <c r="AC711" s="48"/>
      <c r="AD711" s="36"/>
      <c r="AE711" s="54"/>
      <c r="AF711" s="3" t="str">
        <f t="shared" si="152"/>
        <v/>
      </c>
      <c r="AG711" s="48"/>
      <c r="AH711" s="48"/>
      <c r="AI711" s="39"/>
      <c r="AJ711" s="79"/>
      <c r="AK711" s="39"/>
      <c r="AL711" s="4">
        <f t="shared" si="163"/>
        <v>0</v>
      </c>
      <c r="AM711" s="4">
        <f t="shared" si="163"/>
        <v>0</v>
      </c>
      <c r="AN711" s="4">
        <f t="shared" si="164"/>
        <v>0</v>
      </c>
      <c r="AO711" s="39"/>
      <c r="AP711" s="8">
        <f t="shared" si="165"/>
        <v>0</v>
      </c>
      <c r="AQ711" s="8">
        <f t="shared" si="165"/>
        <v>0</v>
      </c>
      <c r="AR711" s="8">
        <f t="shared" si="166"/>
        <v>0</v>
      </c>
      <c r="AS711" s="42"/>
      <c r="AT711" s="48"/>
      <c r="AU711" s="48"/>
      <c r="AV711" s="4">
        <f t="shared" si="167"/>
        <v>0</v>
      </c>
      <c r="AW711" s="50" t="str">
        <f t="shared" si="156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56"/>
      <c r="B712" s="54"/>
      <c r="C712" s="56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54"/>
      <c r="O712" s="3" t="str">
        <f t="shared" si="161"/>
        <v/>
      </c>
      <c r="P712" s="48"/>
      <c r="Q712" s="48"/>
      <c r="R712" s="32"/>
      <c r="S712" s="3" t="str">
        <f t="shared" si="162"/>
        <v/>
      </c>
      <c r="T712" s="48"/>
      <c r="U712" s="48"/>
      <c r="V712" s="32"/>
      <c r="W712" s="3" t="str">
        <f t="shared" ref="W712:W775" si="168">IF($A712="","",IF(X712=0,"A",IF(X712=BB712,"E","A")))</f>
        <v/>
      </c>
      <c r="X712" s="48"/>
      <c r="Y712" s="48"/>
      <c r="Z712" s="32"/>
      <c r="AA712" s="3" t="str">
        <f t="shared" ref="AA712:AA775" si="169">IF($A712="","",IF(AB712=0,"A",IF(AB712=BC712,"E","A")))</f>
        <v/>
      </c>
      <c r="AB712" s="48"/>
      <c r="AC712" s="48"/>
      <c r="AD712" s="36"/>
      <c r="AE712" s="54"/>
      <c r="AF712" s="3" t="str">
        <f t="shared" ref="AF712:AF775" si="170">IF($A712="","",IF(AG712=0,"A",IF(AG712=BD712,"E","A")))</f>
        <v/>
      </c>
      <c r="AG712" s="48"/>
      <c r="AH712" s="48"/>
      <c r="AI712" s="39"/>
      <c r="AJ712" s="79"/>
      <c r="AK712" s="39"/>
      <c r="AL712" s="4">
        <f t="shared" si="163"/>
        <v>0</v>
      </c>
      <c r="AM712" s="4">
        <f t="shared" si="163"/>
        <v>0</v>
      </c>
      <c r="AN712" s="4">
        <f t="shared" si="164"/>
        <v>0</v>
      </c>
      <c r="AO712" s="39"/>
      <c r="AP712" s="8">
        <f t="shared" si="165"/>
        <v>0</v>
      </c>
      <c r="AQ712" s="8">
        <f t="shared" si="165"/>
        <v>0</v>
      </c>
      <c r="AR712" s="8">
        <f t="shared" si="166"/>
        <v>0</v>
      </c>
      <c r="AS712" s="42"/>
      <c r="AT712" s="48"/>
      <c r="AU712" s="48"/>
      <c r="AV712" s="4">
        <f t="shared" si="167"/>
        <v>0</v>
      </c>
      <c r="AW712" s="50" t="str">
        <f t="shared" ref="AW712:AW775" si="171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56"/>
      <c r="B713" s="54"/>
      <c r="C713" s="56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54"/>
      <c r="O713" s="3" t="str">
        <f t="shared" si="161"/>
        <v/>
      </c>
      <c r="P713" s="48"/>
      <c r="Q713" s="48"/>
      <c r="R713" s="32"/>
      <c r="S713" s="3" t="str">
        <f t="shared" si="162"/>
        <v/>
      </c>
      <c r="T713" s="48"/>
      <c r="U713" s="48"/>
      <c r="V713" s="32"/>
      <c r="W713" s="3" t="str">
        <f t="shared" si="168"/>
        <v/>
      </c>
      <c r="X713" s="48"/>
      <c r="Y713" s="48"/>
      <c r="Z713" s="32"/>
      <c r="AA713" s="3" t="str">
        <f t="shared" si="169"/>
        <v/>
      </c>
      <c r="AB713" s="48"/>
      <c r="AC713" s="48"/>
      <c r="AD713" s="36"/>
      <c r="AE713" s="54"/>
      <c r="AF713" s="3" t="str">
        <f t="shared" si="170"/>
        <v/>
      </c>
      <c r="AG713" s="48"/>
      <c r="AH713" s="48"/>
      <c r="AI713" s="39"/>
      <c r="AJ713" s="79"/>
      <c r="AK713" s="39"/>
      <c r="AL713" s="4">
        <f t="shared" si="163"/>
        <v>0</v>
      </c>
      <c r="AM713" s="4">
        <f t="shared" si="163"/>
        <v>0</v>
      </c>
      <c r="AN713" s="4">
        <f t="shared" si="164"/>
        <v>0</v>
      </c>
      <c r="AO713" s="39"/>
      <c r="AP713" s="8">
        <f t="shared" si="165"/>
        <v>0</v>
      </c>
      <c r="AQ713" s="8">
        <f t="shared" si="165"/>
        <v>0</v>
      </c>
      <c r="AR713" s="8">
        <f t="shared" si="166"/>
        <v>0</v>
      </c>
      <c r="AS713" s="42"/>
      <c r="AT713" s="48"/>
      <c r="AU713" s="48"/>
      <c r="AV713" s="4">
        <f t="shared" si="167"/>
        <v>0</v>
      </c>
      <c r="AW713" s="50" t="str">
        <f t="shared" si="171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56"/>
      <c r="B714" s="54"/>
      <c r="C714" s="56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54"/>
      <c r="O714" s="3" t="str">
        <f t="shared" si="161"/>
        <v/>
      </c>
      <c r="P714" s="48"/>
      <c r="Q714" s="48"/>
      <c r="R714" s="32"/>
      <c r="S714" s="3" t="str">
        <f t="shared" si="162"/>
        <v/>
      </c>
      <c r="T714" s="48"/>
      <c r="U714" s="48"/>
      <c r="V714" s="32"/>
      <c r="W714" s="3" t="str">
        <f t="shared" si="168"/>
        <v/>
      </c>
      <c r="X714" s="48"/>
      <c r="Y714" s="48"/>
      <c r="Z714" s="32"/>
      <c r="AA714" s="3" t="str">
        <f t="shared" si="169"/>
        <v/>
      </c>
      <c r="AB714" s="48"/>
      <c r="AC714" s="48"/>
      <c r="AD714" s="36"/>
      <c r="AE714" s="54"/>
      <c r="AF714" s="3" t="str">
        <f t="shared" si="170"/>
        <v/>
      </c>
      <c r="AG714" s="48"/>
      <c r="AH714" s="48"/>
      <c r="AI714" s="39"/>
      <c r="AJ714" s="79"/>
      <c r="AK714" s="39"/>
      <c r="AL714" s="4">
        <f t="shared" si="163"/>
        <v>0</v>
      </c>
      <c r="AM714" s="4">
        <f t="shared" si="163"/>
        <v>0</v>
      </c>
      <c r="AN714" s="4">
        <f t="shared" si="164"/>
        <v>0</v>
      </c>
      <c r="AO714" s="39"/>
      <c r="AP714" s="8">
        <f t="shared" si="165"/>
        <v>0</v>
      </c>
      <c r="AQ714" s="8">
        <f t="shared" si="165"/>
        <v>0</v>
      </c>
      <c r="AR714" s="8">
        <f t="shared" si="166"/>
        <v>0</v>
      </c>
      <c r="AS714" s="42"/>
      <c r="AT714" s="48"/>
      <c r="AU714" s="48"/>
      <c r="AV714" s="4">
        <f t="shared" si="167"/>
        <v>0</v>
      </c>
      <c r="AW714" s="50" t="str">
        <f t="shared" si="171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56"/>
      <c r="B715" s="54"/>
      <c r="C715" s="56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54"/>
      <c r="O715" s="3" t="str">
        <f t="shared" si="161"/>
        <v/>
      </c>
      <c r="P715" s="48"/>
      <c r="Q715" s="48"/>
      <c r="R715" s="32"/>
      <c r="S715" s="3" t="str">
        <f t="shared" si="162"/>
        <v/>
      </c>
      <c r="T715" s="48"/>
      <c r="U715" s="48"/>
      <c r="V715" s="32"/>
      <c r="W715" s="3" t="str">
        <f t="shared" si="168"/>
        <v/>
      </c>
      <c r="X715" s="48"/>
      <c r="Y715" s="48"/>
      <c r="Z715" s="32"/>
      <c r="AA715" s="3" t="str">
        <f t="shared" si="169"/>
        <v/>
      </c>
      <c r="AB715" s="48"/>
      <c r="AC715" s="48"/>
      <c r="AD715" s="36"/>
      <c r="AE715" s="54"/>
      <c r="AF715" s="3" t="str">
        <f t="shared" si="170"/>
        <v/>
      </c>
      <c r="AG715" s="48"/>
      <c r="AH715" s="48"/>
      <c r="AI715" s="39"/>
      <c r="AJ715" s="79"/>
      <c r="AK715" s="39"/>
      <c r="AL715" s="4">
        <f t="shared" si="163"/>
        <v>0</v>
      </c>
      <c r="AM715" s="4">
        <f t="shared" si="163"/>
        <v>0</v>
      </c>
      <c r="AN715" s="4">
        <f t="shared" si="164"/>
        <v>0</v>
      </c>
      <c r="AO715" s="39"/>
      <c r="AP715" s="8">
        <f t="shared" si="165"/>
        <v>0</v>
      </c>
      <c r="AQ715" s="8">
        <f t="shared" si="165"/>
        <v>0</v>
      </c>
      <c r="AR715" s="8">
        <f t="shared" si="166"/>
        <v>0</v>
      </c>
      <c r="AS715" s="42"/>
      <c r="AT715" s="48"/>
      <c r="AU715" s="48"/>
      <c r="AV715" s="4">
        <f t="shared" si="167"/>
        <v>0</v>
      </c>
      <c r="AW715" s="50" t="str">
        <f t="shared" si="171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56"/>
      <c r="B716" s="54"/>
      <c r="C716" s="56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54"/>
      <c r="O716" s="3" t="str">
        <f t="shared" si="161"/>
        <v/>
      </c>
      <c r="P716" s="48"/>
      <c r="Q716" s="48"/>
      <c r="R716" s="32"/>
      <c r="S716" s="3" t="str">
        <f t="shared" si="162"/>
        <v/>
      </c>
      <c r="T716" s="48"/>
      <c r="U716" s="48"/>
      <c r="V716" s="32"/>
      <c r="W716" s="3" t="str">
        <f t="shared" si="168"/>
        <v/>
      </c>
      <c r="X716" s="48"/>
      <c r="Y716" s="48"/>
      <c r="Z716" s="32"/>
      <c r="AA716" s="3" t="str">
        <f t="shared" si="169"/>
        <v/>
      </c>
      <c r="AB716" s="48"/>
      <c r="AC716" s="48"/>
      <c r="AD716" s="36"/>
      <c r="AE716" s="54"/>
      <c r="AF716" s="3" t="str">
        <f t="shared" si="170"/>
        <v/>
      </c>
      <c r="AG716" s="48"/>
      <c r="AH716" s="48"/>
      <c r="AI716" s="39"/>
      <c r="AJ716" s="79"/>
      <c r="AK716" s="39"/>
      <c r="AL716" s="4">
        <f t="shared" si="163"/>
        <v>0</v>
      </c>
      <c r="AM716" s="4">
        <f t="shared" si="163"/>
        <v>0</v>
      </c>
      <c r="AN716" s="4">
        <f t="shared" si="164"/>
        <v>0</v>
      </c>
      <c r="AO716" s="39"/>
      <c r="AP716" s="8">
        <f t="shared" si="165"/>
        <v>0</v>
      </c>
      <c r="AQ716" s="8">
        <f t="shared" si="165"/>
        <v>0</v>
      </c>
      <c r="AR716" s="8">
        <f t="shared" si="166"/>
        <v>0</v>
      </c>
      <c r="AS716" s="42"/>
      <c r="AT716" s="48"/>
      <c r="AU716" s="48"/>
      <c r="AV716" s="4">
        <f t="shared" si="167"/>
        <v>0</v>
      </c>
      <c r="AW716" s="50" t="str">
        <f t="shared" si="171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56"/>
      <c r="B717" s="54"/>
      <c r="C717" s="56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54"/>
      <c r="O717" s="3" t="str">
        <f t="shared" si="161"/>
        <v/>
      </c>
      <c r="P717" s="48"/>
      <c r="Q717" s="48"/>
      <c r="R717" s="32"/>
      <c r="S717" s="3" t="str">
        <f t="shared" si="162"/>
        <v/>
      </c>
      <c r="T717" s="48"/>
      <c r="U717" s="48"/>
      <c r="V717" s="32"/>
      <c r="W717" s="3" t="str">
        <f t="shared" si="168"/>
        <v/>
      </c>
      <c r="X717" s="48"/>
      <c r="Y717" s="48"/>
      <c r="Z717" s="32"/>
      <c r="AA717" s="3" t="str">
        <f t="shared" si="169"/>
        <v/>
      </c>
      <c r="AB717" s="48"/>
      <c r="AC717" s="48"/>
      <c r="AD717" s="36"/>
      <c r="AE717" s="54"/>
      <c r="AF717" s="3" t="str">
        <f t="shared" si="170"/>
        <v/>
      </c>
      <c r="AG717" s="48"/>
      <c r="AH717" s="48"/>
      <c r="AI717" s="39"/>
      <c r="AJ717" s="79"/>
      <c r="AK717" s="39"/>
      <c r="AL717" s="4">
        <f t="shared" si="163"/>
        <v>0</v>
      </c>
      <c r="AM717" s="4">
        <f t="shared" si="163"/>
        <v>0</v>
      </c>
      <c r="AN717" s="4">
        <f t="shared" si="164"/>
        <v>0</v>
      </c>
      <c r="AO717" s="39"/>
      <c r="AP717" s="8">
        <f t="shared" si="165"/>
        <v>0</v>
      </c>
      <c r="AQ717" s="8">
        <f t="shared" si="165"/>
        <v>0</v>
      </c>
      <c r="AR717" s="8">
        <f t="shared" si="166"/>
        <v>0</v>
      </c>
      <c r="AS717" s="42"/>
      <c r="AT717" s="48"/>
      <c r="AU717" s="48"/>
      <c r="AV717" s="4">
        <f t="shared" si="167"/>
        <v>0</v>
      </c>
      <c r="AW717" s="50" t="str">
        <f t="shared" si="171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56"/>
      <c r="B718" s="54"/>
      <c r="C718" s="56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54"/>
      <c r="O718" s="3" t="str">
        <f t="shared" si="161"/>
        <v/>
      </c>
      <c r="P718" s="48"/>
      <c r="Q718" s="48"/>
      <c r="R718" s="32"/>
      <c r="S718" s="3" t="str">
        <f t="shared" si="162"/>
        <v/>
      </c>
      <c r="T718" s="48"/>
      <c r="U718" s="48"/>
      <c r="V718" s="32"/>
      <c r="W718" s="3" t="str">
        <f t="shared" si="168"/>
        <v/>
      </c>
      <c r="X718" s="48"/>
      <c r="Y718" s="48"/>
      <c r="Z718" s="32"/>
      <c r="AA718" s="3" t="str">
        <f t="shared" si="169"/>
        <v/>
      </c>
      <c r="AB718" s="48"/>
      <c r="AC718" s="48"/>
      <c r="AD718" s="36"/>
      <c r="AE718" s="54"/>
      <c r="AF718" s="3" t="str">
        <f t="shared" si="170"/>
        <v/>
      </c>
      <c r="AG718" s="48"/>
      <c r="AH718" s="48"/>
      <c r="AI718" s="39"/>
      <c r="AJ718" s="79"/>
      <c r="AK718" s="39"/>
      <c r="AL718" s="4">
        <f t="shared" si="163"/>
        <v>0</v>
      </c>
      <c r="AM718" s="4">
        <f t="shared" si="163"/>
        <v>0</v>
      </c>
      <c r="AN718" s="4">
        <f t="shared" si="164"/>
        <v>0</v>
      </c>
      <c r="AO718" s="39"/>
      <c r="AP718" s="8">
        <f t="shared" si="165"/>
        <v>0</v>
      </c>
      <c r="AQ718" s="8">
        <f t="shared" si="165"/>
        <v>0</v>
      </c>
      <c r="AR718" s="8">
        <f t="shared" si="166"/>
        <v>0</v>
      </c>
      <c r="AS718" s="42"/>
      <c r="AT718" s="48"/>
      <c r="AU718" s="48"/>
      <c r="AV718" s="4">
        <f t="shared" si="167"/>
        <v>0</v>
      </c>
      <c r="AW718" s="50" t="str">
        <f t="shared" si="171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56"/>
      <c r="B719" s="54"/>
      <c r="C719" s="56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54"/>
      <c r="O719" s="3" t="str">
        <f t="shared" si="161"/>
        <v/>
      </c>
      <c r="P719" s="48"/>
      <c r="Q719" s="48"/>
      <c r="R719" s="32"/>
      <c r="S719" s="3" t="str">
        <f t="shared" si="162"/>
        <v/>
      </c>
      <c r="T719" s="48"/>
      <c r="U719" s="48"/>
      <c r="V719" s="32"/>
      <c r="W719" s="3" t="str">
        <f t="shared" si="168"/>
        <v/>
      </c>
      <c r="X719" s="48"/>
      <c r="Y719" s="48"/>
      <c r="Z719" s="32"/>
      <c r="AA719" s="3" t="str">
        <f t="shared" si="169"/>
        <v/>
      </c>
      <c r="AB719" s="48"/>
      <c r="AC719" s="48"/>
      <c r="AD719" s="36"/>
      <c r="AE719" s="54"/>
      <c r="AF719" s="3" t="str">
        <f t="shared" si="170"/>
        <v/>
      </c>
      <c r="AG719" s="48"/>
      <c r="AH719" s="48"/>
      <c r="AI719" s="39"/>
      <c r="AJ719" s="79"/>
      <c r="AK719" s="39"/>
      <c r="AL719" s="4">
        <f t="shared" si="163"/>
        <v>0</v>
      </c>
      <c r="AM719" s="4">
        <f t="shared" si="163"/>
        <v>0</v>
      </c>
      <c r="AN719" s="4">
        <f t="shared" si="164"/>
        <v>0</v>
      </c>
      <c r="AO719" s="39"/>
      <c r="AP719" s="8">
        <f t="shared" si="165"/>
        <v>0</v>
      </c>
      <c r="AQ719" s="8">
        <f t="shared" si="165"/>
        <v>0</v>
      </c>
      <c r="AR719" s="8">
        <f t="shared" si="166"/>
        <v>0</v>
      </c>
      <c r="AS719" s="42"/>
      <c r="AT719" s="48"/>
      <c r="AU719" s="48"/>
      <c r="AV719" s="4">
        <f t="shared" si="167"/>
        <v>0</v>
      </c>
      <c r="AW719" s="50" t="str">
        <f t="shared" si="171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56"/>
      <c r="B720" s="54"/>
      <c r="C720" s="56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54"/>
      <c r="O720" s="3" t="str">
        <f t="shared" si="161"/>
        <v/>
      </c>
      <c r="P720" s="48"/>
      <c r="Q720" s="48"/>
      <c r="R720" s="32"/>
      <c r="S720" s="3" t="str">
        <f t="shared" si="162"/>
        <v/>
      </c>
      <c r="T720" s="48"/>
      <c r="U720" s="48"/>
      <c r="V720" s="32"/>
      <c r="W720" s="3" t="str">
        <f t="shared" si="168"/>
        <v/>
      </c>
      <c r="X720" s="48"/>
      <c r="Y720" s="48"/>
      <c r="Z720" s="32"/>
      <c r="AA720" s="3" t="str">
        <f t="shared" si="169"/>
        <v/>
      </c>
      <c r="AB720" s="48"/>
      <c r="AC720" s="48"/>
      <c r="AD720" s="36"/>
      <c r="AE720" s="54"/>
      <c r="AF720" s="3" t="str">
        <f t="shared" si="170"/>
        <v/>
      </c>
      <c r="AG720" s="48"/>
      <c r="AH720" s="48"/>
      <c r="AI720" s="39"/>
      <c r="AJ720" s="79"/>
      <c r="AK720" s="39"/>
      <c r="AL720" s="4">
        <f t="shared" si="163"/>
        <v>0</v>
      </c>
      <c r="AM720" s="4">
        <f t="shared" si="163"/>
        <v>0</v>
      </c>
      <c r="AN720" s="4">
        <f t="shared" si="164"/>
        <v>0</v>
      </c>
      <c r="AO720" s="39"/>
      <c r="AP720" s="8">
        <f t="shared" si="165"/>
        <v>0</v>
      </c>
      <c r="AQ720" s="8">
        <f t="shared" si="165"/>
        <v>0</v>
      </c>
      <c r="AR720" s="8">
        <f t="shared" si="166"/>
        <v>0</v>
      </c>
      <c r="AS720" s="42"/>
      <c r="AT720" s="48"/>
      <c r="AU720" s="48"/>
      <c r="AV720" s="4">
        <f t="shared" si="167"/>
        <v>0</v>
      </c>
      <c r="AW720" s="50" t="str">
        <f t="shared" si="171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56"/>
      <c r="B721" s="54"/>
      <c r="C721" s="56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54"/>
      <c r="O721" s="3" t="str">
        <f t="shared" si="161"/>
        <v/>
      </c>
      <c r="P721" s="48"/>
      <c r="Q721" s="48"/>
      <c r="R721" s="32"/>
      <c r="S721" s="3" t="str">
        <f t="shared" si="162"/>
        <v/>
      </c>
      <c r="T721" s="48"/>
      <c r="U721" s="48"/>
      <c r="V721" s="32"/>
      <c r="W721" s="3" t="str">
        <f t="shared" si="168"/>
        <v/>
      </c>
      <c r="X721" s="48"/>
      <c r="Y721" s="48"/>
      <c r="Z721" s="32"/>
      <c r="AA721" s="3" t="str">
        <f t="shared" si="169"/>
        <v/>
      </c>
      <c r="AB721" s="48"/>
      <c r="AC721" s="48"/>
      <c r="AD721" s="36"/>
      <c r="AE721" s="54"/>
      <c r="AF721" s="3" t="str">
        <f t="shared" si="170"/>
        <v/>
      </c>
      <c r="AG721" s="48"/>
      <c r="AH721" s="48"/>
      <c r="AI721" s="39"/>
      <c r="AJ721" s="79"/>
      <c r="AK721" s="39"/>
      <c r="AL721" s="4">
        <f t="shared" si="163"/>
        <v>0</v>
      </c>
      <c r="AM721" s="4">
        <f t="shared" si="163"/>
        <v>0</v>
      </c>
      <c r="AN721" s="4">
        <f t="shared" si="164"/>
        <v>0</v>
      </c>
      <c r="AO721" s="39"/>
      <c r="AP721" s="8">
        <f t="shared" si="165"/>
        <v>0</v>
      </c>
      <c r="AQ721" s="8">
        <f t="shared" si="165"/>
        <v>0</v>
      </c>
      <c r="AR721" s="8">
        <f t="shared" si="166"/>
        <v>0</v>
      </c>
      <c r="AS721" s="42"/>
      <c r="AT721" s="48"/>
      <c r="AU721" s="48"/>
      <c r="AV721" s="4">
        <f t="shared" si="167"/>
        <v>0</v>
      </c>
      <c r="AW721" s="50" t="str">
        <f t="shared" si="171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56"/>
      <c r="B722" s="54"/>
      <c r="C722" s="56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54"/>
      <c r="O722" s="3" t="str">
        <f t="shared" si="161"/>
        <v/>
      </c>
      <c r="P722" s="48"/>
      <c r="Q722" s="48"/>
      <c r="R722" s="32"/>
      <c r="S722" s="3" t="str">
        <f t="shared" si="162"/>
        <v/>
      </c>
      <c r="T722" s="48"/>
      <c r="U722" s="48"/>
      <c r="V722" s="32"/>
      <c r="W722" s="3" t="str">
        <f t="shared" si="168"/>
        <v/>
      </c>
      <c r="X722" s="48"/>
      <c r="Y722" s="48"/>
      <c r="Z722" s="32"/>
      <c r="AA722" s="3" t="str">
        <f t="shared" si="169"/>
        <v/>
      </c>
      <c r="AB722" s="48"/>
      <c r="AC722" s="48"/>
      <c r="AD722" s="36"/>
      <c r="AE722" s="54"/>
      <c r="AF722" s="3" t="str">
        <f t="shared" si="170"/>
        <v/>
      </c>
      <c r="AG722" s="48"/>
      <c r="AH722" s="48"/>
      <c r="AI722" s="39"/>
      <c r="AJ722" s="79"/>
      <c r="AK722" s="39"/>
      <c r="AL722" s="4">
        <f t="shared" si="163"/>
        <v>0</v>
      </c>
      <c r="AM722" s="4">
        <f t="shared" si="163"/>
        <v>0</v>
      </c>
      <c r="AN722" s="4">
        <f t="shared" si="164"/>
        <v>0</v>
      </c>
      <c r="AO722" s="39"/>
      <c r="AP722" s="8">
        <f t="shared" si="165"/>
        <v>0</v>
      </c>
      <c r="AQ722" s="8">
        <f t="shared" si="165"/>
        <v>0</v>
      </c>
      <c r="AR722" s="8">
        <f t="shared" si="166"/>
        <v>0</v>
      </c>
      <c r="AS722" s="42"/>
      <c r="AT722" s="48"/>
      <c r="AU722" s="48"/>
      <c r="AV722" s="4">
        <f t="shared" si="167"/>
        <v>0</v>
      </c>
      <c r="AW722" s="50" t="str">
        <f t="shared" si="171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56"/>
      <c r="B723" s="54"/>
      <c r="C723" s="56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54"/>
      <c r="O723" s="3" t="str">
        <f t="shared" si="161"/>
        <v/>
      </c>
      <c r="P723" s="48"/>
      <c r="Q723" s="48"/>
      <c r="R723" s="32"/>
      <c r="S723" s="3" t="str">
        <f t="shared" si="162"/>
        <v/>
      </c>
      <c r="T723" s="48"/>
      <c r="U723" s="48"/>
      <c r="V723" s="32"/>
      <c r="W723" s="3" t="str">
        <f t="shared" si="168"/>
        <v/>
      </c>
      <c r="X723" s="48"/>
      <c r="Y723" s="48"/>
      <c r="Z723" s="32"/>
      <c r="AA723" s="3" t="str">
        <f t="shared" si="169"/>
        <v/>
      </c>
      <c r="AB723" s="48"/>
      <c r="AC723" s="48"/>
      <c r="AD723" s="36"/>
      <c r="AE723" s="54"/>
      <c r="AF723" s="3" t="str">
        <f t="shared" si="170"/>
        <v/>
      </c>
      <c r="AG723" s="48"/>
      <c r="AH723" s="48"/>
      <c r="AI723" s="39"/>
      <c r="AJ723" s="79"/>
      <c r="AK723" s="39"/>
      <c r="AL723" s="4">
        <f t="shared" si="163"/>
        <v>0</v>
      </c>
      <c r="AM723" s="4">
        <f t="shared" si="163"/>
        <v>0</v>
      </c>
      <c r="AN723" s="4">
        <f t="shared" si="164"/>
        <v>0</v>
      </c>
      <c r="AO723" s="39"/>
      <c r="AP723" s="8">
        <f t="shared" si="165"/>
        <v>0</v>
      </c>
      <c r="AQ723" s="8">
        <f t="shared" si="165"/>
        <v>0</v>
      </c>
      <c r="AR723" s="8">
        <f t="shared" si="166"/>
        <v>0</v>
      </c>
      <c r="AS723" s="42"/>
      <c r="AT723" s="48"/>
      <c r="AU723" s="48"/>
      <c r="AV723" s="4">
        <f t="shared" si="167"/>
        <v>0</v>
      </c>
      <c r="AW723" s="50" t="str">
        <f t="shared" si="171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56"/>
      <c r="B724" s="54"/>
      <c r="C724" s="56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54"/>
      <c r="O724" s="3" t="str">
        <f t="shared" si="161"/>
        <v/>
      </c>
      <c r="P724" s="48"/>
      <c r="Q724" s="48"/>
      <c r="R724" s="32"/>
      <c r="S724" s="3" t="str">
        <f t="shared" si="162"/>
        <v/>
      </c>
      <c r="T724" s="48"/>
      <c r="U724" s="48"/>
      <c r="V724" s="32"/>
      <c r="W724" s="3" t="str">
        <f t="shared" si="168"/>
        <v/>
      </c>
      <c r="X724" s="48"/>
      <c r="Y724" s="48"/>
      <c r="Z724" s="32"/>
      <c r="AA724" s="3" t="str">
        <f t="shared" si="169"/>
        <v/>
      </c>
      <c r="AB724" s="48"/>
      <c r="AC724" s="48"/>
      <c r="AD724" s="36"/>
      <c r="AE724" s="54"/>
      <c r="AF724" s="3" t="str">
        <f t="shared" si="170"/>
        <v/>
      </c>
      <c r="AG724" s="48"/>
      <c r="AH724" s="48"/>
      <c r="AI724" s="39"/>
      <c r="AJ724" s="79"/>
      <c r="AK724" s="39"/>
      <c r="AL724" s="4">
        <f t="shared" si="163"/>
        <v>0</v>
      </c>
      <c r="AM724" s="4">
        <f t="shared" si="163"/>
        <v>0</v>
      </c>
      <c r="AN724" s="4">
        <f t="shared" si="164"/>
        <v>0</v>
      </c>
      <c r="AO724" s="39"/>
      <c r="AP724" s="8">
        <f t="shared" si="165"/>
        <v>0</v>
      </c>
      <c r="AQ724" s="8">
        <f t="shared" si="165"/>
        <v>0</v>
      </c>
      <c r="AR724" s="8">
        <f t="shared" si="166"/>
        <v>0</v>
      </c>
      <c r="AS724" s="42"/>
      <c r="AT724" s="48"/>
      <c r="AU724" s="48"/>
      <c r="AV724" s="4">
        <f t="shared" si="167"/>
        <v>0</v>
      </c>
      <c r="AW724" s="50" t="str">
        <f t="shared" si="171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56"/>
      <c r="B725" s="54"/>
      <c r="C725" s="56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54"/>
      <c r="O725" s="3" t="str">
        <f t="shared" si="161"/>
        <v/>
      </c>
      <c r="P725" s="48"/>
      <c r="Q725" s="48"/>
      <c r="R725" s="32"/>
      <c r="S725" s="3" t="str">
        <f t="shared" si="162"/>
        <v/>
      </c>
      <c r="T725" s="48"/>
      <c r="U725" s="48"/>
      <c r="V725" s="32"/>
      <c r="W725" s="3" t="str">
        <f t="shared" si="168"/>
        <v/>
      </c>
      <c r="X725" s="48"/>
      <c r="Y725" s="48"/>
      <c r="Z725" s="32"/>
      <c r="AA725" s="3" t="str">
        <f t="shared" si="169"/>
        <v/>
      </c>
      <c r="AB725" s="48"/>
      <c r="AC725" s="48"/>
      <c r="AD725" s="36"/>
      <c r="AE725" s="54"/>
      <c r="AF725" s="3" t="str">
        <f t="shared" si="170"/>
        <v/>
      </c>
      <c r="AG725" s="48"/>
      <c r="AH725" s="48"/>
      <c r="AI725" s="39"/>
      <c r="AJ725" s="79"/>
      <c r="AK725" s="39"/>
      <c r="AL725" s="4">
        <f t="shared" si="163"/>
        <v>0</v>
      </c>
      <c r="AM725" s="4">
        <f t="shared" si="163"/>
        <v>0</v>
      </c>
      <c r="AN725" s="4">
        <f t="shared" si="164"/>
        <v>0</v>
      </c>
      <c r="AO725" s="39"/>
      <c r="AP725" s="8">
        <f t="shared" si="165"/>
        <v>0</v>
      </c>
      <c r="AQ725" s="8">
        <f t="shared" si="165"/>
        <v>0</v>
      </c>
      <c r="AR725" s="8">
        <f t="shared" si="166"/>
        <v>0</v>
      </c>
      <c r="AS725" s="42"/>
      <c r="AT725" s="48"/>
      <c r="AU725" s="48"/>
      <c r="AV725" s="4">
        <f t="shared" si="167"/>
        <v>0</v>
      </c>
      <c r="AW725" s="50" t="str">
        <f t="shared" si="171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56"/>
      <c r="B726" s="54"/>
      <c r="C726" s="56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54"/>
      <c r="O726" s="3" t="str">
        <f t="shared" si="161"/>
        <v/>
      </c>
      <c r="P726" s="48"/>
      <c r="Q726" s="48"/>
      <c r="R726" s="32"/>
      <c r="S726" s="3" t="str">
        <f t="shared" si="162"/>
        <v/>
      </c>
      <c r="T726" s="48"/>
      <c r="U726" s="48"/>
      <c r="V726" s="32"/>
      <c r="W726" s="3" t="str">
        <f t="shared" si="168"/>
        <v/>
      </c>
      <c r="X726" s="48"/>
      <c r="Y726" s="48"/>
      <c r="Z726" s="32"/>
      <c r="AA726" s="3" t="str">
        <f t="shared" si="169"/>
        <v/>
      </c>
      <c r="AB726" s="48"/>
      <c r="AC726" s="48"/>
      <c r="AD726" s="36"/>
      <c r="AE726" s="54"/>
      <c r="AF726" s="3" t="str">
        <f t="shared" si="170"/>
        <v/>
      </c>
      <c r="AG726" s="48"/>
      <c r="AH726" s="48"/>
      <c r="AI726" s="39"/>
      <c r="AJ726" s="79"/>
      <c r="AK726" s="39"/>
      <c r="AL726" s="4">
        <f t="shared" si="163"/>
        <v>0</v>
      </c>
      <c r="AM726" s="4">
        <f t="shared" si="163"/>
        <v>0</v>
      </c>
      <c r="AN726" s="4">
        <f t="shared" si="164"/>
        <v>0</v>
      </c>
      <c r="AO726" s="39"/>
      <c r="AP726" s="8">
        <f t="shared" si="165"/>
        <v>0</v>
      </c>
      <c r="AQ726" s="8">
        <f t="shared" si="165"/>
        <v>0</v>
      </c>
      <c r="AR726" s="8">
        <f t="shared" si="166"/>
        <v>0</v>
      </c>
      <c r="AS726" s="42"/>
      <c r="AT726" s="48"/>
      <c r="AU726" s="48"/>
      <c r="AV726" s="4">
        <f t="shared" si="167"/>
        <v>0</v>
      </c>
      <c r="AW726" s="50" t="str">
        <f t="shared" si="171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56"/>
      <c r="B727" s="54"/>
      <c r="C727" s="56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54"/>
      <c r="O727" s="3" t="str">
        <f t="shared" si="161"/>
        <v/>
      </c>
      <c r="P727" s="48"/>
      <c r="Q727" s="48"/>
      <c r="R727" s="32"/>
      <c r="S727" s="3" t="str">
        <f t="shared" si="162"/>
        <v/>
      </c>
      <c r="T727" s="48"/>
      <c r="U727" s="48"/>
      <c r="V727" s="32"/>
      <c r="W727" s="3" t="str">
        <f t="shared" si="168"/>
        <v/>
      </c>
      <c r="X727" s="48"/>
      <c r="Y727" s="48"/>
      <c r="Z727" s="32"/>
      <c r="AA727" s="3" t="str">
        <f t="shared" si="169"/>
        <v/>
      </c>
      <c r="AB727" s="48"/>
      <c r="AC727" s="48"/>
      <c r="AD727" s="36"/>
      <c r="AE727" s="54"/>
      <c r="AF727" s="3" t="str">
        <f t="shared" si="170"/>
        <v/>
      </c>
      <c r="AG727" s="48"/>
      <c r="AH727" s="48"/>
      <c r="AI727" s="39"/>
      <c r="AJ727" s="79"/>
      <c r="AK727" s="39"/>
      <c r="AL727" s="4">
        <f t="shared" si="163"/>
        <v>0</v>
      </c>
      <c r="AM727" s="4">
        <f t="shared" si="163"/>
        <v>0</v>
      </c>
      <c r="AN727" s="4">
        <f t="shared" si="164"/>
        <v>0</v>
      </c>
      <c r="AO727" s="39"/>
      <c r="AP727" s="8">
        <f t="shared" si="165"/>
        <v>0</v>
      </c>
      <c r="AQ727" s="8">
        <f t="shared" si="165"/>
        <v>0</v>
      </c>
      <c r="AR727" s="8">
        <f t="shared" si="166"/>
        <v>0</v>
      </c>
      <c r="AS727" s="42"/>
      <c r="AT727" s="48"/>
      <c r="AU727" s="48"/>
      <c r="AV727" s="4">
        <f t="shared" si="167"/>
        <v>0</v>
      </c>
      <c r="AW727" s="50" t="str">
        <f t="shared" si="171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56"/>
      <c r="B728" s="54"/>
      <c r="C728" s="56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54"/>
      <c r="O728" s="3" t="str">
        <f t="shared" si="161"/>
        <v/>
      </c>
      <c r="P728" s="48"/>
      <c r="Q728" s="48"/>
      <c r="R728" s="32"/>
      <c r="S728" s="3" t="str">
        <f t="shared" si="162"/>
        <v/>
      </c>
      <c r="T728" s="48"/>
      <c r="U728" s="48"/>
      <c r="V728" s="32"/>
      <c r="W728" s="3" t="str">
        <f t="shared" si="168"/>
        <v/>
      </c>
      <c r="X728" s="48"/>
      <c r="Y728" s="48"/>
      <c r="Z728" s="32"/>
      <c r="AA728" s="3" t="str">
        <f t="shared" si="169"/>
        <v/>
      </c>
      <c r="AB728" s="48"/>
      <c r="AC728" s="48"/>
      <c r="AD728" s="36"/>
      <c r="AE728" s="54"/>
      <c r="AF728" s="3" t="str">
        <f t="shared" si="170"/>
        <v/>
      </c>
      <c r="AG728" s="48"/>
      <c r="AH728" s="48"/>
      <c r="AI728" s="39"/>
      <c r="AJ728" s="79"/>
      <c r="AK728" s="39"/>
      <c r="AL728" s="4">
        <f t="shared" si="163"/>
        <v>0</v>
      </c>
      <c r="AM728" s="4">
        <f t="shared" si="163"/>
        <v>0</v>
      </c>
      <c r="AN728" s="4">
        <f t="shared" si="164"/>
        <v>0</v>
      </c>
      <c r="AO728" s="39"/>
      <c r="AP728" s="8">
        <f t="shared" si="165"/>
        <v>0</v>
      </c>
      <c r="AQ728" s="8">
        <f t="shared" si="165"/>
        <v>0</v>
      </c>
      <c r="AR728" s="8">
        <f t="shared" si="166"/>
        <v>0</v>
      </c>
      <c r="AS728" s="42"/>
      <c r="AT728" s="48"/>
      <c r="AU728" s="48"/>
      <c r="AV728" s="4">
        <f t="shared" si="167"/>
        <v>0</v>
      </c>
      <c r="AW728" s="50" t="str">
        <f t="shared" si="171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56"/>
      <c r="B729" s="54"/>
      <c r="C729" s="56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54"/>
      <c r="O729" s="3" t="str">
        <f t="shared" si="161"/>
        <v/>
      </c>
      <c r="P729" s="48"/>
      <c r="Q729" s="48"/>
      <c r="R729" s="32"/>
      <c r="S729" s="3" t="str">
        <f t="shared" si="162"/>
        <v/>
      </c>
      <c r="T729" s="48"/>
      <c r="U729" s="48"/>
      <c r="V729" s="32"/>
      <c r="W729" s="3" t="str">
        <f t="shared" si="168"/>
        <v/>
      </c>
      <c r="X729" s="48"/>
      <c r="Y729" s="48"/>
      <c r="Z729" s="32"/>
      <c r="AA729" s="3" t="str">
        <f t="shared" si="169"/>
        <v/>
      </c>
      <c r="AB729" s="48"/>
      <c r="AC729" s="48"/>
      <c r="AD729" s="36"/>
      <c r="AE729" s="54"/>
      <c r="AF729" s="3" t="str">
        <f t="shared" si="170"/>
        <v/>
      </c>
      <c r="AG729" s="48"/>
      <c r="AH729" s="48"/>
      <c r="AI729" s="39"/>
      <c r="AJ729" s="79"/>
      <c r="AK729" s="39"/>
      <c r="AL729" s="4">
        <f t="shared" si="163"/>
        <v>0</v>
      </c>
      <c r="AM729" s="4">
        <f t="shared" si="163"/>
        <v>0</v>
      </c>
      <c r="AN729" s="4">
        <f t="shared" si="164"/>
        <v>0</v>
      </c>
      <c r="AO729" s="39"/>
      <c r="AP729" s="8">
        <f t="shared" si="165"/>
        <v>0</v>
      </c>
      <c r="AQ729" s="8">
        <f t="shared" si="165"/>
        <v>0</v>
      </c>
      <c r="AR729" s="8">
        <f t="shared" si="166"/>
        <v>0</v>
      </c>
      <c r="AS729" s="42"/>
      <c r="AT729" s="48"/>
      <c r="AU729" s="48"/>
      <c r="AV729" s="4">
        <f t="shared" si="167"/>
        <v>0</v>
      </c>
      <c r="AW729" s="50" t="str">
        <f t="shared" si="171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56"/>
      <c r="B730" s="54"/>
      <c r="C730" s="56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54"/>
      <c r="O730" s="3" t="str">
        <f t="shared" si="161"/>
        <v/>
      </c>
      <c r="P730" s="48"/>
      <c r="Q730" s="48"/>
      <c r="R730" s="32"/>
      <c r="S730" s="3" t="str">
        <f t="shared" si="162"/>
        <v/>
      </c>
      <c r="T730" s="48"/>
      <c r="U730" s="48"/>
      <c r="V730" s="32"/>
      <c r="W730" s="3" t="str">
        <f t="shared" si="168"/>
        <v/>
      </c>
      <c r="X730" s="48"/>
      <c r="Y730" s="48"/>
      <c r="Z730" s="32"/>
      <c r="AA730" s="3" t="str">
        <f t="shared" si="169"/>
        <v/>
      </c>
      <c r="AB730" s="48"/>
      <c r="AC730" s="48"/>
      <c r="AD730" s="36"/>
      <c r="AE730" s="54"/>
      <c r="AF730" s="3" t="str">
        <f t="shared" si="170"/>
        <v/>
      </c>
      <c r="AG730" s="48"/>
      <c r="AH730" s="48"/>
      <c r="AI730" s="39"/>
      <c r="AJ730" s="79"/>
      <c r="AK730" s="39"/>
      <c r="AL730" s="4">
        <f t="shared" si="163"/>
        <v>0</v>
      </c>
      <c r="AM730" s="4">
        <f t="shared" si="163"/>
        <v>0</v>
      </c>
      <c r="AN730" s="4">
        <f t="shared" si="164"/>
        <v>0</v>
      </c>
      <c r="AO730" s="39"/>
      <c r="AP730" s="8">
        <f t="shared" si="165"/>
        <v>0</v>
      </c>
      <c r="AQ730" s="8">
        <f t="shared" si="165"/>
        <v>0</v>
      </c>
      <c r="AR730" s="8">
        <f t="shared" si="166"/>
        <v>0</v>
      </c>
      <c r="AS730" s="42"/>
      <c r="AT730" s="48"/>
      <c r="AU730" s="48"/>
      <c r="AV730" s="4">
        <f t="shared" si="167"/>
        <v>0</v>
      </c>
      <c r="AW730" s="50" t="str">
        <f t="shared" si="171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56"/>
      <c r="B731" s="54"/>
      <c r="C731" s="56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54"/>
      <c r="O731" s="3" t="str">
        <f t="shared" si="161"/>
        <v/>
      </c>
      <c r="P731" s="48"/>
      <c r="Q731" s="48"/>
      <c r="R731" s="32"/>
      <c r="S731" s="3" t="str">
        <f t="shared" si="162"/>
        <v/>
      </c>
      <c r="T731" s="48"/>
      <c r="U731" s="48"/>
      <c r="V731" s="32"/>
      <c r="W731" s="3" t="str">
        <f t="shared" si="168"/>
        <v/>
      </c>
      <c r="X731" s="48"/>
      <c r="Y731" s="48"/>
      <c r="Z731" s="32"/>
      <c r="AA731" s="3" t="str">
        <f t="shared" si="169"/>
        <v/>
      </c>
      <c r="AB731" s="48"/>
      <c r="AC731" s="48"/>
      <c r="AD731" s="36"/>
      <c r="AE731" s="54"/>
      <c r="AF731" s="3" t="str">
        <f t="shared" si="170"/>
        <v/>
      </c>
      <c r="AG731" s="48"/>
      <c r="AH731" s="48"/>
      <c r="AI731" s="39"/>
      <c r="AJ731" s="79"/>
      <c r="AK731" s="39"/>
      <c r="AL731" s="4">
        <f t="shared" si="163"/>
        <v>0</v>
      </c>
      <c r="AM731" s="4">
        <f t="shared" si="163"/>
        <v>0</v>
      </c>
      <c r="AN731" s="4">
        <f t="shared" si="164"/>
        <v>0</v>
      </c>
      <c r="AO731" s="39"/>
      <c r="AP731" s="8">
        <f t="shared" si="165"/>
        <v>0</v>
      </c>
      <c r="AQ731" s="8">
        <f t="shared" si="165"/>
        <v>0</v>
      </c>
      <c r="AR731" s="8">
        <f t="shared" si="166"/>
        <v>0</v>
      </c>
      <c r="AS731" s="42"/>
      <c r="AT731" s="48"/>
      <c r="AU731" s="48"/>
      <c r="AV731" s="4">
        <f t="shared" si="167"/>
        <v>0</v>
      </c>
      <c r="AW731" s="50" t="str">
        <f t="shared" si="171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56"/>
      <c r="B732" s="54"/>
      <c r="C732" s="56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54"/>
      <c r="O732" s="3" t="str">
        <f t="shared" si="161"/>
        <v/>
      </c>
      <c r="P732" s="48"/>
      <c r="Q732" s="48"/>
      <c r="R732" s="32"/>
      <c r="S732" s="3" t="str">
        <f t="shared" si="162"/>
        <v/>
      </c>
      <c r="T732" s="48"/>
      <c r="U732" s="48"/>
      <c r="V732" s="32"/>
      <c r="W732" s="3" t="str">
        <f t="shared" si="168"/>
        <v/>
      </c>
      <c r="X732" s="48"/>
      <c r="Y732" s="48"/>
      <c r="Z732" s="32"/>
      <c r="AA732" s="3" t="str">
        <f t="shared" si="169"/>
        <v/>
      </c>
      <c r="AB732" s="48"/>
      <c r="AC732" s="48"/>
      <c r="AD732" s="36"/>
      <c r="AE732" s="54"/>
      <c r="AF732" s="3" t="str">
        <f t="shared" si="170"/>
        <v/>
      </c>
      <c r="AG732" s="48"/>
      <c r="AH732" s="48"/>
      <c r="AI732" s="39"/>
      <c r="AJ732" s="79"/>
      <c r="AK732" s="39"/>
      <c r="AL732" s="4">
        <f t="shared" si="163"/>
        <v>0</v>
      </c>
      <c r="AM732" s="4">
        <f t="shared" si="163"/>
        <v>0</v>
      </c>
      <c r="AN732" s="4">
        <f t="shared" si="164"/>
        <v>0</v>
      </c>
      <c r="AO732" s="39"/>
      <c r="AP732" s="8">
        <f t="shared" si="165"/>
        <v>0</v>
      </c>
      <c r="AQ732" s="8">
        <f t="shared" si="165"/>
        <v>0</v>
      </c>
      <c r="AR732" s="8">
        <f t="shared" si="166"/>
        <v>0</v>
      </c>
      <c r="AS732" s="42"/>
      <c r="AT732" s="48"/>
      <c r="AU732" s="48"/>
      <c r="AV732" s="4">
        <f t="shared" si="167"/>
        <v>0</v>
      </c>
      <c r="AW732" s="50" t="str">
        <f t="shared" si="171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56"/>
      <c r="B733" s="54"/>
      <c r="C733" s="56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54"/>
      <c r="O733" s="3" t="str">
        <f t="shared" si="161"/>
        <v/>
      </c>
      <c r="P733" s="48"/>
      <c r="Q733" s="48"/>
      <c r="R733" s="32"/>
      <c r="S733" s="3" t="str">
        <f t="shared" si="162"/>
        <v/>
      </c>
      <c r="T733" s="48"/>
      <c r="U733" s="48"/>
      <c r="V733" s="32"/>
      <c r="W733" s="3" t="str">
        <f t="shared" si="168"/>
        <v/>
      </c>
      <c r="X733" s="48"/>
      <c r="Y733" s="48"/>
      <c r="Z733" s="32"/>
      <c r="AA733" s="3" t="str">
        <f t="shared" si="169"/>
        <v/>
      </c>
      <c r="AB733" s="48"/>
      <c r="AC733" s="48"/>
      <c r="AD733" s="36"/>
      <c r="AE733" s="54"/>
      <c r="AF733" s="3" t="str">
        <f t="shared" si="170"/>
        <v/>
      </c>
      <c r="AG733" s="48"/>
      <c r="AH733" s="48"/>
      <c r="AI733" s="39"/>
      <c r="AJ733" s="79"/>
      <c r="AK733" s="39"/>
      <c r="AL733" s="4">
        <f t="shared" si="163"/>
        <v>0</v>
      </c>
      <c r="AM733" s="4">
        <f t="shared" si="163"/>
        <v>0</v>
      </c>
      <c r="AN733" s="4">
        <f t="shared" si="164"/>
        <v>0</v>
      </c>
      <c r="AO733" s="39"/>
      <c r="AP733" s="8">
        <f t="shared" si="165"/>
        <v>0</v>
      </c>
      <c r="AQ733" s="8">
        <f t="shared" si="165"/>
        <v>0</v>
      </c>
      <c r="AR733" s="8">
        <f t="shared" si="166"/>
        <v>0</v>
      </c>
      <c r="AS733" s="42"/>
      <c r="AT733" s="48"/>
      <c r="AU733" s="48"/>
      <c r="AV733" s="4">
        <f t="shared" si="167"/>
        <v>0</v>
      </c>
      <c r="AW733" s="50" t="str">
        <f t="shared" si="171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56"/>
      <c r="B734" s="54"/>
      <c r="C734" s="56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54"/>
      <c r="O734" s="3" t="str">
        <f t="shared" si="161"/>
        <v/>
      </c>
      <c r="P734" s="48"/>
      <c r="Q734" s="48"/>
      <c r="R734" s="32"/>
      <c r="S734" s="3" t="str">
        <f t="shared" si="162"/>
        <v/>
      </c>
      <c r="T734" s="48"/>
      <c r="U734" s="48"/>
      <c r="V734" s="32"/>
      <c r="W734" s="3" t="str">
        <f t="shared" si="168"/>
        <v/>
      </c>
      <c r="X734" s="48"/>
      <c r="Y734" s="48"/>
      <c r="Z734" s="32"/>
      <c r="AA734" s="3" t="str">
        <f t="shared" si="169"/>
        <v/>
      </c>
      <c r="AB734" s="48"/>
      <c r="AC734" s="48"/>
      <c r="AD734" s="36"/>
      <c r="AE734" s="54"/>
      <c r="AF734" s="3" t="str">
        <f t="shared" si="170"/>
        <v/>
      </c>
      <c r="AG734" s="48"/>
      <c r="AH734" s="48"/>
      <c r="AI734" s="39"/>
      <c r="AJ734" s="79"/>
      <c r="AK734" s="39"/>
      <c r="AL734" s="4">
        <f t="shared" si="163"/>
        <v>0</v>
      </c>
      <c r="AM734" s="4">
        <f t="shared" si="163"/>
        <v>0</v>
      </c>
      <c r="AN734" s="4">
        <f t="shared" si="164"/>
        <v>0</v>
      </c>
      <c r="AO734" s="39"/>
      <c r="AP734" s="8">
        <f t="shared" si="165"/>
        <v>0</v>
      </c>
      <c r="AQ734" s="8">
        <f t="shared" si="165"/>
        <v>0</v>
      </c>
      <c r="AR734" s="8">
        <f t="shared" si="166"/>
        <v>0</v>
      </c>
      <c r="AS734" s="42"/>
      <c r="AT734" s="48"/>
      <c r="AU734" s="48"/>
      <c r="AV734" s="4">
        <f t="shared" si="167"/>
        <v>0</v>
      </c>
      <c r="AW734" s="50" t="str">
        <f t="shared" si="171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56"/>
      <c r="B735" s="54"/>
      <c r="C735" s="56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54"/>
      <c r="O735" s="3" t="str">
        <f t="shared" si="161"/>
        <v/>
      </c>
      <c r="P735" s="48"/>
      <c r="Q735" s="48"/>
      <c r="R735" s="32"/>
      <c r="S735" s="3" t="str">
        <f t="shared" si="162"/>
        <v/>
      </c>
      <c r="T735" s="48"/>
      <c r="U735" s="48"/>
      <c r="V735" s="32"/>
      <c r="W735" s="3" t="str">
        <f t="shared" si="168"/>
        <v/>
      </c>
      <c r="X735" s="48"/>
      <c r="Y735" s="48"/>
      <c r="Z735" s="32"/>
      <c r="AA735" s="3" t="str">
        <f t="shared" si="169"/>
        <v/>
      </c>
      <c r="AB735" s="48"/>
      <c r="AC735" s="48"/>
      <c r="AD735" s="36"/>
      <c r="AE735" s="54"/>
      <c r="AF735" s="3" t="str">
        <f t="shared" si="170"/>
        <v/>
      </c>
      <c r="AG735" s="48"/>
      <c r="AH735" s="48"/>
      <c r="AI735" s="39"/>
      <c r="AJ735" s="79"/>
      <c r="AK735" s="39"/>
      <c r="AL735" s="4">
        <f t="shared" si="163"/>
        <v>0</v>
      </c>
      <c r="AM735" s="4">
        <f t="shared" si="163"/>
        <v>0</v>
      </c>
      <c r="AN735" s="4">
        <f t="shared" si="164"/>
        <v>0</v>
      </c>
      <c r="AO735" s="39"/>
      <c r="AP735" s="8">
        <f t="shared" si="165"/>
        <v>0</v>
      </c>
      <c r="AQ735" s="8">
        <f t="shared" si="165"/>
        <v>0</v>
      </c>
      <c r="AR735" s="8">
        <f t="shared" si="166"/>
        <v>0</v>
      </c>
      <c r="AS735" s="42"/>
      <c r="AT735" s="48"/>
      <c r="AU735" s="48"/>
      <c r="AV735" s="4">
        <f t="shared" si="167"/>
        <v>0</v>
      </c>
      <c r="AW735" s="50" t="str">
        <f t="shared" si="171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56"/>
      <c r="B736" s="54"/>
      <c r="C736" s="56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54"/>
      <c r="O736" s="3" t="str">
        <f t="shared" si="161"/>
        <v/>
      </c>
      <c r="P736" s="48"/>
      <c r="Q736" s="48"/>
      <c r="R736" s="32"/>
      <c r="S736" s="3" t="str">
        <f t="shared" si="162"/>
        <v/>
      </c>
      <c r="T736" s="48"/>
      <c r="U736" s="48"/>
      <c r="V736" s="32"/>
      <c r="W736" s="3" t="str">
        <f t="shared" si="168"/>
        <v/>
      </c>
      <c r="X736" s="48"/>
      <c r="Y736" s="48"/>
      <c r="Z736" s="32"/>
      <c r="AA736" s="3" t="str">
        <f t="shared" si="169"/>
        <v/>
      </c>
      <c r="AB736" s="48"/>
      <c r="AC736" s="48"/>
      <c r="AD736" s="36"/>
      <c r="AE736" s="54"/>
      <c r="AF736" s="3" t="str">
        <f t="shared" si="170"/>
        <v/>
      </c>
      <c r="AG736" s="48"/>
      <c r="AH736" s="48"/>
      <c r="AI736" s="39"/>
      <c r="AJ736" s="79"/>
      <c r="AK736" s="39"/>
      <c r="AL736" s="4">
        <f t="shared" si="163"/>
        <v>0</v>
      </c>
      <c r="AM736" s="4">
        <f t="shared" si="163"/>
        <v>0</v>
      </c>
      <c r="AN736" s="4">
        <f t="shared" si="164"/>
        <v>0</v>
      </c>
      <c r="AO736" s="39"/>
      <c r="AP736" s="8">
        <f t="shared" si="165"/>
        <v>0</v>
      </c>
      <c r="AQ736" s="8">
        <f t="shared" si="165"/>
        <v>0</v>
      </c>
      <c r="AR736" s="8">
        <f t="shared" si="166"/>
        <v>0</v>
      </c>
      <c r="AS736" s="42"/>
      <c r="AT736" s="48"/>
      <c r="AU736" s="48"/>
      <c r="AV736" s="4">
        <f t="shared" si="167"/>
        <v>0</v>
      </c>
      <c r="AW736" s="50" t="str">
        <f t="shared" si="171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56"/>
      <c r="B737" s="54"/>
      <c r="C737" s="56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54"/>
      <c r="O737" s="3" t="str">
        <f t="shared" si="161"/>
        <v/>
      </c>
      <c r="P737" s="48"/>
      <c r="Q737" s="48"/>
      <c r="R737" s="32"/>
      <c r="S737" s="3" t="str">
        <f t="shared" si="162"/>
        <v/>
      </c>
      <c r="T737" s="48"/>
      <c r="U737" s="48"/>
      <c r="V737" s="32"/>
      <c r="W737" s="3" t="str">
        <f t="shared" si="168"/>
        <v/>
      </c>
      <c r="X737" s="48"/>
      <c r="Y737" s="48"/>
      <c r="Z737" s="32"/>
      <c r="AA737" s="3" t="str">
        <f t="shared" si="169"/>
        <v/>
      </c>
      <c r="AB737" s="48"/>
      <c r="AC737" s="48"/>
      <c r="AD737" s="36"/>
      <c r="AE737" s="54"/>
      <c r="AF737" s="3" t="str">
        <f t="shared" si="170"/>
        <v/>
      </c>
      <c r="AG737" s="48"/>
      <c r="AH737" s="48"/>
      <c r="AI737" s="39"/>
      <c r="AJ737" s="79"/>
      <c r="AK737" s="39"/>
      <c r="AL737" s="4">
        <f t="shared" si="163"/>
        <v>0</v>
      </c>
      <c r="AM737" s="4">
        <f t="shared" si="163"/>
        <v>0</v>
      </c>
      <c r="AN737" s="4">
        <f t="shared" si="164"/>
        <v>0</v>
      </c>
      <c r="AO737" s="39"/>
      <c r="AP737" s="8">
        <f t="shared" si="165"/>
        <v>0</v>
      </c>
      <c r="AQ737" s="8">
        <f t="shared" si="165"/>
        <v>0</v>
      </c>
      <c r="AR737" s="8">
        <f t="shared" si="166"/>
        <v>0</v>
      </c>
      <c r="AS737" s="42"/>
      <c r="AT737" s="48"/>
      <c r="AU737" s="48"/>
      <c r="AV737" s="4">
        <f t="shared" si="167"/>
        <v>0</v>
      </c>
      <c r="AW737" s="50" t="str">
        <f t="shared" si="171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56"/>
      <c r="B738" s="54"/>
      <c r="C738" s="56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54"/>
      <c r="O738" s="3" t="str">
        <f t="shared" si="161"/>
        <v/>
      </c>
      <c r="P738" s="48"/>
      <c r="Q738" s="48"/>
      <c r="R738" s="32"/>
      <c r="S738" s="3" t="str">
        <f t="shared" si="162"/>
        <v/>
      </c>
      <c r="T738" s="48"/>
      <c r="U738" s="48"/>
      <c r="V738" s="32"/>
      <c r="W738" s="3" t="str">
        <f t="shared" si="168"/>
        <v/>
      </c>
      <c r="X738" s="48"/>
      <c r="Y738" s="48"/>
      <c r="Z738" s="32"/>
      <c r="AA738" s="3" t="str">
        <f t="shared" si="169"/>
        <v/>
      </c>
      <c r="AB738" s="48"/>
      <c r="AC738" s="48"/>
      <c r="AD738" s="36"/>
      <c r="AE738" s="54"/>
      <c r="AF738" s="3" t="str">
        <f t="shared" si="170"/>
        <v/>
      </c>
      <c r="AG738" s="48"/>
      <c r="AH738" s="48"/>
      <c r="AI738" s="39"/>
      <c r="AJ738" s="79"/>
      <c r="AK738" s="39"/>
      <c r="AL738" s="4">
        <f t="shared" si="163"/>
        <v>0</v>
      </c>
      <c r="AM738" s="4">
        <f t="shared" si="163"/>
        <v>0</v>
      </c>
      <c r="AN738" s="4">
        <f t="shared" si="164"/>
        <v>0</v>
      </c>
      <c r="AO738" s="39"/>
      <c r="AP738" s="8">
        <f t="shared" si="165"/>
        <v>0</v>
      </c>
      <c r="AQ738" s="8">
        <f t="shared" si="165"/>
        <v>0</v>
      </c>
      <c r="AR738" s="8">
        <f t="shared" si="166"/>
        <v>0</v>
      </c>
      <c r="AS738" s="42"/>
      <c r="AT738" s="48"/>
      <c r="AU738" s="48"/>
      <c r="AV738" s="4">
        <f t="shared" si="167"/>
        <v>0</v>
      </c>
      <c r="AW738" s="50" t="str">
        <f t="shared" si="171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56"/>
      <c r="B739" s="54"/>
      <c r="C739" s="56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54"/>
      <c r="O739" s="3" t="str">
        <f t="shared" si="161"/>
        <v/>
      </c>
      <c r="P739" s="48"/>
      <c r="Q739" s="48"/>
      <c r="R739" s="32"/>
      <c r="S739" s="3" t="str">
        <f t="shared" si="162"/>
        <v/>
      </c>
      <c r="T739" s="48"/>
      <c r="U739" s="48"/>
      <c r="V739" s="32"/>
      <c r="W739" s="3" t="str">
        <f t="shared" si="168"/>
        <v/>
      </c>
      <c r="X739" s="48"/>
      <c r="Y739" s="48"/>
      <c r="Z739" s="32"/>
      <c r="AA739" s="3" t="str">
        <f t="shared" si="169"/>
        <v/>
      </c>
      <c r="AB739" s="48"/>
      <c r="AC739" s="48"/>
      <c r="AD739" s="36"/>
      <c r="AE739" s="54"/>
      <c r="AF739" s="3" t="str">
        <f t="shared" si="170"/>
        <v/>
      </c>
      <c r="AG739" s="48"/>
      <c r="AH739" s="48"/>
      <c r="AI739" s="39"/>
      <c r="AJ739" s="79"/>
      <c r="AK739" s="39"/>
      <c r="AL739" s="4">
        <f t="shared" si="163"/>
        <v>0</v>
      </c>
      <c r="AM739" s="4">
        <f t="shared" si="163"/>
        <v>0</v>
      </c>
      <c r="AN739" s="4">
        <f t="shared" si="164"/>
        <v>0</v>
      </c>
      <c r="AO739" s="39"/>
      <c r="AP739" s="8">
        <f t="shared" si="165"/>
        <v>0</v>
      </c>
      <c r="AQ739" s="8">
        <f t="shared" si="165"/>
        <v>0</v>
      </c>
      <c r="AR739" s="8">
        <f t="shared" si="166"/>
        <v>0</v>
      </c>
      <c r="AS739" s="42"/>
      <c r="AT739" s="48"/>
      <c r="AU739" s="48"/>
      <c r="AV739" s="4">
        <f t="shared" si="167"/>
        <v>0</v>
      </c>
      <c r="AW739" s="50" t="str">
        <f t="shared" si="171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56"/>
      <c r="B740" s="54"/>
      <c r="C740" s="56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54"/>
      <c r="O740" s="3" t="str">
        <f t="shared" si="161"/>
        <v/>
      </c>
      <c r="P740" s="48"/>
      <c r="Q740" s="48"/>
      <c r="R740" s="32"/>
      <c r="S740" s="3" t="str">
        <f t="shared" si="162"/>
        <v/>
      </c>
      <c r="T740" s="48"/>
      <c r="U740" s="48"/>
      <c r="V740" s="32"/>
      <c r="W740" s="3" t="str">
        <f t="shared" si="168"/>
        <v/>
      </c>
      <c r="X740" s="48"/>
      <c r="Y740" s="48"/>
      <c r="Z740" s="32"/>
      <c r="AA740" s="3" t="str">
        <f t="shared" si="169"/>
        <v/>
      </c>
      <c r="AB740" s="48"/>
      <c r="AC740" s="48"/>
      <c r="AD740" s="36"/>
      <c r="AE740" s="54"/>
      <c r="AF740" s="3" t="str">
        <f t="shared" si="170"/>
        <v/>
      </c>
      <c r="AG740" s="48"/>
      <c r="AH740" s="48"/>
      <c r="AI740" s="39"/>
      <c r="AJ740" s="79"/>
      <c r="AK740" s="39"/>
      <c r="AL740" s="4">
        <f t="shared" si="163"/>
        <v>0</v>
      </c>
      <c r="AM740" s="4">
        <f t="shared" si="163"/>
        <v>0</v>
      </c>
      <c r="AN740" s="4">
        <f t="shared" si="164"/>
        <v>0</v>
      </c>
      <c r="AO740" s="39"/>
      <c r="AP740" s="8">
        <f t="shared" si="165"/>
        <v>0</v>
      </c>
      <c r="AQ740" s="8">
        <f t="shared" si="165"/>
        <v>0</v>
      </c>
      <c r="AR740" s="8">
        <f t="shared" si="166"/>
        <v>0</v>
      </c>
      <c r="AS740" s="42"/>
      <c r="AT740" s="48"/>
      <c r="AU740" s="48"/>
      <c r="AV740" s="4">
        <f t="shared" si="167"/>
        <v>0</v>
      </c>
      <c r="AW740" s="50" t="str">
        <f t="shared" si="171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56"/>
      <c r="B741" s="54"/>
      <c r="C741" s="56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54"/>
      <c r="O741" s="3" t="str">
        <f t="shared" si="161"/>
        <v/>
      </c>
      <c r="P741" s="48"/>
      <c r="Q741" s="48"/>
      <c r="R741" s="32"/>
      <c r="S741" s="3" t="str">
        <f t="shared" si="162"/>
        <v/>
      </c>
      <c r="T741" s="48"/>
      <c r="U741" s="48"/>
      <c r="V741" s="32"/>
      <c r="W741" s="3" t="str">
        <f t="shared" si="168"/>
        <v/>
      </c>
      <c r="X741" s="48"/>
      <c r="Y741" s="48"/>
      <c r="Z741" s="32"/>
      <c r="AA741" s="3" t="str">
        <f t="shared" si="169"/>
        <v/>
      </c>
      <c r="AB741" s="48"/>
      <c r="AC741" s="48"/>
      <c r="AD741" s="36"/>
      <c r="AE741" s="54"/>
      <c r="AF741" s="3" t="str">
        <f t="shared" si="170"/>
        <v/>
      </c>
      <c r="AG741" s="48"/>
      <c r="AH741" s="48"/>
      <c r="AI741" s="39"/>
      <c r="AJ741" s="79"/>
      <c r="AK741" s="39"/>
      <c r="AL741" s="4">
        <f t="shared" si="163"/>
        <v>0</v>
      </c>
      <c r="AM741" s="4">
        <f t="shared" si="163"/>
        <v>0</v>
      </c>
      <c r="AN741" s="4">
        <f t="shared" si="164"/>
        <v>0</v>
      </c>
      <c r="AO741" s="39"/>
      <c r="AP741" s="8">
        <f t="shared" si="165"/>
        <v>0</v>
      </c>
      <c r="AQ741" s="8">
        <f t="shared" si="165"/>
        <v>0</v>
      </c>
      <c r="AR741" s="8">
        <f t="shared" si="166"/>
        <v>0</v>
      </c>
      <c r="AS741" s="42"/>
      <c r="AT741" s="48"/>
      <c r="AU741" s="48"/>
      <c r="AV741" s="4">
        <f t="shared" si="167"/>
        <v>0</v>
      </c>
      <c r="AW741" s="50" t="str">
        <f t="shared" si="171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56"/>
      <c r="B742" s="54"/>
      <c r="C742" s="56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54"/>
      <c r="O742" s="3" t="str">
        <f t="shared" si="161"/>
        <v/>
      </c>
      <c r="P742" s="48"/>
      <c r="Q742" s="48"/>
      <c r="R742" s="32"/>
      <c r="S742" s="3" t="str">
        <f t="shared" si="162"/>
        <v/>
      </c>
      <c r="T742" s="48"/>
      <c r="U742" s="48"/>
      <c r="V742" s="32"/>
      <c r="W742" s="3" t="str">
        <f t="shared" si="168"/>
        <v/>
      </c>
      <c r="X742" s="48"/>
      <c r="Y742" s="48"/>
      <c r="Z742" s="32"/>
      <c r="AA742" s="3" t="str">
        <f t="shared" si="169"/>
        <v/>
      </c>
      <c r="AB742" s="48"/>
      <c r="AC742" s="48"/>
      <c r="AD742" s="36"/>
      <c r="AE742" s="54"/>
      <c r="AF742" s="3" t="str">
        <f t="shared" si="170"/>
        <v/>
      </c>
      <c r="AG742" s="48"/>
      <c r="AH742" s="48"/>
      <c r="AI742" s="39"/>
      <c r="AJ742" s="79"/>
      <c r="AK742" s="39"/>
      <c r="AL742" s="4">
        <f t="shared" si="163"/>
        <v>0</v>
      </c>
      <c r="AM742" s="4">
        <f t="shared" si="163"/>
        <v>0</v>
      </c>
      <c r="AN742" s="4">
        <f t="shared" si="164"/>
        <v>0</v>
      </c>
      <c r="AO742" s="39"/>
      <c r="AP742" s="8">
        <f t="shared" si="165"/>
        <v>0</v>
      </c>
      <c r="AQ742" s="8">
        <f t="shared" si="165"/>
        <v>0</v>
      </c>
      <c r="AR742" s="8">
        <f t="shared" si="166"/>
        <v>0</v>
      </c>
      <c r="AS742" s="42"/>
      <c r="AT742" s="48"/>
      <c r="AU742" s="48"/>
      <c r="AV742" s="4">
        <f t="shared" si="167"/>
        <v>0</v>
      </c>
      <c r="AW742" s="50" t="str">
        <f t="shared" si="171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56"/>
      <c r="B743" s="54"/>
      <c r="C743" s="56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54"/>
      <c r="O743" s="3" t="str">
        <f t="shared" si="161"/>
        <v/>
      </c>
      <c r="P743" s="48"/>
      <c r="Q743" s="48"/>
      <c r="R743" s="32"/>
      <c r="S743" s="3" t="str">
        <f t="shared" si="162"/>
        <v/>
      </c>
      <c r="T743" s="48"/>
      <c r="U743" s="48"/>
      <c r="V743" s="32"/>
      <c r="W743" s="3" t="str">
        <f t="shared" si="168"/>
        <v/>
      </c>
      <c r="X743" s="48"/>
      <c r="Y743" s="48"/>
      <c r="Z743" s="32"/>
      <c r="AA743" s="3" t="str">
        <f t="shared" si="169"/>
        <v/>
      </c>
      <c r="AB743" s="48"/>
      <c r="AC743" s="48"/>
      <c r="AD743" s="36"/>
      <c r="AE743" s="54"/>
      <c r="AF743" s="3" t="str">
        <f t="shared" si="170"/>
        <v/>
      </c>
      <c r="AG743" s="48"/>
      <c r="AH743" s="48"/>
      <c r="AI743" s="39"/>
      <c r="AJ743" s="79"/>
      <c r="AK743" s="39"/>
      <c r="AL743" s="4">
        <f t="shared" si="163"/>
        <v>0</v>
      </c>
      <c r="AM743" s="4">
        <f t="shared" si="163"/>
        <v>0</v>
      </c>
      <c r="AN743" s="4">
        <f t="shared" si="164"/>
        <v>0</v>
      </c>
      <c r="AO743" s="39"/>
      <c r="AP743" s="8">
        <f t="shared" si="165"/>
        <v>0</v>
      </c>
      <c r="AQ743" s="8">
        <f t="shared" si="165"/>
        <v>0</v>
      </c>
      <c r="AR743" s="8">
        <f t="shared" si="166"/>
        <v>0</v>
      </c>
      <c r="AS743" s="42"/>
      <c r="AT743" s="48"/>
      <c r="AU743" s="48"/>
      <c r="AV743" s="4">
        <f t="shared" si="167"/>
        <v>0</v>
      </c>
      <c r="AW743" s="50" t="str">
        <f t="shared" si="171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56"/>
      <c r="B744" s="54"/>
      <c r="C744" s="56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54"/>
      <c r="O744" s="3" t="str">
        <f t="shared" ref="O744:O807" si="172">IF($A744="","",IF(P744=AZ744,"E","A"))</f>
        <v/>
      </c>
      <c r="P744" s="48"/>
      <c r="Q744" s="48"/>
      <c r="R744" s="32"/>
      <c r="S744" s="3" t="str">
        <f t="shared" si="162"/>
        <v/>
      </c>
      <c r="T744" s="48"/>
      <c r="U744" s="48"/>
      <c r="V744" s="32"/>
      <c r="W744" s="3" t="str">
        <f t="shared" si="168"/>
        <v/>
      </c>
      <c r="X744" s="48"/>
      <c r="Y744" s="48"/>
      <c r="Z744" s="32"/>
      <c r="AA744" s="3" t="str">
        <f t="shared" si="169"/>
        <v/>
      </c>
      <c r="AB744" s="48"/>
      <c r="AC744" s="48"/>
      <c r="AD744" s="36"/>
      <c r="AE744" s="54"/>
      <c r="AF744" s="3" t="str">
        <f t="shared" si="170"/>
        <v/>
      </c>
      <c r="AG744" s="48"/>
      <c r="AH744" s="48"/>
      <c r="AI744" s="39"/>
      <c r="AJ744" s="79"/>
      <c r="AK744" s="39"/>
      <c r="AL744" s="4">
        <f t="shared" si="163"/>
        <v>0</v>
      </c>
      <c r="AM744" s="4">
        <f t="shared" si="163"/>
        <v>0</v>
      </c>
      <c r="AN744" s="4">
        <f t="shared" si="164"/>
        <v>0</v>
      </c>
      <c r="AO744" s="39"/>
      <c r="AP744" s="8">
        <f t="shared" si="165"/>
        <v>0</v>
      </c>
      <c r="AQ744" s="8">
        <f t="shared" si="165"/>
        <v>0</v>
      </c>
      <c r="AR744" s="8">
        <f t="shared" si="166"/>
        <v>0</v>
      </c>
      <c r="AS744" s="42"/>
      <c r="AT744" s="48"/>
      <c r="AU744" s="48"/>
      <c r="AV744" s="4">
        <f t="shared" si="167"/>
        <v>0</v>
      </c>
      <c r="AW744" s="50" t="str">
        <f t="shared" si="171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56"/>
      <c r="B745" s="54"/>
      <c r="C745" s="56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54"/>
      <c r="O745" s="3" t="str">
        <f t="shared" si="172"/>
        <v/>
      </c>
      <c r="P745" s="48"/>
      <c r="Q745" s="48"/>
      <c r="R745" s="32"/>
      <c r="S745" s="3" t="str">
        <f t="shared" si="162"/>
        <v/>
      </c>
      <c r="T745" s="48"/>
      <c r="U745" s="48"/>
      <c r="V745" s="32"/>
      <c r="W745" s="3" t="str">
        <f t="shared" si="168"/>
        <v/>
      </c>
      <c r="X745" s="48"/>
      <c r="Y745" s="48"/>
      <c r="Z745" s="32"/>
      <c r="AA745" s="3" t="str">
        <f t="shared" si="169"/>
        <v/>
      </c>
      <c r="AB745" s="48"/>
      <c r="AC745" s="48"/>
      <c r="AD745" s="36"/>
      <c r="AE745" s="54"/>
      <c r="AF745" s="3" t="str">
        <f t="shared" si="170"/>
        <v/>
      </c>
      <c r="AG745" s="48"/>
      <c r="AH745" s="48"/>
      <c r="AI745" s="39"/>
      <c r="AJ745" s="79"/>
      <c r="AK745" s="39"/>
      <c r="AL745" s="4">
        <f t="shared" si="163"/>
        <v>0</v>
      </c>
      <c r="AM745" s="4">
        <f t="shared" si="163"/>
        <v>0</v>
      </c>
      <c r="AN745" s="4">
        <f t="shared" si="164"/>
        <v>0</v>
      </c>
      <c r="AO745" s="39"/>
      <c r="AP745" s="8">
        <f t="shared" si="165"/>
        <v>0</v>
      </c>
      <c r="AQ745" s="8">
        <f t="shared" si="165"/>
        <v>0</v>
      </c>
      <c r="AR745" s="8">
        <f t="shared" si="166"/>
        <v>0</v>
      </c>
      <c r="AS745" s="42"/>
      <c r="AT745" s="48"/>
      <c r="AU745" s="48"/>
      <c r="AV745" s="4">
        <f t="shared" si="167"/>
        <v>0</v>
      </c>
      <c r="AW745" s="50" t="str">
        <f t="shared" si="171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56"/>
      <c r="B746" s="54"/>
      <c r="C746" s="56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54"/>
      <c r="O746" s="3" t="str">
        <f t="shared" si="172"/>
        <v/>
      </c>
      <c r="P746" s="48"/>
      <c r="Q746" s="48"/>
      <c r="R746" s="32"/>
      <c r="S746" s="3" t="str">
        <f t="shared" si="162"/>
        <v/>
      </c>
      <c r="T746" s="48"/>
      <c r="U746" s="48"/>
      <c r="V746" s="32"/>
      <c r="W746" s="3" t="str">
        <f t="shared" si="168"/>
        <v/>
      </c>
      <c r="X746" s="48"/>
      <c r="Y746" s="48"/>
      <c r="Z746" s="32"/>
      <c r="AA746" s="3" t="str">
        <f t="shared" si="169"/>
        <v/>
      </c>
      <c r="AB746" s="48"/>
      <c r="AC746" s="48"/>
      <c r="AD746" s="36"/>
      <c r="AE746" s="54"/>
      <c r="AF746" s="3" t="str">
        <f t="shared" si="170"/>
        <v/>
      </c>
      <c r="AG746" s="48"/>
      <c r="AH746" s="48"/>
      <c r="AI746" s="39"/>
      <c r="AJ746" s="79"/>
      <c r="AK746" s="39"/>
      <c r="AL746" s="4">
        <f t="shared" si="163"/>
        <v>0</v>
      </c>
      <c r="AM746" s="4">
        <f t="shared" si="163"/>
        <v>0</v>
      </c>
      <c r="AN746" s="4">
        <f t="shared" si="164"/>
        <v>0</v>
      </c>
      <c r="AO746" s="39"/>
      <c r="AP746" s="8">
        <f t="shared" si="165"/>
        <v>0</v>
      </c>
      <c r="AQ746" s="8">
        <f t="shared" si="165"/>
        <v>0</v>
      </c>
      <c r="AR746" s="8">
        <f t="shared" si="166"/>
        <v>0</v>
      </c>
      <c r="AS746" s="42"/>
      <c r="AT746" s="48"/>
      <c r="AU746" s="48"/>
      <c r="AV746" s="4">
        <f t="shared" si="167"/>
        <v>0</v>
      </c>
      <c r="AW746" s="50" t="str">
        <f t="shared" si="171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56"/>
      <c r="B747" s="54"/>
      <c r="C747" s="56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54"/>
      <c r="O747" s="3" t="str">
        <f t="shared" si="172"/>
        <v/>
      </c>
      <c r="P747" s="48"/>
      <c r="Q747" s="48"/>
      <c r="R747" s="32"/>
      <c r="S747" s="3" t="str">
        <f t="shared" ref="S747:S810" si="173">IF($A747="","",IF(T747=BA747,"E","A"))</f>
        <v/>
      </c>
      <c r="T747" s="48"/>
      <c r="U747" s="48"/>
      <c r="V747" s="32"/>
      <c r="W747" s="3" t="str">
        <f t="shared" si="168"/>
        <v/>
      </c>
      <c r="X747" s="48"/>
      <c r="Y747" s="48"/>
      <c r="Z747" s="32"/>
      <c r="AA747" s="3" t="str">
        <f t="shared" si="169"/>
        <v/>
      </c>
      <c r="AB747" s="48"/>
      <c r="AC747" s="48"/>
      <c r="AD747" s="36"/>
      <c r="AE747" s="54"/>
      <c r="AF747" s="3" t="str">
        <f t="shared" si="170"/>
        <v/>
      </c>
      <c r="AG747" s="48"/>
      <c r="AH747" s="48"/>
      <c r="AI747" s="39"/>
      <c r="AJ747" s="79"/>
      <c r="AK747" s="39"/>
      <c r="AL747" s="4">
        <f t="shared" si="163"/>
        <v>0</v>
      </c>
      <c r="AM747" s="4">
        <f t="shared" si="163"/>
        <v>0</v>
      </c>
      <c r="AN747" s="4">
        <f t="shared" si="164"/>
        <v>0</v>
      </c>
      <c r="AO747" s="39"/>
      <c r="AP747" s="8">
        <f t="shared" si="165"/>
        <v>0</v>
      </c>
      <c r="AQ747" s="8">
        <f t="shared" si="165"/>
        <v>0</v>
      </c>
      <c r="AR747" s="8">
        <f t="shared" si="166"/>
        <v>0</v>
      </c>
      <c r="AS747" s="42"/>
      <c r="AT747" s="48"/>
      <c r="AU747" s="48"/>
      <c r="AV747" s="4">
        <f t="shared" si="167"/>
        <v>0</v>
      </c>
      <c r="AW747" s="50" t="str">
        <f t="shared" si="171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56"/>
      <c r="B748" s="54"/>
      <c r="C748" s="56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54"/>
      <c r="O748" s="3" t="str">
        <f t="shared" si="172"/>
        <v/>
      </c>
      <c r="P748" s="48"/>
      <c r="Q748" s="48"/>
      <c r="R748" s="32"/>
      <c r="S748" s="3" t="str">
        <f t="shared" si="173"/>
        <v/>
      </c>
      <c r="T748" s="48"/>
      <c r="U748" s="48"/>
      <c r="V748" s="32"/>
      <c r="W748" s="3" t="str">
        <f t="shared" si="168"/>
        <v/>
      </c>
      <c r="X748" s="48"/>
      <c r="Y748" s="48"/>
      <c r="Z748" s="32"/>
      <c r="AA748" s="3" t="str">
        <f t="shared" si="169"/>
        <v/>
      </c>
      <c r="AB748" s="48"/>
      <c r="AC748" s="48"/>
      <c r="AD748" s="36"/>
      <c r="AE748" s="54"/>
      <c r="AF748" s="3" t="str">
        <f t="shared" si="170"/>
        <v/>
      </c>
      <c r="AG748" s="48"/>
      <c r="AH748" s="48"/>
      <c r="AI748" s="39"/>
      <c r="AJ748" s="79"/>
      <c r="AK748" s="39"/>
      <c r="AL748" s="4">
        <f t="shared" si="163"/>
        <v>0</v>
      </c>
      <c r="AM748" s="4">
        <f t="shared" si="163"/>
        <v>0</v>
      </c>
      <c r="AN748" s="4">
        <f t="shared" si="164"/>
        <v>0</v>
      </c>
      <c r="AO748" s="39"/>
      <c r="AP748" s="8">
        <f t="shared" si="165"/>
        <v>0</v>
      </c>
      <c r="AQ748" s="8">
        <f t="shared" si="165"/>
        <v>0</v>
      </c>
      <c r="AR748" s="8">
        <f t="shared" si="166"/>
        <v>0</v>
      </c>
      <c r="AS748" s="42"/>
      <c r="AT748" s="48"/>
      <c r="AU748" s="48"/>
      <c r="AV748" s="4">
        <f t="shared" si="167"/>
        <v>0</v>
      </c>
      <c r="AW748" s="50" t="str">
        <f t="shared" si="171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56"/>
      <c r="B749" s="54"/>
      <c r="C749" s="56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54"/>
      <c r="O749" s="3" t="str">
        <f t="shared" si="172"/>
        <v/>
      </c>
      <c r="P749" s="48"/>
      <c r="Q749" s="48"/>
      <c r="R749" s="32"/>
      <c r="S749" s="3" t="str">
        <f t="shared" si="173"/>
        <v/>
      </c>
      <c r="T749" s="48"/>
      <c r="U749" s="48"/>
      <c r="V749" s="32"/>
      <c r="W749" s="3" t="str">
        <f t="shared" si="168"/>
        <v/>
      </c>
      <c r="X749" s="48"/>
      <c r="Y749" s="48"/>
      <c r="Z749" s="32"/>
      <c r="AA749" s="3" t="str">
        <f t="shared" si="169"/>
        <v/>
      </c>
      <c r="AB749" s="48"/>
      <c r="AC749" s="48"/>
      <c r="AD749" s="36"/>
      <c r="AE749" s="54"/>
      <c r="AF749" s="3" t="str">
        <f t="shared" si="170"/>
        <v/>
      </c>
      <c r="AG749" s="48"/>
      <c r="AH749" s="48"/>
      <c r="AI749" s="39"/>
      <c r="AJ749" s="79"/>
      <c r="AK749" s="39"/>
      <c r="AL749" s="4">
        <f t="shared" si="163"/>
        <v>0</v>
      </c>
      <c r="AM749" s="4">
        <f t="shared" si="163"/>
        <v>0</v>
      </c>
      <c r="AN749" s="4">
        <f t="shared" si="164"/>
        <v>0</v>
      </c>
      <c r="AO749" s="39"/>
      <c r="AP749" s="8">
        <f t="shared" si="165"/>
        <v>0</v>
      </c>
      <c r="AQ749" s="8">
        <f t="shared" si="165"/>
        <v>0</v>
      </c>
      <c r="AR749" s="8">
        <f t="shared" si="166"/>
        <v>0</v>
      </c>
      <c r="AS749" s="42"/>
      <c r="AT749" s="48"/>
      <c r="AU749" s="48"/>
      <c r="AV749" s="4">
        <f t="shared" si="167"/>
        <v>0</v>
      </c>
      <c r="AW749" s="50" t="str">
        <f t="shared" si="171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56"/>
      <c r="B750" s="54"/>
      <c r="C750" s="56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54"/>
      <c r="O750" s="3" t="str">
        <f t="shared" si="172"/>
        <v/>
      </c>
      <c r="P750" s="48"/>
      <c r="Q750" s="48"/>
      <c r="R750" s="32"/>
      <c r="S750" s="3" t="str">
        <f t="shared" si="173"/>
        <v/>
      </c>
      <c r="T750" s="48"/>
      <c r="U750" s="48"/>
      <c r="V750" s="32"/>
      <c r="W750" s="3" t="str">
        <f t="shared" si="168"/>
        <v/>
      </c>
      <c r="X750" s="48"/>
      <c r="Y750" s="48"/>
      <c r="Z750" s="32"/>
      <c r="AA750" s="3" t="str">
        <f t="shared" si="169"/>
        <v/>
      </c>
      <c r="AB750" s="48"/>
      <c r="AC750" s="48"/>
      <c r="AD750" s="36"/>
      <c r="AE750" s="54"/>
      <c r="AF750" s="3" t="str">
        <f t="shared" si="170"/>
        <v/>
      </c>
      <c r="AG750" s="48"/>
      <c r="AH750" s="48"/>
      <c r="AI750" s="39"/>
      <c r="AJ750" s="79"/>
      <c r="AK750" s="39"/>
      <c r="AL750" s="4">
        <f t="shared" si="163"/>
        <v>0</v>
      </c>
      <c r="AM750" s="4">
        <f t="shared" si="163"/>
        <v>0</v>
      </c>
      <c r="AN750" s="4">
        <f t="shared" si="164"/>
        <v>0</v>
      </c>
      <c r="AO750" s="39"/>
      <c r="AP750" s="8">
        <f t="shared" si="165"/>
        <v>0</v>
      </c>
      <c r="AQ750" s="8">
        <f t="shared" si="165"/>
        <v>0</v>
      </c>
      <c r="AR750" s="8">
        <f t="shared" si="166"/>
        <v>0</v>
      </c>
      <c r="AS750" s="42"/>
      <c r="AT750" s="48"/>
      <c r="AU750" s="48"/>
      <c r="AV750" s="4">
        <f t="shared" si="167"/>
        <v>0</v>
      </c>
      <c r="AW750" s="50" t="str">
        <f t="shared" si="171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56"/>
      <c r="B751" s="54"/>
      <c r="C751" s="56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54"/>
      <c r="O751" s="3" t="str">
        <f t="shared" si="172"/>
        <v/>
      </c>
      <c r="P751" s="48"/>
      <c r="Q751" s="48"/>
      <c r="R751" s="32"/>
      <c r="S751" s="3" t="str">
        <f t="shared" si="173"/>
        <v/>
      </c>
      <c r="T751" s="48"/>
      <c r="U751" s="48"/>
      <c r="V751" s="32"/>
      <c r="W751" s="3" t="str">
        <f t="shared" si="168"/>
        <v/>
      </c>
      <c r="X751" s="48"/>
      <c r="Y751" s="48"/>
      <c r="Z751" s="32"/>
      <c r="AA751" s="3" t="str">
        <f t="shared" si="169"/>
        <v/>
      </c>
      <c r="AB751" s="48"/>
      <c r="AC751" s="48"/>
      <c r="AD751" s="36"/>
      <c r="AE751" s="54"/>
      <c r="AF751" s="3" t="str">
        <f t="shared" si="170"/>
        <v/>
      </c>
      <c r="AG751" s="48"/>
      <c r="AH751" s="48"/>
      <c r="AI751" s="39"/>
      <c r="AJ751" s="79"/>
      <c r="AK751" s="39"/>
      <c r="AL751" s="4">
        <f t="shared" si="163"/>
        <v>0</v>
      </c>
      <c r="AM751" s="4">
        <f t="shared" si="163"/>
        <v>0</v>
      </c>
      <c r="AN751" s="4">
        <f t="shared" si="164"/>
        <v>0</v>
      </c>
      <c r="AO751" s="39"/>
      <c r="AP751" s="8">
        <f t="shared" si="165"/>
        <v>0</v>
      </c>
      <c r="AQ751" s="8">
        <f t="shared" si="165"/>
        <v>0</v>
      </c>
      <c r="AR751" s="8">
        <f t="shared" si="166"/>
        <v>0</v>
      </c>
      <c r="AS751" s="42"/>
      <c r="AT751" s="48"/>
      <c r="AU751" s="48"/>
      <c r="AV751" s="4">
        <f t="shared" si="167"/>
        <v>0</v>
      </c>
      <c r="AW751" s="50" t="str">
        <f t="shared" si="171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56"/>
      <c r="B752" s="54"/>
      <c r="C752" s="56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54"/>
      <c r="O752" s="3" t="str">
        <f t="shared" si="172"/>
        <v/>
      </c>
      <c r="P752" s="48"/>
      <c r="Q752" s="48"/>
      <c r="R752" s="32"/>
      <c r="S752" s="3" t="str">
        <f t="shared" si="173"/>
        <v/>
      </c>
      <c r="T752" s="48"/>
      <c r="U752" s="48"/>
      <c r="V752" s="32"/>
      <c r="W752" s="3" t="str">
        <f t="shared" si="168"/>
        <v/>
      </c>
      <c r="X752" s="48"/>
      <c r="Y752" s="48"/>
      <c r="Z752" s="32"/>
      <c r="AA752" s="3" t="str">
        <f t="shared" si="169"/>
        <v/>
      </c>
      <c r="AB752" s="48"/>
      <c r="AC752" s="48"/>
      <c r="AD752" s="36"/>
      <c r="AE752" s="54"/>
      <c r="AF752" s="3" t="str">
        <f t="shared" si="170"/>
        <v/>
      </c>
      <c r="AG752" s="48"/>
      <c r="AH752" s="48"/>
      <c r="AI752" s="39"/>
      <c r="AJ752" s="79"/>
      <c r="AK752" s="39"/>
      <c r="AL752" s="4">
        <f t="shared" si="163"/>
        <v>0</v>
      </c>
      <c r="AM752" s="4">
        <f t="shared" si="163"/>
        <v>0</v>
      </c>
      <c r="AN752" s="4">
        <f t="shared" si="164"/>
        <v>0</v>
      </c>
      <c r="AO752" s="39"/>
      <c r="AP752" s="8">
        <f t="shared" si="165"/>
        <v>0</v>
      </c>
      <c r="AQ752" s="8">
        <f t="shared" si="165"/>
        <v>0</v>
      </c>
      <c r="AR752" s="8">
        <f t="shared" si="166"/>
        <v>0</v>
      </c>
      <c r="AS752" s="42"/>
      <c r="AT752" s="48"/>
      <c r="AU752" s="48"/>
      <c r="AV752" s="4">
        <f t="shared" si="167"/>
        <v>0</v>
      </c>
      <c r="AW752" s="50" t="str">
        <f t="shared" si="171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56"/>
      <c r="B753" s="54"/>
      <c r="C753" s="56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54"/>
      <c r="O753" s="3" t="str">
        <f t="shared" si="172"/>
        <v/>
      </c>
      <c r="P753" s="48"/>
      <c r="Q753" s="48"/>
      <c r="R753" s="32"/>
      <c r="S753" s="3" t="str">
        <f t="shared" si="173"/>
        <v/>
      </c>
      <c r="T753" s="48"/>
      <c r="U753" s="48"/>
      <c r="V753" s="32"/>
      <c r="W753" s="3" t="str">
        <f t="shared" si="168"/>
        <v/>
      </c>
      <c r="X753" s="48"/>
      <c r="Y753" s="48"/>
      <c r="Z753" s="32"/>
      <c r="AA753" s="3" t="str">
        <f t="shared" si="169"/>
        <v/>
      </c>
      <c r="AB753" s="48"/>
      <c r="AC753" s="48"/>
      <c r="AD753" s="36"/>
      <c r="AE753" s="54"/>
      <c r="AF753" s="3" t="str">
        <f t="shared" si="170"/>
        <v/>
      </c>
      <c r="AG753" s="48"/>
      <c r="AH753" s="48"/>
      <c r="AI753" s="39"/>
      <c r="AJ753" s="79"/>
      <c r="AK753" s="39"/>
      <c r="AL753" s="4">
        <f t="shared" si="163"/>
        <v>0</v>
      </c>
      <c r="AM753" s="4">
        <f t="shared" si="163"/>
        <v>0</v>
      </c>
      <c r="AN753" s="4">
        <f t="shared" si="164"/>
        <v>0</v>
      </c>
      <c r="AO753" s="39"/>
      <c r="AP753" s="8">
        <f t="shared" si="165"/>
        <v>0</v>
      </c>
      <c r="AQ753" s="8">
        <f t="shared" si="165"/>
        <v>0</v>
      </c>
      <c r="AR753" s="8">
        <f t="shared" si="166"/>
        <v>0</v>
      </c>
      <c r="AS753" s="42"/>
      <c r="AT753" s="48"/>
      <c r="AU753" s="48"/>
      <c r="AV753" s="4">
        <f t="shared" si="167"/>
        <v>0</v>
      </c>
      <c r="AW753" s="50" t="str">
        <f t="shared" si="171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56"/>
      <c r="B754" s="54"/>
      <c r="C754" s="56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54"/>
      <c r="O754" s="3" t="str">
        <f t="shared" si="172"/>
        <v/>
      </c>
      <c r="P754" s="48"/>
      <c r="Q754" s="48"/>
      <c r="R754" s="32"/>
      <c r="S754" s="3" t="str">
        <f t="shared" si="173"/>
        <v/>
      </c>
      <c r="T754" s="48"/>
      <c r="U754" s="48"/>
      <c r="V754" s="32"/>
      <c r="W754" s="3" t="str">
        <f t="shared" si="168"/>
        <v/>
      </c>
      <c r="X754" s="48"/>
      <c r="Y754" s="48"/>
      <c r="Z754" s="32"/>
      <c r="AA754" s="3" t="str">
        <f t="shared" si="169"/>
        <v/>
      </c>
      <c r="AB754" s="48"/>
      <c r="AC754" s="48"/>
      <c r="AD754" s="36"/>
      <c r="AE754" s="54"/>
      <c r="AF754" s="3" t="str">
        <f t="shared" si="170"/>
        <v/>
      </c>
      <c r="AG754" s="48"/>
      <c r="AH754" s="48"/>
      <c r="AI754" s="39"/>
      <c r="AJ754" s="79"/>
      <c r="AK754" s="39"/>
      <c r="AL754" s="4">
        <f t="shared" si="163"/>
        <v>0</v>
      </c>
      <c r="AM754" s="4">
        <f t="shared" si="163"/>
        <v>0</v>
      </c>
      <c r="AN754" s="4">
        <f t="shared" si="164"/>
        <v>0</v>
      </c>
      <c r="AO754" s="39"/>
      <c r="AP754" s="8">
        <f t="shared" si="165"/>
        <v>0</v>
      </c>
      <c r="AQ754" s="8">
        <f t="shared" si="165"/>
        <v>0</v>
      </c>
      <c r="AR754" s="8">
        <f t="shared" si="166"/>
        <v>0</v>
      </c>
      <c r="AS754" s="42"/>
      <c r="AT754" s="48"/>
      <c r="AU754" s="48"/>
      <c r="AV754" s="4">
        <f t="shared" si="167"/>
        <v>0</v>
      </c>
      <c r="AW754" s="50" t="str">
        <f t="shared" si="171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56"/>
      <c r="B755" s="54"/>
      <c r="C755" s="56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54"/>
      <c r="O755" s="3" t="str">
        <f t="shared" si="172"/>
        <v/>
      </c>
      <c r="P755" s="48"/>
      <c r="Q755" s="48"/>
      <c r="R755" s="32"/>
      <c r="S755" s="3" t="str">
        <f t="shared" si="173"/>
        <v/>
      </c>
      <c r="T755" s="48"/>
      <c r="U755" s="48"/>
      <c r="V755" s="32"/>
      <c r="W755" s="3" t="str">
        <f t="shared" si="168"/>
        <v/>
      </c>
      <c r="X755" s="48"/>
      <c r="Y755" s="48"/>
      <c r="Z755" s="32"/>
      <c r="AA755" s="3" t="str">
        <f t="shared" si="169"/>
        <v/>
      </c>
      <c r="AB755" s="48"/>
      <c r="AC755" s="48"/>
      <c r="AD755" s="36"/>
      <c r="AE755" s="54"/>
      <c r="AF755" s="3" t="str">
        <f t="shared" si="170"/>
        <v/>
      </c>
      <c r="AG755" s="48"/>
      <c r="AH755" s="48"/>
      <c r="AI755" s="39"/>
      <c r="AJ755" s="79"/>
      <c r="AK755" s="39"/>
      <c r="AL755" s="4">
        <f t="shared" si="163"/>
        <v>0</v>
      </c>
      <c r="AM755" s="4">
        <f t="shared" si="163"/>
        <v>0</v>
      </c>
      <c r="AN755" s="4">
        <f t="shared" si="164"/>
        <v>0</v>
      </c>
      <c r="AO755" s="39"/>
      <c r="AP755" s="8">
        <f t="shared" si="165"/>
        <v>0</v>
      </c>
      <c r="AQ755" s="8">
        <f t="shared" si="165"/>
        <v>0</v>
      </c>
      <c r="AR755" s="8">
        <f t="shared" si="166"/>
        <v>0</v>
      </c>
      <c r="AS755" s="42"/>
      <c r="AT755" s="48"/>
      <c r="AU755" s="48"/>
      <c r="AV755" s="4">
        <f t="shared" si="167"/>
        <v>0</v>
      </c>
      <c r="AW755" s="50" t="str">
        <f t="shared" si="171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56"/>
      <c r="B756" s="54"/>
      <c r="C756" s="56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54"/>
      <c r="O756" s="3" t="str">
        <f t="shared" si="172"/>
        <v/>
      </c>
      <c r="P756" s="48"/>
      <c r="Q756" s="48"/>
      <c r="R756" s="32"/>
      <c r="S756" s="3" t="str">
        <f t="shared" si="173"/>
        <v/>
      </c>
      <c r="T756" s="48"/>
      <c r="U756" s="48"/>
      <c r="V756" s="32"/>
      <c r="W756" s="3" t="str">
        <f t="shared" si="168"/>
        <v/>
      </c>
      <c r="X756" s="48"/>
      <c r="Y756" s="48"/>
      <c r="Z756" s="32"/>
      <c r="AA756" s="3" t="str">
        <f t="shared" si="169"/>
        <v/>
      </c>
      <c r="AB756" s="48"/>
      <c r="AC756" s="48"/>
      <c r="AD756" s="36"/>
      <c r="AE756" s="54"/>
      <c r="AF756" s="3" t="str">
        <f t="shared" si="170"/>
        <v/>
      </c>
      <c r="AG756" s="48"/>
      <c r="AH756" s="48"/>
      <c r="AI756" s="39"/>
      <c r="AJ756" s="79"/>
      <c r="AK756" s="39"/>
      <c r="AL756" s="4">
        <f t="shared" si="163"/>
        <v>0</v>
      </c>
      <c r="AM756" s="4">
        <f t="shared" si="163"/>
        <v>0</v>
      </c>
      <c r="AN756" s="4">
        <f t="shared" si="164"/>
        <v>0</v>
      </c>
      <c r="AO756" s="39"/>
      <c r="AP756" s="8">
        <f t="shared" si="165"/>
        <v>0</v>
      </c>
      <c r="AQ756" s="8">
        <f t="shared" si="165"/>
        <v>0</v>
      </c>
      <c r="AR756" s="8">
        <f t="shared" si="166"/>
        <v>0</v>
      </c>
      <c r="AS756" s="42"/>
      <c r="AT756" s="48"/>
      <c r="AU756" s="48"/>
      <c r="AV756" s="4">
        <f t="shared" si="167"/>
        <v>0</v>
      </c>
      <c r="AW756" s="50" t="str">
        <f t="shared" si="171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56"/>
      <c r="B757" s="54"/>
      <c r="C757" s="56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54"/>
      <c r="O757" s="3" t="str">
        <f t="shared" si="172"/>
        <v/>
      </c>
      <c r="P757" s="48"/>
      <c r="Q757" s="48"/>
      <c r="R757" s="32"/>
      <c r="S757" s="3" t="str">
        <f t="shared" si="173"/>
        <v/>
      </c>
      <c r="T757" s="48"/>
      <c r="U757" s="48"/>
      <c r="V757" s="32"/>
      <c r="W757" s="3" t="str">
        <f t="shared" si="168"/>
        <v/>
      </c>
      <c r="X757" s="48"/>
      <c r="Y757" s="48"/>
      <c r="Z757" s="32"/>
      <c r="AA757" s="3" t="str">
        <f t="shared" si="169"/>
        <v/>
      </c>
      <c r="AB757" s="48"/>
      <c r="AC757" s="48"/>
      <c r="AD757" s="36"/>
      <c r="AE757" s="54"/>
      <c r="AF757" s="3" t="str">
        <f t="shared" si="170"/>
        <v/>
      </c>
      <c r="AG757" s="48"/>
      <c r="AH757" s="48"/>
      <c r="AI757" s="39"/>
      <c r="AJ757" s="79"/>
      <c r="AK757" s="39"/>
      <c r="AL757" s="4">
        <f t="shared" si="163"/>
        <v>0</v>
      </c>
      <c r="AM757" s="4">
        <f t="shared" si="163"/>
        <v>0</v>
      </c>
      <c r="AN757" s="4">
        <f t="shared" si="164"/>
        <v>0</v>
      </c>
      <c r="AO757" s="39"/>
      <c r="AP757" s="8">
        <f t="shared" si="165"/>
        <v>0</v>
      </c>
      <c r="AQ757" s="8">
        <f t="shared" si="165"/>
        <v>0</v>
      </c>
      <c r="AR757" s="8">
        <f t="shared" si="166"/>
        <v>0</v>
      </c>
      <c r="AS757" s="42"/>
      <c r="AT757" s="48"/>
      <c r="AU757" s="48"/>
      <c r="AV757" s="4">
        <f t="shared" si="167"/>
        <v>0</v>
      </c>
      <c r="AW757" s="50" t="str">
        <f t="shared" si="171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56"/>
      <c r="B758" s="54"/>
      <c r="C758" s="56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54"/>
      <c r="O758" s="3" t="str">
        <f t="shared" si="172"/>
        <v/>
      </c>
      <c r="P758" s="48"/>
      <c r="Q758" s="48"/>
      <c r="R758" s="32"/>
      <c r="S758" s="3" t="str">
        <f t="shared" si="173"/>
        <v/>
      </c>
      <c r="T758" s="48"/>
      <c r="U758" s="48"/>
      <c r="V758" s="32"/>
      <c r="W758" s="3" t="str">
        <f t="shared" si="168"/>
        <v/>
      </c>
      <c r="X758" s="48"/>
      <c r="Y758" s="48"/>
      <c r="Z758" s="32"/>
      <c r="AA758" s="3" t="str">
        <f t="shared" si="169"/>
        <v/>
      </c>
      <c r="AB758" s="48"/>
      <c r="AC758" s="48"/>
      <c r="AD758" s="36"/>
      <c r="AE758" s="54"/>
      <c r="AF758" s="3" t="str">
        <f t="shared" si="170"/>
        <v/>
      </c>
      <c r="AG758" s="48"/>
      <c r="AH758" s="48"/>
      <c r="AI758" s="39"/>
      <c r="AJ758" s="79"/>
      <c r="AK758" s="39"/>
      <c r="AL758" s="4">
        <f t="shared" si="163"/>
        <v>0</v>
      </c>
      <c r="AM758" s="4">
        <f t="shared" si="163"/>
        <v>0</v>
      </c>
      <c r="AN758" s="4">
        <f t="shared" si="164"/>
        <v>0</v>
      </c>
      <c r="AO758" s="39"/>
      <c r="AP758" s="8">
        <f t="shared" si="165"/>
        <v>0</v>
      </c>
      <c r="AQ758" s="8">
        <f t="shared" si="165"/>
        <v>0</v>
      </c>
      <c r="AR758" s="8">
        <f t="shared" si="166"/>
        <v>0</v>
      </c>
      <c r="AS758" s="42"/>
      <c r="AT758" s="48"/>
      <c r="AU758" s="48"/>
      <c r="AV758" s="4">
        <f t="shared" si="167"/>
        <v>0</v>
      </c>
      <c r="AW758" s="50" t="str">
        <f t="shared" si="171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56"/>
      <c r="B759" s="54"/>
      <c r="C759" s="56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54"/>
      <c r="O759" s="3" t="str">
        <f t="shared" si="172"/>
        <v/>
      </c>
      <c r="P759" s="48"/>
      <c r="Q759" s="48"/>
      <c r="R759" s="32"/>
      <c r="S759" s="3" t="str">
        <f t="shared" si="173"/>
        <v/>
      </c>
      <c r="T759" s="48"/>
      <c r="U759" s="48"/>
      <c r="V759" s="32"/>
      <c r="W759" s="3" t="str">
        <f t="shared" si="168"/>
        <v/>
      </c>
      <c r="X759" s="48"/>
      <c r="Y759" s="48"/>
      <c r="Z759" s="32"/>
      <c r="AA759" s="3" t="str">
        <f t="shared" si="169"/>
        <v/>
      </c>
      <c r="AB759" s="48"/>
      <c r="AC759" s="48"/>
      <c r="AD759" s="36"/>
      <c r="AE759" s="54"/>
      <c r="AF759" s="3" t="str">
        <f t="shared" si="170"/>
        <v/>
      </c>
      <c r="AG759" s="48"/>
      <c r="AH759" s="48"/>
      <c r="AI759" s="39"/>
      <c r="AJ759" s="79"/>
      <c r="AK759" s="39"/>
      <c r="AL759" s="4">
        <f t="shared" si="163"/>
        <v>0</v>
      </c>
      <c r="AM759" s="4">
        <f t="shared" si="163"/>
        <v>0</v>
      </c>
      <c r="AN759" s="4">
        <f t="shared" si="164"/>
        <v>0</v>
      </c>
      <c r="AO759" s="39"/>
      <c r="AP759" s="8">
        <f t="shared" si="165"/>
        <v>0</v>
      </c>
      <c r="AQ759" s="8">
        <f t="shared" si="165"/>
        <v>0</v>
      </c>
      <c r="AR759" s="8">
        <f t="shared" si="166"/>
        <v>0</v>
      </c>
      <c r="AS759" s="42"/>
      <c r="AT759" s="48"/>
      <c r="AU759" s="48"/>
      <c r="AV759" s="4">
        <f t="shared" si="167"/>
        <v>0</v>
      </c>
      <c r="AW759" s="50" t="str">
        <f t="shared" si="171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56"/>
      <c r="B760" s="54"/>
      <c r="C760" s="56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54"/>
      <c r="O760" s="3" t="str">
        <f t="shared" si="172"/>
        <v/>
      </c>
      <c r="P760" s="48"/>
      <c r="Q760" s="48"/>
      <c r="R760" s="32"/>
      <c r="S760" s="3" t="str">
        <f t="shared" si="173"/>
        <v/>
      </c>
      <c r="T760" s="48"/>
      <c r="U760" s="48"/>
      <c r="V760" s="32"/>
      <c r="W760" s="3" t="str">
        <f t="shared" si="168"/>
        <v/>
      </c>
      <c r="X760" s="48"/>
      <c r="Y760" s="48"/>
      <c r="Z760" s="32"/>
      <c r="AA760" s="3" t="str">
        <f t="shared" si="169"/>
        <v/>
      </c>
      <c r="AB760" s="48"/>
      <c r="AC760" s="48"/>
      <c r="AD760" s="36"/>
      <c r="AE760" s="54"/>
      <c r="AF760" s="3" t="str">
        <f t="shared" si="170"/>
        <v/>
      </c>
      <c r="AG760" s="48"/>
      <c r="AH760" s="48"/>
      <c r="AI760" s="39"/>
      <c r="AJ760" s="79"/>
      <c r="AK760" s="39"/>
      <c r="AL760" s="4">
        <f t="shared" si="163"/>
        <v>0</v>
      </c>
      <c r="AM760" s="4">
        <f t="shared" si="163"/>
        <v>0</v>
      </c>
      <c r="AN760" s="4">
        <f t="shared" si="164"/>
        <v>0</v>
      </c>
      <c r="AO760" s="39"/>
      <c r="AP760" s="8">
        <f t="shared" si="165"/>
        <v>0</v>
      </c>
      <c r="AQ760" s="8">
        <f t="shared" si="165"/>
        <v>0</v>
      </c>
      <c r="AR760" s="8">
        <f t="shared" si="166"/>
        <v>0</v>
      </c>
      <c r="AS760" s="42"/>
      <c r="AT760" s="48"/>
      <c r="AU760" s="48"/>
      <c r="AV760" s="4">
        <f t="shared" si="167"/>
        <v>0</v>
      </c>
      <c r="AW760" s="50" t="str">
        <f t="shared" si="171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56"/>
      <c r="B761" s="54"/>
      <c r="C761" s="56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54"/>
      <c r="O761" s="3" t="str">
        <f t="shared" si="172"/>
        <v/>
      </c>
      <c r="P761" s="48"/>
      <c r="Q761" s="48"/>
      <c r="R761" s="32"/>
      <c r="S761" s="3" t="str">
        <f t="shared" si="173"/>
        <v/>
      </c>
      <c r="T761" s="48"/>
      <c r="U761" s="48"/>
      <c r="V761" s="32"/>
      <c r="W761" s="3" t="str">
        <f t="shared" si="168"/>
        <v/>
      </c>
      <c r="X761" s="48"/>
      <c r="Y761" s="48"/>
      <c r="Z761" s="32"/>
      <c r="AA761" s="3" t="str">
        <f t="shared" si="169"/>
        <v/>
      </c>
      <c r="AB761" s="48"/>
      <c r="AC761" s="48"/>
      <c r="AD761" s="36"/>
      <c r="AE761" s="54"/>
      <c r="AF761" s="3" t="str">
        <f t="shared" si="170"/>
        <v/>
      </c>
      <c r="AG761" s="48"/>
      <c r="AH761" s="48"/>
      <c r="AI761" s="39"/>
      <c r="AJ761" s="79"/>
      <c r="AK761" s="39"/>
      <c r="AL761" s="4">
        <f t="shared" si="163"/>
        <v>0</v>
      </c>
      <c r="AM761" s="4">
        <f t="shared" si="163"/>
        <v>0</v>
      </c>
      <c r="AN761" s="4">
        <f t="shared" si="164"/>
        <v>0</v>
      </c>
      <c r="AO761" s="39"/>
      <c r="AP761" s="8">
        <f t="shared" si="165"/>
        <v>0</v>
      </c>
      <c r="AQ761" s="8">
        <f t="shared" si="165"/>
        <v>0</v>
      </c>
      <c r="AR761" s="8">
        <f t="shared" si="166"/>
        <v>0</v>
      </c>
      <c r="AS761" s="42"/>
      <c r="AT761" s="48"/>
      <c r="AU761" s="48"/>
      <c r="AV761" s="4">
        <f t="shared" si="167"/>
        <v>0</v>
      </c>
      <c r="AW761" s="50" t="str">
        <f t="shared" si="171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56"/>
      <c r="B762" s="54"/>
      <c r="C762" s="56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54"/>
      <c r="O762" s="3" t="str">
        <f t="shared" si="172"/>
        <v/>
      </c>
      <c r="P762" s="48"/>
      <c r="Q762" s="48"/>
      <c r="R762" s="32"/>
      <c r="S762" s="3" t="str">
        <f t="shared" si="173"/>
        <v/>
      </c>
      <c r="T762" s="48"/>
      <c r="U762" s="48"/>
      <c r="V762" s="32"/>
      <c r="W762" s="3" t="str">
        <f t="shared" si="168"/>
        <v/>
      </c>
      <c r="X762" s="48"/>
      <c r="Y762" s="48"/>
      <c r="Z762" s="32"/>
      <c r="AA762" s="3" t="str">
        <f t="shared" si="169"/>
        <v/>
      </c>
      <c r="AB762" s="48"/>
      <c r="AC762" s="48"/>
      <c r="AD762" s="36"/>
      <c r="AE762" s="54"/>
      <c r="AF762" s="3" t="str">
        <f t="shared" si="170"/>
        <v/>
      </c>
      <c r="AG762" s="48"/>
      <c r="AH762" s="48"/>
      <c r="AI762" s="39"/>
      <c r="AJ762" s="79"/>
      <c r="AK762" s="39"/>
      <c r="AL762" s="4">
        <f t="shared" ref="AL762:AM825" si="174">IF($O762="A",P762,0)+IF($S762="A",T762,0)+IF($W762="A",X762,0)+IF($AA762="A",AB762,0)+IF($AF762="A",AG762,0)</f>
        <v>0</v>
      </c>
      <c r="AM762" s="4">
        <f t="shared" si="174"/>
        <v>0</v>
      </c>
      <c r="AN762" s="4">
        <f t="shared" ref="AN762:AN825" si="175">SUM(AL762:AM762)</f>
        <v>0</v>
      </c>
      <c r="AO762" s="39"/>
      <c r="AP762" s="8">
        <f t="shared" ref="AP762:AQ825" si="176">IF($O762="E",P762,0)+IF($S762="E",T762,0)+IF($W762="E",X762,0)+IF($AA762="E",AB762,0)+IF($AF762="E",AG762,0)</f>
        <v>0</v>
      </c>
      <c r="AQ762" s="8">
        <f t="shared" si="176"/>
        <v>0</v>
      </c>
      <c r="AR762" s="8">
        <f t="shared" ref="AR762:AR825" si="177">SUM(AP762:AQ762)</f>
        <v>0</v>
      </c>
      <c r="AS762" s="42"/>
      <c r="AT762" s="48"/>
      <c r="AU762" s="48"/>
      <c r="AV762" s="4">
        <f t="shared" ref="AV762:AV825" si="178">SUM(AT762:AU762)</f>
        <v>0</v>
      </c>
      <c r="AW762" s="50" t="str">
        <f t="shared" si="171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56"/>
      <c r="B763" s="54"/>
      <c r="C763" s="56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54"/>
      <c r="O763" s="3" t="str">
        <f t="shared" si="172"/>
        <v/>
      </c>
      <c r="P763" s="48"/>
      <c r="Q763" s="48"/>
      <c r="R763" s="32"/>
      <c r="S763" s="3" t="str">
        <f t="shared" si="173"/>
        <v/>
      </c>
      <c r="T763" s="48"/>
      <c r="U763" s="48"/>
      <c r="V763" s="32"/>
      <c r="W763" s="3" t="str">
        <f t="shared" si="168"/>
        <v/>
      </c>
      <c r="X763" s="48"/>
      <c r="Y763" s="48"/>
      <c r="Z763" s="32"/>
      <c r="AA763" s="3" t="str">
        <f t="shared" si="169"/>
        <v/>
      </c>
      <c r="AB763" s="48"/>
      <c r="AC763" s="48"/>
      <c r="AD763" s="36"/>
      <c r="AE763" s="54"/>
      <c r="AF763" s="3" t="str">
        <f t="shared" si="170"/>
        <v/>
      </c>
      <c r="AG763" s="48"/>
      <c r="AH763" s="48"/>
      <c r="AI763" s="39"/>
      <c r="AJ763" s="79"/>
      <c r="AK763" s="39"/>
      <c r="AL763" s="4">
        <f t="shared" si="174"/>
        <v>0</v>
      </c>
      <c r="AM763" s="4">
        <f t="shared" si="174"/>
        <v>0</v>
      </c>
      <c r="AN763" s="4">
        <f t="shared" si="175"/>
        <v>0</v>
      </c>
      <c r="AO763" s="39"/>
      <c r="AP763" s="8">
        <f t="shared" si="176"/>
        <v>0</v>
      </c>
      <c r="AQ763" s="8">
        <f t="shared" si="176"/>
        <v>0</v>
      </c>
      <c r="AR763" s="8">
        <f t="shared" si="177"/>
        <v>0</v>
      </c>
      <c r="AS763" s="42"/>
      <c r="AT763" s="48"/>
      <c r="AU763" s="48"/>
      <c r="AV763" s="4">
        <f t="shared" si="178"/>
        <v>0</v>
      </c>
      <c r="AW763" s="50" t="str">
        <f t="shared" si="171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56"/>
      <c r="B764" s="54"/>
      <c r="C764" s="56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54"/>
      <c r="O764" s="3" t="str">
        <f t="shared" si="172"/>
        <v/>
      </c>
      <c r="P764" s="48"/>
      <c r="Q764" s="48"/>
      <c r="R764" s="32"/>
      <c r="S764" s="3" t="str">
        <f t="shared" si="173"/>
        <v/>
      </c>
      <c r="T764" s="48"/>
      <c r="U764" s="48"/>
      <c r="V764" s="32"/>
      <c r="W764" s="3" t="str">
        <f t="shared" si="168"/>
        <v/>
      </c>
      <c r="X764" s="48"/>
      <c r="Y764" s="48"/>
      <c r="Z764" s="32"/>
      <c r="AA764" s="3" t="str">
        <f t="shared" si="169"/>
        <v/>
      </c>
      <c r="AB764" s="48"/>
      <c r="AC764" s="48"/>
      <c r="AD764" s="36"/>
      <c r="AE764" s="54"/>
      <c r="AF764" s="3" t="str">
        <f t="shared" si="170"/>
        <v/>
      </c>
      <c r="AG764" s="48"/>
      <c r="AH764" s="48"/>
      <c r="AI764" s="39"/>
      <c r="AJ764" s="79"/>
      <c r="AK764" s="39"/>
      <c r="AL764" s="4">
        <f t="shared" si="174"/>
        <v>0</v>
      </c>
      <c r="AM764" s="4">
        <f t="shared" si="174"/>
        <v>0</v>
      </c>
      <c r="AN764" s="4">
        <f t="shared" si="175"/>
        <v>0</v>
      </c>
      <c r="AO764" s="39"/>
      <c r="AP764" s="8">
        <f t="shared" si="176"/>
        <v>0</v>
      </c>
      <c r="AQ764" s="8">
        <f t="shared" si="176"/>
        <v>0</v>
      </c>
      <c r="AR764" s="8">
        <f t="shared" si="177"/>
        <v>0</v>
      </c>
      <c r="AS764" s="42"/>
      <c r="AT764" s="48"/>
      <c r="AU764" s="48"/>
      <c r="AV764" s="4">
        <f t="shared" si="178"/>
        <v>0</v>
      </c>
      <c r="AW764" s="50" t="str">
        <f t="shared" si="171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56"/>
      <c r="B765" s="54"/>
      <c r="C765" s="56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54"/>
      <c r="O765" s="3" t="str">
        <f t="shared" si="172"/>
        <v/>
      </c>
      <c r="P765" s="48"/>
      <c r="Q765" s="48"/>
      <c r="R765" s="32"/>
      <c r="S765" s="3" t="str">
        <f t="shared" si="173"/>
        <v/>
      </c>
      <c r="T765" s="48"/>
      <c r="U765" s="48"/>
      <c r="V765" s="32"/>
      <c r="W765" s="3" t="str">
        <f t="shared" si="168"/>
        <v/>
      </c>
      <c r="X765" s="48"/>
      <c r="Y765" s="48"/>
      <c r="Z765" s="32"/>
      <c r="AA765" s="3" t="str">
        <f t="shared" si="169"/>
        <v/>
      </c>
      <c r="AB765" s="48"/>
      <c r="AC765" s="48"/>
      <c r="AD765" s="36"/>
      <c r="AE765" s="54"/>
      <c r="AF765" s="3" t="str">
        <f t="shared" si="170"/>
        <v/>
      </c>
      <c r="AG765" s="48"/>
      <c r="AH765" s="48"/>
      <c r="AI765" s="39"/>
      <c r="AJ765" s="79"/>
      <c r="AK765" s="39"/>
      <c r="AL765" s="4">
        <f t="shared" si="174"/>
        <v>0</v>
      </c>
      <c r="AM765" s="4">
        <f t="shared" si="174"/>
        <v>0</v>
      </c>
      <c r="AN765" s="4">
        <f t="shared" si="175"/>
        <v>0</v>
      </c>
      <c r="AO765" s="39"/>
      <c r="AP765" s="8">
        <f t="shared" si="176"/>
        <v>0</v>
      </c>
      <c r="AQ765" s="8">
        <f t="shared" si="176"/>
        <v>0</v>
      </c>
      <c r="AR765" s="8">
        <f t="shared" si="177"/>
        <v>0</v>
      </c>
      <c r="AS765" s="42"/>
      <c r="AT765" s="48"/>
      <c r="AU765" s="48"/>
      <c r="AV765" s="4">
        <f t="shared" si="178"/>
        <v>0</v>
      </c>
      <c r="AW765" s="50" t="str">
        <f t="shared" si="171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56"/>
      <c r="B766" s="54"/>
      <c r="C766" s="56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54"/>
      <c r="O766" s="3" t="str">
        <f t="shared" si="172"/>
        <v/>
      </c>
      <c r="P766" s="48"/>
      <c r="Q766" s="48"/>
      <c r="R766" s="32"/>
      <c r="S766" s="3" t="str">
        <f t="shared" si="173"/>
        <v/>
      </c>
      <c r="T766" s="48"/>
      <c r="U766" s="48"/>
      <c r="V766" s="32"/>
      <c r="W766" s="3" t="str">
        <f t="shared" si="168"/>
        <v/>
      </c>
      <c r="X766" s="48"/>
      <c r="Y766" s="48"/>
      <c r="Z766" s="32"/>
      <c r="AA766" s="3" t="str">
        <f t="shared" si="169"/>
        <v/>
      </c>
      <c r="AB766" s="48"/>
      <c r="AC766" s="48"/>
      <c r="AD766" s="36"/>
      <c r="AE766" s="54"/>
      <c r="AF766" s="3" t="str">
        <f t="shared" si="170"/>
        <v/>
      </c>
      <c r="AG766" s="48"/>
      <c r="AH766" s="48"/>
      <c r="AI766" s="39"/>
      <c r="AJ766" s="79"/>
      <c r="AK766" s="39"/>
      <c r="AL766" s="4">
        <f t="shared" si="174"/>
        <v>0</v>
      </c>
      <c r="AM766" s="4">
        <f t="shared" si="174"/>
        <v>0</v>
      </c>
      <c r="AN766" s="4">
        <f t="shared" si="175"/>
        <v>0</v>
      </c>
      <c r="AO766" s="39"/>
      <c r="AP766" s="8">
        <f t="shared" si="176"/>
        <v>0</v>
      </c>
      <c r="AQ766" s="8">
        <f t="shared" si="176"/>
        <v>0</v>
      </c>
      <c r="AR766" s="8">
        <f t="shared" si="177"/>
        <v>0</v>
      </c>
      <c r="AS766" s="42"/>
      <c r="AT766" s="48"/>
      <c r="AU766" s="48"/>
      <c r="AV766" s="4">
        <f t="shared" si="178"/>
        <v>0</v>
      </c>
      <c r="AW766" s="50" t="str">
        <f t="shared" si="171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56"/>
      <c r="B767" s="54"/>
      <c r="C767" s="56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54"/>
      <c r="O767" s="3" t="str">
        <f t="shared" si="172"/>
        <v/>
      </c>
      <c r="P767" s="48"/>
      <c r="Q767" s="48"/>
      <c r="R767" s="32"/>
      <c r="S767" s="3" t="str">
        <f t="shared" si="173"/>
        <v/>
      </c>
      <c r="T767" s="48"/>
      <c r="U767" s="48"/>
      <c r="V767" s="32"/>
      <c r="W767" s="3" t="str">
        <f t="shared" si="168"/>
        <v/>
      </c>
      <c r="X767" s="48"/>
      <c r="Y767" s="48"/>
      <c r="Z767" s="32"/>
      <c r="AA767" s="3" t="str">
        <f t="shared" si="169"/>
        <v/>
      </c>
      <c r="AB767" s="48"/>
      <c r="AC767" s="48"/>
      <c r="AD767" s="36"/>
      <c r="AE767" s="54"/>
      <c r="AF767" s="3" t="str">
        <f t="shared" si="170"/>
        <v/>
      </c>
      <c r="AG767" s="48"/>
      <c r="AH767" s="48"/>
      <c r="AI767" s="39"/>
      <c r="AJ767" s="79"/>
      <c r="AK767" s="39"/>
      <c r="AL767" s="4">
        <f t="shared" si="174"/>
        <v>0</v>
      </c>
      <c r="AM767" s="4">
        <f t="shared" si="174"/>
        <v>0</v>
      </c>
      <c r="AN767" s="4">
        <f t="shared" si="175"/>
        <v>0</v>
      </c>
      <c r="AO767" s="39"/>
      <c r="AP767" s="8">
        <f t="shared" si="176"/>
        <v>0</v>
      </c>
      <c r="AQ767" s="8">
        <f t="shared" si="176"/>
        <v>0</v>
      </c>
      <c r="AR767" s="8">
        <f t="shared" si="177"/>
        <v>0</v>
      </c>
      <c r="AS767" s="42"/>
      <c r="AT767" s="48"/>
      <c r="AU767" s="48"/>
      <c r="AV767" s="4">
        <f t="shared" si="178"/>
        <v>0</v>
      </c>
      <c r="AW767" s="50" t="str">
        <f t="shared" si="171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56"/>
      <c r="B768" s="54"/>
      <c r="C768" s="56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54"/>
      <c r="O768" s="3" t="str">
        <f t="shared" si="172"/>
        <v/>
      </c>
      <c r="P768" s="48"/>
      <c r="Q768" s="48"/>
      <c r="R768" s="32"/>
      <c r="S768" s="3" t="str">
        <f t="shared" si="173"/>
        <v/>
      </c>
      <c r="T768" s="48"/>
      <c r="U768" s="48"/>
      <c r="V768" s="32"/>
      <c r="W768" s="3" t="str">
        <f t="shared" si="168"/>
        <v/>
      </c>
      <c r="X768" s="48"/>
      <c r="Y768" s="48"/>
      <c r="Z768" s="32"/>
      <c r="AA768" s="3" t="str">
        <f t="shared" si="169"/>
        <v/>
      </c>
      <c r="AB768" s="48"/>
      <c r="AC768" s="48"/>
      <c r="AD768" s="36"/>
      <c r="AE768" s="54"/>
      <c r="AF768" s="3" t="str">
        <f t="shared" si="170"/>
        <v/>
      </c>
      <c r="AG768" s="48"/>
      <c r="AH768" s="48"/>
      <c r="AI768" s="39"/>
      <c r="AJ768" s="79"/>
      <c r="AK768" s="39"/>
      <c r="AL768" s="4">
        <f t="shared" si="174"/>
        <v>0</v>
      </c>
      <c r="AM768" s="4">
        <f t="shared" si="174"/>
        <v>0</v>
      </c>
      <c r="AN768" s="4">
        <f t="shared" si="175"/>
        <v>0</v>
      </c>
      <c r="AO768" s="39"/>
      <c r="AP768" s="8">
        <f t="shared" si="176"/>
        <v>0</v>
      </c>
      <c r="AQ768" s="8">
        <f t="shared" si="176"/>
        <v>0</v>
      </c>
      <c r="AR768" s="8">
        <f t="shared" si="177"/>
        <v>0</v>
      </c>
      <c r="AS768" s="42"/>
      <c r="AT768" s="48"/>
      <c r="AU768" s="48"/>
      <c r="AV768" s="4">
        <f t="shared" si="178"/>
        <v>0</v>
      </c>
      <c r="AW768" s="50" t="str">
        <f t="shared" si="171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56"/>
      <c r="B769" s="54"/>
      <c r="C769" s="56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54"/>
      <c r="O769" s="3" t="str">
        <f t="shared" si="172"/>
        <v/>
      </c>
      <c r="P769" s="48"/>
      <c r="Q769" s="48"/>
      <c r="R769" s="32"/>
      <c r="S769" s="3" t="str">
        <f t="shared" si="173"/>
        <v/>
      </c>
      <c r="T769" s="48"/>
      <c r="U769" s="48"/>
      <c r="V769" s="32"/>
      <c r="W769" s="3" t="str">
        <f t="shared" si="168"/>
        <v/>
      </c>
      <c r="X769" s="48"/>
      <c r="Y769" s="48"/>
      <c r="Z769" s="32"/>
      <c r="AA769" s="3" t="str">
        <f t="shared" si="169"/>
        <v/>
      </c>
      <c r="AB769" s="48"/>
      <c r="AC769" s="48"/>
      <c r="AD769" s="36"/>
      <c r="AE769" s="54"/>
      <c r="AF769" s="3" t="str">
        <f t="shared" si="170"/>
        <v/>
      </c>
      <c r="AG769" s="48"/>
      <c r="AH769" s="48"/>
      <c r="AI769" s="39"/>
      <c r="AJ769" s="79"/>
      <c r="AK769" s="39"/>
      <c r="AL769" s="4">
        <f t="shared" si="174"/>
        <v>0</v>
      </c>
      <c r="AM769" s="4">
        <f t="shared" si="174"/>
        <v>0</v>
      </c>
      <c r="AN769" s="4">
        <f t="shared" si="175"/>
        <v>0</v>
      </c>
      <c r="AO769" s="39"/>
      <c r="AP769" s="8">
        <f t="shared" si="176"/>
        <v>0</v>
      </c>
      <c r="AQ769" s="8">
        <f t="shared" si="176"/>
        <v>0</v>
      </c>
      <c r="AR769" s="8">
        <f t="shared" si="177"/>
        <v>0</v>
      </c>
      <c r="AS769" s="42"/>
      <c r="AT769" s="48"/>
      <c r="AU769" s="48"/>
      <c r="AV769" s="4">
        <f t="shared" si="178"/>
        <v>0</v>
      </c>
      <c r="AW769" s="50" t="str">
        <f t="shared" si="171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56"/>
      <c r="B770" s="54"/>
      <c r="C770" s="56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54"/>
      <c r="O770" s="3" t="str">
        <f t="shared" si="172"/>
        <v/>
      </c>
      <c r="P770" s="48"/>
      <c r="Q770" s="48"/>
      <c r="R770" s="32"/>
      <c r="S770" s="3" t="str">
        <f t="shared" si="173"/>
        <v/>
      </c>
      <c r="T770" s="48"/>
      <c r="U770" s="48"/>
      <c r="V770" s="32"/>
      <c r="W770" s="3" t="str">
        <f t="shared" si="168"/>
        <v/>
      </c>
      <c r="X770" s="48"/>
      <c r="Y770" s="48"/>
      <c r="Z770" s="32"/>
      <c r="AA770" s="3" t="str">
        <f t="shared" si="169"/>
        <v/>
      </c>
      <c r="AB770" s="48"/>
      <c r="AC770" s="48"/>
      <c r="AD770" s="36"/>
      <c r="AE770" s="54"/>
      <c r="AF770" s="3" t="str">
        <f t="shared" si="170"/>
        <v/>
      </c>
      <c r="AG770" s="48"/>
      <c r="AH770" s="48"/>
      <c r="AI770" s="39"/>
      <c r="AJ770" s="79"/>
      <c r="AK770" s="39"/>
      <c r="AL770" s="4">
        <f t="shared" si="174"/>
        <v>0</v>
      </c>
      <c r="AM770" s="4">
        <f t="shared" si="174"/>
        <v>0</v>
      </c>
      <c r="AN770" s="4">
        <f t="shared" si="175"/>
        <v>0</v>
      </c>
      <c r="AO770" s="39"/>
      <c r="AP770" s="8">
        <f t="shared" si="176"/>
        <v>0</v>
      </c>
      <c r="AQ770" s="8">
        <f t="shared" si="176"/>
        <v>0</v>
      </c>
      <c r="AR770" s="8">
        <f t="shared" si="177"/>
        <v>0</v>
      </c>
      <c r="AS770" s="42"/>
      <c r="AT770" s="48"/>
      <c r="AU770" s="48"/>
      <c r="AV770" s="4">
        <f t="shared" si="178"/>
        <v>0</v>
      </c>
      <c r="AW770" s="50" t="str">
        <f t="shared" si="171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56"/>
      <c r="B771" s="54"/>
      <c r="C771" s="56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54"/>
      <c r="O771" s="3" t="str">
        <f t="shared" si="172"/>
        <v/>
      </c>
      <c r="P771" s="48"/>
      <c r="Q771" s="48"/>
      <c r="R771" s="32"/>
      <c r="S771" s="3" t="str">
        <f t="shared" si="173"/>
        <v/>
      </c>
      <c r="T771" s="48"/>
      <c r="U771" s="48"/>
      <c r="V771" s="32"/>
      <c r="W771" s="3" t="str">
        <f t="shared" si="168"/>
        <v/>
      </c>
      <c r="X771" s="48"/>
      <c r="Y771" s="48"/>
      <c r="Z771" s="32"/>
      <c r="AA771" s="3" t="str">
        <f t="shared" si="169"/>
        <v/>
      </c>
      <c r="AB771" s="48"/>
      <c r="AC771" s="48"/>
      <c r="AD771" s="36"/>
      <c r="AE771" s="54"/>
      <c r="AF771" s="3" t="str">
        <f t="shared" si="170"/>
        <v/>
      </c>
      <c r="AG771" s="48"/>
      <c r="AH771" s="48"/>
      <c r="AI771" s="39"/>
      <c r="AJ771" s="79"/>
      <c r="AK771" s="39"/>
      <c r="AL771" s="4">
        <f t="shared" si="174"/>
        <v>0</v>
      </c>
      <c r="AM771" s="4">
        <f t="shared" si="174"/>
        <v>0</v>
      </c>
      <c r="AN771" s="4">
        <f t="shared" si="175"/>
        <v>0</v>
      </c>
      <c r="AO771" s="39"/>
      <c r="AP771" s="8">
        <f t="shared" si="176"/>
        <v>0</v>
      </c>
      <c r="AQ771" s="8">
        <f t="shared" si="176"/>
        <v>0</v>
      </c>
      <c r="AR771" s="8">
        <f t="shared" si="177"/>
        <v>0</v>
      </c>
      <c r="AS771" s="42"/>
      <c r="AT771" s="48"/>
      <c r="AU771" s="48"/>
      <c r="AV771" s="4">
        <f t="shared" si="178"/>
        <v>0</v>
      </c>
      <c r="AW771" s="50" t="str">
        <f t="shared" si="171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56"/>
      <c r="B772" s="54"/>
      <c r="C772" s="56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54"/>
      <c r="O772" s="3" t="str">
        <f t="shared" si="172"/>
        <v/>
      </c>
      <c r="P772" s="48"/>
      <c r="Q772" s="48"/>
      <c r="R772" s="32"/>
      <c r="S772" s="3" t="str">
        <f t="shared" si="173"/>
        <v/>
      </c>
      <c r="T772" s="48"/>
      <c r="U772" s="48"/>
      <c r="V772" s="32"/>
      <c r="W772" s="3" t="str">
        <f t="shared" si="168"/>
        <v/>
      </c>
      <c r="X772" s="48"/>
      <c r="Y772" s="48"/>
      <c r="Z772" s="32"/>
      <c r="AA772" s="3" t="str">
        <f t="shared" si="169"/>
        <v/>
      </c>
      <c r="AB772" s="48"/>
      <c r="AC772" s="48"/>
      <c r="AD772" s="36"/>
      <c r="AE772" s="54"/>
      <c r="AF772" s="3" t="str">
        <f t="shared" si="170"/>
        <v/>
      </c>
      <c r="AG772" s="48"/>
      <c r="AH772" s="48"/>
      <c r="AI772" s="39"/>
      <c r="AJ772" s="79"/>
      <c r="AK772" s="39"/>
      <c r="AL772" s="4">
        <f t="shared" si="174"/>
        <v>0</v>
      </c>
      <c r="AM772" s="4">
        <f t="shared" si="174"/>
        <v>0</v>
      </c>
      <c r="AN772" s="4">
        <f t="shared" si="175"/>
        <v>0</v>
      </c>
      <c r="AO772" s="39"/>
      <c r="AP772" s="8">
        <f t="shared" si="176"/>
        <v>0</v>
      </c>
      <c r="AQ772" s="8">
        <f t="shared" si="176"/>
        <v>0</v>
      </c>
      <c r="AR772" s="8">
        <f t="shared" si="177"/>
        <v>0</v>
      </c>
      <c r="AS772" s="42"/>
      <c r="AT772" s="48"/>
      <c r="AU772" s="48"/>
      <c r="AV772" s="4">
        <f t="shared" si="178"/>
        <v>0</v>
      </c>
      <c r="AW772" s="50" t="str">
        <f t="shared" si="171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56"/>
      <c r="B773" s="54"/>
      <c r="C773" s="56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54"/>
      <c r="O773" s="3" t="str">
        <f t="shared" si="172"/>
        <v/>
      </c>
      <c r="P773" s="48"/>
      <c r="Q773" s="48"/>
      <c r="R773" s="32"/>
      <c r="S773" s="3" t="str">
        <f t="shared" si="173"/>
        <v/>
      </c>
      <c r="T773" s="48"/>
      <c r="U773" s="48"/>
      <c r="V773" s="32"/>
      <c r="W773" s="3" t="str">
        <f t="shared" si="168"/>
        <v/>
      </c>
      <c r="X773" s="48"/>
      <c r="Y773" s="48"/>
      <c r="Z773" s="32"/>
      <c r="AA773" s="3" t="str">
        <f t="shared" si="169"/>
        <v/>
      </c>
      <c r="AB773" s="48"/>
      <c r="AC773" s="48"/>
      <c r="AD773" s="36"/>
      <c r="AE773" s="54"/>
      <c r="AF773" s="3" t="str">
        <f t="shared" si="170"/>
        <v/>
      </c>
      <c r="AG773" s="48"/>
      <c r="AH773" s="48"/>
      <c r="AI773" s="39"/>
      <c r="AJ773" s="79"/>
      <c r="AK773" s="39"/>
      <c r="AL773" s="4">
        <f t="shared" si="174"/>
        <v>0</v>
      </c>
      <c r="AM773" s="4">
        <f t="shared" si="174"/>
        <v>0</v>
      </c>
      <c r="AN773" s="4">
        <f t="shared" si="175"/>
        <v>0</v>
      </c>
      <c r="AO773" s="39"/>
      <c r="AP773" s="8">
        <f t="shared" si="176"/>
        <v>0</v>
      </c>
      <c r="AQ773" s="8">
        <f t="shared" si="176"/>
        <v>0</v>
      </c>
      <c r="AR773" s="8">
        <f t="shared" si="177"/>
        <v>0</v>
      </c>
      <c r="AS773" s="42"/>
      <c r="AT773" s="48"/>
      <c r="AU773" s="48"/>
      <c r="AV773" s="4">
        <f t="shared" si="178"/>
        <v>0</v>
      </c>
      <c r="AW773" s="50" t="str">
        <f t="shared" si="171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56"/>
      <c r="B774" s="54"/>
      <c r="C774" s="56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54"/>
      <c r="O774" s="3" t="str">
        <f t="shared" si="172"/>
        <v/>
      </c>
      <c r="P774" s="48"/>
      <c r="Q774" s="48"/>
      <c r="R774" s="32"/>
      <c r="S774" s="3" t="str">
        <f t="shared" si="173"/>
        <v/>
      </c>
      <c r="T774" s="48"/>
      <c r="U774" s="48"/>
      <c r="V774" s="32"/>
      <c r="W774" s="3" t="str">
        <f t="shared" si="168"/>
        <v/>
      </c>
      <c r="X774" s="48"/>
      <c r="Y774" s="48"/>
      <c r="Z774" s="32"/>
      <c r="AA774" s="3" t="str">
        <f t="shared" si="169"/>
        <v/>
      </c>
      <c r="AB774" s="48"/>
      <c r="AC774" s="48"/>
      <c r="AD774" s="36"/>
      <c r="AE774" s="54"/>
      <c r="AF774" s="3" t="str">
        <f t="shared" si="170"/>
        <v/>
      </c>
      <c r="AG774" s="48"/>
      <c r="AH774" s="48"/>
      <c r="AI774" s="39"/>
      <c r="AJ774" s="79"/>
      <c r="AK774" s="39"/>
      <c r="AL774" s="4">
        <f t="shared" si="174"/>
        <v>0</v>
      </c>
      <c r="AM774" s="4">
        <f t="shared" si="174"/>
        <v>0</v>
      </c>
      <c r="AN774" s="4">
        <f t="shared" si="175"/>
        <v>0</v>
      </c>
      <c r="AO774" s="39"/>
      <c r="AP774" s="8">
        <f t="shared" si="176"/>
        <v>0</v>
      </c>
      <c r="AQ774" s="8">
        <f t="shared" si="176"/>
        <v>0</v>
      </c>
      <c r="AR774" s="8">
        <f t="shared" si="177"/>
        <v>0</v>
      </c>
      <c r="AS774" s="42"/>
      <c r="AT774" s="48"/>
      <c r="AU774" s="48"/>
      <c r="AV774" s="4">
        <f t="shared" si="178"/>
        <v>0</v>
      </c>
      <c r="AW774" s="50" t="str">
        <f t="shared" si="171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56"/>
      <c r="B775" s="54"/>
      <c r="C775" s="56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54"/>
      <c r="O775" s="3" t="str">
        <f t="shared" si="172"/>
        <v/>
      </c>
      <c r="P775" s="48"/>
      <c r="Q775" s="48"/>
      <c r="R775" s="32"/>
      <c r="S775" s="3" t="str">
        <f t="shared" si="173"/>
        <v/>
      </c>
      <c r="T775" s="48"/>
      <c r="U775" s="48"/>
      <c r="V775" s="32"/>
      <c r="W775" s="3" t="str">
        <f t="shared" si="168"/>
        <v/>
      </c>
      <c r="X775" s="48"/>
      <c r="Y775" s="48"/>
      <c r="Z775" s="32"/>
      <c r="AA775" s="3" t="str">
        <f t="shared" si="169"/>
        <v/>
      </c>
      <c r="AB775" s="48"/>
      <c r="AC775" s="48"/>
      <c r="AD775" s="36"/>
      <c r="AE775" s="54"/>
      <c r="AF775" s="3" t="str">
        <f t="shared" si="170"/>
        <v/>
      </c>
      <c r="AG775" s="48"/>
      <c r="AH775" s="48"/>
      <c r="AI775" s="39"/>
      <c r="AJ775" s="79"/>
      <c r="AK775" s="39"/>
      <c r="AL775" s="4">
        <f t="shared" si="174"/>
        <v>0</v>
      </c>
      <c r="AM775" s="4">
        <f t="shared" si="174"/>
        <v>0</v>
      </c>
      <c r="AN775" s="4">
        <f t="shared" si="175"/>
        <v>0</v>
      </c>
      <c r="AO775" s="39"/>
      <c r="AP775" s="8">
        <f t="shared" si="176"/>
        <v>0</v>
      </c>
      <c r="AQ775" s="8">
        <f t="shared" si="176"/>
        <v>0</v>
      </c>
      <c r="AR775" s="8">
        <f t="shared" si="177"/>
        <v>0</v>
      </c>
      <c r="AS775" s="42"/>
      <c r="AT775" s="48"/>
      <c r="AU775" s="48"/>
      <c r="AV775" s="4">
        <f t="shared" si="178"/>
        <v>0</v>
      </c>
      <c r="AW775" s="50" t="str">
        <f t="shared" si="171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56"/>
      <c r="B776" s="54"/>
      <c r="C776" s="56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54"/>
      <c r="O776" s="3" t="str">
        <f t="shared" si="172"/>
        <v/>
      </c>
      <c r="P776" s="48"/>
      <c r="Q776" s="48"/>
      <c r="R776" s="32"/>
      <c r="S776" s="3" t="str">
        <f t="shared" si="173"/>
        <v/>
      </c>
      <c r="T776" s="48"/>
      <c r="U776" s="48"/>
      <c r="V776" s="32"/>
      <c r="W776" s="3" t="str">
        <f t="shared" ref="W776:W839" si="179">IF($A776="","",IF(X776=0,"A",IF(X776=BB776,"E","A")))</f>
        <v/>
      </c>
      <c r="X776" s="48"/>
      <c r="Y776" s="48"/>
      <c r="Z776" s="32"/>
      <c r="AA776" s="3" t="str">
        <f t="shared" ref="AA776:AA839" si="180">IF($A776="","",IF(AB776=0,"A",IF(AB776=BC776,"E","A")))</f>
        <v/>
      </c>
      <c r="AB776" s="48"/>
      <c r="AC776" s="48"/>
      <c r="AD776" s="36"/>
      <c r="AE776" s="54"/>
      <c r="AF776" s="3" t="str">
        <f t="shared" ref="AF776:AF839" si="181">IF($A776="","",IF(AG776=0,"A",IF(AG776=BD776,"E","A")))</f>
        <v/>
      </c>
      <c r="AG776" s="48"/>
      <c r="AH776" s="48"/>
      <c r="AI776" s="39"/>
      <c r="AJ776" s="79"/>
      <c r="AK776" s="39"/>
      <c r="AL776" s="4">
        <f t="shared" si="174"/>
        <v>0</v>
      </c>
      <c r="AM776" s="4">
        <f t="shared" si="174"/>
        <v>0</v>
      </c>
      <c r="AN776" s="4">
        <f t="shared" si="175"/>
        <v>0</v>
      </c>
      <c r="AO776" s="39"/>
      <c r="AP776" s="8">
        <f t="shared" si="176"/>
        <v>0</v>
      </c>
      <c r="AQ776" s="8">
        <f t="shared" si="176"/>
        <v>0</v>
      </c>
      <c r="AR776" s="8">
        <f t="shared" si="177"/>
        <v>0</v>
      </c>
      <c r="AS776" s="42"/>
      <c r="AT776" s="48"/>
      <c r="AU776" s="48"/>
      <c r="AV776" s="4">
        <f t="shared" si="178"/>
        <v>0</v>
      </c>
      <c r="AW776" s="50" t="str">
        <f t="shared" ref="AW776:AW839" si="182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56"/>
      <c r="B777" s="54"/>
      <c r="C777" s="56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54"/>
      <c r="O777" s="3" t="str">
        <f t="shared" si="172"/>
        <v/>
      </c>
      <c r="P777" s="48"/>
      <c r="Q777" s="48"/>
      <c r="R777" s="32"/>
      <c r="S777" s="3" t="str">
        <f t="shared" si="173"/>
        <v/>
      </c>
      <c r="T777" s="48"/>
      <c r="U777" s="48"/>
      <c r="V777" s="32"/>
      <c r="W777" s="3" t="str">
        <f t="shared" si="179"/>
        <v/>
      </c>
      <c r="X777" s="48"/>
      <c r="Y777" s="48"/>
      <c r="Z777" s="32"/>
      <c r="AA777" s="3" t="str">
        <f t="shared" si="180"/>
        <v/>
      </c>
      <c r="AB777" s="48"/>
      <c r="AC777" s="48"/>
      <c r="AD777" s="36"/>
      <c r="AE777" s="54"/>
      <c r="AF777" s="3" t="str">
        <f t="shared" si="181"/>
        <v/>
      </c>
      <c r="AG777" s="48"/>
      <c r="AH777" s="48"/>
      <c r="AI777" s="39"/>
      <c r="AJ777" s="79"/>
      <c r="AK777" s="39"/>
      <c r="AL777" s="4">
        <f t="shared" si="174"/>
        <v>0</v>
      </c>
      <c r="AM777" s="4">
        <f t="shared" si="174"/>
        <v>0</v>
      </c>
      <c r="AN777" s="4">
        <f t="shared" si="175"/>
        <v>0</v>
      </c>
      <c r="AO777" s="39"/>
      <c r="AP777" s="8">
        <f t="shared" si="176"/>
        <v>0</v>
      </c>
      <c r="AQ777" s="8">
        <f t="shared" si="176"/>
        <v>0</v>
      </c>
      <c r="AR777" s="8">
        <f t="shared" si="177"/>
        <v>0</v>
      </c>
      <c r="AS777" s="42"/>
      <c r="AT777" s="48"/>
      <c r="AU777" s="48"/>
      <c r="AV777" s="4">
        <f t="shared" si="178"/>
        <v>0</v>
      </c>
      <c r="AW777" s="50" t="str">
        <f t="shared" si="182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56"/>
      <c r="B778" s="54"/>
      <c r="C778" s="56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54"/>
      <c r="O778" s="3" t="str">
        <f t="shared" si="172"/>
        <v/>
      </c>
      <c r="P778" s="48"/>
      <c r="Q778" s="48"/>
      <c r="R778" s="32"/>
      <c r="S778" s="3" t="str">
        <f t="shared" si="173"/>
        <v/>
      </c>
      <c r="T778" s="48"/>
      <c r="U778" s="48"/>
      <c r="V778" s="32"/>
      <c r="W778" s="3" t="str">
        <f t="shared" si="179"/>
        <v/>
      </c>
      <c r="X778" s="48"/>
      <c r="Y778" s="48"/>
      <c r="Z778" s="32"/>
      <c r="AA778" s="3" t="str">
        <f t="shared" si="180"/>
        <v/>
      </c>
      <c r="AB778" s="48"/>
      <c r="AC778" s="48"/>
      <c r="AD778" s="36"/>
      <c r="AE778" s="54"/>
      <c r="AF778" s="3" t="str">
        <f t="shared" si="181"/>
        <v/>
      </c>
      <c r="AG778" s="48"/>
      <c r="AH778" s="48"/>
      <c r="AI778" s="39"/>
      <c r="AJ778" s="79"/>
      <c r="AK778" s="39"/>
      <c r="AL778" s="4">
        <f t="shared" si="174"/>
        <v>0</v>
      </c>
      <c r="AM778" s="4">
        <f t="shared" si="174"/>
        <v>0</v>
      </c>
      <c r="AN778" s="4">
        <f t="shared" si="175"/>
        <v>0</v>
      </c>
      <c r="AO778" s="39"/>
      <c r="AP778" s="8">
        <f t="shared" si="176"/>
        <v>0</v>
      </c>
      <c r="AQ778" s="8">
        <f t="shared" si="176"/>
        <v>0</v>
      </c>
      <c r="AR778" s="8">
        <f t="shared" si="177"/>
        <v>0</v>
      </c>
      <c r="AS778" s="42"/>
      <c r="AT778" s="48"/>
      <c r="AU778" s="48"/>
      <c r="AV778" s="4">
        <f t="shared" si="178"/>
        <v>0</v>
      </c>
      <c r="AW778" s="50" t="str">
        <f t="shared" si="182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56"/>
      <c r="B779" s="54"/>
      <c r="C779" s="56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54"/>
      <c r="O779" s="3" t="str">
        <f t="shared" si="172"/>
        <v/>
      </c>
      <c r="P779" s="48"/>
      <c r="Q779" s="48"/>
      <c r="R779" s="32"/>
      <c r="S779" s="3" t="str">
        <f t="shared" si="173"/>
        <v/>
      </c>
      <c r="T779" s="48"/>
      <c r="U779" s="48"/>
      <c r="V779" s="32"/>
      <c r="W779" s="3" t="str">
        <f t="shared" si="179"/>
        <v/>
      </c>
      <c r="X779" s="48"/>
      <c r="Y779" s="48"/>
      <c r="Z779" s="32"/>
      <c r="AA779" s="3" t="str">
        <f t="shared" si="180"/>
        <v/>
      </c>
      <c r="AB779" s="48"/>
      <c r="AC779" s="48"/>
      <c r="AD779" s="36"/>
      <c r="AE779" s="54"/>
      <c r="AF779" s="3" t="str">
        <f t="shared" si="181"/>
        <v/>
      </c>
      <c r="AG779" s="48"/>
      <c r="AH779" s="48"/>
      <c r="AI779" s="39"/>
      <c r="AJ779" s="79"/>
      <c r="AK779" s="39"/>
      <c r="AL779" s="4">
        <f t="shared" si="174"/>
        <v>0</v>
      </c>
      <c r="AM779" s="4">
        <f t="shared" si="174"/>
        <v>0</v>
      </c>
      <c r="AN779" s="4">
        <f t="shared" si="175"/>
        <v>0</v>
      </c>
      <c r="AO779" s="39"/>
      <c r="AP779" s="8">
        <f t="shared" si="176"/>
        <v>0</v>
      </c>
      <c r="AQ779" s="8">
        <f t="shared" si="176"/>
        <v>0</v>
      </c>
      <c r="AR779" s="8">
        <f t="shared" si="177"/>
        <v>0</v>
      </c>
      <c r="AS779" s="42"/>
      <c r="AT779" s="48"/>
      <c r="AU779" s="48"/>
      <c r="AV779" s="4">
        <f t="shared" si="178"/>
        <v>0</v>
      </c>
      <c r="AW779" s="50" t="str">
        <f t="shared" si="182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56"/>
      <c r="B780" s="54"/>
      <c r="C780" s="56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54"/>
      <c r="O780" s="3" t="str">
        <f t="shared" si="172"/>
        <v/>
      </c>
      <c r="P780" s="48"/>
      <c r="Q780" s="48"/>
      <c r="R780" s="32"/>
      <c r="S780" s="3" t="str">
        <f t="shared" si="173"/>
        <v/>
      </c>
      <c r="T780" s="48"/>
      <c r="U780" s="48"/>
      <c r="V780" s="32"/>
      <c r="W780" s="3" t="str">
        <f t="shared" si="179"/>
        <v/>
      </c>
      <c r="X780" s="48"/>
      <c r="Y780" s="48"/>
      <c r="Z780" s="32"/>
      <c r="AA780" s="3" t="str">
        <f t="shared" si="180"/>
        <v/>
      </c>
      <c r="AB780" s="48"/>
      <c r="AC780" s="48"/>
      <c r="AD780" s="36"/>
      <c r="AE780" s="54"/>
      <c r="AF780" s="3" t="str">
        <f t="shared" si="181"/>
        <v/>
      </c>
      <c r="AG780" s="48"/>
      <c r="AH780" s="48"/>
      <c r="AI780" s="39"/>
      <c r="AJ780" s="79"/>
      <c r="AK780" s="39"/>
      <c r="AL780" s="4">
        <f t="shared" si="174"/>
        <v>0</v>
      </c>
      <c r="AM780" s="4">
        <f t="shared" si="174"/>
        <v>0</v>
      </c>
      <c r="AN780" s="4">
        <f t="shared" si="175"/>
        <v>0</v>
      </c>
      <c r="AO780" s="39"/>
      <c r="AP780" s="8">
        <f t="shared" si="176"/>
        <v>0</v>
      </c>
      <c r="AQ780" s="8">
        <f t="shared" si="176"/>
        <v>0</v>
      </c>
      <c r="AR780" s="8">
        <f t="shared" si="177"/>
        <v>0</v>
      </c>
      <c r="AS780" s="42"/>
      <c r="AT780" s="48"/>
      <c r="AU780" s="48"/>
      <c r="AV780" s="4">
        <f t="shared" si="178"/>
        <v>0</v>
      </c>
      <c r="AW780" s="50" t="str">
        <f t="shared" si="182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56"/>
      <c r="B781" s="54"/>
      <c r="C781" s="56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54"/>
      <c r="O781" s="3" t="str">
        <f t="shared" si="172"/>
        <v/>
      </c>
      <c r="P781" s="48"/>
      <c r="Q781" s="48"/>
      <c r="R781" s="32"/>
      <c r="S781" s="3" t="str">
        <f t="shared" si="173"/>
        <v/>
      </c>
      <c r="T781" s="48"/>
      <c r="U781" s="48"/>
      <c r="V781" s="32"/>
      <c r="W781" s="3" t="str">
        <f t="shared" si="179"/>
        <v/>
      </c>
      <c r="X781" s="48"/>
      <c r="Y781" s="48"/>
      <c r="Z781" s="32"/>
      <c r="AA781" s="3" t="str">
        <f t="shared" si="180"/>
        <v/>
      </c>
      <c r="AB781" s="48"/>
      <c r="AC781" s="48"/>
      <c r="AD781" s="36"/>
      <c r="AE781" s="54"/>
      <c r="AF781" s="3" t="str">
        <f t="shared" si="181"/>
        <v/>
      </c>
      <c r="AG781" s="48"/>
      <c r="AH781" s="48"/>
      <c r="AI781" s="39"/>
      <c r="AJ781" s="79"/>
      <c r="AK781" s="39"/>
      <c r="AL781" s="4">
        <f t="shared" si="174"/>
        <v>0</v>
      </c>
      <c r="AM781" s="4">
        <f t="shared" si="174"/>
        <v>0</v>
      </c>
      <c r="AN781" s="4">
        <f t="shared" si="175"/>
        <v>0</v>
      </c>
      <c r="AO781" s="39"/>
      <c r="AP781" s="8">
        <f t="shared" si="176"/>
        <v>0</v>
      </c>
      <c r="AQ781" s="8">
        <f t="shared" si="176"/>
        <v>0</v>
      </c>
      <c r="AR781" s="8">
        <f t="shared" si="177"/>
        <v>0</v>
      </c>
      <c r="AS781" s="42"/>
      <c r="AT781" s="48"/>
      <c r="AU781" s="48"/>
      <c r="AV781" s="4">
        <f t="shared" si="178"/>
        <v>0</v>
      </c>
      <c r="AW781" s="50" t="str">
        <f t="shared" si="182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56"/>
      <c r="B782" s="54"/>
      <c r="C782" s="56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54"/>
      <c r="O782" s="3" t="str">
        <f t="shared" si="172"/>
        <v/>
      </c>
      <c r="P782" s="48"/>
      <c r="Q782" s="48"/>
      <c r="R782" s="32"/>
      <c r="S782" s="3" t="str">
        <f t="shared" si="173"/>
        <v/>
      </c>
      <c r="T782" s="48"/>
      <c r="U782" s="48"/>
      <c r="V782" s="32"/>
      <c r="W782" s="3" t="str">
        <f t="shared" si="179"/>
        <v/>
      </c>
      <c r="X782" s="48"/>
      <c r="Y782" s="48"/>
      <c r="Z782" s="32"/>
      <c r="AA782" s="3" t="str">
        <f t="shared" si="180"/>
        <v/>
      </c>
      <c r="AB782" s="48"/>
      <c r="AC782" s="48"/>
      <c r="AD782" s="36"/>
      <c r="AE782" s="54"/>
      <c r="AF782" s="3" t="str">
        <f t="shared" si="181"/>
        <v/>
      </c>
      <c r="AG782" s="48"/>
      <c r="AH782" s="48"/>
      <c r="AI782" s="39"/>
      <c r="AJ782" s="79"/>
      <c r="AK782" s="39"/>
      <c r="AL782" s="4">
        <f t="shared" si="174"/>
        <v>0</v>
      </c>
      <c r="AM782" s="4">
        <f t="shared" si="174"/>
        <v>0</v>
      </c>
      <c r="AN782" s="4">
        <f t="shared" si="175"/>
        <v>0</v>
      </c>
      <c r="AO782" s="39"/>
      <c r="AP782" s="8">
        <f t="shared" si="176"/>
        <v>0</v>
      </c>
      <c r="AQ782" s="8">
        <f t="shared" si="176"/>
        <v>0</v>
      </c>
      <c r="AR782" s="8">
        <f t="shared" si="177"/>
        <v>0</v>
      </c>
      <c r="AS782" s="42"/>
      <c r="AT782" s="48"/>
      <c r="AU782" s="48"/>
      <c r="AV782" s="4">
        <f t="shared" si="178"/>
        <v>0</v>
      </c>
      <c r="AW782" s="50" t="str">
        <f t="shared" si="182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56"/>
      <c r="B783" s="54"/>
      <c r="C783" s="56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54"/>
      <c r="O783" s="3" t="str">
        <f t="shared" si="172"/>
        <v/>
      </c>
      <c r="P783" s="48"/>
      <c r="Q783" s="48"/>
      <c r="R783" s="32"/>
      <c r="S783" s="3" t="str">
        <f t="shared" si="173"/>
        <v/>
      </c>
      <c r="T783" s="48"/>
      <c r="U783" s="48"/>
      <c r="V783" s="32"/>
      <c r="W783" s="3" t="str">
        <f t="shared" si="179"/>
        <v/>
      </c>
      <c r="X783" s="48"/>
      <c r="Y783" s="48"/>
      <c r="Z783" s="32"/>
      <c r="AA783" s="3" t="str">
        <f t="shared" si="180"/>
        <v/>
      </c>
      <c r="AB783" s="48"/>
      <c r="AC783" s="48"/>
      <c r="AD783" s="36"/>
      <c r="AE783" s="54"/>
      <c r="AF783" s="3" t="str">
        <f t="shared" si="181"/>
        <v/>
      </c>
      <c r="AG783" s="48"/>
      <c r="AH783" s="48"/>
      <c r="AI783" s="39"/>
      <c r="AJ783" s="79"/>
      <c r="AK783" s="39"/>
      <c r="AL783" s="4">
        <f t="shared" si="174"/>
        <v>0</v>
      </c>
      <c r="AM783" s="4">
        <f t="shared" si="174"/>
        <v>0</v>
      </c>
      <c r="AN783" s="4">
        <f t="shared" si="175"/>
        <v>0</v>
      </c>
      <c r="AO783" s="39"/>
      <c r="AP783" s="8">
        <f t="shared" si="176"/>
        <v>0</v>
      </c>
      <c r="AQ783" s="8">
        <f t="shared" si="176"/>
        <v>0</v>
      </c>
      <c r="AR783" s="8">
        <f t="shared" si="177"/>
        <v>0</v>
      </c>
      <c r="AS783" s="42"/>
      <c r="AT783" s="48"/>
      <c r="AU783" s="48"/>
      <c r="AV783" s="4">
        <f t="shared" si="178"/>
        <v>0</v>
      </c>
      <c r="AW783" s="50" t="str">
        <f t="shared" si="182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56"/>
      <c r="B784" s="54"/>
      <c r="C784" s="56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54"/>
      <c r="O784" s="3" t="str">
        <f t="shared" si="172"/>
        <v/>
      </c>
      <c r="P784" s="48"/>
      <c r="Q784" s="48"/>
      <c r="R784" s="32"/>
      <c r="S784" s="3" t="str">
        <f t="shared" si="173"/>
        <v/>
      </c>
      <c r="T784" s="48"/>
      <c r="U784" s="48"/>
      <c r="V784" s="32"/>
      <c r="W784" s="3" t="str">
        <f t="shared" si="179"/>
        <v/>
      </c>
      <c r="X784" s="48"/>
      <c r="Y784" s="48"/>
      <c r="Z784" s="32"/>
      <c r="AA784" s="3" t="str">
        <f t="shared" si="180"/>
        <v/>
      </c>
      <c r="AB784" s="48"/>
      <c r="AC784" s="48"/>
      <c r="AD784" s="36"/>
      <c r="AE784" s="54"/>
      <c r="AF784" s="3" t="str">
        <f t="shared" si="181"/>
        <v/>
      </c>
      <c r="AG784" s="48"/>
      <c r="AH784" s="48"/>
      <c r="AI784" s="39"/>
      <c r="AJ784" s="79"/>
      <c r="AK784" s="39"/>
      <c r="AL784" s="4">
        <f t="shared" si="174"/>
        <v>0</v>
      </c>
      <c r="AM784" s="4">
        <f t="shared" si="174"/>
        <v>0</v>
      </c>
      <c r="AN784" s="4">
        <f t="shared" si="175"/>
        <v>0</v>
      </c>
      <c r="AO784" s="39"/>
      <c r="AP784" s="8">
        <f t="shared" si="176"/>
        <v>0</v>
      </c>
      <c r="AQ784" s="8">
        <f t="shared" si="176"/>
        <v>0</v>
      </c>
      <c r="AR784" s="8">
        <f t="shared" si="177"/>
        <v>0</v>
      </c>
      <c r="AS784" s="42"/>
      <c r="AT784" s="48"/>
      <c r="AU784" s="48"/>
      <c r="AV784" s="4">
        <f t="shared" si="178"/>
        <v>0</v>
      </c>
      <c r="AW784" s="50" t="str">
        <f t="shared" si="182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56"/>
      <c r="B785" s="54"/>
      <c r="C785" s="56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54"/>
      <c r="O785" s="3" t="str">
        <f t="shared" si="172"/>
        <v/>
      </c>
      <c r="P785" s="48"/>
      <c r="Q785" s="48"/>
      <c r="R785" s="32"/>
      <c r="S785" s="3" t="str">
        <f t="shared" si="173"/>
        <v/>
      </c>
      <c r="T785" s="48"/>
      <c r="U785" s="48"/>
      <c r="V785" s="32"/>
      <c r="W785" s="3" t="str">
        <f t="shared" si="179"/>
        <v/>
      </c>
      <c r="X785" s="48"/>
      <c r="Y785" s="48"/>
      <c r="Z785" s="32"/>
      <c r="AA785" s="3" t="str">
        <f t="shared" si="180"/>
        <v/>
      </c>
      <c r="AB785" s="48"/>
      <c r="AC785" s="48"/>
      <c r="AD785" s="36"/>
      <c r="AE785" s="54"/>
      <c r="AF785" s="3" t="str">
        <f t="shared" si="181"/>
        <v/>
      </c>
      <c r="AG785" s="48"/>
      <c r="AH785" s="48"/>
      <c r="AI785" s="39"/>
      <c r="AJ785" s="79"/>
      <c r="AK785" s="39"/>
      <c r="AL785" s="4">
        <f t="shared" si="174"/>
        <v>0</v>
      </c>
      <c r="AM785" s="4">
        <f t="shared" si="174"/>
        <v>0</v>
      </c>
      <c r="AN785" s="4">
        <f t="shared" si="175"/>
        <v>0</v>
      </c>
      <c r="AO785" s="39"/>
      <c r="AP785" s="8">
        <f t="shared" si="176"/>
        <v>0</v>
      </c>
      <c r="AQ785" s="8">
        <f t="shared" si="176"/>
        <v>0</v>
      </c>
      <c r="AR785" s="8">
        <f t="shared" si="177"/>
        <v>0</v>
      </c>
      <c r="AS785" s="42"/>
      <c r="AT785" s="48"/>
      <c r="AU785" s="48"/>
      <c r="AV785" s="4">
        <f t="shared" si="178"/>
        <v>0</v>
      </c>
      <c r="AW785" s="50" t="str">
        <f t="shared" si="182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56"/>
      <c r="B786" s="54"/>
      <c r="C786" s="56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54"/>
      <c r="O786" s="3" t="str">
        <f t="shared" si="172"/>
        <v/>
      </c>
      <c r="P786" s="48"/>
      <c r="Q786" s="48"/>
      <c r="R786" s="32"/>
      <c r="S786" s="3" t="str">
        <f t="shared" si="173"/>
        <v/>
      </c>
      <c r="T786" s="48"/>
      <c r="U786" s="48"/>
      <c r="V786" s="32"/>
      <c r="W786" s="3" t="str">
        <f t="shared" si="179"/>
        <v/>
      </c>
      <c r="X786" s="48"/>
      <c r="Y786" s="48"/>
      <c r="Z786" s="32"/>
      <c r="AA786" s="3" t="str">
        <f t="shared" si="180"/>
        <v/>
      </c>
      <c r="AB786" s="48"/>
      <c r="AC786" s="48"/>
      <c r="AD786" s="36"/>
      <c r="AE786" s="54"/>
      <c r="AF786" s="3" t="str">
        <f t="shared" si="181"/>
        <v/>
      </c>
      <c r="AG786" s="48"/>
      <c r="AH786" s="48"/>
      <c r="AI786" s="39"/>
      <c r="AJ786" s="79"/>
      <c r="AK786" s="39"/>
      <c r="AL786" s="4">
        <f t="shared" si="174"/>
        <v>0</v>
      </c>
      <c r="AM786" s="4">
        <f t="shared" si="174"/>
        <v>0</v>
      </c>
      <c r="AN786" s="4">
        <f t="shared" si="175"/>
        <v>0</v>
      </c>
      <c r="AO786" s="39"/>
      <c r="AP786" s="8">
        <f t="shared" si="176"/>
        <v>0</v>
      </c>
      <c r="AQ786" s="8">
        <f t="shared" si="176"/>
        <v>0</v>
      </c>
      <c r="AR786" s="8">
        <f t="shared" si="177"/>
        <v>0</v>
      </c>
      <c r="AS786" s="42"/>
      <c r="AT786" s="48"/>
      <c r="AU786" s="48"/>
      <c r="AV786" s="4">
        <f t="shared" si="178"/>
        <v>0</v>
      </c>
      <c r="AW786" s="50" t="str">
        <f t="shared" si="182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56"/>
      <c r="B787" s="54"/>
      <c r="C787" s="56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54"/>
      <c r="O787" s="3" t="str">
        <f t="shared" si="172"/>
        <v/>
      </c>
      <c r="P787" s="48"/>
      <c r="Q787" s="48"/>
      <c r="R787" s="32"/>
      <c r="S787" s="3" t="str">
        <f t="shared" si="173"/>
        <v/>
      </c>
      <c r="T787" s="48"/>
      <c r="U787" s="48"/>
      <c r="V787" s="32"/>
      <c r="W787" s="3" t="str">
        <f t="shared" si="179"/>
        <v/>
      </c>
      <c r="X787" s="48"/>
      <c r="Y787" s="48"/>
      <c r="Z787" s="32"/>
      <c r="AA787" s="3" t="str">
        <f t="shared" si="180"/>
        <v/>
      </c>
      <c r="AB787" s="48"/>
      <c r="AC787" s="48"/>
      <c r="AD787" s="36"/>
      <c r="AE787" s="54"/>
      <c r="AF787" s="3" t="str">
        <f t="shared" si="181"/>
        <v/>
      </c>
      <c r="AG787" s="48"/>
      <c r="AH787" s="48"/>
      <c r="AI787" s="39"/>
      <c r="AJ787" s="79"/>
      <c r="AK787" s="39"/>
      <c r="AL787" s="4">
        <f t="shared" si="174"/>
        <v>0</v>
      </c>
      <c r="AM787" s="4">
        <f t="shared" si="174"/>
        <v>0</v>
      </c>
      <c r="AN787" s="4">
        <f t="shared" si="175"/>
        <v>0</v>
      </c>
      <c r="AO787" s="39"/>
      <c r="AP787" s="8">
        <f t="shared" si="176"/>
        <v>0</v>
      </c>
      <c r="AQ787" s="8">
        <f t="shared" si="176"/>
        <v>0</v>
      </c>
      <c r="AR787" s="8">
        <f t="shared" si="177"/>
        <v>0</v>
      </c>
      <c r="AS787" s="42"/>
      <c r="AT787" s="48"/>
      <c r="AU787" s="48"/>
      <c r="AV787" s="4">
        <f t="shared" si="178"/>
        <v>0</v>
      </c>
      <c r="AW787" s="50" t="str">
        <f t="shared" si="182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56"/>
      <c r="B788" s="54"/>
      <c r="C788" s="56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54"/>
      <c r="O788" s="3" t="str">
        <f t="shared" si="172"/>
        <v/>
      </c>
      <c r="P788" s="48"/>
      <c r="Q788" s="48"/>
      <c r="R788" s="32"/>
      <c r="S788" s="3" t="str">
        <f t="shared" si="173"/>
        <v/>
      </c>
      <c r="T788" s="48"/>
      <c r="U788" s="48"/>
      <c r="V788" s="32"/>
      <c r="W788" s="3" t="str">
        <f t="shared" si="179"/>
        <v/>
      </c>
      <c r="X788" s="48"/>
      <c r="Y788" s="48"/>
      <c r="Z788" s="32"/>
      <c r="AA788" s="3" t="str">
        <f t="shared" si="180"/>
        <v/>
      </c>
      <c r="AB788" s="48"/>
      <c r="AC788" s="48"/>
      <c r="AD788" s="36"/>
      <c r="AE788" s="54"/>
      <c r="AF788" s="3" t="str">
        <f t="shared" si="181"/>
        <v/>
      </c>
      <c r="AG788" s="48"/>
      <c r="AH788" s="48"/>
      <c r="AI788" s="39"/>
      <c r="AJ788" s="79"/>
      <c r="AK788" s="39"/>
      <c r="AL788" s="4">
        <f t="shared" si="174"/>
        <v>0</v>
      </c>
      <c r="AM788" s="4">
        <f t="shared" si="174"/>
        <v>0</v>
      </c>
      <c r="AN788" s="4">
        <f t="shared" si="175"/>
        <v>0</v>
      </c>
      <c r="AO788" s="39"/>
      <c r="AP788" s="8">
        <f t="shared" si="176"/>
        <v>0</v>
      </c>
      <c r="AQ788" s="8">
        <f t="shared" si="176"/>
        <v>0</v>
      </c>
      <c r="AR788" s="8">
        <f t="shared" si="177"/>
        <v>0</v>
      </c>
      <c r="AS788" s="42"/>
      <c r="AT788" s="48"/>
      <c r="AU788" s="48"/>
      <c r="AV788" s="4">
        <f t="shared" si="178"/>
        <v>0</v>
      </c>
      <c r="AW788" s="50" t="str">
        <f t="shared" si="182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56"/>
      <c r="B789" s="54"/>
      <c r="C789" s="56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54"/>
      <c r="O789" s="3" t="str">
        <f t="shared" si="172"/>
        <v/>
      </c>
      <c r="P789" s="48"/>
      <c r="Q789" s="48"/>
      <c r="R789" s="32"/>
      <c r="S789" s="3" t="str">
        <f t="shared" si="173"/>
        <v/>
      </c>
      <c r="T789" s="48"/>
      <c r="U789" s="48"/>
      <c r="V789" s="32"/>
      <c r="W789" s="3" t="str">
        <f t="shared" si="179"/>
        <v/>
      </c>
      <c r="X789" s="48"/>
      <c r="Y789" s="48"/>
      <c r="Z789" s="32"/>
      <c r="AA789" s="3" t="str">
        <f t="shared" si="180"/>
        <v/>
      </c>
      <c r="AB789" s="48"/>
      <c r="AC789" s="48"/>
      <c r="AD789" s="36"/>
      <c r="AE789" s="54"/>
      <c r="AF789" s="3" t="str">
        <f t="shared" si="181"/>
        <v/>
      </c>
      <c r="AG789" s="48"/>
      <c r="AH789" s="48"/>
      <c r="AI789" s="39"/>
      <c r="AJ789" s="79"/>
      <c r="AK789" s="39"/>
      <c r="AL789" s="4">
        <f t="shared" si="174"/>
        <v>0</v>
      </c>
      <c r="AM789" s="4">
        <f t="shared" si="174"/>
        <v>0</v>
      </c>
      <c r="AN789" s="4">
        <f t="shared" si="175"/>
        <v>0</v>
      </c>
      <c r="AO789" s="39"/>
      <c r="AP789" s="8">
        <f t="shared" si="176"/>
        <v>0</v>
      </c>
      <c r="AQ789" s="8">
        <f t="shared" si="176"/>
        <v>0</v>
      </c>
      <c r="AR789" s="8">
        <f t="shared" si="177"/>
        <v>0</v>
      </c>
      <c r="AS789" s="42"/>
      <c r="AT789" s="48"/>
      <c r="AU789" s="48"/>
      <c r="AV789" s="4">
        <f t="shared" si="178"/>
        <v>0</v>
      </c>
      <c r="AW789" s="50" t="str">
        <f t="shared" si="182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56"/>
      <c r="B790" s="54"/>
      <c r="C790" s="56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54"/>
      <c r="O790" s="3" t="str">
        <f t="shared" si="172"/>
        <v/>
      </c>
      <c r="P790" s="48"/>
      <c r="Q790" s="48"/>
      <c r="R790" s="32"/>
      <c r="S790" s="3" t="str">
        <f t="shared" si="173"/>
        <v/>
      </c>
      <c r="T790" s="48"/>
      <c r="U790" s="48"/>
      <c r="V790" s="32"/>
      <c r="W790" s="3" t="str">
        <f t="shared" si="179"/>
        <v/>
      </c>
      <c r="X790" s="48"/>
      <c r="Y790" s="48"/>
      <c r="Z790" s="32"/>
      <c r="AA790" s="3" t="str">
        <f t="shared" si="180"/>
        <v/>
      </c>
      <c r="AB790" s="48"/>
      <c r="AC790" s="48"/>
      <c r="AD790" s="36"/>
      <c r="AE790" s="54"/>
      <c r="AF790" s="3" t="str">
        <f t="shared" si="181"/>
        <v/>
      </c>
      <c r="AG790" s="48"/>
      <c r="AH790" s="48"/>
      <c r="AI790" s="39"/>
      <c r="AJ790" s="79"/>
      <c r="AK790" s="39"/>
      <c r="AL790" s="4">
        <f t="shared" si="174"/>
        <v>0</v>
      </c>
      <c r="AM790" s="4">
        <f t="shared" si="174"/>
        <v>0</v>
      </c>
      <c r="AN790" s="4">
        <f t="shared" si="175"/>
        <v>0</v>
      </c>
      <c r="AO790" s="39"/>
      <c r="AP790" s="8">
        <f t="shared" si="176"/>
        <v>0</v>
      </c>
      <c r="AQ790" s="8">
        <f t="shared" si="176"/>
        <v>0</v>
      </c>
      <c r="AR790" s="8">
        <f t="shared" si="177"/>
        <v>0</v>
      </c>
      <c r="AS790" s="42"/>
      <c r="AT790" s="48"/>
      <c r="AU790" s="48"/>
      <c r="AV790" s="4">
        <f t="shared" si="178"/>
        <v>0</v>
      </c>
      <c r="AW790" s="50" t="str">
        <f t="shared" si="182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56"/>
      <c r="B791" s="54"/>
      <c r="C791" s="56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54"/>
      <c r="O791" s="3" t="str">
        <f t="shared" si="172"/>
        <v/>
      </c>
      <c r="P791" s="48"/>
      <c r="Q791" s="48"/>
      <c r="R791" s="32"/>
      <c r="S791" s="3" t="str">
        <f t="shared" si="173"/>
        <v/>
      </c>
      <c r="T791" s="48"/>
      <c r="U791" s="48"/>
      <c r="V791" s="32"/>
      <c r="W791" s="3" t="str">
        <f t="shared" si="179"/>
        <v/>
      </c>
      <c r="X791" s="48"/>
      <c r="Y791" s="48"/>
      <c r="Z791" s="32"/>
      <c r="AA791" s="3" t="str">
        <f t="shared" si="180"/>
        <v/>
      </c>
      <c r="AB791" s="48"/>
      <c r="AC791" s="48"/>
      <c r="AD791" s="36"/>
      <c r="AE791" s="54"/>
      <c r="AF791" s="3" t="str">
        <f t="shared" si="181"/>
        <v/>
      </c>
      <c r="AG791" s="48"/>
      <c r="AH791" s="48"/>
      <c r="AI791" s="39"/>
      <c r="AJ791" s="79"/>
      <c r="AK791" s="39"/>
      <c r="AL791" s="4">
        <f t="shared" si="174"/>
        <v>0</v>
      </c>
      <c r="AM791" s="4">
        <f t="shared" si="174"/>
        <v>0</v>
      </c>
      <c r="AN791" s="4">
        <f t="shared" si="175"/>
        <v>0</v>
      </c>
      <c r="AO791" s="39"/>
      <c r="AP791" s="8">
        <f t="shared" si="176"/>
        <v>0</v>
      </c>
      <c r="AQ791" s="8">
        <f t="shared" si="176"/>
        <v>0</v>
      </c>
      <c r="AR791" s="8">
        <f t="shared" si="177"/>
        <v>0</v>
      </c>
      <c r="AS791" s="42"/>
      <c r="AT791" s="48"/>
      <c r="AU791" s="48"/>
      <c r="AV791" s="4">
        <f t="shared" si="178"/>
        <v>0</v>
      </c>
      <c r="AW791" s="50" t="str">
        <f t="shared" si="182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56"/>
      <c r="B792" s="54"/>
      <c r="C792" s="56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54"/>
      <c r="O792" s="3" t="str">
        <f t="shared" si="172"/>
        <v/>
      </c>
      <c r="P792" s="48"/>
      <c r="Q792" s="48"/>
      <c r="R792" s="32"/>
      <c r="S792" s="3" t="str">
        <f t="shared" si="173"/>
        <v/>
      </c>
      <c r="T792" s="48"/>
      <c r="U792" s="48"/>
      <c r="V792" s="32"/>
      <c r="W792" s="3" t="str">
        <f t="shared" si="179"/>
        <v/>
      </c>
      <c r="X792" s="48"/>
      <c r="Y792" s="48"/>
      <c r="Z792" s="32"/>
      <c r="AA792" s="3" t="str">
        <f t="shared" si="180"/>
        <v/>
      </c>
      <c r="AB792" s="48"/>
      <c r="AC792" s="48"/>
      <c r="AD792" s="36"/>
      <c r="AE792" s="54"/>
      <c r="AF792" s="3" t="str">
        <f t="shared" si="181"/>
        <v/>
      </c>
      <c r="AG792" s="48"/>
      <c r="AH792" s="48"/>
      <c r="AI792" s="39"/>
      <c r="AJ792" s="79"/>
      <c r="AK792" s="39"/>
      <c r="AL792" s="4">
        <f t="shared" si="174"/>
        <v>0</v>
      </c>
      <c r="AM792" s="4">
        <f t="shared" si="174"/>
        <v>0</v>
      </c>
      <c r="AN792" s="4">
        <f t="shared" si="175"/>
        <v>0</v>
      </c>
      <c r="AO792" s="39"/>
      <c r="AP792" s="8">
        <f t="shared" si="176"/>
        <v>0</v>
      </c>
      <c r="AQ792" s="8">
        <f t="shared" si="176"/>
        <v>0</v>
      </c>
      <c r="AR792" s="8">
        <f t="shared" si="177"/>
        <v>0</v>
      </c>
      <c r="AS792" s="42"/>
      <c r="AT792" s="48"/>
      <c r="AU792" s="48"/>
      <c r="AV792" s="4">
        <f t="shared" si="178"/>
        <v>0</v>
      </c>
      <c r="AW792" s="50" t="str">
        <f t="shared" si="182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56"/>
      <c r="B793" s="54"/>
      <c r="C793" s="56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54"/>
      <c r="O793" s="3" t="str">
        <f t="shared" si="172"/>
        <v/>
      </c>
      <c r="P793" s="48"/>
      <c r="Q793" s="48"/>
      <c r="R793" s="32"/>
      <c r="S793" s="3" t="str">
        <f t="shared" si="173"/>
        <v/>
      </c>
      <c r="T793" s="48"/>
      <c r="U793" s="48"/>
      <c r="V793" s="32"/>
      <c r="W793" s="3" t="str">
        <f t="shared" si="179"/>
        <v/>
      </c>
      <c r="X793" s="48"/>
      <c r="Y793" s="48"/>
      <c r="Z793" s="32"/>
      <c r="AA793" s="3" t="str">
        <f t="shared" si="180"/>
        <v/>
      </c>
      <c r="AB793" s="48"/>
      <c r="AC793" s="48"/>
      <c r="AD793" s="36"/>
      <c r="AE793" s="54"/>
      <c r="AF793" s="3" t="str">
        <f t="shared" si="181"/>
        <v/>
      </c>
      <c r="AG793" s="48"/>
      <c r="AH793" s="48"/>
      <c r="AI793" s="39"/>
      <c r="AJ793" s="79"/>
      <c r="AK793" s="39"/>
      <c r="AL793" s="4">
        <f t="shared" si="174"/>
        <v>0</v>
      </c>
      <c r="AM793" s="4">
        <f t="shared" si="174"/>
        <v>0</v>
      </c>
      <c r="AN793" s="4">
        <f t="shared" si="175"/>
        <v>0</v>
      </c>
      <c r="AO793" s="39"/>
      <c r="AP793" s="8">
        <f t="shared" si="176"/>
        <v>0</v>
      </c>
      <c r="AQ793" s="8">
        <f t="shared" si="176"/>
        <v>0</v>
      </c>
      <c r="AR793" s="8">
        <f t="shared" si="177"/>
        <v>0</v>
      </c>
      <c r="AS793" s="42"/>
      <c r="AT793" s="48"/>
      <c r="AU793" s="48"/>
      <c r="AV793" s="4">
        <f t="shared" si="178"/>
        <v>0</v>
      </c>
      <c r="AW793" s="50" t="str">
        <f t="shared" si="182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56"/>
      <c r="B794" s="54"/>
      <c r="C794" s="56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54"/>
      <c r="O794" s="3" t="str">
        <f t="shared" si="172"/>
        <v/>
      </c>
      <c r="P794" s="48"/>
      <c r="Q794" s="48"/>
      <c r="R794" s="32"/>
      <c r="S794" s="3" t="str">
        <f t="shared" si="173"/>
        <v/>
      </c>
      <c r="T794" s="48"/>
      <c r="U794" s="48"/>
      <c r="V794" s="32"/>
      <c r="W794" s="3" t="str">
        <f t="shared" si="179"/>
        <v/>
      </c>
      <c r="X794" s="48"/>
      <c r="Y794" s="48"/>
      <c r="Z794" s="32"/>
      <c r="AA794" s="3" t="str">
        <f t="shared" si="180"/>
        <v/>
      </c>
      <c r="AB794" s="48"/>
      <c r="AC794" s="48"/>
      <c r="AD794" s="36"/>
      <c r="AE794" s="54"/>
      <c r="AF794" s="3" t="str">
        <f t="shared" si="181"/>
        <v/>
      </c>
      <c r="AG794" s="48"/>
      <c r="AH794" s="48"/>
      <c r="AI794" s="39"/>
      <c r="AJ794" s="79"/>
      <c r="AK794" s="39"/>
      <c r="AL794" s="4">
        <f t="shared" si="174"/>
        <v>0</v>
      </c>
      <c r="AM794" s="4">
        <f t="shared" si="174"/>
        <v>0</v>
      </c>
      <c r="AN794" s="4">
        <f t="shared" si="175"/>
        <v>0</v>
      </c>
      <c r="AO794" s="39"/>
      <c r="AP794" s="8">
        <f t="shared" si="176"/>
        <v>0</v>
      </c>
      <c r="AQ794" s="8">
        <f t="shared" si="176"/>
        <v>0</v>
      </c>
      <c r="AR794" s="8">
        <f t="shared" si="177"/>
        <v>0</v>
      </c>
      <c r="AS794" s="42"/>
      <c r="AT794" s="48"/>
      <c r="AU794" s="48"/>
      <c r="AV794" s="4">
        <f t="shared" si="178"/>
        <v>0</v>
      </c>
      <c r="AW794" s="50" t="str">
        <f t="shared" si="182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56"/>
      <c r="B795" s="54"/>
      <c r="C795" s="56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54"/>
      <c r="O795" s="3" t="str">
        <f t="shared" si="172"/>
        <v/>
      </c>
      <c r="P795" s="48"/>
      <c r="Q795" s="48"/>
      <c r="R795" s="32"/>
      <c r="S795" s="3" t="str">
        <f t="shared" si="173"/>
        <v/>
      </c>
      <c r="T795" s="48"/>
      <c r="U795" s="48"/>
      <c r="V795" s="32"/>
      <c r="W795" s="3" t="str">
        <f t="shared" si="179"/>
        <v/>
      </c>
      <c r="X795" s="48"/>
      <c r="Y795" s="48"/>
      <c r="Z795" s="32"/>
      <c r="AA795" s="3" t="str">
        <f t="shared" si="180"/>
        <v/>
      </c>
      <c r="AB795" s="48"/>
      <c r="AC795" s="48"/>
      <c r="AD795" s="36"/>
      <c r="AE795" s="54"/>
      <c r="AF795" s="3" t="str">
        <f t="shared" si="181"/>
        <v/>
      </c>
      <c r="AG795" s="48"/>
      <c r="AH795" s="48"/>
      <c r="AI795" s="39"/>
      <c r="AJ795" s="79"/>
      <c r="AK795" s="39"/>
      <c r="AL795" s="4">
        <f t="shared" si="174"/>
        <v>0</v>
      </c>
      <c r="AM795" s="4">
        <f t="shared" si="174"/>
        <v>0</v>
      </c>
      <c r="AN795" s="4">
        <f t="shared" si="175"/>
        <v>0</v>
      </c>
      <c r="AO795" s="39"/>
      <c r="AP795" s="8">
        <f t="shared" si="176"/>
        <v>0</v>
      </c>
      <c r="AQ795" s="8">
        <f t="shared" si="176"/>
        <v>0</v>
      </c>
      <c r="AR795" s="8">
        <f t="shared" si="177"/>
        <v>0</v>
      </c>
      <c r="AS795" s="42"/>
      <c r="AT795" s="48"/>
      <c r="AU795" s="48"/>
      <c r="AV795" s="4">
        <f t="shared" si="178"/>
        <v>0</v>
      </c>
      <c r="AW795" s="50" t="str">
        <f t="shared" si="182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56"/>
      <c r="B796" s="54"/>
      <c r="C796" s="56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54"/>
      <c r="O796" s="3" t="str">
        <f t="shared" si="172"/>
        <v/>
      </c>
      <c r="P796" s="48"/>
      <c r="Q796" s="48"/>
      <c r="R796" s="32"/>
      <c r="S796" s="3" t="str">
        <f t="shared" si="173"/>
        <v/>
      </c>
      <c r="T796" s="48"/>
      <c r="U796" s="48"/>
      <c r="V796" s="32"/>
      <c r="W796" s="3" t="str">
        <f t="shared" si="179"/>
        <v/>
      </c>
      <c r="X796" s="48"/>
      <c r="Y796" s="48"/>
      <c r="Z796" s="32"/>
      <c r="AA796" s="3" t="str">
        <f t="shared" si="180"/>
        <v/>
      </c>
      <c r="AB796" s="48"/>
      <c r="AC796" s="48"/>
      <c r="AD796" s="36"/>
      <c r="AE796" s="54"/>
      <c r="AF796" s="3" t="str">
        <f t="shared" si="181"/>
        <v/>
      </c>
      <c r="AG796" s="48"/>
      <c r="AH796" s="48"/>
      <c r="AI796" s="39"/>
      <c r="AJ796" s="79"/>
      <c r="AK796" s="39"/>
      <c r="AL796" s="4">
        <f t="shared" si="174"/>
        <v>0</v>
      </c>
      <c r="AM796" s="4">
        <f t="shared" si="174"/>
        <v>0</v>
      </c>
      <c r="AN796" s="4">
        <f t="shared" si="175"/>
        <v>0</v>
      </c>
      <c r="AO796" s="39"/>
      <c r="AP796" s="8">
        <f t="shared" si="176"/>
        <v>0</v>
      </c>
      <c r="AQ796" s="8">
        <f t="shared" si="176"/>
        <v>0</v>
      </c>
      <c r="AR796" s="8">
        <f t="shared" si="177"/>
        <v>0</v>
      </c>
      <c r="AS796" s="42"/>
      <c r="AT796" s="48"/>
      <c r="AU796" s="48"/>
      <c r="AV796" s="4">
        <f t="shared" si="178"/>
        <v>0</v>
      </c>
      <c r="AW796" s="50" t="str">
        <f t="shared" si="182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56"/>
      <c r="B797" s="54"/>
      <c r="C797" s="56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54"/>
      <c r="O797" s="3" t="str">
        <f t="shared" si="172"/>
        <v/>
      </c>
      <c r="P797" s="48"/>
      <c r="Q797" s="48"/>
      <c r="R797" s="32"/>
      <c r="S797" s="3" t="str">
        <f t="shared" si="173"/>
        <v/>
      </c>
      <c r="T797" s="48"/>
      <c r="U797" s="48"/>
      <c r="V797" s="32"/>
      <c r="W797" s="3" t="str">
        <f t="shared" si="179"/>
        <v/>
      </c>
      <c r="X797" s="48"/>
      <c r="Y797" s="48"/>
      <c r="Z797" s="32"/>
      <c r="AA797" s="3" t="str">
        <f t="shared" si="180"/>
        <v/>
      </c>
      <c r="AB797" s="48"/>
      <c r="AC797" s="48"/>
      <c r="AD797" s="36"/>
      <c r="AE797" s="54"/>
      <c r="AF797" s="3" t="str">
        <f t="shared" si="181"/>
        <v/>
      </c>
      <c r="AG797" s="48"/>
      <c r="AH797" s="48"/>
      <c r="AI797" s="39"/>
      <c r="AJ797" s="79"/>
      <c r="AK797" s="39"/>
      <c r="AL797" s="4">
        <f t="shared" si="174"/>
        <v>0</v>
      </c>
      <c r="AM797" s="4">
        <f t="shared" si="174"/>
        <v>0</v>
      </c>
      <c r="AN797" s="4">
        <f t="shared" si="175"/>
        <v>0</v>
      </c>
      <c r="AO797" s="39"/>
      <c r="AP797" s="8">
        <f t="shared" si="176"/>
        <v>0</v>
      </c>
      <c r="AQ797" s="8">
        <f t="shared" si="176"/>
        <v>0</v>
      </c>
      <c r="AR797" s="8">
        <f t="shared" si="177"/>
        <v>0</v>
      </c>
      <c r="AS797" s="42"/>
      <c r="AT797" s="48"/>
      <c r="AU797" s="48"/>
      <c r="AV797" s="4">
        <f t="shared" si="178"/>
        <v>0</v>
      </c>
      <c r="AW797" s="50" t="str">
        <f t="shared" si="182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56"/>
      <c r="B798" s="54"/>
      <c r="C798" s="56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54"/>
      <c r="O798" s="3" t="str">
        <f t="shared" si="172"/>
        <v/>
      </c>
      <c r="P798" s="48"/>
      <c r="Q798" s="48"/>
      <c r="R798" s="32"/>
      <c r="S798" s="3" t="str">
        <f t="shared" si="173"/>
        <v/>
      </c>
      <c r="T798" s="48"/>
      <c r="U798" s="48"/>
      <c r="V798" s="32"/>
      <c r="W798" s="3" t="str">
        <f t="shared" si="179"/>
        <v/>
      </c>
      <c r="X798" s="48"/>
      <c r="Y798" s="48"/>
      <c r="Z798" s="32"/>
      <c r="AA798" s="3" t="str">
        <f t="shared" si="180"/>
        <v/>
      </c>
      <c r="AB798" s="48"/>
      <c r="AC798" s="48"/>
      <c r="AD798" s="36"/>
      <c r="AE798" s="54"/>
      <c r="AF798" s="3" t="str">
        <f t="shared" si="181"/>
        <v/>
      </c>
      <c r="AG798" s="48"/>
      <c r="AH798" s="48"/>
      <c r="AI798" s="39"/>
      <c r="AJ798" s="79"/>
      <c r="AK798" s="39"/>
      <c r="AL798" s="4">
        <f t="shared" si="174"/>
        <v>0</v>
      </c>
      <c r="AM798" s="4">
        <f t="shared" si="174"/>
        <v>0</v>
      </c>
      <c r="AN798" s="4">
        <f t="shared" si="175"/>
        <v>0</v>
      </c>
      <c r="AO798" s="39"/>
      <c r="AP798" s="8">
        <f t="shared" si="176"/>
        <v>0</v>
      </c>
      <c r="AQ798" s="8">
        <f t="shared" si="176"/>
        <v>0</v>
      </c>
      <c r="AR798" s="8">
        <f t="shared" si="177"/>
        <v>0</v>
      </c>
      <c r="AS798" s="42"/>
      <c r="AT798" s="48"/>
      <c r="AU798" s="48"/>
      <c r="AV798" s="4">
        <f t="shared" si="178"/>
        <v>0</v>
      </c>
      <c r="AW798" s="50" t="str">
        <f t="shared" si="182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56"/>
      <c r="B799" s="54"/>
      <c r="C799" s="56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54"/>
      <c r="O799" s="3" t="str">
        <f t="shared" si="172"/>
        <v/>
      </c>
      <c r="P799" s="48"/>
      <c r="Q799" s="48"/>
      <c r="R799" s="32"/>
      <c r="S799" s="3" t="str">
        <f t="shared" si="173"/>
        <v/>
      </c>
      <c r="T799" s="48"/>
      <c r="U799" s="48"/>
      <c r="V799" s="32"/>
      <c r="W799" s="3" t="str">
        <f t="shared" si="179"/>
        <v/>
      </c>
      <c r="X799" s="48"/>
      <c r="Y799" s="48"/>
      <c r="Z799" s="32"/>
      <c r="AA799" s="3" t="str">
        <f t="shared" si="180"/>
        <v/>
      </c>
      <c r="AB799" s="48"/>
      <c r="AC799" s="48"/>
      <c r="AD799" s="36"/>
      <c r="AE799" s="54"/>
      <c r="AF799" s="3" t="str">
        <f t="shared" si="181"/>
        <v/>
      </c>
      <c r="AG799" s="48"/>
      <c r="AH799" s="48"/>
      <c r="AI799" s="39"/>
      <c r="AJ799" s="79"/>
      <c r="AK799" s="39"/>
      <c r="AL799" s="4">
        <f t="shared" si="174"/>
        <v>0</v>
      </c>
      <c r="AM799" s="4">
        <f t="shared" si="174"/>
        <v>0</v>
      </c>
      <c r="AN799" s="4">
        <f t="shared" si="175"/>
        <v>0</v>
      </c>
      <c r="AO799" s="39"/>
      <c r="AP799" s="8">
        <f t="shared" si="176"/>
        <v>0</v>
      </c>
      <c r="AQ799" s="8">
        <f t="shared" si="176"/>
        <v>0</v>
      </c>
      <c r="AR799" s="8">
        <f t="shared" si="177"/>
        <v>0</v>
      </c>
      <c r="AS799" s="42"/>
      <c r="AT799" s="48"/>
      <c r="AU799" s="48"/>
      <c r="AV799" s="4">
        <f t="shared" si="178"/>
        <v>0</v>
      </c>
      <c r="AW799" s="50" t="str">
        <f t="shared" si="182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56"/>
      <c r="B800" s="54"/>
      <c r="C800" s="56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54"/>
      <c r="O800" s="3" t="str">
        <f t="shared" si="172"/>
        <v/>
      </c>
      <c r="P800" s="48"/>
      <c r="Q800" s="48"/>
      <c r="R800" s="32"/>
      <c r="S800" s="3" t="str">
        <f t="shared" si="173"/>
        <v/>
      </c>
      <c r="T800" s="48"/>
      <c r="U800" s="48"/>
      <c r="V800" s="32"/>
      <c r="W800" s="3" t="str">
        <f t="shared" si="179"/>
        <v/>
      </c>
      <c r="X800" s="48"/>
      <c r="Y800" s="48"/>
      <c r="Z800" s="32"/>
      <c r="AA800" s="3" t="str">
        <f t="shared" si="180"/>
        <v/>
      </c>
      <c r="AB800" s="48"/>
      <c r="AC800" s="48"/>
      <c r="AD800" s="36"/>
      <c r="AE800" s="54"/>
      <c r="AF800" s="3" t="str">
        <f t="shared" si="181"/>
        <v/>
      </c>
      <c r="AG800" s="48"/>
      <c r="AH800" s="48"/>
      <c r="AI800" s="39"/>
      <c r="AJ800" s="79"/>
      <c r="AK800" s="39"/>
      <c r="AL800" s="4">
        <f t="shared" si="174"/>
        <v>0</v>
      </c>
      <c r="AM800" s="4">
        <f t="shared" si="174"/>
        <v>0</v>
      </c>
      <c r="AN800" s="4">
        <f t="shared" si="175"/>
        <v>0</v>
      </c>
      <c r="AO800" s="39"/>
      <c r="AP800" s="8">
        <f t="shared" si="176"/>
        <v>0</v>
      </c>
      <c r="AQ800" s="8">
        <f t="shared" si="176"/>
        <v>0</v>
      </c>
      <c r="AR800" s="8">
        <f t="shared" si="177"/>
        <v>0</v>
      </c>
      <c r="AS800" s="42"/>
      <c r="AT800" s="48"/>
      <c r="AU800" s="48"/>
      <c r="AV800" s="4">
        <f t="shared" si="178"/>
        <v>0</v>
      </c>
      <c r="AW800" s="50" t="str">
        <f t="shared" si="182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56"/>
      <c r="B801" s="54"/>
      <c r="C801" s="56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54"/>
      <c r="O801" s="3" t="str">
        <f t="shared" si="172"/>
        <v/>
      </c>
      <c r="P801" s="48"/>
      <c r="Q801" s="48"/>
      <c r="R801" s="32"/>
      <c r="S801" s="3" t="str">
        <f t="shared" si="173"/>
        <v/>
      </c>
      <c r="T801" s="48"/>
      <c r="U801" s="48"/>
      <c r="V801" s="32"/>
      <c r="W801" s="3" t="str">
        <f t="shared" si="179"/>
        <v/>
      </c>
      <c r="X801" s="48"/>
      <c r="Y801" s="48"/>
      <c r="Z801" s="32"/>
      <c r="AA801" s="3" t="str">
        <f t="shared" si="180"/>
        <v/>
      </c>
      <c r="AB801" s="48"/>
      <c r="AC801" s="48"/>
      <c r="AD801" s="36"/>
      <c r="AE801" s="54"/>
      <c r="AF801" s="3" t="str">
        <f t="shared" si="181"/>
        <v/>
      </c>
      <c r="AG801" s="48"/>
      <c r="AH801" s="48"/>
      <c r="AI801" s="39"/>
      <c r="AJ801" s="79"/>
      <c r="AK801" s="39"/>
      <c r="AL801" s="4">
        <f t="shared" si="174"/>
        <v>0</v>
      </c>
      <c r="AM801" s="4">
        <f t="shared" si="174"/>
        <v>0</v>
      </c>
      <c r="AN801" s="4">
        <f t="shared" si="175"/>
        <v>0</v>
      </c>
      <c r="AO801" s="39"/>
      <c r="AP801" s="8">
        <f t="shared" si="176"/>
        <v>0</v>
      </c>
      <c r="AQ801" s="8">
        <f t="shared" si="176"/>
        <v>0</v>
      </c>
      <c r="AR801" s="8">
        <f t="shared" si="177"/>
        <v>0</v>
      </c>
      <c r="AS801" s="42"/>
      <c r="AT801" s="48"/>
      <c r="AU801" s="48"/>
      <c r="AV801" s="4">
        <f t="shared" si="178"/>
        <v>0</v>
      </c>
      <c r="AW801" s="50" t="str">
        <f t="shared" si="182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56"/>
      <c r="B802" s="54"/>
      <c r="C802" s="56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54"/>
      <c r="O802" s="3" t="str">
        <f t="shared" si="172"/>
        <v/>
      </c>
      <c r="P802" s="48"/>
      <c r="Q802" s="48"/>
      <c r="R802" s="32"/>
      <c r="S802" s="3" t="str">
        <f t="shared" si="173"/>
        <v/>
      </c>
      <c r="T802" s="48"/>
      <c r="U802" s="48"/>
      <c r="V802" s="32"/>
      <c r="W802" s="3" t="str">
        <f t="shared" si="179"/>
        <v/>
      </c>
      <c r="X802" s="48"/>
      <c r="Y802" s="48"/>
      <c r="Z802" s="32"/>
      <c r="AA802" s="3" t="str">
        <f t="shared" si="180"/>
        <v/>
      </c>
      <c r="AB802" s="48"/>
      <c r="AC802" s="48"/>
      <c r="AD802" s="36"/>
      <c r="AE802" s="54"/>
      <c r="AF802" s="3" t="str">
        <f t="shared" si="181"/>
        <v/>
      </c>
      <c r="AG802" s="48"/>
      <c r="AH802" s="48"/>
      <c r="AI802" s="39"/>
      <c r="AJ802" s="79"/>
      <c r="AK802" s="39"/>
      <c r="AL802" s="4">
        <f t="shared" si="174"/>
        <v>0</v>
      </c>
      <c r="AM802" s="4">
        <f t="shared" si="174"/>
        <v>0</v>
      </c>
      <c r="AN802" s="4">
        <f t="shared" si="175"/>
        <v>0</v>
      </c>
      <c r="AO802" s="39"/>
      <c r="AP802" s="8">
        <f t="shared" si="176"/>
        <v>0</v>
      </c>
      <c r="AQ802" s="8">
        <f t="shared" si="176"/>
        <v>0</v>
      </c>
      <c r="AR802" s="8">
        <f t="shared" si="177"/>
        <v>0</v>
      </c>
      <c r="AS802" s="42"/>
      <c r="AT802" s="48"/>
      <c r="AU802" s="48"/>
      <c r="AV802" s="4">
        <f t="shared" si="178"/>
        <v>0</v>
      </c>
      <c r="AW802" s="50" t="str">
        <f t="shared" si="182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56"/>
      <c r="B803" s="54"/>
      <c r="C803" s="56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54"/>
      <c r="O803" s="3" t="str">
        <f t="shared" si="172"/>
        <v/>
      </c>
      <c r="P803" s="48"/>
      <c r="Q803" s="48"/>
      <c r="R803" s="32"/>
      <c r="S803" s="3" t="str">
        <f t="shared" si="173"/>
        <v/>
      </c>
      <c r="T803" s="48"/>
      <c r="U803" s="48"/>
      <c r="V803" s="32"/>
      <c r="W803" s="3" t="str">
        <f t="shared" si="179"/>
        <v/>
      </c>
      <c r="X803" s="48"/>
      <c r="Y803" s="48"/>
      <c r="Z803" s="32"/>
      <c r="AA803" s="3" t="str">
        <f t="shared" si="180"/>
        <v/>
      </c>
      <c r="AB803" s="48"/>
      <c r="AC803" s="48"/>
      <c r="AD803" s="36"/>
      <c r="AE803" s="54"/>
      <c r="AF803" s="3" t="str">
        <f t="shared" si="181"/>
        <v/>
      </c>
      <c r="AG803" s="48"/>
      <c r="AH803" s="48"/>
      <c r="AI803" s="39"/>
      <c r="AJ803" s="79"/>
      <c r="AK803" s="39"/>
      <c r="AL803" s="4">
        <f t="shared" si="174"/>
        <v>0</v>
      </c>
      <c r="AM803" s="4">
        <f t="shared" si="174"/>
        <v>0</v>
      </c>
      <c r="AN803" s="4">
        <f t="shared" si="175"/>
        <v>0</v>
      </c>
      <c r="AO803" s="39"/>
      <c r="AP803" s="8">
        <f t="shared" si="176"/>
        <v>0</v>
      </c>
      <c r="AQ803" s="8">
        <f t="shared" si="176"/>
        <v>0</v>
      </c>
      <c r="AR803" s="8">
        <f t="shared" si="177"/>
        <v>0</v>
      </c>
      <c r="AS803" s="42"/>
      <c r="AT803" s="48"/>
      <c r="AU803" s="48"/>
      <c r="AV803" s="4">
        <f t="shared" si="178"/>
        <v>0</v>
      </c>
      <c r="AW803" s="50" t="str">
        <f t="shared" si="182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56"/>
      <c r="B804" s="54"/>
      <c r="C804" s="56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54"/>
      <c r="O804" s="3" t="str">
        <f t="shared" si="172"/>
        <v/>
      </c>
      <c r="P804" s="48"/>
      <c r="Q804" s="48"/>
      <c r="R804" s="32"/>
      <c r="S804" s="3" t="str">
        <f t="shared" si="173"/>
        <v/>
      </c>
      <c r="T804" s="48"/>
      <c r="U804" s="48"/>
      <c r="V804" s="32"/>
      <c r="W804" s="3" t="str">
        <f t="shared" si="179"/>
        <v/>
      </c>
      <c r="X804" s="48"/>
      <c r="Y804" s="48"/>
      <c r="Z804" s="32"/>
      <c r="AA804" s="3" t="str">
        <f t="shared" si="180"/>
        <v/>
      </c>
      <c r="AB804" s="48"/>
      <c r="AC804" s="48"/>
      <c r="AD804" s="36"/>
      <c r="AE804" s="54"/>
      <c r="AF804" s="3" t="str">
        <f t="shared" si="181"/>
        <v/>
      </c>
      <c r="AG804" s="48"/>
      <c r="AH804" s="48"/>
      <c r="AI804" s="39"/>
      <c r="AJ804" s="79"/>
      <c r="AK804" s="39"/>
      <c r="AL804" s="4">
        <f t="shared" si="174"/>
        <v>0</v>
      </c>
      <c r="AM804" s="4">
        <f t="shared" si="174"/>
        <v>0</v>
      </c>
      <c r="AN804" s="4">
        <f t="shared" si="175"/>
        <v>0</v>
      </c>
      <c r="AO804" s="39"/>
      <c r="AP804" s="8">
        <f t="shared" si="176"/>
        <v>0</v>
      </c>
      <c r="AQ804" s="8">
        <f t="shared" si="176"/>
        <v>0</v>
      </c>
      <c r="AR804" s="8">
        <f t="shared" si="177"/>
        <v>0</v>
      </c>
      <c r="AS804" s="42"/>
      <c r="AT804" s="48"/>
      <c r="AU804" s="48"/>
      <c r="AV804" s="4">
        <f t="shared" si="178"/>
        <v>0</v>
      </c>
      <c r="AW804" s="50" t="str">
        <f t="shared" si="182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56"/>
      <c r="B805" s="54"/>
      <c r="C805" s="56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54"/>
      <c r="O805" s="3" t="str">
        <f t="shared" si="172"/>
        <v/>
      </c>
      <c r="P805" s="48"/>
      <c r="Q805" s="48"/>
      <c r="R805" s="32"/>
      <c r="S805" s="3" t="str">
        <f t="shared" si="173"/>
        <v/>
      </c>
      <c r="T805" s="48"/>
      <c r="U805" s="48"/>
      <c r="V805" s="32"/>
      <c r="W805" s="3" t="str">
        <f t="shared" si="179"/>
        <v/>
      </c>
      <c r="X805" s="48"/>
      <c r="Y805" s="48"/>
      <c r="Z805" s="32"/>
      <c r="AA805" s="3" t="str">
        <f t="shared" si="180"/>
        <v/>
      </c>
      <c r="AB805" s="48"/>
      <c r="AC805" s="48"/>
      <c r="AD805" s="36"/>
      <c r="AE805" s="54"/>
      <c r="AF805" s="3" t="str">
        <f t="shared" si="181"/>
        <v/>
      </c>
      <c r="AG805" s="48"/>
      <c r="AH805" s="48"/>
      <c r="AI805" s="39"/>
      <c r="AJ805" s="79"/>
      <c r="AK805" s="39"/>
      <c r="AL805" s="4">
        <f t="shared" si="174"/>
        <v>0</v>
      </c>
      <c r="AM805" s="4">
        <f t="shared" si="174"/>
        <v>0</v>
      </c>
      <c r="AN805" s="4">
        <f t="shared" si="175"/>
        <v>0</v>
      </c>
      <c r="AO805" s="39"/>
      <c r="AP805" s="8">
        <f t="shared" si="176"/>
        <v>0</v>
      </c>
      <c r="AQ805" s="8">
        <f t="shared" si="176"/>
        <v>0</v>
      </c>
      <c r="AR805" s="8">
        <f t="shared" si="177"/>
        <v>0</v>
      </c>
      <c r="AS805" s="42"/>
      <c r="AT805" s="48"/>
      <c r="AU805" s="48"/>
      <c r="AV805" s="4">
        <f t="shared" si="178"/>
        <v>0</v>
      </c>
      <c r="AW805" s="50" t="str">
        <f t="shared" si="182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56"/>
      <c r="B806" s="54"/>
      <c r="C806" s="56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54"/>
      <c r="O806" s="3" t="str">
        <f t="shared" si="172"/>
        <v/>
      </c>
      <c r="P806" s="48"/>
      <c r="Q806" s="48"/>
      <c r="R806" s="32"/>
      <c r="S806" s="3" t="str">
        <f t="shared" si="173"/>
        <v/>
      </c>
      <c r="T806" s="48"/>
      <c r="U806" s="48"/>
      <c r="V806" s="32"/>
      <c r="W806" s="3" t="str">
        <f t="shared" si="179"/>
        <v/>
      </c>
      <c r="X806" s="48"/>
      <c r="Y806" s="48"/>
      <c r="Z806" s="32"/>
      <c r="AA806" s="3" t="str">
        <f t="shared" si="180"/>
        <v/>
      </c>
      <c r="AB806" s="48"/>
      <c r="AC806" s="48"/>
      <c r="AD806" s="36"/>
      <c r="AE806" s="54"/>
      <c r="AF806" s="3" t="str">
        <f t="shared" si="181"/>
        <v/>
      </c>
      <c r="AG806" s="48"/>
      <c r="AH806" s="48"/>
      <c r="AI806" s="39"/>
      <c r="AJ806" s="79"/>
      <c r="AK806" s="39"/>
      <c r="AL806" s="4">
        <f t="shared" si="174"/>
        <v>0</v>
      </c>
      <c r="AM806" s="4">
        <f t="shared" si="174"/>
        <v>0</v>
      </c>
      <c r="AN806" s="4">
        <f t="shared" si="175"/>
        <v>0</v>
      </c>
      <c r="AO806" s="39"/>
      <c r="AP806" s="8">
        <f t="shared" si="176"/>
        <v>0</v>
      </c>
      <c r="AQ806" s="8">
        <f t="shared" si="176"/>
        <v>0</v>
      </c>
      <c r="AR806" s="8">
        <f t="shared" si="177"/>
        <v>0</v>
      </c>
      <c r="AS806" s="42"/>
      <c r="AT806" s="48"/>
      <c r="AU806" s="48"/>
      <c r="AV806" s="4">
        <f t="shared" si="178"/>
        <v>0</v>
      </c>
      <c r="AW806" s="50" t="str">
        <f t="shared" si="182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56"/>
      <c r="B807" s="54"/>
      <c r="C807" s="56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54"/>
      <c r="O807" s="3" t="str">
        <f t="shared" si="172"/>
        <v/>
      </c>
      <c r="P807" s="48"/>
      <c r="Q807" s="48"/>
      <c r="R807" s="32"/>
      <c r="S807" s="3" t="str">
        <f t="shared" si="173"/>
        <v/>
      </c>
      <c r="T807" s="48"/>
      <c r="U807" s="48"/>
      <c r="V807" s="32"/>
      <c r="W807" s="3" t="str">
        <f t="shared" si="179"/>
        <v/>
      </c>
      <c r="X807" s="48"/>
      <c r="Y807" s="48"/>
      <c r="Z807" s="32"/>
      <c r="AA807" s="3" t="str">
        <f t="shared" si="180"/>
        <v/>
      </c>
      <c r="AB807" s="48"/>
      <c r="AC807" s="48"/>
      <c r="AD807" s="36"/>
      <c r="AE807" s="54"/>
      <c r="AF807" s="3" t="str">
        <f t="shared" si="181"/>
        <v/>
      </c>
      <c r="AG807" s="48"/>
      <c r="AH807" s="48"/>
      <c r="AI807" s="39"/>
      <c r="AJ807" s="79"/>
      <c r="AK807" s="39"/>
      <c r="AL807" s="4">
        <f t="shared" si="174"/>
        <v>0</v>
      </c>
      <c r="AM807" s="4">
        <f t="shared" si="174"/>
        <v>0</v>
      </c>
      <c r="AN807" s="4">
        <f t="shared" si="175"/>
        <v>0</v>
      </c>
      <c r="AO807" s="39"/>
      <c r="AP807" s="8">
        <f t="shared" si="176"/>
        <v>0</v>
      </c>
      <c r="AQ807" s="8">
        <f t="shared" si="176"/>
        <v>0</v>
      </c>
      <c r="AR807" s="8">
        <f t="shared" si="177"/>
        <v>0</v>
      </c>
      <c r="AS807" s="42"/>
      <c r="AT807" s="48"/>
      <c r="AU807" s="48"/>
      <c r="AV807" s="4">
        <f t="shared" si="178"/>
        <v>0</v>
      </c>
      <c r="AW807" s="50" t="str">
        <f t="shared" si="182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56"/>
      <c r="B808" s="54"/>
      <c r="C808" s="56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54"/>
      <c r="O808" s="3" t="str">
        <f t="shared" ref="O808:O871" si="183">IF($A808="","",IF(P808=AZ808,"E","A"))</f>
        <v/>
      </c>
      <c r="P808" s="48"/>
      <c r="Q808" s="48"/>
      <c r="R808" s="32"/>
      <c r="S808" s="3" t="str">
        <f t="shared" si="173"/>
        <v/>
      </c>
      <c r="T808" s="48"/>
      <c r="U808" s="48"/>
      <c r="V808" s="32"/>
      <c r="W808" s="3" t="str">
        <f t="shared" si="179"/>
        <v/>
      </c>
      <c r="X808" s="48"/>
      <c r="Y808" s="48"/>
      <c r="Z808" s="32"/>
      <c r="AA808" s="3" t="str">
        <f t="shared" si="180"/>
        <v/>
      </c>
      <c r="AB808" s="48"/>
      <c r="AC808" s="48"/>
      <c r="AD808" s="36"/>
      <c r="AE808" s="54"/>
      <c r="AF808" s="3" t="str">
        <f t="shared" si="181"/>
        <v/>
      </c>
      <c r="AG808" s="48"/>
      <c r="AH808" s="48"/>
      <c r="AI808" s="39"/>
      <c r="AJ808" s="79"/>
      <c r="AK808" s="39"/>
      <c r="AL808" s="4">
        <f t="shared" si="174"/>
        <v>0</v>
      </c>
      <c r="AM808" s="4">
        <f t="shared" si="174"/>
        <v>0</v>
      </c>
      <c r="AN808" s="4">
        <f t="shared" si="175"/>
        <v>0</v>
      </c>
      <c r="AO808" s="39"/>
      <c r="AP808" s="8">
        <f t="shared" si="176"/>
        <v>0</v>
      </c>
      <c r="AQ808" s="8">
        <f t="shared" si="176"/>
        <v>0</v>
      </c>
      <c r="AR808" s="8">
        <f t="shared" si="177"/>
        <v>0</v>
      </c>
      <c r="AS808" s="42"/>
      <c r="AT808" s="48"/>
      <c r="AU808" s="48"/>
      <c r="AV808" s="4">
        <f t="shared" si="178"/>
        <v>0</v>
      </c>
      <c r="AW808" s="50" t="str">
        <f t="shared" si="182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56"/>
      <c r="B809" s="54"/>
      <c r="C809" s="56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54"/>
      <c r="O809" s="3" t="str">
        <f t="shared" si="183"/>
        <v/>
      </c>
      <c r="P809" s="48"/>
      <c r="Q809" s="48"/>
      <c r="R809" s="32"/>
      <c r="S809" s="3" t="str">
        <f t="shared" si="173"/>
        <v/>
      </c>
      <c r="T809" s="48"/>
      <c r="U809" s="48"/>
      <c r="V809" s="32"/>
      <c r="W809" s="3" t="str">
        <f t="shared" si="179"/>
        <v/>
      </c>
      <c r="X809" s="48"/>
      <c r="Y809" s="48"/>
      <c r="Z809" s="32"/>
      <c r="AA809" s="3" t="str">
        <f t="shared" si="180"/>
        <v/>
      </c>
      <c r="AB809" s="48"/>
      <c r="AC809" s="48"/>
      <c r="AD809" s="36"/>
      <c r="AE809" s="54"/>
      <c r="AF809" s="3" t="str">
        <f t="shared" si="181"/>
        <v/>
      </c>
      <c r="AG809" s="48"/>
      <c r="AH809" s="48"/>
      <c r="AI809" s="39"/>
      <c r="AJ809" s="79"/>
      <c r="AK809" s="39"/>
      <c r="AL809" s="4">
        <f t="shared" si="174"/>
        <v>0</v>
      </c>
      <c r="AM809" s="4">
        <f t="shared" si="174"/>
        <v>0</v>
      </c>
      <c r="AN809" s="4">
        <f t="shared" si="175"/>
        <v>0</v>
      </c>
      <c r="AO809" s="39"/>
      <c r="AP809" s="8">
        <f t="shared" si="176"/>
        <v>0</v>
      </c>
      <c r="AQ809" s="8">
        <f t="shared" si="176"/>
        <v>0</v>
      </c>
      <c r="AR809" s="8">
        <f t="shared" si="177"/>
        <v>0</v>
      </c>
      <c r="AS809" s="42"/>
      <c r="AT809" s="48"/>
      <c r="AU809" s="48"/>
      <c r="AV809" s="4">
        <f t="shared" si="178"/>
        <v>0</v>
      </c>
      <c r="AW809" s="50" t="str">
        <f t="shared" si="182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56"/>
      <c r="B810" s="54"/>
      <c r="C810" s="56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54"/>
      <c r="O810" s="3" t="str">
        <f t="shared" si="183"/>
        <v/>
      </c>
      <c r="P810" s="48"/>
      <c r="Q810" s="48"/>
      <c r="R810" s="32"/>
      <c r="S810" s="3" t="str">
        <f t="shared" si="173"/>
        <v/>
      </c>
      <c r="T810" s="48"/>
      <c r="U810" s="48"/>
      <c r="V810" s="32"/>
      <c r="W810" s="3" t="str">
        <f t="shared" si="179"/>
        <v/>
      </c>
      <c r="X810" s="48"/>
      <c r="Y810" s="48"/>
      <c r="Z810" s="32"/>
      <c r="AA810" s="3" t="str">
        <f t="shared" si="180"/>
        <v/>
      </c>
      <c r="AB810" s="48"/>
      <c r="AC810" s="48"/>
      <c r="AD810" s="36"/>
      <c r="AE810" s="54"/>
      <c r="AF810" s="3" t="str">
        <f t="shared" si="181"/>
        <v/>
      </c>
      <c r="AG810" s="48"/>
      <c r="AH810" s="48"/>
      <c r="AI810" s="39"/>
      <c r="AJ810" s="79"/>
      <c r="AK810" s="39"/>
      <c r="AL810" s="4">
        <f t="shared" si="174"/>
        <v>0</v>
      </c>
      <c r="AM810" s="4">
        <f t="shared" si="174"/>
        <v>0</v>
      </c>
      <c r="AN810" s="4">
        <f t="shared" si="175"/>
        <v>0</v>
      </c>
      <c r="AO810" s="39"/>
      <c r="AP810" s="8">
        <f t="shared" si="176"/>
        <v>0</v>
      </c>
      <c r="AQ810" s="8">
        <f t="shared" si="176"/>
        <v>0</v>
      </c>
      <c r="AR810" s="8">
        <f t="shared" si="177"/>
        <v>0</v>
      </c>
      <c r="AS810" s="42"/>
      <c r="AT810" s="48"/>
      <c r="AU810" s="48"/>
      <c r="AV810" s="4">
        <f t="shared" si="178"/>
        <v>0</v>
      </c>
      <c r="AW810" s="50" t="str">
        <f t="shared" si="182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56"/>
      <c r="B811" s="54"/>
      <c r="C811" s="56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54"/>
      <c r="O811" s="3" t="str">
        <f t="shared" si="183"/>
        <v/>
      </c>
      <c r="P811" s="48"/>
      <c r="Q811" s="48"/>
      <c r="R811" s="32"/>
      <c r="S811" s="3" t="str">
        <f t="shared" ref="S811:S874" si="184">IF($A811="","",IF(T811=BA811,"E","A"))</f>
        <v/>
      </c>
      <c r="T811" s="48"/>
      <c r="U811" s="48"/>
      <c r="V811" s="32"/>
      <c r="W811" s="3" t="str">
        <f t="shared" si="179"/>
        <v/>
      </c>
      <c r="X811" s="48"/>
      <c r="Y811" s="48"/>
      <c r="Z811" s="32"/>
      <c r="AA811" s="3" t="str">
        <f t="shared" si="180"/>
        <v/>
      </c>
      <c r="AB811" s="48"/>
      <c r="AC811" s="48"/>
      <c r="AD811" s="36"/>
      <c r="AE811" s="54"/>
      <c r="AF811" s="3" t="str">
        <f t="shared" si="181"/>
        <v/>
      </c>
      <c r="AG811" s="48"/>
      <c r="AH811" s="48"/>
      <c r="AI811" s="39"/>
      <c r="AJ811" s="79"/>
      <c r="AK811" s="39"/>
      <c r="AL811" s="4">
        <f t="shared" si="174"/>
        <v>0</v>
      </c>
      <c r="AM811" s="4">
        <f t="shared" si="174"/>
        <v>0</v>
      </c>
      <c r="AN811" s="4">
        <f t="shared" si="175"/>
        <v>0</v>
      </c>
      <c r="AO811" s="39"/>
      <c r="AP811" s="8">
        <f t="shared" si="176"/>
        <v>0</v>
      </c>
      <c r="AQ811" s="8">
        <f t="shared" si="176"/>
        <v>0</v>
      </c>
      <c r="AR811" s="8">
        <f t="shared" si="177"/>
        <v>0</v>
      </c>
      <c r="AS811" s="42"/>
      <c r="AT811" s="48"/>
      <c r="AU811" s="48"/>
      <c r="AV811" s="4">
        <f t="shared" si="178"/>
        <v>0</v>
      </c>
      <c r="AW811" s="50" t="str">
        <f t="shared" si="182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56"/>
      <c r="B812" s="54"/>
      <c r="C812" s="56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54"/>
      <c r="O812" s="3" t="str">
        <f t="shared" si="183"/>
        <v/>
      </c>
      <c r="P812" s="48"/>
      <c r="Q812" s="48"/>
      <c r="R812" s="32"/>
      <c r="S812" s="3" t="str">
        <f t="shared" si="184"/>
        <v/>
      </c>
      <c r="T812" s="48"/>
      <c r="U812" s="48"/>
      <c r="V812" s="32"/>
      <c r="W812" s="3" t="str">
        <f t="shared" si="179"/>
        <v/>
      </c>
      <c r="X812" s="48"/>
      <c r="Y812" s="48"/>
      <c r="Z812" s="32"/>
      <c r="AA812" s="3" t="str">
        <f t="shared" si="180"/>
        <v/>
      </c>
      <c r="AB812" s="48"/>
      <c r="AC812" s="48"/>
      <c r="AD812" s="36"/>
      <c r="AE812" s="54"/>
      <c r="AF812" s="3" t="str">
        <f t="shared" si="181"/>
        <v/>
      </c>
      <c r="AG812" s="48"/>
      <c r="AH812" s="48"/>
      <c r="AI812" s="39"/>
      <c r="AJ812" s="79"/>
      <c r="AK812" s="39"/>
      <c r="AL812" s="4">
        <f t="shared" si="174"/>
        <v>0</v>
      </c>
      <c r="AM812" s="4">
        <f t="shared" si="174"/>
        <v>0</v>
      </c>
      <c r="AN812" s="4">
        <f t="shared" si="175"/>
        <v>0</v>
      </c>
      <c r="AO812" s="39"/>
      <c r="AP812" s="8">
        <f t="shared" si="176"/>
        <v>0</v>
      </c>
      <c r="AQ812" s="8">
        <f t="shared" si="176"/>
        <v>0</v>
      </c>
      <c r="AR812" s="8">
        <f t="shared" si="177"/>
        <v>0</v>
      </c>
      <c r="AS812" s="42"/>
      <c r="AT812" s="48"/>
      <c r="AU812" s="48"/>
      <c r="AV812" s="4">
        <f t="shared" si="178"/>
        <v>0</v>
      </c>
      <c r="AW812" s="50" t="str">
        <f t="shared" si="182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56"/>
      <c r="B813" s="54"/>
      <c r="C813" s="56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54"/>
      <c r="O813" s="3" t="str">
        <f t="shared" si="183"/>
        <v/>
      </c>
      <c r="P813" s="48"/>
      <c r="Q813" s="48"/>
      <c r="R813" s="32"/>
      <c r="S813" s="3" t="str">
        <f t="shared" si="184"/>
        <v/>
      </c>
      <c r="T813" s="48"/>
      <c r="U813" s="48"/>
      <c r="V813" s="32"/>
      <c r="W813" s="3" t="str">
        <f t="shared" si="179"/>
        <v/>
      </c>
      <c r="X813" s="48"/>
      <c r="Y813" s="48"/>
      <c r="Z813" s="32"/>
      <c r="AA813" s="3" t="str">
        <f t="shared" si="180"/>
        <v/>
      </c>
      <c r="AB813" s="48"/>
      <c r="AC813" s="48"/>
      <c r="AD813" s="36"/>
      <c r="AE813" s="54"/>
      <c r="AF813" s="3" t="str">
        <f t="shared" si="181"/>
        <v/>
      </c>
      <c r="AG813" s="48"/>
      <c r="AH813" s="48"/>
      <c r="AI813" s="39"/>
      <c r="AJ813" s="79"/>
      <c r="AK813" s="39"/>
      <c r="AL813" s="4">
        <f t="shared" si="174"/>
        <v>0</v>
      </c>
      <c r="AM813" s="4">
        <f t="shared" si="174"/>
        <v>0</v>
      </c>
      <c r="AN813" s="4">
        <f t="shared" si="175"/>
        <v>0</v>
      </c>
      <c r="AO813" s="39"/>
      <c r="AP813" s="8">
        <f t="shared" si="176"/>
        <v>0</v>
      </c>
      <c r="AQ813" s="8">
        <f t="shared" si="176"/>
        <v>0</v>
      </c>
      <c r="AR813" s="8">
        <f t="shared" si="177"/>
        <v>0</v>
      </c>
      <c r="AS813" s="42"/>
      <c r="AT813" s="48"/>
      <c r="AU813" s="48"/>
      <c r="AV813" s="4">
        <f t="shared" si="178"/>
        <v>0</v>
      </c>
      <c r="AW813" s="50" t="str">
        <f t="shared" si="182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56"/>
      <c r="B814" s="54"/>
      <c r="C814" s="56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54"/>
      <c r="O814" s="3" t="str">
        <f t="shared" si="183"/>
        <v/>
      </c>
      <c r="P814" s="48"/>
      <c r="Q814" s="48"/>
      <c r="R814" s="32"/>
      <c r="S814" s="3" t="str">
        <f t="shared" si="184"/>
        <v/>
      </c>
      <c r="T814" s="48"/>
      <c r="U814" s="48"/>
      <c r="V814" s="32"/>
      <c r="W814" s="3" t="str">
        <f t="shared" si="179"/>
        <v/>
      </c>
      <c r="X814" s="48"/>
      <c r="Y814" s="48"/>
      <c r="Z814" s="32"/>
      <c r="AA814" s="3" t="str">
        <f t="shared" si="180"/>
        <v/>
      </c>
      <c r="AB814" s="48"/>
      <c r="AC814" s="48"/>
      <c r="AD814" s="36"/>
      <c r="AE814" s="54"/>
      <c r="AF814" s="3" t="str">
        <f t="shared" si="181"/>
        <v/>
      </c>
      <c r="AG814" s="48"/>
      <c r="AH814" s="48"/>
      <c r="AI814" s="39"/>
      <c r="AJ814" s="79"/>
      <c r="AK814" s="39"/>
      <c r="AL814" s="4">
        <f t="shared" si="174"/>
        <v>0</v>
      </c>
      <c r="AM814" s="4">
        <f t="shared" si="174"/>
        <v>0</v>
      </c>
      <c r="AN814" s="4">
        <f t="shared" si="175"/>
        <v>0</v>
      </c>
      <c r="AO814" s="39"/>
      <c r="AP814" s="8">
        <f t="shared" si="176"/>
        <v>0</v>
      </c>
      <c r="AQ814" s="8">
        <f t="shared" si="176"/>
        <v>0</v>
      </c>
      <c r="AR814" s="8">
        <f t="shared" si="177"/>
        <v>0</v>
      </c>
      <c r="AS814" s="42"/>
      <c r="AT814" s="48"/>
      <c r="AU814" s="48"/>
      <c r="AV814" s="4">
        <f t="shared" si="178"/>
        <v>0</v>
      </c>
      <c r="AW814" s="50" t="str">
        <f t="shared" si="182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56"/>
      <c r="B815" s="54"/>
      <c r="C815" s="56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54"/>
      <c r="O815" s="3" t="str">
        <f t="shared" si="183"/>
        <v/>
      </c>
      <c r="P815" s="48"/>
      <c r="Q815" s="48"/>
      <c r="R815" s="32"/>
      <c r="S815" s="3" t="str">
        <f t="shared" si="184"/>
        <v/>
      </c>
      <c r="T815" s="48"/>
      <c r="U815" s="48"/>
      <c r="V815" s="32"/>
      <c r="W815" s="3" t="str">
        <f t="shared" si="179"/>
        <v/>
      </c>
      <c r="X815" s="48"/>
      <c r="Y815" s="48"/>
      <c r="Z815" s="32"/>
      <c r="AA815" s="3" t="str">
        <f t="shared" si="180"/>
        <v/>
      </c>
      <c r="AB815" s="48"/>
      <c r="AC815" s="48"/>
      <c r="AD815" s="36"/>
      <c r="AE815" s="54"/>
      <c r="AF815" s="3" t="str">
        <f t="shared" si="181"/>
        <v/>
      </c>
      <c r="AG815" s="48"/>
      <c r="AH815" s="48"/>
      <c r="AI815" s="39"/>
      <c r="AJ815" s="79"/>
      <c r="AK815" s="39"/>
      <c r="AL815" s="4">
        <f t="shared" si="174"/>
        <v>0</v>
      </c>
      <c r="AM815" s="4">
        <f t="shared" si="174"/>
        <v>0</v>
      </c>
      <c r="AN815" s="4">
        <f t="shared" si="175"/>
        <v>0</v>
      </c>
      <c r="AO815" s="39"/>
      <c r="AP815" s="8">
        <f t="shared" si="176"/>
        <v>0</v>
      </c>
      <c r="AQ815" s="8">
        <f t="shared" si="176"/>
        <v>0</v>
      </c>
      <c r="AR815" s="8">
        <f t="shared" si="177"/>
        <v>0</v>
      </c>
      <c r="AS815" s="42"/>
      <c r="AT815" s="48"/>
      <c r="AU815" s="48"/>
      <c r="AV815" s="4">
        <f t="shared" si="178"/>
        <v>0</v>
      </c>
      <c r="AW815" s="50" t="str">
        <f t="shared" si="182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56"/>
      <c r="B816" s="54"/>
      <c r="C816" s="56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54"/>
      <c r="O816" s="3" t="str">
        <f t="shared" si="183"/>
        <v/>
      </c>
      <c r="P816" s="48"/>
      <c r="Q816" s="48"/>
      <c r="R816" s="32"/>
      <c r="S816" s="3" t="str">
        <f t="shared" si="184"/>
        <v/>
      </c>
      <c r="T816" s="48"/>
      <c r="U816" s="48"/>
      <c r="V816" s="32"/>
      <c r="W816" s="3" t="str">
        <f t="shared" si="179"/>
        <v/>
      </c>
      <c r="X816" s="48"/>
      <c r="Y816" s="48"/>
      <c r="Z816" s="32"/>
      <c r="AA816" s="3" t="str">
        <f t="shared" si="180"/>
        <v/>
      </c>
      <c r="AB816" s="48"/>
      <c r="AC816" s="48"/>
      <c r="AD816" s="36"/>
      <c r="AE816" s="54"/>
      <c r="AF816" s="3" t="str">
        <f t="shared" si="181"/>
        <v/>
      </c>
      <c r="AG816" s="48"/>
      <c r="AH816" s="48"/>
      <c r="AI816" s="39"/>
      <c r="AJ816" s="79"/>
      <c r="AK816" s="39"/>
      <c r="AL816" s="4">
        <f t="shared" si="174"/>
        <v>0</v>
      </c>
      <c r="AM816" s="4">
        <f t="shared" si="174"/>
        <v>0</v>
      </c>
      <c r="AN816" s="4">
        <f t="shared" si="175"/>
        <v>0</v>
      </c>
      <c r="AO816" s="39"/>
      <c r="AP816" s="8">
        <f t="shared" si="176"/>
        <v>0</v>
      </c>
      <c r="AQ816" s="8">
        <f t="shared" si="176"/>
        <v>0</v>
      </c>
      <c r="AR816" s="8">
        <f t="shared" si="177"/>
        <v>0</v>
      </c>
      <c r="AS816" s="42"/>
      <c r="AT816" s="48"/>
      <c r="AU816" s="48"/>
      <c r="AV816" s="4">
        <f t="shared" si="178"/>
        <v>0</v>
      </c>
      <c r="AW816" s="50" t="str">
        <f t="shared" si="182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56"/>
      <c r="B817" s="54"/>
      <c r="C817" s="56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54"/>
      <c r="O817" s="3" t="str">
        <f t="shared" si="183"/>
        <v/>
      </c>
      <c r="P817" s="48"/>
      <c r="Q817" s="48"/>
      <c r="R817" s="32"/>
      <c r="S817" s="3" t="str">
        <f t="shared" si="184"/>
        <v/>
      </c>
      <c r="T817" s="48"/>
      <c r="U817" s="48"/>
      <c r="V817" s="32"/>
      <c r="W817" s="3" t="str">
        <f t="shared" si="179"/>
        <v/>
      </c>
      <c r="X817" s="48"/>
      <c r="Y817" s="48"/>
      <c r="Z817" s="32"/>
      <c r="AA817" s="3" t="str">
        <f t="shared" si="180"/>
        <v/>
      </c>
      <c r="AB817" s="48"/>
      <c r="AC817" s="48"/>
      <c r="AD817" s="36"/>
      <c r="AE817" s="54"/>
      <c r="AF817" s="3" t="str">
        <f t="shared" si="181"/>
        <v/>
      </c>
      <c r="AG817" s="48"/>
      <c r="AH817" s="48"/>
      <c r="AI817" s="39"/>
      <c r="AJ817" s="79"/>
      <c r="AK817" s="39"/>
      <c r="AL817" s="4">
        <f t="shared" si="174"/>
        <v>0</v>
      </c>
      <c r="AM817" s="4">
        <f t="shared" si="174"/>
        <v>0</v>
      </c>
      <c r="AN817" s="4">
        <f t="shared" si="175"/>
        <v>0</v>
      </c>
      <c r="AO817" s="39"/>
      <c r="AP817" s="8">
        <f t="shared" si="176"/>
        <v>0</v>
      </c>
      <c r="AQ817" s="8">
        <f t="shared" si="176"/>
        <v>0</v>
      </c>
      <c r="AR817" s="8">
        <f t="shared" si="177"/>
        <v>0</v>
      </c>
      <c r="AS817" s="42"/>
      <c r="AT817" s="48"/>
      <c r="AU817" s="48"/>
      <c r="AV817" s="4">
        <f t="shared" si="178"/>
        <v>0</v>
      </c>
      <c r="AW817" s="50" t="str">
        <f t="shared" si="182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56"/>
      <c r="B818" s="54"/>
      <c r="C818" s="56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54"/>
      <c r="O818" s="3" t="str">
        <f t="shared" si="183"/>
        <v/>
      </c>
      <c r="P818" s="48"/>
      <c r="Q818" s="48"/>
      <c r="R818" s="32"/>
      <c r="S818" s="3" t="str">
        <f t="shared" si="184"/>
        <v/>
      </c>
      <c r="T818" s="48"/>
      <c r="U818" s="48"/>
      <c r="V818" s="32"/>
      <c r="W818" s="3" t="str">
        <f t="shared" si="179"/>
        <v/>
      </c>
      <c r="X818" s="48"/>
      <c r="Y818" s="48"/>
      <c r="Z818" s="32"/>
      <c r="AA818" s="3" t="str">
        <f t="shared" si="180"/>
        <v/>
      </c>
      <c r="AB818" s="48"/>
      <c r="AC818" s="48"/>
      <c r="AD818" s="36"/>
      <c r="AE818" s="54"/>
      <c r="AF818" s="3" t="str">
        <f t="shared" si="181"/>
        <v/>
      </c>
      <c r="AG818" s="48"/>
      <c r="AH818" s="48"/>
      <c r="AI818" s="39"/>
      <c r="AJ818" s="79"/>
      <c r="AK818" s="39"/>
      <c r="AL818" s="4">
        <f t="shared" si="174"/>
        <v>0</v>
      </c>
      <c r="AM818" s="4">
        <f t="shared" si="174"/>
        <v>0</v>
      </c>
      <c r="AN818" s="4">
        <f t="shared" si="175"/>
        <v>0</v>
      </c>
      <c r="AO818" s="39"/>
      <c r="AP818" s="8">
        <f t="shared" si="176"/>
        <v>0</v>
      </c>
      <c r="AQ818" s="8">
        <f t="shared" si="176"/>
        <v>0</v>
      </c>
      <c r="AR818" s="8">
        <f t="shared" si="177"/>
        <v>0</v>
      </c>
      <c r="AS818" s="42"/>
      <c r="AT818" s="48"/>
      <c r="AU818" s="48"/>
      <c r="AV818" s="4">
        <f t="shared" si="178"/>
        <v>0</v>
      </c>
      <c r="AW818" s="50" t="str">
        <f t="shared" si="182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56"/>
      <c r="B819" s="54"/>
      <c r="C819" s="56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54"/>
      <c r="O819" s="3" t="str">
        <f t="shared" si="183"/>
        <v/>
      </c>
      <c r="P819" s="48"/>
      <c r="Q819" s="48"/>
      <c r="R819" s="32"/>
      <c r="S819" s="3" t="str">
        <f t="shared" si="184"/>
        <v/>
      </c>
      <c r="T819" s="48"/>
      <c r="U819" s="48"/>
      <c r="V819" s="32"/>
      <c r="W819" s="3" t="str">
        <f t="shared" si="179"/>
        <v/>
      </c>
      <c r="X819" s="48"/>
      <c r="Y819" s="48"/>
      <c r="Z819" s="32"/>
      <c r="AA819" s="3" t="str">
        <f t="shared" si="180"/>
        <v/>
      </c>
      <c r="AB819" s="48"/>
      <c r="AC819" s="48"/>
      <c r="AD819" s="36"/>
      <c r="AE819" s="54"/>
      <c r="AF819" s="3" t="str">
        <f t="shared" si="181"/>
        <v/>
      </c>
      <c r="AG819" s="48"/>
      <c r="AH819" s="48"/>
      <c r="AI819" s="39"/>
      <c r="AJ819" s="79"/>
      <c r="AK819" s="39"/>
      <c r="AL819" s="4">
        <f t="shared" si="174"/>
        <v>0</v>
      </c>
      <c r="AM819" s="4">
        <f t="shared" si="174"/>
        <v>0</v>
      </c>
      <c r="AN819" s="4">
        <f t="shared" si="175"/>
        <v>0</v>
      </c>
      <c r="AO819" s="39"/>
      <c r="AP819" s="8">
        <f t="shared" si="176"/>
        <v>0</v>
      </c>
      <c r="AQ819" s="8">
        <f t="shared" si="176"/>
        <v>0</v>
      </c>
      <c r="AR819" s="8">
        <f t="shared" si="177"/>
        <v>0</v>
      </c>
      <c r="AS819" s="42"/>
      <c r="AT819" s="48"/>
      <c r="AU819" s="48"/>
      <c r="AV819" s="4">
        <f t="shared" si="178"/>
        <v>0</v>
      </c>
      <c r="AW819" s="50" t="str">
        <f t="shared" si="182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56"/>
      <c r="B820" s="54"/>
      <c r="C820" s="56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54"/>
      <c r="O820" s="3" t="str">
        <f t="shared" si="183"/>
        <v/>
      </c>
      <c r="P820" s="48"/>
      <c r="Q820" s="48"/>
      <c r="R820" s="32"/>
      <c r="S820" s="3" t="str">
        <f t="shared" si="184"/>
        <v/>
      </c>
      <c r="T820" s="48"/>
      <c r="U820" s="48"/>
      <c r="V820" s="32"/>
      <c r="W820" s="3" t="str">
        <f t="shared" si="179"/>
        <v/>
      </c>
      <c r="X820" s="48"/>
      <c r="Y820" s="48"/>
      <c r="Z820" s="32"/>
      <c r="AA820" s="3" t="str">
        <f t="shared" si="180"/>
        <v/>
      </c>
      <c r="AB820" s="48"/>
      <c r="AC820" s="48"/>
      <c r="AD820" s="36"/>
      <c r="AE820" s="54"/>
      <c r="AF820" s="3" t="str">
        <f t="shared" si="181"/>
        <v/>
      </c>
      <c r="AG820" s="48"/>
      <c r="AH820" s="48"/>
      <c r="AI820" s="39"/>
      <c r="AJ820" s="79"/>
      <c r="AK820" s="39"/>
      <c r="AL820" s="4">
        <f t="shared" si="174"/>
        <v>0</v>
      </c>
      <c r="AM820" s="4">
        <f t="shared" si="174"/>
        <v>0</v>
      </c>
      <c r="AN820" s="4">
        <f t="shared" si="175"/>
        <v>0</v>
      </c>
      <c r="AO820" s="39"/>
      <c r="AP820" s="8">
        <f t="shared" si="176"/>
        <v>0</v>
      </c>
      <c r="AQ820" s="8">
        <f t="shared" si="176"/>
        <v>0</v>
      </c>
      <c r="AR820" s="8">
        <f t="shared" si="177"/>
        <v>0</v>
      </c>
      <c r="AS820" s="42"/>
      <c r="AT820" s="48"/>
      <c r="AU820" s="48"/>
      <c r="AV820" s="4">
        <f t="shared" si="178"/>
        <v>0</v>
      </c>
      <c r="AW820" s="50" t="str">
        <f t="shared" si="182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56"/>
      <c r="B821" s="54"/>
      <c r="C821" s="56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54"/>
      <c r="O821" s="3" t="str">
        <f t="shared" si="183"/>
        <v/>
      </c>
      <c r="P821" s="48"/>
      <c r="Q821" s="48"/>
      <c r="R821" s="32"/>
      <c r="S821" s="3" t="str">
        <f t="shared" si="184"/>
        <v/>
      </c>
      <c r="T821" s="48"/>
      <c r="U821" s="48"/>
      <c r="V821" s="32"/>
      <c r="W821" s="3" t="str">
        <f t="shared" si="179"/>
        <v/>
      </c>
      <c r="X821" s="48"/>
      <c r="Y821" s="48"/>
      <c r="Z821" s="32"/>
      <c r="AA821" s="3" t="str">
        <f t="shared" si="180"/>
        <v/>
      </c>
      <c r="AB821" s="48"/>
      <c r="AC821" s="48"/>
      <c r="AD821" s="36"/>
      <c r="AE821" s="54"/>
      <c r="AF821" s="3" t="str">
        <f t="shared" si="181"/>
        <v/>
      </c>
      <c r="AG821" s="48"/>
      <c r="AH821" s="48"/>
      <c r="AI821" s="39"/>
      <c r="AJ821" s="79"/>
      <c r="AK821" s="39"/>
      <c r="AL821" s="4">
        <f t="shared" si="174"/>
        <v>0</v>
      </c>
      <c r="AM821" s="4">
        <f t="shared" si="174"/>
        <v>0</v>
      </c>
      <c r="AN821" s="4">
        <f t="shared" si="175"/>
        <v>0</v>
      </c>
      <c r="AO821" s="39"/>
      <c r="AP821" s="8">
        <f t="shared" si="176"/>
        <v>0</v>
      </c>
      <c r="AQ821" s="8">
        <f t="shared" si="176"/>
        <v>0</v>
      </c>
      <c r="AR821" s="8">
        <f t="shared" si="177"/>
        <v>0</v>
      </c>
      <c r="AS821" s="42"/>
      <c r="AT821" s="48"/>
      <c r="AU821" s="48"/>
      <c r="AV821" s="4">
        <f t="shared" si="178"/>
        <v>0</v>
      </c>
      <c r="AW821" s="50" t="str">
        <f t="shared" si="182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56"/>
      <c r="B822" s="54"/>
      <c r="C822" s="56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54"/>
      <c r="O822" s="3" t="str">
        <f t="shared" si="183"/>
        <v/>
      </c>
      <c r="P822" s="48"/>
      <c r="Q822" s="48"/>
      <c r="R822" s="32"/>
      <c r="S822" s="3" t="str">
        <f t="shared" si="184"/>
        <v/>
      </c>
      <c r="T822" s="48"/>
      <c r="U822" s="48"/>
      <c r="V822" s="32"/>
      <c r="W822" s="3" t="str">
        <f t="shared" si="179"/>
        <v/>
      </c>
      <c r="X822" s="48"/>
      <c r="Y822" s="48"/>
      <c r="Z822" s="32"/>
      <c r="AA822" s="3" t="str">
        <f t="shared" si="180"/>
        <v/>
      </c>
      <c r="AB822" s="48"/>
      <c r="AC822" s="48"/>
      <c r="AD822" s="36"/>
      <c r="AE822" s="54"/>
      <c r="AF822" s="3" t="str">
        <f t="shared" si="181"/>
        <v/>
      </c>
      <c r="AG822" s="48"/>
      <c r="AH822" s="48"/>
      <c r="AI822" s="39"/>
      <c r="AJ822" s="79"/>
      <c r="AK822" s="39"/>
      <c r="AL822" s="4">
        <f t="shared" si="174"/>
        <v>0</v>
      </c>
      <c r="AM822" s="4">
        <f t="shared" si="174"/>
        <v>0</v>
      </c>
      <c r="AN822" s="4">
        <f t="shared" si="175"/>
        <v>0</v>
      </c>
      <c r="AO822" s="39"/>
      <c r="AP822" s="8">
        <f t="shared" si="176"/>
        <v>0</v>
      </c>
      <c r="AQ822" s="8">
        <f t="shared" si="176"/>
        <v>0</v>
      </c>
      <c r="AR822" s="8">
        <f t="shared" si="177"/>
        <v>0</v>
      </c>
      <c r="AS822" s="42"/>
      <c r="AT822" s="48"/>
      <c r="AU822" s="48"/>
      <c r="AV822" s="4">
        <f t="shared" si="178"/>
        <v>0</v>
      </c>
      <c r="AW822" s="50" t="str">
        <f t="shared" si="182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56"/>
      <c r="B823" s="54"/>
      <c r="C823" s="56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54"/>
      <c r="O823" s="3" t="str">
        <f t="shared" si="183"/>
        <v/>
      </c>
      <c r="P823" s="48"/>
      <c r="Q823" s="48"/>
      <c r="R823" s="32"/>
      <c r="S823" s="3" t="str">
        <f t="shared" si="184"/>
        <v/>
      </c>
      <c r="T823" s="48"/>
      <c r="U823" s="48"/>
      <c r="V823" s="32"/>
      <c r="W823" s="3" t="str">
        <f t="shared" si="179"/>
        <v/>
      </c>
      <c r="X823" s="48"/>
      <c r="Y823" s="48"/>
      <c r="Z823" s="32"/>
      <c r="AA823" s="3" t="str">
        <f t="shared" si="180"/>
        <v/>
      </c>
      <c r="AB823" s="48"/>
      <c r="AC823" s="48"/>
      <c r="AD823" s="36"/>
      <c r="AE823" s="54"/>
      <c r="AF823" s="3" t="str">
        <f t="shared" si="181"/>
        <v/>
      </c>
      <c r="AG823" s="48"/>
      <c r="AH823" s="48"/>
      <c r="AI823" s="39"/>
      <c r="AJ823" s="79"/>
      <c r="AK823" s="39"/>
      <c r="AL823" s="4">
        <f t="shared" si="174"/>
        <v>0</v>
      </c>
      <c r="AM823" s="4">
        <f t="shared" si="174"/>
        <v>0</v>
      </c>
      <c r="AN823" s="4">
        <f t="shared" si="175"/>
        <v>0</v>
      </c>
      <c r="AO823" s="39"/>
      <c r="AP823" s="8">
        <f t="shared" si="176"/>
        <v>0</v>
      </c>
      <c r="AQ823" s="8">
        <f t="shared" si="176"/>
        <v>0</v>
      </c>
      <c r="AR823" s="8">
        <f t="shared" si="177"/>
        <v>0</v>
      </c>
      <c r="AS823" s="42"/>
      <c r="AT823" s="48"/>
      <c r="AU823" s="48"/>
      <c r="AV823" s="4">
        <f t="shared" si="178"/>
        <v>0</v>
      </c>
      <c r="AW823" s="50" t="str">
        <f t="shared" si="182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56"/>
      <c r="B824" s="54"/>
      <c r="C824" s="56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54"/>
      <c r="O824" s="3" t="str">
        <f t="shared" si="183"/>
        <v/>
      </c>
      <c r="P824" s="48"/>
      <c r="Q824" s="48"/>
      <c r="R824" s="32"/>
      <c r="S824" s="3" t="str">
        <f t="shared" si="184"/>
        <v/>
      </c>
      <c r="T824" s="48"/>
      <c r="U824" s="48"/>
      <c r="V824" s="32"/>
      <c r="W824" s="3" t="str">
        <f t="shared" si="179"/>
        <v/>
      </c>
      <c r="X824" s="48"/>
      <c r="Y824" s="48"/>
      <c r="Z824" s="32"/>
      <c r="AA824" s="3" t="str">
        <f t="shared" si="180"/>
        <v/>
      </c>
      <c r="AB824" s="48"/>
      <c r="AC824" s="48"/>
      <c r="AD824" s="36"/>
      <c r="AE824" s="54"/>
      <c r="AF824" s="3" t="str">
        <f t="shared" si="181"/>
        <v/>
      </c>
      <c r="AG824" s="48"/>
      <c r="AH824" s="48"/>
      <c r="AI824" s="39"/>
      <c r="AJ824" s="79"/>
      <c r="AK824" s="39"/>
      <c r="AL824" s="4">
        <f t="shared" si="174"/>
        <v>0</v>
      </c>
      <c r="AM824" s="4">
        <f t="shared" si="174"/>
        <v>0</v>
      </c>
      <c r="AN824" s="4">
        <f t="shared" si="175"/>
        <v>0</v>
      </c>
      <c r="AO824" s="39"/>
      <c r="AP824" s="8">
        <f t="shared" si="176"/>
        <v>0</v>
      </c>
      <c r="AQ824" s="8">
        <f t="shared" si="176"/>
        <v>0</v>
      </c>
      <c r="AR824" s="8">
        <f t="shared" si="177"/>
        <v>0</v>
      </c>
      <c r="AS824" s="42"/>
      <c r="AT824" s="48"/>
      <c r="AU824" s="48"/>
      <c r="AV824" s="4">
        <f t="shared" si="178"/>
        <v>0</v>
      </c>
      <c r="AW824" s="50" t="str">
        <f t="shared" si="182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56"/>
      <c r="B825" s="54"/>
      <c r="C825" s="56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54"/>
      <c r="O825" s="3" t="str">
        <f t="shared" si="183"/>
        <v/>
      </c>
      <c r="P825" s="48"/>
      <c r="Q825" s="48"/>
      <c r="R825" s="32"/>
      <c r="S825" s="3" t="str">
        <f t="shared" si="184"/>
        <v/>
      </c>
      <c r="T825" s="48"/>
      <c r="U825" s="48"/>
      <c r="V825" s="32"/>
      <c r="W825" s="3" t="str">
        <f t="shared" si="179"/>
        <v/>
      </c>
      <c r="X825" s="48"/>
      <c r="Y825" s="48"/>
      <c r="Z825" s="32"/>
      <c r="AA825" s="3" t="str">
        <f t="shared" si="180"/>
        <v/>
      </c>
      <c r="AB825" s="48"/>
      <c r="AC825" s="48"/>
      <c r="AD825" s="36"/>
      <c r="AE825" s="54"/>
      <c r="AF825" s="3" t="str">
        <f t="shared" si="181"/>
        <v/>
      </c>
      <c r="AG825" s="48"/>
      <c r="AH825" s="48"/>
      <c r="AI825" s="39"/>
      <c r="AJ825" s="79"/>
      <c r="AK825" s="39"/>
      <c r="AL825" s="4">
        <f t="shared" si="174"/>
        <v>0</v>
      </c>
      <c r="AM825" s="4">
        <f t="shared" si="174"/>
        <v>0</v>
      </c>
      <c r="AN825" s="4">
        <f t="shared" si="175"/>
        <v>0</v>
      </c>
      <c r="AO825" s="39"/>
      <c r="AP825" s="8">
        <f t="shared" si="176"/>
        <v>0</v>
      </c>
      <c r="AQ825" s="8">
        <f t="shared" si="176"/>
        <v>0</v>
      </c>
      <c r="AR825" s="8">
        <f t="shared" si="177"/>
        <v>0</v>
      </c>
      <c r="AS825" s="42"/>
      <c r="AT825" s="48"/>
      <c r="AU825" s="48"/>
      <c r="AV825" s="4">
        <f t="shared" si="178"/>
        <v>0</v>
      </c>
      <c r="AW825" s="50" t="str">
        <f t="shared" si="182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56"/>
      <c r="B826" s="54"/>
      <c r="C826" s="56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54"/>
      <c r="O826" s="3" t="str">
        <f t="shared" si="183"/>
        <v/>
      </c>
      <c r="P826" s="48"/>
      <c r="Q826" s="48"/>
      <c r="R826" s="32"/>
      <c r="S826" s="3" t="str">
        <f t="shared" si="184"/>
        <v/>
      </c>
      <c r="T826" s="48"/>
      <c r="U826" s="48"/>
      <c r="V826" s="32"/>
      <c r="W826" s="3" t="str">
        <f t="shared" si="179"/>
        <v/>
      </c>
      <c r="X826" s="48"/>
      <c r="Y826" s="48"/>
      <c r="Z826" s="32"/>
      <c r="AA826" s="3" t="str">
        <f t="shared" si="180"/>
        <v/>
      </c>
      <c r="AB826" s="48"/>
      <c r="AC826" s="48"/>
      <c r="AD826" s="36"/>
      <c r="AE826" s="54"/>
      <c r="AF826" s="3" t="str">
        <f t="shared" si="181"/>
        <v/>
      </c>
      <c r="AG826" s="48"/>
      <c r="AH826" s="48"/>
      <c r="AI826" s="39"/>
      <c r="AJ826" s="79"/>
      <c r="AK826" s="39"/>
      <c r="AL826" s="4">
        <f t="shared" ref="AL826:AM889" si="185">IF($O826="A",P826,0)+IF($S826="A",T826,0)+IF($W826="A",X826,0)+IF($AA826="A",AB826,0)+IF($AF826="A",AG826,0)</f>
        <v>0</v>
      </c>
      <c r="AM826" s="4">
        <f t="shared" si="185"/>
        <v>0</v>
      </c>
      <c r="AN826" s="4">
        <f t="shared" ref="AN826:AN889" si="186">SUM(AL826:AM826)</f>
        <v>0</v>
      </c>
      <c r="AO826" s="39"/>
      <c r="AP826" s="8">
        <f t="shared" ref="AP826:AQ889" si="187">IF($O826="E",P826,0)+IF($S826="E",T826,0)+IF($W826="E",X826,0)+IF($AA826="E",AB826,0)+IF($AF826="E",AG826,0)</f>
        <v>0</v>
      </c>
      <c r="AQ826" s="8">
        <f t="shared" si="187"/>
        <v>0</v>
      </c>
      <c r="AR826" s="8">
        <f t="shared" ref="AR826:AR889" si="188">SUM(AP826:AQ826)</f>
        <v>0</v>
      </c>
      <c r="AS826" s="42"/>
      <c r="AT826" s="48"/>
      <c r="AU826" s="48"/>
      <c r="AV826" s="4">
        <f t="shared" ref="AV826:AV889" si="189">SUM(AT826:AU826)</f>
        <v>0</v>
      </c>
      <c r="AW826" s="50" t="str">
        <f t="shared" si="182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56"/>
      <c r="B827" s="54"/>
      <c r="C827" s="56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54"/>
      <c r="O827" s="3" t="str">
        <f t="shared" si="183"/>
        <v/>
      </c>
      <c r="P827" s="48"/>
      <c r="Q827" s="48"/>
      <c r="R827" s="32"/>
      <c r="S827" s="3" t="str">
        <f t="shared" si="184"/>
        <v/>
      </c>
      <c r="T827" s="48"/>
      <c r="U827" s="48"/>
      <c r="V827" s="32"/>
      <c r="W827" s="3" t="str">
        <f t="shared" si="179"/>
        <v/>
      </c>
      <c r="X827" s="48"/>
      <c r="Y827" s="48"/>
      <c r="Z827" s="32"/>
      <c r="AA827" s="3" t="str">
        <f t="shared" si="180"/>
        <v/>
      </c>
      <c r="AB827" s="48"/>
      <c r="AC827" s="48"/>
      <c r="AD827" s="36"/>
      <c r="AE827" s="54"/>
      <c r="AF827" s="3" t="str">
        <f t="shared" si="181"/>
        <v/>
      </c>
      <c r="AG827" s="48"/>
      <c r="AH827" s="48"/>
      <c r="AI827" s="39"/>
      <c r="AJ827" s="79"/>
      <c r="AK827" s="39"/>
      <c r="AL827" s="4">
        <f t="shared" si="185"/>
        <v>0</v>
      </c>
      <c r="AM827" s="4">
        <f t="shared" si="185"/>
        <v>0</v>
      </c>
      <c r="AN827" s="4">
        <f t="shared" si="186"/>
        <v>0</v>
      </c>
      <c r="AO827" s="39"/>
      <c r="AP827" s="8">
        <f t="shared" si="187"/>
        <v>0</v>
      </c>
      <c r="AQ827" s="8">
        <f t="shared" si="187"/>
        <v>0</v>
      </c>
      <c r="AR827" s="8">
        <f t="shared" si="188"/>
        <v>0</v>
      </c>
      <c r="AS827" s="42"/>
      <c r="AT827" s="48"/>
      <c r="AU827" s="48"/>
      <c r="AV827" s="4">
        <f t="shared" si="189"/>
        <v>0</v>
      </c>
      <c r="AW827" s="50" t="str">
        <f t="shared" si="182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56"/>
      <c r="B828" s="54"/>
      <c r="C828" s="56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54"/>
      <c r="O828" s="3" t="str">
        <f t="shared" si="183"/>
        <v/>
      </c>
      <c r="P828" s="48"/>
      <c r="Q828" s="48"/>
      <c r="R828" s="32"/>
      <c r="S828" s="3" t="str">
        <f t="shared" si="184"/>
        <v/>
      </c>
      <c r="T828" s="48"/>
      <c r="U828" s="48"/>
      <c r="V828" s="32"/>
      <c r="W828" s="3" t="str">
        <f t="shared" si="179"/>
        <v/>
      </c>
      <c r="X828" s="48"/>
      <c r="Y828" s="48"/>
      <c r="Z828" s="32"/>
      <c r="AA828" s="3" t="str">
        <f t="shared" si="180"/>
        <v/>
      </c>
      <c r="AB828" s="48"/>
      <c r="AC828" s="48"/>
      <c r="AD828" s="36"/>
      <c r="AE828" s="54"/>
      <c r="AF828" s="3" t="str">
        <f t="shared" si="181"/>
        <v/>
      </c>
      <c r="AG828" s="48"/>
      <c r="AH828" s="48"/>
      <c r="AI828" s="39"/>
      <c r="AJ828" s="79"/>
      <c r="AK828" s="39"/>
      <c r="AL828" s="4">
        <f t="shared" si="185"/>
        <v>0</v>
      </c>
      <c r="AM828" s="4">
        <f t="shared" si="185"/>
        <v>0</v>
      </c>
      <c r="AN828" s="4">
        <f t="shared" si="186"/>
        <v>0</v>
      </c>
      <c r="AO828" s="39"/>
      <c r="AP828" s="8">
        <f t="shared" si="187"/>
        <v>0</v>
      </c>
      <c r="AQ828" s="8">
        <f t="shared" si="187"/>
        <v>0</v>
      </c>
      <c r="AR828" s="8">
        <f t="shared" si="188"/>
        <v>0</v>
      </c>
      <c r="AS828" s="42"/>
      <c r="AT828" s="48"/>
      <c r="AU828" s="48"/>
      <c r="AV828" s="4">
        <f t="shared" si="189"/>
        <v>0</v>
      </c>
      <c r="AW828" s="50" t="str">
        <f t="shared" si="182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56"/>
      <c r="B829" s="54"/>
      <c r="C829" s="56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54"/>
      <c r="O829" s="3" t="str">
        <f t="shared" si="183"/>
        <v/>
      </c>
      <c r="P829" s="48"/>
      <c r="Q829" s="48"/>
      <c r="R829" s="32"/>
      <c r="S829" s="3" t="str">
        <f t="shared" si="184"/>
        <v/>
      </c>
      <c r="T829" s="48"/>
      <c r="U829" s="48"/>
      <c r="V829" s="32"/>
      <c r="W829" s="3" t="str">
        <f t="shared" si="179"/>
        <v/>
      </c>
      <c r="X829" s="48"/>
      <c r="Y829" s="48"/>
      <c r="Z829" s="32"/>
      <c r="AA829" s="3" t="str">
        <f t="shared" si="180"/>
        <v/>
      </c>
      <c r="AB829" s="48"/>
      <c r="AC829" s="48"/>
      <c r="AD829" s="36"/>
      <c r="AE829" s="54"/>
      <c r="AF829" s="3" t="str">
        <f t="shared" si="181"/>
        <v/>
      </c>
      <c r="AG829" s="48"/>
      <c r="AH829" s="48"/>
      <c r="AI829" s="39"/>
      <c r="AJ829" s="79"/>
      <c r="AK829" s="39"/>
      <c r="AL829" s="4">
        <f t="shared" si="185"/>
        <v>0</v>
      </c>
      <c r="AM829" s="4">
        <f t="shared" si="185"/>
        <v>0</v>
      </c>
      <c r="AN829" s="4">
        <f t="shared" si="186"/>
        <v>0</v>
      </c>
      <c r="AO829" s="39"/>
      <c r="AP829" s="8">
        <f t="shared" si="187"/>
        <v>0</v>
      </c>
      <c r="AQ829" s="8">
        <f t="shared" si="187"/>
        <v>0</v>
      </c>
      <c r="AR829" s="8">
        <f t="shared" si="188"/>
        <v>0</v>
      </c>
      <c r="AS829" s="42"/>
      <c r="AT829" s="48"/>
      <c r="AU829" s="48"/>
      <c r="AV829" s="4">
        <f t="shared" si="189"/>
        <v>0</v>
      </c>
      <c r="AW829" s="50" t="str">
        <f t="shared" si="182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56"/>
      <c r="B830" s="54"/>
      <c r="C830" s="56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54"/>
      <c r="O830" s="3" t="str">
        <f t="shared" si="183"/>
        <v/>
      </c>
      <c r="P830" s="48"/>
      <c r="Q830" s="48"/>
      <c r="R830" s="32"/>
      <c r="S830" s="3" t="str">
        <f t="shared" si="184"/>
        <v/>
      </c>
      <c r="T830" s="48"/>
      <c r="U830" s="48"/>
      <c r="V830" s="32"/>
      <c r="W830" s="3" t="str">
        <f t="shared" si="179"/>
        <v/>
      </c>
      <c r="X830" s="48"/>
      <c r="Y830" s="48"/>
      <c r="Z830" s="32"/>
      <c r="AA830" s="3" t="str">
        <f t="shared" si="180"/>
        <v/>
      </c>
      <c r="AB830" s="48"/>
      <c r="AC830" s="48"/>
      <c r="AD830" s="36"/>
      <c r="AE830" s="54"/>
      <c r="AF830" s="3" t="str">
        <f t="shared" si="181"/>
        <v/>
      </c>
      <c r="AG830" s="48"/>
      <c r="AH830" s="48"/>
      <c r="AI830" s="39"/>
      <c r="AJ830" s="79"/>
      <c r="AK830" s="39"/>
      <c r="AL830" s="4">
        <f t="shared" si="185"/>
        <v>0</v>
      </c>
      <c r="AM830" s="4">
        <f t="shared" si="185"/>
        <v>0</v>
      </c>
      <c r="AN830" s="4">
        <f t="shared" si="186"/>
        <v>0</v>
      </c>
      <c r="AO830" s="39"/>
      <c r="AP830" s="8">
        <f t="shared" si="187"/>
        <v>0</v>
      </c>
      <c r="AQ830" s="8">
        <f t="shared" si="187"/>
        <v>0</v>
      </c>
      <c r="AR830" s="8">
        <f t="shared" si="188"/>
        <v>0</v>
      </c>
      <c r="AS830" s="42"/>
      <c r="AT830" s="48"/>
      <c r="AU830" s="48"/>
      <c r="AV830" s="4">
        <f t="shared" si="189"/>
        <v>0</v>
      </c>
      <c r="AW830" s="50" t="str">
        <f t="shared" si="182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56"/>
      <c r="B831" s="54"/>
      <c r="C831" s="56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54"/>
      <c r="O831" s="3" t="str">
        <f t="shared" si="183"/>
        <v/>
      </c>
      <c r="P831" s="48"/>
      <c r="Q831" s="48"/>
      <c r="R831" s="32"/>
      <c r="S831" s="3" t="str">
        <f t="shared" si="184"/>
        <v/>
      </c>
      <c r="T831" s="48"/>
      <c r="U831" s="48"/>
      <c r="V831" s="32"/>
      <c r="W831" s="3" t="str">
        <f t="shared" si="179"/>
        <v/>
      </c>
      <c r="X831" s="48"/>
      <c r="Y831" s="48"/>
      <c r="Z831" s="32"/>
      <c r="AA831" s="3" t="str">
        <f t="shared" si="180"/>
        <v/>
      </c>
      <c r="AB831" s="48"/>
      <c r="AC831" s="48"/>
      <c r="AD831" s="36"/>
      <c r="AE831" s="54"/>
      <c r="AF831" s="3" t="str">
        <f t="shared" si="181"/>
        <v/>
      </c>
      <c r="AG831" s="48"/>
      <c r="AH831" s="48"/>
      <c r="AI831" s="39"/>
      <c r="AJ831" s="79"/>
      <c r="AK831" s="39"/>
      <c r="AL831" s="4">
        <f t="shared" si="185"/>
        <v>0</v>
      </c>
      <c r="AM831" s="4">
        <f t="shared" si="185"/>
        <v>0</v>
      </c>
      <c r="AN831" s="4">
        <f t="shared" si="186"/>
        <v>0</v>
      </c>
      <c r="AO831" s="39"/>
      <c r="AP831" s="8">
        <f t="shared" si="187"/>
        <v>0</v>
      </c>
      <c r="AQ831" s="8">
        <f t="shared" si="187"/>
        <v>0</v>
      </c>
      <c r="AR831" s="8">
        <f t="shared" si="188"/>
        <v>0</v>
      </c>
      <c r="AS831" s="42"/>
      <c r="AT831" s="48"/>
      <c r="AU831" s="48"/>
      <c r="AV831" s="4">
        <f t="shared" si="189"/>
        <v>0</v>
      </c>
      <c r="AW831" s="50" t="str">
        <f t="shared" si="182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56"/>
      <c r="B832" s="54"/>
      <c r="C832" s="56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54"/>
      <c r="O832" s="3" t="str">
        <f t="shared" si="183"/>
        <v/>
      </c>
      <c r="P832" s="48"/>
      <c r="Q832" s="48"/>
      <c r="R832" s="32"/>
      <c r="S832" s="3" t="str">
        <f t="shared" si="184"/>
        <v/>
      </c>
      <c r="T832" s="48"/>
      <c r="U832" s="48"/>
      <c r="V832" s="32"/>
      <c r="W832" s="3" t="str">
        <f t="shared" si="179"/>
        <v/>
      </c>
      <c r="X832" s="48"/>
      <c r="Y832" s="48"/>
      <c r="Z832" s="32"/>
      <c r="AA832" s="3" t="str">
        <f t="shared" si="180"/>
        <v/>
      </c>
      <c r="AB832" s="48"/>
      <c r="AC832" s="48"/>
      <c r="AD832" s="36"/>
      <c r="AE832" s="54"/>
      <c r="AF832" s="3" t="str">
        <f t="shared" si="181"/>
        <v/>
      </c>
      <c r="AG832" s="48"/>
      <c r="AH832" s="48"/>
      <c r="AI832" s="39"/>
      <c r="AJ832" s="79"/>
      <c r="AK832" s="39"/>
      <c r="AL832" s="4">
        <f t="shared" si="185"/>
        <v>0</v>
      </c>
      <c r="AM832" s="4">
        <f t="shared" si="185"/>
        <v>0</v>
      </c>
      <c r="AN832" s="4">
        <f t="shared" si="186"/>
        <v>0</v>
      </c>
      <c r="AO832" s="39"/>
      <c r="AP832" s="8">
        <f t="shared" si="187"/>
        <v>0</v>
      </c>
      <c r="AQ832" s="8">
        <f t="shared" si="187"/>
        <v>0</v>
      </c>
      <c r="AR832" s="8">
        <f t="shared" si="188"/>
        <v>0</v>
      </c>
      <c r="AS832" s="42"/>
      <c r="AT832" s="48"/>
      <c r="AU832" s="48"/>
      <c r="AV832" s="4">
        <f t="shared" si="189"/>
        <v>0</v>
      </c>
      <c r="AW832" s="50" t="str">
        <f t="shared" si="182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56"/>
      <c r="B833" s="54"/>
      <c r="C833" s="56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54"/>
      <c r="O833" s="3" t="str">
        <f t="shared" si="183"/>
        <v/>
      </c>
      <c r="P833" s="48"/>
      <c r="Q833" s="48"/>
      <c r="R833" s="32"/>
      <c r="S833" s="3" t="str">
        <f t="shared" si="184"/>
        <v/>
      </c>
      <c r="T833" s="48"/>
      <c r="U833" s="48"/>
      <c r="V833" s="32"/>
      <c r="W833" s="3" t="str">
        <f t="shared" si="179"/>
        <v/>
      </c>
      <c r="X833" s="48"/>
      <c r="Y833" s="48"/>
      <c r="Z833" s="32"/>
      <c r="AA833" s="3" t="str">
        <f t="shared" si="180"/>
        <v/>
      </c>
      <c r="AB833" s="48"/>
      <c r="AC833" s="48"/>
      <c r="AD833" s="36"/>
      <c r="AE833" s="54"/>
      <c r="AF833" s="3" t="str">
        <f t="shared" si="181"/>
        <v/>
      </c>
      <c r="AG833" s="48"/>
      <c r="AH833" s="48"/>
      <c r="AI833" s="39"/>
      <c r="AJ833" s="79"/>
      <c r="AK833" s="39"/>
      <c r="AL833" s="4">
        <f t="shared" si="185"/>
        <v>0</v>
      </c>
      <c r="AM833" s="4">
        <f t="shared" si="185"/>
        <v>0</v>
      </c>
      <c r="AN833" s="4">
        <f t="shared" si="186"/>
        <v>0</v>
      </c>
      <c r="AO833" s="39"/>
      <c r="AP833" s="8">
        <f t="shared" si="187"/>
        <v>0</v>
      </c>
      <c r="AQ833" s="8">
        <f t="shared" si="187"/>
        <v>0</v>
      </c>
      <c r="AR833" s="8">
        <f t="shared" si="188"/>
        <v>0</v>
      </c>
      <c r="AS833" s="42"/>
      <c r="AT833" s="48"/>
      <c r="AU833" s="48"/>
      <c r="AV833" s="4">
        <f t="shared" si="189"/>
        <v>0</v>
      </c>
      <c r="AW833" s="50" t="str">
        <f t="shared" si="182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56"/>
      <c r="B834" s="54"/>
      <c r="C834" s="56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54"/>
      <c r="O834" s="3" t="str">
        <f t="shared" si="183"/>
        <v/>
      </c>
      <c r="P834" s="48"/>
      <c r="Q834" s="48"/>
      <c r="R834" s="32"/>
      <c r="S834" s="3" t="str">
        <f t="shared" si="184"/>
        <v/>
      </c>
      <c r="T834" s="48"/>
      <c r="U834" s="48"/>
      <c r="V834" s="32"/>
      <c r="W834" s="3" t="str">
        <f t="shared" si="179"/>
        <v/>
      </c>
      <c r="X834" s="48"/>
      <c r="Y834" s="48"/>
      <c r="Z834" s="32"/>
      <c r="AA834" s="3" t="str">
        <f t="shared" si="180"/>
        <v/>
      </c>
      <c r="AB834" s="48"/>
      <c r="AC834" s="48"/>
      <c r="AD834" s="36"/>
      <c r="AE834" s="54"/>
      <c r="AF834" s="3" t="str">
        <f t="shared" si="181"/>
        <v/>
      </c>
      <c r="AG834" s="48"/>
      <c r="AH834" s="48"/>
      <c r="AI834" s="39"/>
      <c r="AJ834" s="79"/>
      <c r="AK834" s="39"/>
      <c r="AL834" s="4">
        <f t="shared" si="185"/>
        <v>0</v>
      </c>
      <c r="AM834" s="4">
        <f t="shared" si="185"/>
        <v>0</v>
      </c>
      <c r="AN834" s="4">
        <f t="shared" si="186"/>
        <v>0</v>
      </c>
      <c r="AO834" s="39"/>
      <c r="AP834" s="8">
        <f t="shared" si="187"/>
        <v>0</v>
      </c>
      <c r="AQ834" s="8">
        <f t="shared" si="187"/>
        <v>0</v>
      </c>
      <c r="AR834" s="8">
        <f t="shared" si="188"/>
        <v>0</v>
      </c>
      <c r="AS834" s="42"/>
      <c r="AT834" s="48"/>
      <c r="AU834" s="48"/>
      <c r="AV834" s="4">
        <f t="shared" si="189"/>
        <v>0</v>
      </c>
      <c r="AW834" s="50" t="str">
        <f t="shared" si="182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56"/>
      <c r="B835" s="54"/>
      <c r="C835" s="56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54"/>
      <c r="O835" s="3" t="str">
        <f t="shared" si="183"/>
        <v/>
      </c>
      <c r="P835" s="48"/>
      <c r="Q835" s="48"/>
      <c r="R835" s="32"/>
      <c r="S835" s="3" t="str">
        <f t="shared" si="184"/>
        <v/>
      </c>
      <c r="T835" s="48"/>
      <c r="U835" s="48"/>
      <c r="V835" s="32"/>
      <c r="W835" s="3" t="str">
        <f t="shared" si="179"/>
        <v/>
      </c>
      <c r="X835" s="48"/>
      <c r="Y835" s="48"/>
      <c r="Z835" s="32"/>
      <c r="AA835" s="3" t="str">
        <f t="shared" si="180"/>
        <v/>
      </c>
      <c r="AB835" s="48"/>
      <c r="AC835" s="48"/>
      <c r="AD835" s="36"/>
      <c r="AE835" s="54"/>
      <c r="AF835" s="3" t="str">
        <f t="shared" si="181"/>
        <v/>
      </c>
      <c r="AG835" s="48"/>
      <c r="AH835" s="48"/>
      <c r="AI835" s="39"/>
      <c r="AJ835" s="79"/>
      <c r="AK835" s="39"/>
      <c r="AL835" s="4">
        <f t="shared" si="185"/>
        <v>0</v>
      </c>
      <c r="AM835" s="4">
        <f t="shared" si="185"/>
        <v>0</v>
      </c>
      <c r="AN835" s="4">
        <f t="shared" si="186"/>
        <v>0</v>
      </c>
      <c r="AO835" s="39"/>
      <c r="AP835" s="8">
        <f t="shared" si="187"/>
        <v>0</v>
      </c>
      <c r="AQ835" s="8">
        <f t="shared" si="187"/>
        <v>0</v>
      </c>
      <c r="AR835" s="8">
        <f t="shared" si="188"/>
        <v>0</v>
      </c>
      <c r="AS835" s="42"/>
      <c r="AT835" s="48"/>
      <c r="AU835" s="48"/>
      <c r="AV835" s="4">
        <f t="shared" si="189"/>
        <v>0</v>
      </c>
      <c r="AW835" s="50" t="str">
        <f t="shared" si="182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56"/>
      <c r="B836" s="54"/>
      <c r="C836" s="56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54"/>
      <c r="O836" s="3" t="str">
        <f t="shared" si="183"/>
        <v/>
      </c>
      <c r="P836" s="48"/>
      <c r="Q836" s="48"/>
      <c r="R836" s="32"/>
      <c r="S836" s="3" t="str">
        <f t="shared" si="184"/>
        <v/>
      </c>
      <c r="T836" s="48"/>
      <c r="U836" s="48"/>
      <c r="V836" s="32"/>
      <c r="W836" s="3" t="str">
        <f t="shared" si="179"/>
        <v/>
      </c>
      <c r="X836" s="48"/>
      <c r="Y836" s="48"/>
      <c r="Z836" s="32"/>
      <c r="AA836" s="3" t="str">
        <f t="shared" si="180"/>
        <v/>
      </c>
      <c r="AB836" s="48"/>
      <c r="AC836" s="48"/>
      <c r="AD836" s="36"/>
      <c r="AE836" s="54"/>
      <c r="AF836" s="3" t="str">
        <f t="shared" si="181"/>
        <v/>
      </c>
      <c r="AG836" s="48"/>
      <c r="AH836" s="48"/>
      <c r="AI836" s="39"/>
      <c r="AJ836" s="79"/>
      <c r="AK836" s="39"/>
      <c r="AL836" s="4">
        <f t="shared" si="185"/>
        <v>0</v>
      </c>
      <c r="AM836" s="4">
        <f t="shared" si="185"/>
        <v>0</v>
      </c>
      <c r="AN836" s="4">
        <f t="shared" si="186"/>
        <v>0</v>
      </c>
      <c r="AO836" s="39"/>
      <c r="AP836" s="8">
        <f t="shared" si="187"/>
        <v>0</v>
      </c>
      <c r="AQ836" s="8">
        <f t="shared" si="187"/>
        <v>0</v>
      </c>
      <c r="AR836" s="8">
        <f t="shared" si="188"/>
        <v>0</v>
      </c>
      <c r="AS836" s="42"/>
      <c r="AT836" s="48"/>
      <c r="AU836" s="48"/>
      <c r="AV836" s="4">
        <f t="shared" si="189"/>
        <v>0</v>
      </c>
      <c r="AW836" s="50" t="str">
        <f t="shared" si="182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56"/>
      <c r="B837" s="54"/>
      <c r="C837" s="56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54"/>
      <c r="O837" s="3" t="str">
        <f t="shared" si="183"/>
        <v/>
      </c>
      <c r="P837" s="48"/>
      <c r="Q837" s="48"/>
      <c r="R837" s="32"/>
      <c r="S837" s="3" t="str">
        <f t="shared" si="184"/>
        <v/>
      </c>
      <c r="T837" s="48"/>
      <c r="U837" s="48"/>
      <c r="V837" s="32"/>
      <c r="W837" s="3" t="str">
        <f t="shared" si="179"/>
        <v/>
      </c>
      <c r="X837" s="48"/>
      <c r="Y837" s="48"/>
      <c r="Z837" s="32"/>
      <c r="AA837" s="3" t="str">
        <f t="shared" si="180"/>
        <v/>
      </c>
      <c r="AB837" s="48"/>
      <c r="AC837" s="48"/>
      <c r="AD837" s="36"/>
      <c r="AE837" s="54"/>
      <c r="AF837" s="3" t="str">
        <f t="shared" si="181"/>
        <v/>
      </c>
      <c r="AG837" s="48"/>
      <c r="AH837" s="48"/>
      <c r="AI837" s="39"/>
      <c r="AJ837" s="79"/>
      <c r="AK837" s="39"/>
      <c r="AL837" s="4">
        <f t="shared" si="185"/>
        <v>0</v>
      </c>
      <c r="AM837" s="4">
        <f t="shared" si="185"/>
        <v>0</v>
      </c>
      <c r="AN837" s="4">
        <f t="shared" si="186"/>
        <v>0</v>
      </c>
      <c r="AO837" s="39"/>
      <c r="AP837" s="8">
        <f t="shared" si="187"/>
        <v>0</v>
      </c>
      <c r="AQ837" s="8">
        <f t="shared" si="187"/>
        <v>0</v>
      </c>
      <c r="AR837" s="8">
        <f t="shared" si="188"/>
        <v>0</v>
      </c>
      <c r="AS837" s="42"/>
      <c r="AT837" s="48"/>
      <c r="AU837" s="48"/>
      <c r="AV837" s="4">
        <f t="shared" si="189"/>
        <v>0</v>
      </c>
      <c r="AW837" s="50" t="str">
        <f t="shared" si="182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56"/>
      <c r="B838" s="54"/>
      <c r="C838" s="56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54"/>
      <c r="O838" s="3" t="str">
        <f t="shared" si="183"/>
        <v/>
      </c>
      <c r="P838" s="48"/>
      <c r="Q838" s="48"/>
      <c r="R838" s="32"/>
      <c r="S838" s="3" t="str">
        <f t="shared" si="184"/>
        <v/>
      </c>
      <c r="T838" s="48"/>
      <c r="U838" s="48"/>
      <c r="V838" s="32"/>
      <c r="W838" s="3" t="str">
        <f t="shared" si="179"/>
        <v/>
      </c>
      <c r="X838" s="48"/>
      <c r="Y838" s="48"/>
      <c r="Z838" s="32"/>
      <c r="AA838" s="3" t="str">
        <f t="shared" si="180"/>
        <v/>
      </c>
      <c r="AB838" s="48"/>
      <c r="AC838" s="48"/>
      <c r="AD838" s="36"/>
      <c r="AE838" s="54"/>
      <c r="AF838" s="3" t="str">
        <f t="shared" si="181"/>
        <v/>
      </c>
      <c r="AG838" s="48"/>
      <c r="AH838" s="48"/>
      <c r="AI838" s="39"/>
      <c r="AJ838" s="79"/>
      <c r="AK838" s="39"/>
      <c r="AL838" s="4">
        <f t="shared" si="185"/>
        <v>0</v>
      </c>
      <c r="AM838" s="4">
        <f t="shared" si="185"/>
        <v>0</v>
      </c>
      <c r="AN838" s="4">
        <f t="shared" si="186"/>
        <v>0</v>
      </c>
      <c r="AO838" s="39"/>
      <c r="AP838" s="8">
        <f t="shared" si="187"/>
        <v>0</v>
      </c>
      <c r="AQ838" s="8">
        <f t="shared" si="187"/>
        <v>0</v>
      </c>
      <c r="AR838" s="8">
        <f t="shared" si="188"/>
        <v>0</v>
      </c>
      <c r="AS838" s="42"/>
      <c r="AT838" s="48"/>
      <c r="AU838" s="48"/>
      <c r="AV838" s="4">
        <f t="shared" si="189"/>
        <v>0</v>
      </c>
      <c r="AW838" s="50" t="str">
        <f t="shared" si="182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56"/>
      <c r="B839" s="54"/>
      <c r="C839" s="56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54"/>
      <c r="O839" s="3" t="str">
        <f t="shared" si="183"/>
        <v/>
      </c>
      <c r="P839" s="48"/>
      <c r="Q839" s="48"/>
      <c r="R839" s="32"/>
      <c r="S839" s="3" t="str">
        <f t="shared" si="184"/>
        <v/>
      </c>
      <c r="T839" s="48"/>
      <c r="U839" s="48"/>
      <c r="V839" s="32"/>
      <c r="W839" s="3" t="str">
        <f t="shared" si="179"/>
        <v/>
      </c>
      <c r="X839" s="48"/>
      <c r="Y839" s="48"/>
      <c r="Z839" s="32"/>
      <c r="AA839" s="3" t="str">
        <f t="shared" si="180"/>
        <v/>
      </c>
      <c r="AB839" s="48"/>
      <c r="AC839" s="48"/>
      <c r="AD839" s="36"/>
      <c r="AE839" s="54"/>
      <c r="AF839" s="3" t="str">
        <f t="shared" si="181"/>
        <v/>
      </c>
      <c r="AG839" s="48"/>
      <c r="AH839" s="48"/>
      <c r="AI839" s="39"/>
      <c r="AJ839" s="79"/>
      <c r="AK839" s="39"/>
      <c r="AL839" s="4">
        <f t="shared" si="185"/>
        <v>0</v>
      </c>
      <c r="AM839" s="4">
        <f t="shared" si="185"/>
        <v>0</v>
      </c>
      <c r="AN839" s="4">
        <f t="shared" si="186"/>
        <v>0</v>
      </c>
      <c r="AO839" s="39"/>
      <c r="AP839" s="8">
        <f t="shared" si="187"/>
        <v>0</v>
      </c>
      <c r="AQ839" s="8">
        <f t="shared" si="187"/>
        <v>0</v>
      </c>
      <c r="AR839" s="8">
        <f t="shared" si="188"/>
        <v>0</v>
      </c>
      <c r="AS839" s="42"/>
      <c r="AT839" s="48"/>
      <c r="AU839" s="48"/>
      <c r="AV839" s="4">
        <f t="shared" si="189"/>
        <v>0</v>
      </c>
      <c r="AW839" s="50" t="str">
        <f t="shared" si="182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56"/>
      <c r="B840" s="54"/>
      <c r="C840" s="56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54"/>
      <c r="O840" s="3" t="str">
        <f t="shared" si="183"/>
        <v/>
      </c>
      <c r="P840" s="48"/>
      <c r="Q840" s="48"/>
      <c r="R840" s="32"/>
      <c r="S840" s="3" t="str">
        <f t="shared" si="184"/>
        <v/>
      </c>
      <c r="T840" s="48"/>
      <c r="U840" s="48"/>
      <c r="V840" s="32"/>
      <c r="W840" s="3" t="str">
        <f t="shared" ref="W840:W903" si="190">IF($A840="","",IF(X840=0,"A",IF(X840=BB840,"E","A")))</f>
        <v/>
      </c>
      <c r="X840" s="48"/>
      <c r="Y840" s="48"/>
      <c r="Z840" s="32"/>
      <c r="AA840" s="3" t="str">
        <f t="shared" ref="AA840:AA903" si="191">IF($A840="","",IF(AB840=0,"A",IF(AB840=BC840,"E","A")))</f>
        <v/>
      </c>
      <c r="AB840" s="48"/>
      <c r="AC840" s="48"/>
      <c r="AD840" s="36"/>
      <c r="AE840" s="54"/>
      <c r="AF840" s="3" t="str">
        <f t="shared" ref="AF840:AF903" si="192">IF($A840="","",IF(AG840=0,"A",IF(AG840=BD840,"E","A")))</f>
        <v/>
      </c>
      <c r="AG840" s="48"/>
      <c r="AH840" s="48"/>
      <c r="AI840" s="39"/>
      <c r="AJ840" s="79"/>
      <c r="AK840" s="39"/>
      <c r="AL840" s="4">
        <f t="shared" si="185"/>
        <v>0</v>
      </c>
      <c r="AM840" s="4">
        <f t="shared" si="185"/>
        <v>0</v>
      </c>
      <c r="AN840" s="4">
        <f t="shared" si="186"/>
        <v>0</v>
      </c>
      <c r="AO840" s="39"/>
      <c r="AP840" s="8">
        <f t="shared" si="187"/>
        <v>0</v>
      </c>
      <c r="AQ840" s="8">
        <f t="shared" si="187"/>
        <v>0</v>
      </c>
      <c r="AR840" s="8">
        <f t="shared" si="188"/>
        <v>0</v>
      </c>
      <c r="AS840" s="42"/>
      <c r="AT840" s="48"/>
      <c r="AU840" s="48"/>
      <c r="AV840" s="4">
        <f t="shared" si="189"/>
        <v>0</v>
      </c>
      <c r="AW840" s="50" t="str">
        <f t="shared" ref="AW840:AW903" si="193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56"/>
      <c r="B841" s="54"/>
      <c r="C841" s="56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54"/>
      <c r="O841" s="3" t="str">
        <f t="shared" si="183"/>
        <v/>
      </c>
      <c r="P841" s="48"/>
      <c r="Q841" s="48"/>
      <c r="R841" s="32"/>
      <c r="S841" s="3" t="str">
        <f t="shared" si="184"/>
        <v/>
      </c>
      <c r="T841" s="48"/>
      <c r="U841" s="48"/>
      <c r="V841" s="32"/>
      <c r="W841" s="3" t="str">
        <f t="shared" si="190"/>
        <v/>
      </c>
      <c r="X841" s="48"/>
      <c r="Y841" s="48"/>
      <c r="Z841" s="32"/>
      <c r="AA841" s="3" t="str">
        <f t="shared" si="191"/>
        <v/>
      </c>
      <c r="AB841" s="48"/>
      <c r="AC841" s="48"/>
      <c r="AD841" s="36"/>
      <c r="AE841" s="54"/>
      <c r="AF841" s="3" t="str">
        <f t="shared" si="192"/>
        <v/>
      </c>
      <c r="AG841" s="48"/>
      <c r="AH841" s="48"/>
      <c r="AI841" s="39"/>
      <c r="AJ841" s="79"/>
      <c r="AK841" s="39"/>
      <c r="AL841" s="4">
        <f t="shared" si="185"/>
        <v>0</v>
      </c>
      <c r="AM841" s="4">
        <f t="shared" si="185"/>
        <v>0</v>
      </c>
      <c r="AN841" s="4">
        <f t="shared" si="186"/>
        <v>0</v>
      </c>
      <c r="AO841" s="39"/>
      <c r="AP841" s="8">
        <f t="shared" si="187"/>
        <v>0</v>
      </c>
      <c r="AQ841" s="8">
        <f t="shared" si="187"/>
        <v>0</v>
      </c>
      <c r="AR841" s="8">
        <f t="shared" si="188"/>
        <v>0</v>
      </c>
      <c r="AS841" s="42"/>
      <c r="AT841" s="48"/>
      <c r="AU841" s="48"/>
      <c r="AV841" s="4">
        <f t="shared" si="189"/>
        <v>0</v>
      </c>
      <c r="AW841" s="50" t="str">
        <f t="shared" si="193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56"/>
      <c r="B842" s="54"/>
      <c r="C842" s="56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54"/>
      <c r="O842" s="3" t="str">
        <f t="shared" si="183"/>
        <v/>
      </c>
      <c r="P842" s="48"/>
      <c r="Q842" s="48"/>
      <c r="R842" s="32"/>
      <c r="S842" s="3" t="str">
        <f t="shared" si="184"/>
        <v/>
      </c>
      <c r="T842" s="48"/>
      <c r="U842" s="48"/>
      <c r="V842" s="32"/>
      <c r="W842" s="3" t="str">
        <f t="shared" si="190"/>
        <v/>
      </c>
      <c r="X842" s="48"/>
      <c r="Y842" s="48"/>
      <c r="Z842" s="32"/>
      <c r="AA842" s="3" t="str">
        <f t="shared" si="191"/>
        <v/>
      </c>
      <c r="AB842" s="48"/>
      <c r="AC842" s="48"/>
      <c r="AD842" s="36"/>
      <c r="AE842" s="54"/>
      <c r="AF842" s="3" t="str">
        <f t="shared" si="192"/>
        <v/>
      </c>
      <c r="AG842" s="48"/>
      <c r="AH842" s="48"/>
      <c r="AI842" s="39"/>
      <c r="AJ842" s="79"/>
      <c r="AK842" s="39"/>
      <c r="AL842" s="4">
        <f t="shared" si="185"/>
        <v>0</v>
      </c>
      <c r="AM842" s="4">
        <f t="shared" si="185"/>
        <v>0</v>
      </c>
      <c r="AN842" s="4">
        <f t="shared" si="186"/>
        <v>0</v>
      </c>
      <c r="AO842" s="39"/>
      <c r="AP842" s="8">
        <f t="shared" si="187"/>
        <v>0</v>
      </c>
      <c r="AQ842" s="8">
        <f t="shared" si="187"/>
        <v>0</v>
      </c>
      <c r="AR842" s="8">
        <f t="shared" si="188"/>
        <v>0</v>
      </c>
      <c r="AS842" s="42"/>
      <c r="AT842" s="48"/>
      <c r="AU842" s="48"/>
      <c r="AV842" s="4">
        <f t="shared" si="189"/>
        <v>0</v>
      </c>
      <c r="AW842" s="50" t="str">
        <f t="shared" si="193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56"/>
      <c r="B843" s="54"/>
      <c r="C843" s="56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54"/>
      <c r="O843" s="3" t="str">
        <f t="shared" si="183"/>
        <v/>
      </c>
      <c r="P843" s="48"/>
      <c r="Q843" s="48"/>
      <c r="R843" s="32"/>
      <c r="S843" s="3" t="str">
        <f t="shared" si="184"/>
        <v/>
      </c>
      <c r="T843" s="48"/>
      <c r="U843" s="48"/>
      <c r="V843" s="32"/>
      <c r="W843" s="3" t="str">
        <f t="shared" si="190"/>
        <v/>
      </c>
      <c r="X843" s="48"/>
      <c r="Y843" s="48"/>
      <c r="Z843" s="32"/>
      <c r="AA843" s="3" t="str">
        <f t="shared" si="191"/>
        <v/>
      </c>
      <c r="AB843" s="48"/>
      <c r="AC843" s="48"/>
      <c r="AD843" s="36"/>
      <c r="AE843" s="54"/>
      <c r="AF843" s="3" t="str">
        <f t="shared" si="192"/>
        <v/>
      </c>
      <c r="AG843" s="48"/>
      <c r="AH843" s="48"/>
      <c r="AI843" s="39"/>
      <c r="AJ843" s="79"/>
      <c r="AK843" s="39"/>
      <c r="AL843" s="4">
        <f t="shared" si="185"/>
        <v>0</v>
      </c>
      <c r="AM843" s="4">
        <f t="shared" si="185"/>
        <v>0</v>
      </c>
      <c r="AN843" s="4">
        <f t="shared" si="186"/>
        <v>0</v>
      </c>
      <c r="AO843" s="39"/>
      <c r="AP843" s="8">
        <f t="shared" si="187"/>
        <v>0</v>
      </c>
      <c r="AQ843" s="8">
        <f t="shared" si="187"/>
        <v>0</v>
      </c>
      <c r="AR843" s="8">
        <f t="shared" si="188"/>
        <v>0</v>
      </c>
      <c r="AS843" s="42"/>
      <c r="AT843" s="48"/>
      <c r="AU843" s="48"/>
      <c r="AV843" s="4">
        <f t="shared" si="189"/>
        <v>0</v>
      </c>
      <c r="AW843" s="50" t="str">
        <f t="shared" si="193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56"/>
      <c r="B844" s="54"/>
      <c r="C844" s="56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54"/>
      <c r="O844" s="3" t="str">
        <f t="shared" si="183"/>
        <v/>
      </c>
      <c r="P844" s="48"/>
      <c r="Q844" s="48"/>
      <c r="R844" s="32"/>
      <c r="S844" s="3" t="str">
        <f t="shared" si="184"/>
        <v/>
      </c>
      <c r="T844" s="48"/>
      <c r="U844" s="48"/>
      <c r="V844" s="32"/>
      <c r="W844" s="3" t="str">
        <f t="shared" si="190"/>
        <v/>
      </c>
      <c r="X844" s="48"/>
      <c r="Y844" s="48"/>
      <c r="Z844" s="32"/>
      <c r="AA844" s="3" t="str">
        <f t="shared" si="191"/>
        <v/>
      </c>
      <c r="AB844" s="48"/>
      <c r="AC844" s="48"/>
      <c r="AD844" s="36"/>
      <c r="AE844" s="54"/>
      <c r="AF844" s="3" t="str">
        <f t="shared" si="192"/>
        <v/>
      </c>
      <c r="AG844" s="48"/>
      <c r="AH844" s="48"/>
      <c r="AI844" s="39"/>
      <c r="AJ844" s="79"/>
      <c r="AK844" s="39"/>
      <c r="AL844" s="4">
        <f t="shared" si="185"/>
        <v>0</v>
      </c>
      <c r="AM844" s="4">
        <f t="shared" si="185"/>
        <v>0</v>
      </c>
      <c r="AN844" s="4">
        <f t="shared" si="186"/>
        <v>0</v>
      </c>
      <c r="AO844" s="39"/>
      <c r="AP844" s="8">
        <f t="shared" si="187"/>
        <v>0</v>
      </c>
      <c r="AQ844" s="8">
        <f t="shared" si="187"/>
        <v>0</v>
      </c>
      <c r="AR844" s="8">
        <f t="shared" si="188"/>
        <v>0</v>
      </c>
      <c r="AS844" s="42"/>
      <c r="AT844" s="48"/>
      <c r="AU844" s="48"/>
      <c r="AV844" s="4">
        <f t="shared" si="189"/>
        <v>0</v>
      </c>
      <c r="AW844" s="50" t="str">
        <f t="shared" si="193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56"/>
      <c r="B845" s="54"/>
      <c r="C845" s="56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54"/>
      <c r="O845" s="3" t="str">
        <f t="shared" si="183"/>
        <v/>
      </c>
      <c r="P845" s="48"/>
      <c r="Q845" s="48"/>
      <c r="R845" s="32"/>
      <c r="S845" s="3" t="str">
        <f t="shared" si="184"/>
        <v/>
      </c>
      <c r="T845" s="48"/>
      <c r="U845" s="48"/>
      <c r="V845" s="32"/>
      <c r="W845" s="3" t="str">
        <f t="shared" si="190"/>
        <v/>
      </c>
      <c r="X845" s="48"/>
      <c r="Y845" s="48"/>
      <c r="Z845" s="32"/>
      <c r="AA845" s="3" t="str">
        <f t="shared" si="191"/>
        <v/>
      </c>
      <c r="AB845" s="48"/>
      <c r="AC845" s="48"/>
      <c r="AD845" s="36"/>
      <c r="AE845" s="54"/>
      <c r="AF845" s="3" t="str">
        <f t="shared" si="192"/>
        <v/>
      </c>
      <c r="AG845" s="48"/>
      <c r="AH845" s="48"/>
      <c r="AI845" s="39"/>
      <c r="AJ845" s="79"/>
      <c r="AK845" s="39"/>
      <c r="AL845" s="4">
        <f t="shared" si="185"/>
        <v>0</v>
      </c>
      <c r="AM845" s="4">
        <f t="shared" si="185"/>
        <v>0</v>
      </c>
      <c r="AN845" s="4">
        <f t="shared" si="186"/>
        <v>0</v>
      </c>
      <c r="AO845" s="39"/>
      <c r="AP845" s="8">
        <f t="shared" si="187"/>
        <v>0</v>
      </c>
      <c r="AQ845" s="8">
        <f t="shared" si="187"/>
        <v>0</v>
      </c>
      <c r="AR845" s="8">
        <f t="shared" si="188"/>
        <v>0</v>
      </c>
      <c r="AS845" s="42"/>
      <c r="AT845" s="48"/>
      <c r="AU845" s="48"/>
      <c r="AV845" s="4">
        <f t="shared" si="189"/>
        <v>0</v>
      </c>
      <c r="AW845" s="50" t="str">
        <f t="shared" si="193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56"/>
      <c r="B846" s="54"/>
      <c r="C846" s="56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54"/>
      <c r="O846" s="3" t="str">
        <f t="shared" si="183"/>
        <v/>
      </c>
      <c r="P846" s="48"/>
      <c r="Q846" s="48"/>
      <c r="R846" s="32"/>
      <c r="S846" s="3" t="str">
        <f t="shared" si="184"/>
        <v/>
      </c>
      <c r="T846" s="48"/>
      <c r="U846" s="48"/>
      <c r="V846" s="32"/>
      <c r="W846" s="3" t="str">
        <f t="shared" si="190"/>
        <v/>
      </c>
      <c r="X846" s="48"/>
      <c r="Y846" s="48"/>
      <c r="Z846" s="32"/>
      <c r="AA846" s="3" t="str">
        <f t="shared" si="191"/>
        <v/>
      </c>
      <c r="AB846" s="48"/>
      <c r="AC846" s="48"/>
      <c r="AD846" s="36"/>
      <c r="AE846" s="54"/>
      <c r="AF846" s="3" t="str">
        <f t="shared" si="192"/>
        <v/>
      </c>
      <c r="AG846" s="48"/>
      <c r="AH846" s="48"/>
      <c r="AI846" s="39"/>
      <c r="AJ846" s="79"/>
      <c r="AK846" s="39"/>
      <c r="AL846" s="4">
        <f t="shared" si="185"/>
        <v>0</v>
      </c>
      <c r="AM846" s="4">
        <f t="shared" si="185"/>
        <v>0</v>
      </c>
      <c r="AN846" s="4">
        <f t="shared" si="186"/>
        <v>0</v>
      </c>
      <c r="AO846" s="39"/>
      <c r="AP846" s="8">
        <f t="shared" si="187"/>
        <v>0</v>
      </c>
      <c r="AQ846" s="8">
        <f t="shared" si="187"/>
        <v>0</v>
      </c>
      <c r="AR846" s="8">
        <f t="shared" si="188"/>
        <v>0</v>
      </c>
      <c r="AS846" s="42"/>
      <c r="AT846" s="48"/>
      <c r="AU846" s="48"/>
      <c r="AV846" s="4">
        <f t="shared" si="189"/>
        <v>0</v>
      </c>
      <c r="AW846" s="50" t="str">
        <f t="shared" si="193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56"/>
      <c r="B847" s="54"/>
      <c r="C847" s="56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54"/>
      <c r="O847" s="3" t="str">
        <f t="shared" si="183"/>
        <v/>
      </c>
      <c r="P847" s="48"/>
      <c r="Q847" s="48"/>
      <c r="R847" s="32"/>
      <c r="S847" s="3" t="str">
        <f t="shared" si="184"/>
        <v/>
      </c>
      <c r="T847" s="48"/>
      <c r="U847" s="48"/>
      <c r="V847" s="32"/>
      <c r="W847" s="3" t="str">
        <f t="shared" si="190"/>
        <v/>
      </c>
      <c r="X847" s="48"/>
      <c r="Y847" s="48"/>
      <c r="Z847" s="32"/>
      <c r="AA847" s="3" t="str">
        <f t="shared" si="191"/>
        <v/>
      </c>
      <c r="AB847" s="48"/>
      <c r="AC847" s="48"/>
      <c r="AD847" s="36"/>
      <c r="AE847" s="54"/>
      <c r="AF847" s="3" t="str">
        <f t="shared" si="192"/>
        <v/>
      </c>
      <c r="AG847" s="48"/>
      <c r="AH847" s="48"/>
      <c r="AI847" s="39"/>
      <c r="AJ847" s="79"/>
      <c r="AK847" s="39"/>
      <c r="AL847" s="4">
        <f t="shared" si="185"/>
        <v>0</v>
      </c>
      <c r="AM847" s="4">
        <f t="shared" si="185"/>
        <v>0</v>
      </c>
      <c r="AN847" s="4">
        <f t="shared" si="186"/>
        <v>0</v>
      </c>
      <c r="AO847" s="39"/>
      <c r="AP847" s="8">
        <f t="shared" si="187"/>
        <v>0</v>
      </c>
      <c r="AQ847" s="8">
        <f t="shared" si="187"/>
        <v>0</v>
      </c>
      <c r="AR847" s="8">
        <f t="shared" si="188"/>
        <v>0</v>
      </c>
      <c r="AS847" s="42"/>
      <c r="AT847" s="48"/>
      <c r="AU847" s="48"/>
      <c r="AV847" s="4">
        <f t="shared" si="189"/>
        <v>0</v>
      </c>
      <c r="AW847" s="50" t="str">
        <f t="shared" si="193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56"/>
      <c r="B848" s="54"/>
      <c r="C848" s="56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54"/>
      <c r="O848" s="3" t="str">
        <f t="shared" si="183"/>
        <v/>
      </c>
      <c r="P848" s="48"/>
      <c r="Q848" s="48"/>
      <c r="R848" s="32"/>
      <c r="S848" s="3" t="str">
        <f t="shared" si="184"/>
        <v/>
      </c>
      <c r="T848" s="48"/>
      <c r="U848" s="48"/>
      <c r="V848" s="32"/>
      <c r="W848" s="3" t="str">
        <f t="shared" si="190"/>
        <v/>
      </c>
      <c r="X848" s="48"/>
      <c r="Y848" s="48"/>
      <c r="Z848" s="32"/>
      <c r="AA848" s="3" t="str">
        <f t="shared" si="191"/>
        <v/>
      </c>
      <c r="AB848" s="48"/>
      <c r="AC848" s="48"/>
      <c r="AD848" s="36"/>
      <c r="AE848" s="54"/>
      <c r="AF848" s="3" t="str">
        <f t="shared" si="192"/>
        <v/>
      </c>
      <c r="AG848" s="48"/>
      <c r="AH848" s="48"/>
      <c r="AI848" s="39"/>
      <c r="AJ848" s="79"/>
      <c r="AK848" s="39"/>
      <c r="AL848" s="4">
        <f t="shared" si="185"/>
        <v>0</v>
      </c>
      <c r="AM848" s="4">
        <f t="shared" si="185"/>
        <v>0</v>
      </c>
      <c r="AN848" s="4">
        <f t="shared" si="186"/>
        <v>0</v>
      </c>
      <c r="AO848" s="39"/>
      <c r="AP848" s="8">
        <f t="shared" si="187"/>
        <v>0</v>
      </c>
      <c r="AQ848" s="8">
        <f t="shared" si="187"/>
        <v>0</v>
      </c>
      <c r="AR848" s="8">
        <f t="shared" si="188"/>
        <v>0</v>
      </c>
      <c r="AS848" s="42"/>
      <c r="AT848" s="48"/>
      <c r="AU848" s="48"/>
      <c r="AV848" s="4">
        <f t="shared" si="189"/>
        <v>0</v>
      </c>
      <c r="AW848" s="50" t="str">
        <f t="shared" si="193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56"/>
      <c r="B849" s="54"/>
      <c r="C849" s="56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54"/>
      <c r="O849" s="3" t="str">
        <f t="shared" si="183"/>
        <v/>
      </c>
      <c r="P849" s="48"/>
      <c r="Q849" s="48"/>
      <c r="R849" s="32"/>
      <c r="S849" s="3" t="str">
        <f t="shared" si="184"/>
        <v/>
      </c>
      <c r="T849" s="48"/>
      <c r="U849" s="48"/>
      <c r="V849" s="32"/>
      <c r="W849" s="3" t="str">
        <f t="shared" si="190"/>
        <v/>
      </c>
      <c r="X849" s="48"/>
      <c r="Y849" s="48"/>
      <c r="Z849" s="32"/>
      <c r="AA849" s="3" t="str">
        <f t="shared" si="191"/>
        <v/>
      </c>
      <c r="AB849" s="48"/>
      <c r="AC849" s="48"/>
      <c r="AD849" s="36"/>
      <c r="AE849" s="54"/>
      <c r="AF849" s="3" t="str">
        <f t="shared" si="192"/>
        <v/>
      </c>
      <c r="AG849" s="48"/>
      <c r="AH849" s="48"/>
      <c r="AI849" s="39"/>
      <c r="AJ849" s="79"/>
      <c r="AK849" s="39"/>
      <c r="AL849" s="4">
        <f t="shared" si="185"/>
        <v>0</v>
      </c>
      <c r="AM849" s="4">
        <f t="shared" si="185"/>
        <v>0</v>
      </c>
      <c r="AN849" s="4">
        <f t="shared" si="186"/>
        <v>0</v>
      </c>
      <c r="AO849" s="39"/>
      <c r="AP849" s="8">
        <f t="shared" si="187"/>
        <v>0</v>
      </c>
      <c r="AQ849" s="8">
        <f t="shared" si="187"/>
        <v>0</v>
      </c>
      <c r="AR849" s="8">
        <f t="shared" si="188"/>
        <v>0</v>
      </c>
      <c r="AS849" s="42"/>
      <c r="AT849" s="48"/>
      <c r="AU849" s="48"/>
      <c r="AV849" s="4">
        <f t="shared" si="189"/>
        <v>0</v>
      </c>
      <c r="AW849" s="50" t="str">
        <f t="shared" si="193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56"/>
      <c r="B850" s="54"/>
      <c r="C850" s="56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54"/>
      <c r="O850" s="3" t="str">
        <f t="shared" si="183"/>
        <v/>
      </c>
      <c r="P850" s="48"/>
      <c r="Q850" s="48"/>
      <c r="R850" s="32"/>
      <c r="S850" s="3" t="str">
        <f t="shared" si="184"/>
        <v/>
      </c>
      <c r="T850" s="48"/>
      <c r="U850" s="48"/>
      <c r="V850" s="32"/>
      <c r="W850" s="3" t="str">
        <f t="shared" si="190"/>
        <v/>
      </c>
      <c r="X850" s="48"/>
      <c r="Y850" s="48"/>
      <c r="Z850" s="32"/>
      <c r="AA850" s="3" t="str">
        <f t="shared" si="191"/>
        <v/>
      </c>
      <c r="AB850" s="48"/>
      <c r="AC850" s="48"/>
      <c r="AD850" s="36"/>
      <c r="AE850" s="54"/>
      <c r="AF850" s="3" t="str">
        <f t="shared" si="192"/>
        <v/>
      </c>
      <c r="AG850" s="48"/>
      <c r="AH850" s="48"/>
      <c r="AI850" s="39"/>
      <c r="AJ850" s="79"/>
      <c r="AK850" s="39"/>
      <c r="AL850" s="4">
        <f t="shared" si="185"/>
        <v>0</v>
      </c>
      <c r="AM850" s="4">
        <f t="shared" si="185"/>
        <v>0</v>
      </c>
      <c r="AN850" s="4">
        <f t="shared" si="186"/>
        <v>0</v>
      </c>
      <c r="AO850" s="39"/>
      <c r="AP850" s="8">
        <f t="shared" si="187"/>
        <v>0</v>
      </c>
      <c r="AQ850" s="8">
        <f t="shared" si="187"/>
        <v>0</v>
      </c>
      <c r="AR850" s="8">
        <f t="shared" si="188"/>
        <v>0</v>
      </c>
      <c r="AS850" s="42"/>
      <c r="AT850" s="48"/>
      <c r="AU850" s="48"/>
      <c r="AV850" s="4">
        <f t="shared" si="189"/>
        <v>0</v>
      </c>
      <c r="AW850" s="50" t="str">
        <f t="shared" si="193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56"/>
      <c r="B851" s="54"/>
      <c r="C851" s="56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54"/>
      <c r="O851" s="3" t="str">
        <f t="shared" si="183"/>
        <v/>
      </c>
      <c r="P851" s="48"/>
      <c r="Q851" s="48"/>
      <c r="R851" s="32"/>
      <c r="S851" s="3" t="str">
        <f t="shared" si="184"/>
        <v/>
      </c>
      <c r="T851" s="48"/>
      <c r="U851" s="48"/>
      <c r="V851" s="32"/>
      <c r="W851" s="3" t="str">
        <f t="shared" si="190"/>
        <v/>
      </c>
      <c r="X851" s="48"/>
      <c r="Y851" s="48"/>
      <c r="Z851" s="32"/>
      <c r="AA851" s="3" t="str">
        <f t="shared" si="191"/>
        <v/>
      </c>
      <c r="AB851" s="48"/>
      <c r="AC851" s="48"/>
      <c r="AD851" s="36"/>
      <c r="AE851" s="54"/>
      <c r="AF851" s="3" t="str">
        <f t="shared" si="192"/>
        <v/>
      </c>
      <c r="AG851" s="48"/>
      <c r="AH851" s="48"/>
      <c r="AI851" s="39"/>
      <c r="AJ851" s="79"/>
      <c r="AK851" s="39"/>
      <c r="AL851" s="4">
        <f t="shared" si="185"/>
        <v>0</v>
      </c>
      <c r="AM851" s="4">
        <f t="shared" si="185"/>
        <v>0</v>
      </c>
      <c r="AN851" s="4">
        <f t="shared" si="186"/>
        <v>0</v>
      </c>
      <c r="AO851" s="39"/>
      <c r="AP851" s="8">
        <f t="shared" si="187"/>
        <v>0</v>
      </c>
      <c r="AQ851" s="8">
        <f t="shared" si="187"/>
        <v>0</v>
      </c>
      <c r="AR851" s="8">
        <f t="shared" si="188"/>
        <v>0</v>
      </c>
      <c r="AS851" s="42"/>
      <c r="AT851" s="48"/>
      <c r="AU851" s="48"/>
      <c r="AV851" s="4">
        <f t="shared" si="189"/>
        <v>0</v>
      </c>
      <c r="AW851" s="50" t="str">
        <f t="shared" si="193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56"/>
      <c r="B852" s="54"/>
      <c r="C852" s="56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54"/>
      <c r="O852" s="3" t="str">
        <f t="shared" si="183"/>
        <v/>
      </c>
      <c r="P852" s="48"/>
      <c r="Q852" s="48"/>
      <c r="R852" s="32"/>
      <c r="S852" s="3" t="str">
        <f t="shared" si="184"/>
        <v/>
      </c>
      <c r="T852" s="48"/>
      <c r="U852" s="48"/>
      <c r="V852" s="32"/>
      <c r="W852" s="3" t="str">
        <f t="shared" si="190"/>
        <v/>
      </c>
      <c r="X852" s="48"/>
      <c r="Y852" s="48"/>
      <c r="Z852" s="32"/>
      <c r="AA852" s="3" t="str">
        <f t="shared" si="191"/>
        <v/>
      </c>
      <c r="AB852" s="48"/>
      <c r="AC852" s="48"/>
      <c r="AD852" s="36"/>
      <c r="AE852" s="54"/>
      <c r="AF852" s="3" t="str">
        <f t="shared" si="192"/>
        <v/>
      </c>
      <c r="AG852" s="48"/>
      <c r="AH852" s="48"/>
      <c r="AI852" s="39"/>
      <c r="AJ852" s="79"/>
      <c r="AK852" s="39"/>
      <c r="AL852" s="4">
        <f t="shared" si="185"/>
        <v>0</v>
      </c>
      <c r="AM852" s="4">
        <f t="shared" si="185"/>
        <v>0</v>
      </c>
      <c r="AN852" s="4">
        <f t="shared" si="186"/>
        <v>0</v>
      </c>
      <c r="AO852" s="39"/>
      <c r="AP852" s="8">
        <f t="shared" si="187"/>
        <v>0</v>
      </c>
      <c r="AQ852" s="8">
        <f t="shared" si="187"/>
        <v>0</v>
      </c>
      <c r="AR852" s="8">
        <f t="shared" si="188"/>
        <v>0</v>
      </c>
      <c r="AS852" s="42"/>
      <c r="AT852" s="48"/>
      <c r="AU852" s="48"/>
      <c r="AV852" s="4">
        <f t="shared" si="189"/>
        <v>0</v>
      </c>
      <c r="AW852" s="50" t="str">
        <f t="shared" si="193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56"/>
      <c r="B853" s="54"/>
      <c r="C853" s="56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54"/>
      <c r="O853" s="3" t="str">
        <f t="shared" si="183"/>
        <v/>
      </c>
      <c r="P853" s="48"/>
      <c r="Q853" s="48"/>
      <c r="R853" s="32"/>
      <c r="S853" s="3" t="str">
        <f t="shared" si="184"/>
        <v/>
      </c>
      <c r="T853" s="48"/>
      <c r="U853" s="48"/>
      <c r="V853" s="32"/>
      <c r="W853" s="3" t="str">
        <f t="shared" si="190"/>
        <v/>
      </c>
      <c r="X853" s="48"/>
      <c r="Y853" s="48"/>
      <c r="Z853" s="32"/>
      <c r="AA853" s="3" t="str">
        <f t="shared" si="191"/>
        <v/>
      </c>
      <c r="AB853" s="48"/>
      <c r="AC853" s="48"/>
      <c r="AD853" s="36"/>
      <c r="AE853" s="54"/>
      <c r="AF853" s="3" t="str">
        <f t="shared" si="192"/>
        <v/>
      </c>
      <c r="AG853" s="48"/>
      <c r="AH853" s="48"/>
      <c r="AI853" s="39"/>
      <c r="AJ853" s="79"/>
      <c r="AK853" s="39"/>
      <c r="AL853" s="4">
        <f t="shared" si="185"/>
        <v>0</v>
      </c>
      <c r="AM853" s="4">
        <f t="shared" si="185"/>
        <v>0</v>
      </c>
      <c r="AN853" s="4">
        <f t="shared" si="186"/>
        <v>0</v>
      </c>
      <c r="AO853" s="39"/>
      <c r="AP853" s="8">
        <f t="shared" si="187"/>
        <v>0</v>
      </c>
      <c r="AQ853" s="8">
        <f t="shared" si="187"/>
        <v>0</v>
      </c>
      <c r="AR853" s="8">
        <f t="shared" si="188"/>
        <v>0</v>
      </c>
      <c r="AS853" s="42"/>
      <c r="AT853" s="48"/>
      <c r="AU853" s="48"/>
      <c r="AV853" s="4">
        <f t="shared" si="189"/>
        <v>0</v>
      </c>
      <c r="AW853" s="50" t="str">
        <f t="shared" si="193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56"/>
      <c r="B854" s="54"/>
      <c r="C854" s="56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54"/>
      <c r="O854" s="3" t="str">
        <f t="shared" si="183"/>
        <v/>
      </c>
      <c r="P854" s="48"/>
      <c r="Q854" s="48"/>
      <c r="R854" s="32"/>
      <c r="S854" s="3" t="str">
        <f t="shared" si="184"/>
        <v/>
      </c>
      <c r="T854" s="48"/>
      <c r="U854" s="48"/>
      <c r="V854" s="32"/>
      <c r="W854" s="3" t="str">
        <f t="shared" si="190"/>
        <v/>
      </c>
      <c r="X854" s="48"/>
      <c r="Y854" s="48"/>
      <c r="Z854" s="32"/>
      <c r="AA854" s="3" t="str">
        <f t="shared" si="191"/>
        <v/>
      </c>
      <c r="AB854" s="48"/>
      <c r="AC854" s="48"/>
      <c r="AD854" s="36"/>
      <c r="AE854" s="54"/>
      <c r="AF854" s="3" t="str">
        <f t="shared" si="192"/>
        <v/>
      </c>
      <c r="AG854" s="48"/>
      <c r="AH854" s="48"/>
      <c r="AI854" s="39"/>
      <c r="AJ854" s="79"/>
      <c r="AK854" s="39"/>
      <c r="AL854" s="4">
        <f t="shared" si="185"/>
        <v>0</v>
      </c>
      <c r="AM854" s="4">
        <f t="shared" si="185"/>
        <v>0</v>
      </c>
      <c r="AN854" s="4">
        <f t="shared" si="186"/>
        <v>0</v>
      </c>
      <c r="AO854" s="39"/>
      <c r="AP854" s="8">
        <f t="shared" si="187"/>
        <v>0</v>
      </c>
      <c r="AQ854" s="8">
        <f t="shared" si="187"/>
        <v>0</v>
      </c>
      <c r="AR854" s="8">
        <f t="shared" si="188"/>
        <v>0</v>
      </c>
      <c r="AS854" s="42"/>
      <c r="AT854" s="48"/>
      <c r="AU854" s="48"/>
      <c r="AV854" s="4">
        <f t="shared" si="189"/>
        <v>0</v>
      </c>
      <c r="AW854" s="50" t="str">
        <f t="shared" si="193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56"/>
      <c r="B855" s="54"/>
      <c r="C855" s="56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54"/>
      <c r="O855" s="3" t="str">
        <f t="shared" si="183"/>
        <v/>
      </c>
      <c r="P855" s="48"/>
      <c r="Q855" s="48"/>
      <c r="R855" s="32"/>
      <c r="S855" s="3" t="str">
        <f t="shared" si="184"/>
        <v/>
      </c>
      <c r="T855" s="48"/>
      <c r="U855" s="48"/>
      <c r="V855" s="32"/>
      <c r="W855" s="3" t="str">
        <f t="shared" si="190"/>
        <v/>
      </c>
      <c r="X855" s="48"/>
      <c r="Y855" s="48"/>
      <c r="Z855" s="32"/>
      <c r="AA855" s="3" t="str">
        <f t="shared" si="191"/>
        <v/>
      </c>
      <c r="AB855" s="48"/>
      <c r="AC855" s="48"/>
      <c r="AD855" s="36"/>
      <c r="AE855" s="54"/>
      <c r="AF855" s="3" t="str">
        <f t="shared" si="192"/>
        <v/>
      </c>
      <c r="AG855" s="48"/>
      <c r="AH855" s="48"/>
      <c r="AI855" s="39"/>
      <c r="AJ855" s="79"/>
      <c r="AK855" s="39"/>
      <c r="AL855" s="4">
        <f t="shared" si="185"/>
        <v>0</v>
      </c>
      <c r="AM855" s="4">
        <f t="shared" si="185"/>
        <v>0</v>
      </c>
      <c r="AN855" s="4">
        <f t="shared" si="186"/>
        <v>0</v>
      </c>
      <c r="AO855" s="39"/>
      <c r="AP855" s="8">
        <f t="shared" si="187"/>
        <v>0</v>
      </c>
      <c r="AQ855" s="8">
        <f t="shared" si="187"/>
        <v>0</v>
      </c>
      <c r="AR855" s="8">
        <f t="shared" si="188"/>
        <v>0</v>
      </c>
      <c r="AS855" s="42"/>
      <c r="AT855" s="48"/>
      <c r="AU855" s="48"/>
      <c r="AV855" s="4">
        <f t="shared" si="189"/>
        <v>0</v>
      </c>
      <c r="AW855" s="50" t="str">
        <f t="shared" si="193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56"/>
      <c r="B856" s="54"/>
      <c r="C856" s="56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54"/>
      <c r="O856" s="3" t="str">
        <f t="shared" si="183"/>
        <v/>
      </c>
      <c r="P856" s="48"/>
      <c r="Q856" s="48"/>
      <c r="R856" s="32"/>
      <c r="S856" s="3" t="str">
        <f t="shared" si="184"/>
        <v/>
      </c>
      <c r="T856" s="48"/>
      <c r="U856" s="48"/>
      <c r="V856" s="32"/>
      <c r="W856" s="3" t="str">
        <f t="shared" si="190"/>
        <v/>
      </c>
      <c r="X856" s="48"/>
      <c r="Y856" s="48"/>
      <c r="Z856" s="32"/>
      <c r="AA856" s="3" t="str">
        <f t="shared" si="191"/>
        <v/>
      </c>
      <c r="AB856" s="48"/>
      <c r="AC856" s="48"/>
      <c r="AD856" s="36"/>
      <c r="AE856" s="54"/>
      <c r="AF856" s="3" t="str">
        <f t="shared" si="192"/>
        <v/>
      </c>
      <c r="AG856" s="48"/>
      <c r="AH856" s="48"/>
      <c r="AI856" s="39"/>
      <c r="AJ856" s="79"/>
      <c r="AK856" s="39"/>
      <c r="AL856" s="4">
        <f t="shared" si="185"/>
        <v>0</v>
      </c>
      <c r="AM856" s="4">
        <f t="shared" si="185"/>
        <v>0</v>
      </c>
      <c r="AN856" s="4">
        <f t="shared" si="186"/>
        <v>0</v>
      </c>
      <c r="AO856" s="39"/>
      <c r="AP856" s="8">
        <f t="shared" si="187"/>
        <v>0</v>
      </c>
      <c r="AQ856" s="8">
        <f t="shared" si="187"/>
        <v>0</v>
      </c>
      <c r="AR856" s="8">
        <f t="shared" si="188"/>
        <v>0</v>
      </c>
      <c r="AS856" s="42"/>
      <c r="AT856" s="48"/>
      <c r="AU856" s="48"/>
      <c r="AV856" s="4">
        <f t="shared" si="189"/>
        <v>0</v>
      </c>
      <c r="AW856" s="50" t="str">
        <f t="shared" si="193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56"/>
      <c r="B857" s="54"/>
      <c r="C857" s="56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54"/>
      <c r="O857" s="3" t="str">
        <f t="shared" si="183"/>
        <v/>
      </c>
      <c r="P857" s="48"/>
      <c r="Q857" s="48"/>
      <c r="R857" s="32"/>
      <c r="S857" s="3" t="str">
        <f t="shared" si="184"/>
        <v/>
      </c>
      <c r="T857" s="48"/>
      <c r="U857" s="48"/>
      <c r="V857" s="32"/>
      <c r="W857" s="3" t="str">
        <f t="shared" si="190"/>
        <v/>
      </c>
      <c r="X857" s="48"/>
      <c r="Y857" s="48"/>
      <c r="Z857" s="32"/>
      <c r="AA857" s="3" t="str">
        <f t="shared" si="191"/>
        <v/>
      </c>
      <c r="AB857" s="48"/>
      <c r="AC857" s="48"/>
      <c r="AD857" s="36"/>
      <c r="AE857" s="54"/>
      <c r="AF857" s="3" t="str">
        <f t="shared" si="192"/>
        <v/>
      </c>
      <c r="AG857" s="48"/>
      <c r="AH857" s="48"/>
      <c r="AI857" s="39"/>
      <c r="AJ857" s="79"/>
      <c r="AK857" s="39"/>
      <c r="AL857" s="4">
        <f t="shared" si="185"/>
        <v>0</v>
      </c>
      <c r="AM857" s="4">
        <f t="shared" si="185"/>
        <v>0</v>
      </c>
      <c r="AN857" s="4">
        <f t="shared" si="186"/>
        <v>0</v>
      </c>
      <c r="AO857" s="39"/>
      <c r="AP857" s="8">
        <f t="shared" si="187"/>
        <v>0</v>
      </c>
      <c r="AQ857" s="8">
        <f t="shared" si="187"/>
        <v>0</v>
      </c>
      <c r="AR857" s="8">
        <f t="shared" si="188"/>
        <v>0</v>
      </c>
      <c r="AS857" s="42"/>
      <c r="AT857" s="48"/>
      <c r="AU857" s="48"/>
      <c r="AV857" s="4">
        <f t="shared" si="189"/>
        <v>0</v>
      </c>
      <c r="AW857" s="50" t="str">
        <f t="shared" si="193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56"/>
      <c r="B858" s="54"/>
      <c r="C858" s="56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54"/>
      <c r="O858" s="3" t="str">
        <f t="shared" si="183"/>
        <v/>
      </c>
      <c r="P858" s="48"/>
      <c r="Q858" s="48"/>
      <c r="R858" s="32"/>
      <c r="S858" s="3" t="str">
        <f t="shared" si="184"/>
        <v/>
      </c>
      <c r="T858" s="48"/>
      <c r="U858" s="48"/>
      <c r="V858" s="32"/>
      <c r="W858" s="3" t="str">
        <f t="shared" si="190"/>
        <v/>
      </c>
      <c r="X858" s="48"/>
      <c r="Y858" s="48"/>
      <c r="Z858" s="32"/>
      <c r="AA858" s="3" t="str">
        <f t="shared" si="191"/>
        <v/>
      </c>
      <c r="AB858" s="48"/>
      <c r="AC858" s="48"/>
      <c r="AD858" s="36"/>
      <c r="AE858" s="54"/>
      <c r="AF858" s="3" t="str">
        <f t="shared" si="192"/>
        <v/>
      </c>
      <c r="AG858" s="48"/>
      <c r="AH858" s="48"/>
      <c r="AI858" s="39"/>
      <c r="AJ858" s="79"/>
      <c r="AK858" s="39"/>
      <c r="AL858" s="4">
        <f t="shared" si="185"/>
        <v>0</v>
      </c>
      <c r="AM858" s="4">
        <f t="shared" si="185"/>
        <v>0</v>
      </c>
      <c r="AN858" s="4">
        <f t="shared" si="186"/>
        <v>0</v>
      </c>
      <c r="AO858" s="39"/>
      <c r="AP858" s="8">
        <f t="shared" si="187"/>
        <v>0</v>
      </c>
      <c r="AQ858" s="8">
        <f t="shared" si="187"/>
        <v>0</v>
      </c>
      <c r="AR858" s="8">
        <f t="shared" si="188"/>
        <v>0</v>
      </c>
      <c r="AS858" s="42"/>
      <c r="AT858" s="48"/>
      <c r="AU858" s="48"/>
      <c r="AV858" s="4">
        <f t="shared" si="189"/>
        <v>0</v>
      </c>
      <c r="AW858" s="50" t="str">
        <f t="shared" si="193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56"/>
      <c r="B859" s="54"/>
      <c r="C859" s="56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54"/>
      <c r="O859" s="3" t="str">
        <f t="shared" si="183"/>
        <v/>
      </c>
      <c r="P859" s="48"/>
      <c r="Q859" s="48"/>
      <c r="R859" s="32"/>
      <c r="S859" s="3" t="str">
        <f t="shared" si="184"/>
        <v/>
      </c>
      <c r="T859" s="48"/>
      <c r="U859" s="48"/>
      <c r="V859" s="32"/>
      <c r="W859" s="3" t="str">
        <f t="shared" si="190"/>
        <v/>
      </c>
      <c r="X859" s="48"/>
      <c r="Y859" s="48"/>
      <c r="Z859" s="32"/>
      <c r="AA859" s="3" t="str">
        <f t="shared" si="191"/>
        <v/>
      </c>
      <c r="AB859" s="48"/>
      <c r="AC859" s="48"/>
      <c r="AD859" s="36"/>
      <c r="AE859" s="54"/>
      <c r="AF859" s="3" t="str">
        <f t="shared" si="192"/>
        <v/>
      </c>
      <c r="AG859" s="48"/>
      <c r="AH859" s="48"/>
      <c r="AI859" s="39"/>
      <c r="AJ859" s="79"/>
      <c r="AK859" s="39"/>
      <c r="AL859" s="4">
        <f t="shared" si="185"/>
        <v>0</v>
      </c>
      <c r="AM859" s="4">
        <f t="shared" si="185"/>
        <v>0</v>
      </c>
      <c r="AN859" s="4">
        <f t="shared" si="186"/>
        <v>0</v>
      </c>
      <c r="AO859" s="39"/>
      <c r="AP859" s="8">
        <f t="shared" si="187"/>
        <v>0</v>
      </c>
      <c r="AQ859" s="8">
        <f t="shared" si="187"/>
        <v>0</v>
      </c>
      <c r="AR859" s="8">
        <f t="shared" si="188"/>
        <v>0</v>
      </c>
      <c r="AS859" s="42"/>
      <c r="AT859" s="48"/>
      <c r="AU859" s="48"/>
      <c r="AV859" s="4">
        <f t="shared" si="189"/>
        <v>0</v>
      </c>
      <c r="AW859" s="50" t="str">
        <f t="shared" si="193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56"/>
      <c r="B860" s="54"/>
      <c r="C860" s="56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54"/>
      <c r="O860" s="3" t="str">
        <f t="shared" si="183"/>
        <v/>
      </c>
      <c r="P860" s="48"/>
      <c r="Q860" s="48"/>
      <c r="R860" s="32"/>
      <c r="S860" s="3" t="str">
        <f t="shared" si="184"/>
        <v/>
      </c>
      <c r="T860" s="48"/>
      <c r="U860" s="48"/>
      <c r="V860" s="32"/>
      <c r="W860" s="3" t="str">
        <f t="shared" si="190"/>
        <v/>
      </c>
      <c r="X860" s="48"/>
      <c r="Y860" s="48"/>
      <c r="Z860" s="32"/>
      <c r="AA860" s="3" t="str">
        <f t="shared" si="191"/>
        <v/>
      </c>
      <c r="AB860" s="48"/>
      <c r="AC860" s="48"/>
      <c r="AD860" s="36"/>
      <c r="AE860" s="54"/>
      <c r="AF860" s="3" t="str">
        <f t="shared" si="192"/>
        <v/>
      </c>
      <c r="AG860" s="48"/>
      <c r="AH860" s="48"/>
      <c r="AI860" s="39"/>
      <c r="AJ860" s="79"/>
      <c r="AK860" s="39"/>
      <c r="AL860" s="4">
        <f t="shared" si="185"/>
        <v>0</v>
      </c>
      <c r="AM860" s="4">
        <f t="shared" si="185"/>
        <v>0</v>
      </c>
      <c r="AN860" s="4">
        <f t="shared" si="186"/>
        <v>0</v>
      </c>
      <c r="AO860" s="39"/>
      <c r="AP860" s="8">
        <f t="shared" si="187"/>
        <v>0</v>
      </c>
      <c r="AQ860" s="8">
        <f t="shared" si="187"/>
        <v>0</v>
      </c>
      <c r="AR860" s="8">
        <f t="shared" si="188"/>
        <v>0</v>
      </c>
      <c r="AS860" s="42"/>
      <c r="AT860" s="48"/>
      <c r="AU860" s="48"/>
      <c r="AV860" s="4">
        <f t="shared" si="189"/>
        <v>0</v>
      </c>
      <c r="AW860" s="50" t="str">
        <f t="shared" si="193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56"/>
      <c r="B861" s="54"/>
      <c r="C861" s="56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54"/>
      <c r="O861" s="3" t="str">
        <f t="shared" si="183"/>
        <v/>
      </c>
      <c r="P861" s="48"/>
      <c r="Q861" s="48"/>
      <c r="R861" s="32"/>
      <c r="S861" s="3" t="str">
        <f t="shared" si="184"/>
        <v/>
      </c>
      <c r="T861" s="48"/>
      <c r="U861" s="48"/>
      <c r="V861" s="32"/>
      <c r="W861" s="3" t="str">
        <f t="shared" si="190"/>
        <v/>
      </c>
      <c r="X861" s="48"/>
      <c r="Y861" s="48"/>
      <c r="Z861" s="32"/>
      <c r="AA861" s="3" t="str">
        <f t="shared" si="191"/>
        <v/>
      </c>
      <c r="AB861" s="48"/>
      <c r="AC861" s="48"/>
      <c r="AD861" s="36"/>
      <c r="AE861" s="54"/>
      <c r="AF861" s="3" t="str">
        <f t="shared" si="192"/>
        <v/>
      </c>
      <c r="AG861" s="48"/>
      <c r="AH861" s="48"/>
      <c r="AI861" s="39"/>
      <c r="AJ861" s="79"/>
      <c r="AK861" s="39"/>
      <c r="AL861" s="4">
        <f t="shared" si="185"/>
        <v>0</v>
      </c>
      <c r="AM861" s="4">
        <f t="shared" si="185"/>
        <v>0</v>
      </c>
      <c r="AN861" s="4">
        <f t="shared" si="186"/>
        <v>0</v>
      </c>
      <c r="AO861" s="39"/>
      <c r="AP861" s="8">
        <f t="shared" si="187"/>
        <v>0</v>
      </c>
      <c r="AQ861" s="8">
        <f t="shared" si="187"/>
        <v>0</v>
      </c>
      <c r="AR861" s="8">
        <f t="shared" si="188"/>
        <v>0</v>
      </c>
      <c r="AS861" s="42"/>
      <c r="AT861" s="48"/>
      <c r="AU861" s="48"/>
      <c r="AV861" s="4">
        <f t="shared" si="189"/>
        <v>0</v>
      </c>
      <c r="AW861" s="50" t="str">
        <f t="shared" si="193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56"/>
      <c r="B862" s="54"/>
      <c r="C862" s="56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54"/>
      <c r="O862" s="3" t="str">
        <f t="shared" si="183"/>
        <v/>
      </c>
      <c r="P862" s="48"/>
      <c r="Q862" s="48"/>
      <c r="R862" s="32"/>
      <c r="S862" s="3" t="str">
        <f t="shared" si="184"/>
        <v/>
      </c>
      <c r="T862" s="48"/>
      <c r="U862" s="48"/>
      <c r="V862" s="32"/>
      <c r="W862" s="3" t="str">
        <f t="shared" si="190"/>
        <v/>
      </c>
      <c r="X862" s="48"/>
      <c r="Y862" s="48"/>
      <c r="Z862" s="32"/>
      <c r="AA862" s="3" t="str">
        <f t="shared" si="191"/>
        <v/>
      </c>
      <c r="AB862" s="48"/>
      <c r="AC862" s="48"/>
      <c r="AD862" s="36"/>
      <c r="AE862" s="54"/>
      <c r="AF862" s="3" t="str">
        <f t="shared" si="192"/>
        <v/>
      </c>
      <c r="AG862" s="48"/>
      <c r="AH862" s="48"/>
      <c r="AI862" s="39"/>
      <c r="AJ862" s="79"/>
      <c r="AK862" s="39"/>
      <c r="AL862" s="4">
        <f t="shared" si="185"/>
        <v>0</v>
      </c>
      <c r="AM862" s="4">
        <f t="shared" si="185"/>
        <v>0</v>
      </c>
      <c r="AN862" s="4">
        <f t="shared" si="186"/>
        <v>0</v>
      </c>
      <c r="AO862" s="39"/>
      <c r="AP862" s="8">
        <f t="shared" si="187"/>
        <v>0</v>
      </c>
      <c r="AQ862" s="8">
        <f t="shared" si="187"/>
        <v>0</v>
      </c>
      <c r="AR862" s="8">
        <f t="shared" si="188"/>
        <v>0</v>
      </c>
      <c r="AS862" s="42"/>
      <c r="AT862" s="48"/>
      <c r="AU862" s="48"/>
      <c r="AV862" s="4">
        <f t="shared" si="189"/>
        <v>0</v>
      </c>
      <c r="AW862" s="50" t="str">
        <f t="shared" si="193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56"/>
      <c r="B863" s="54"/>
      <c r="C863" s="56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54"/>
      <c r="O863" s="3" t="str">
        <f t="shared" si="183"/>
        <v/>
      </c>
      <c r="P863" s="48"/>
      <c r="Q863" s="48"/>
      <c r="R863" s="32"/>
      <c r="S863" s="3" t="str">
        <f t="shared" si="184"/>
        <v/>
      </c>
      <c r="T863" s="48"/>
      <c r="U863" s="48"/>
      <c r="V863" s="32"/>
      <c r="W863" s="3" t="str">
        <f t="shared" si="190"/>
        <v/>
      </c>
      <c r="X863" s="48"/>
      <c r="Y863" s="48"/>
      <c r="Z863" s="32"/>
      <c r="AA863" s="3" t="str">
        <f t="shared" si="191"/>
        <v/>
      </c>
      <c r="AB863" s="48"/>
      <c r="AC863" s="48"/>
      <c r="AD863" s="36"/>
      <c r="AE863" s="54"/>
      <c r="AF863" s="3" t="str">
        <f t="shared" si="192"/>
        <v/>
      </c>
      <c r="AG863" s="48"/>
      <c r="AH863" s="48"/>
      <c r="AI863" s="39"/>
      <c r="AJ863" s="79"/>
      <c r="AK863" s="39"/>
      <c r="AL863" s="4">
        <f t="shared" si="185"/>
        <v>0</v>
      </c>
      <c r="AM863" s="4">
        <f t="shared" si="185"/>
        <v>0</v>
      </c>
      <c r="AN863" s="4">
        <f t="shared" si="186"/>
        <v>0</v>
      </c>
      <c r="AO863" s="39"/>
      <c r="AP863" s="8">
        <f t="shared" si="187"/>
        <v>0</v>
      </c>
      <c r="AQ863" s="8">
        <f t="shared" si="187"/>
        <v>0</v>
      </c>
      <c r="AR863" s="8">
        <f t="shared" si="188"/>
        <v>0</v>
      </c>
      <c r="AS863" s="42"/>
      <c r="AT863" s="48"/>
      <c r="AU863" s="48"/>
      <c r="AV863" s="4">
        <f t="shared" si="189"/>
        <v>0</v>
      </c>
      <c r="AW863" s="50" t="str">
        <f t="shared" si="193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56"/>
      <c r="B864" s="54"/>
      <c r="C864" s="56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54"/>
      <c r="O864" s="3" t="str">
        <f t="shared" si="183"/>
        <v/>
      </c>
      <c r="P864" s="48"/>
      <c r="Q864" s="48"/>
      <c r="R864" s="32"/>
      <c r="S864" s="3" t="str">
        <f t="shared" si="184"/>
        <v/>
      </c>
      <c r="T864" s="48"/>
      <c r="U864" s="48"/>
      <c r="V864" s="32"/>
      <c r="W864" s="3" t="str">
        <f t="shared" si="190"/>
        <v/>
      </c>
      <c r="X864" s="48"/>
      <c r="Y864" s="48"/>
      <c r="Z864" s="32"/>
      <c r="AA864" s="3" t="str">
        <f t="shared" si="191"/>
        <v/>
      </c>
      <c r="AB864" s="48"/>
      <c r="AC864" s="48"/>
      <c r="AD864" s="36"/>
      <c r="AE864" s="54"/>
      <c r="AF864" s="3" t="str">
        <f t="shared" si="192"/>
        <v/>
      </c>
      <c r="AG864" s="48"/>
      <c r="AH864" s="48"/>
      <c r="AI864" s="39"/>
      <c r="AJ864" s="79"/>
      <c r="AK864" s="39"/>
      <c r="AL864" s="4">
        <f t="shared" si="185"/>
        <v>0</v>
      </c>
      <c r="AM864" s="4">
        <f t="shared" si="185"/>
        <v>0</v>
      </c>
      <c r="AN864" s="4">
        <f t="shared" si="186"/>
        <v>0</v>
      </c>
      <c r="AO864" s="39"/>
      <c r="AP864" s="8">
        <f t="shared" si="187"/>
        <v>0</v>
      </c>
      <c r="AQ864" s="8">
        <f t="shared" si="187"/>
        <v>0</v>
      </c>
      <c r="AR864" s="8">
        <f t="shared" si="188"/>
        <v>0</v>
      </c>
      <c r="AS864" s="42"/>
      <c r="AT864" s="48"/>
      <c r="AU864" s="48"/>
      <c r="AV864" s="4">
        <f t="shared" si="189"/>
        <v>0</v>
      </c>
      <c r="AW864" s="50" t="str">
        <f t="shared" si="193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56"/>
      <c r="B865" s="54"/>
      <c r="C865" s="56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54"/>
      <c r="O865" s="3" t="str">
        <f t="shared" si="183"/>
        <v/>
      </c>
      <c r="P865" s="48"/>
      <c r="Q865" s="48"/>
      <c r="R865" s="32"/>
      <c r="S865" s="3" t="str">
        <f t="shared" si="184"/>
        <v/>
      </c>
      <c r="T865" s="48"/>
      <c r="U865" s="48"/>
      <c r="V865" s="32"/>
      <c r="W865" s="3" t="str">
        <f t="shared" si="190"/>
        <v/>
      </c>
      <c r="X865" s="48"/>
      <c r="Y865" s="48"/>
      <c r="Z865" s="32"/>
      <c r="AA865" s="3" t="str">
        <f t="shared" si="191"/>
        <v/>
      </c>
      <c r="AB865" s="48"/>
      <c r="AC865" s="48"/>
      <c r="AD865" s="36"/>
      <c r="AE865" s="54"/>
      <c r="AF865" s="3" t="str">
        <f t="shared" si="192"/>
        <v/>
      </c>
      <c r="AG865" s="48"/>
      <c r="AH865" s="48"/>
      <c r="AI865" s="39"/>
      <c r="AJ865" s="79"/>
      <c r="AK865" s="39"/>
      <c r="AL865" s="4">
        <f t="shared" si="185"/>
        <v>0</v>
      </c>
      <c r="AM865" s="4">
        <f t="shared" si="185"/>
        <v>0</v>
      </c>
      <c r="AN865" s="4">
        <f t="shared" si="186"/>
        <v>0</v>
      </c>
      <c r="AO865" s="39"/>
      <c r="AP865" s="8">
        <f t="shared" si="187"/>
        <v>0</v>
      </c>
      <c r="AQ865" s="8">
        <f t="shared" si="187"/>
        <v>0</v>
      </c>
      <c r="AR865" s="8">
        <f t="shared" si="188"/>
        <v>0</v>
      </c>
      <c r="AS865" s="42"/>
      <c r="AT865" s="48"/>
      <c r="AU865" s="48"/>
      <c r="AV865" s="4">
        <f t="shared" si="189"/>
        <v>0</v>
      </c>
      <c r="AW865" s="50" t="str">
        <f t="shared" si="193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56"/>
      <c r="B866" s="54"/>
      <c r="C866" s="56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54"/>
      <c r="O866" s="3" t="str">
        <f t="shared" si="183"/>
        <v/>
      </c>
      <c r="P866" s="48"/>
      <c r="Q866" s="48"/>
      <c r="R866" s="32"/>
      <c r="S866" s="3" t="str">
        <f t="shared" si="184"/>
        <v/>
      </c>
      <c r="T866" s="48"/>
      <c r="U866" s="48"/>
      <c r="V866" s="32"/>
      <c r="W866" s="3" t="str">
        <f t="shared" si="190"/>
        <v/>
      </c>
      <c r="X866" s="48"/>
      <c r="Y866" s="48"/>
      <c r="Z866" s="32"/>
      <c r="AA866" s="3" t="str">
        <f t="shared" si="191"/>
        <v/>
      </c>
      <c r="AB866" s="48"/>
      <c r="AC866" s="48"/>
      <c r="AD866" s="36"/>
      <c r="AE866" s="54"/>
      <c r="AF866" s="3" t="str">
        <f t="shared" si="192"/>
        <v/>
      </c>
      <c r="AG866" s="48"/>
      <c r="AH866" s="48"/>
      <c r="AI866" s="39"/>
      <c r="AJ866" s="79"/>
      <c r="AK866" s="39"/>
      <c r="AL866" s="4">
        <f t="shared" si="185"/>
        <v>0</v>
      </c>
      <c r="AM866" s="4">
        <f t="shared" si="185"/>
        <v>0</v>
      </c>
      <c r="AN866" s="4">
        <f t="shared" si="186"/>
        <v>0</v>
      </c>
      <c r="AO866" s="39"/>
      <c r="AP866" s="8">
        <f t="shared" si="187"/>
        <v>0</v>
      </c>
      <c r="AQ866" s="8">
        <f t="shared" si="187"/>
        <v>0</v>
      </c>
      <c r="AR866" s="8">
        <f t="shared" si="188"/>
        <v>0</v>
      </c>
      <c r="AS866" s="42"/>
      <c r="AT866" s="48"/>
      <c r="AU866" s="48"/>
      <c r="AV866" s="4">
        <f t="shared" si="189"/>
        <v>0</v>
      </c>
      <c r="AW866" s="50" t="str">
        <f t="shared" si="193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56"/>
      <c r="B867" s="54"/>
      <c r="C867" s="56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54"/>
      <c r="O867" s="3" t="str">
        <f t="shared" si="183"/>
        <v/>
      </c>
      <c r="P867" s="48"/>
      <c r="Q867" s="48"/>
      <c r="R867" s="32"/>
      <c r="S867" s="3" t="str">
        <f t="shared" si="184"/>
        <v/>
      </c>
      <c r="T867" s="48"/>
      <c r="U867" s="48"/>
      <c r="V867" s="32"/>
      <c r="W867" s="3" t="str">
        <f t="shared" si="190"/>
        <v/>
      </c>
      <c r="X867" s="48"/>
      <c r="Y867" s="48"/>
      <c r="Z867" s="32"/>
      <c r="AA867" s="3" t="str">
        <f t="shared" si="191"/>
        <v/>
      </c>
      <c r="AB867" s="48"/>
      <c r="AC867" s="48"/>
      <c r="AD867" s="36"/>
      <c r="AE867" s="54"/>
      <c r="AF867" s="3" t="str">
        <f t="shared" si="192"/>
        <v/>
      </c>
      <c r="AG867" s="48"/>
      <c r="AH867" s="48"/>
      <c r="AI867" s="39"/>
      <c r="AJ867" s="79"/>
      <c r="AK867" s="39"/>
      <c r="AL867" s="4">
        <f t="shared" si="185"/>
        <v>0</v>
      </c>
      <c r="AM867" s="4">
        <f t="shared" si="185"/>
        <v>0</v>
      </c>
      <c r="AN867" s="4">
        <f t="shared" si="186"/>
        <v>0</v>
      </c>
      <c r="AO867" s="39"/>
      <c r="AP867" s="8">
        <f t="shared" si="187"/>
        <v>0</v>
      </c>
      <c r="AQ867" s="8">
        <f t="shared" si="187"/>
        <v>0</v>
      </c>
      <c r="AR867" s="8">
        <f t="shared" si="188"/>
        <v>0</v>
      </c>
      <c r="AS867" s="42"/>
      <c r="AT867" s="48"/>
      <c r="AU867" s="48"/>
      <c r="AV867" s="4">
        <f t="shared" si="189"/>
        <v>0</v>
      </c>
      <c r="AW867" s="50" t="str">
        <f t="shared" si="193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56"/>
      <c r="B868" s="54"/>
      <c r="C868" s="56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54"/>
      <c r="O868" s="3" t="str">
        <f t="shared" si="183"/>
        <v/>
      </c>
      <c r="P868" s="48"/>
      <c r="Q868" s="48"/>
      <c r="R868" s="32"/>
      <c r="S868" s="3" t="str">
        <f t="shared" si="184"/>
        <v/>
      </c>
      <c r="T868" s="48"/>
      <c r="U868" s="48"/>
      <c r="V868" s="32"/>
      <c r="W868" s="3" t="str">
        <f t="shared" si="190"/>
        <v/>
      </c>
      <c r="X868" s="48"/>
      <c r="Y868" s="48"/>
      <c r="Z868" s="32"/>
      <c r="AA868" s="3" t="str">
        <f t="shared" si="191"/>
        <v/>
      </c>
      <c r="AB868" s="48"/>
      <c r="AC868" s="48"/>
      <c r="AD868" s="36"/>
      <c r="AE868" s="54"/>
      <c r="AF868" s="3" t="str">
        <f t="shared" si="192"/>
        <v/>
      </c>
      <c r="AG868" s="48"/>
      <c r="AH868" s="48"/>
      <c r="AI868" s="39"/>
      <c r="AJ868" s="79"/>
      <c r="AK868" s="39"/>
      <c r="AL868" s="4">
        <f t="shared" si="185"/>
        <v>0</v>
      </c>
      <c r="AM868" s="4">
        <f t="shared" si="185"/>
        <v>0</v>
      </c>
      <c r="AN868" s="4">
        <f t="shared" si="186"/>
        <v>0</v>
      </c>
      <c r="AO868" s="39"/>
      <c r="AP868" s="8">
        <f t="shared" si="187"/>
        <v>0</v>
      </c>
      <c r="AQ868" s="8">
        <f t="shared" si="187"/>
        <v>0</v>
      </c>
      <c r="AR868" s="8">
        <f t="shared" si="188"/>
        <v>0</v>
      </c>
      <c r="AS868" s="42"/>
      <c r="AT868" s="48"/>
      <c r="AU868" s="48"/>
      <c r="AV868" s="4">
        <f t="shared" si="189"/>
        <v>0</v>
      </c>
      <c r="AW868" s="50" t="str">
        <f t="shared" si="193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56"/>
      <c r="B869" s="54"/>
      <c r="C869" s="56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54"/>
      <c r="O869" s="3" t="str">
        <f t="shared" si="183"/>
        <v/>
      </c>
      <c r="P869" s="48"/>
      <c r="Q869" s="48"/>
      <c r="R869" s="32"/>
      <c r="S869" s="3" t="str">
        <f t="shared" si="184"/>
        <v/>
      </c>
      <c r="T869" s="48"/>
      <c r="U869" s="48"/>
      <c r="V869" s="32"/>
      <c r="W869" s="3" t="str">
        <f t="shared" si="190"/>
        <v/>
      </c>
      <c r="X869" s="48"/>
      <c r="Y869" s="48"/>
      <c r="Z869" s="32"/>
      <c r="AA869" s="3" t="str">
        <f t="shared" si="191"/>
        <v/>
      </c>
      <c r="AB869" s="48"/>
      <c r="AC869" s="48"/>
      <c r="AD869" s="36"/>
      <c r="AE869" s="54"/>
      <c r="AF869" s="3" t="str">
        <f t="shared" si="192"/>
        <v/>
      </c>
      <c r="AG869" s="48"/>
      <c r="AH869" s="48"/>
      <c r="AI869" s="39"/>
      <c r="AJ869" s="79"/>
      <c r="AK869" s="39"/>
      <c r="AL869" s="4">
        <f t="shared" si="185"/>
        <v>0</v>
      </c>
      <c r="AM869" s="4">
        <f t="shared" si="185"/>
        <v>0</v>
      </c>
      <c r="AN869" s="4">
        <f t="shared" si="186"/>
        <v>0</v>
      </c>
      <c r="AO869" s="39"/>
      <c r="AP869" s="8">
        <f t="shared" si="187"/>
        <v>0</v>
      </c>
      <c r="AQ869" s="8">
        <f t="shared" si="187"/>
        <v>0</v>
      </c>
      <c r="AR869" s="8">
        <f t="shared" si="188"/>
        <v>0</v>
      </c>
      <c r="AS869" s="42"/>
      <c r="AT869" s="48"/>
      <c r="AU869" s="48"/>
      <c r="AV869" s="4">
        <f t="shared" si="189"/>
        <v>0</v>
      </c>
      <c r="AW869" s="50" t="str">
        <f t="shared" si="193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56"/>
      <c r="B870" s="54"/>
      <c r="C870" s="56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54"/>
      <c r="O870" s="3" t="str">
        <f t="shared" si="183"/>
        <v/>
      </c>
      <c r="P870" s="48"/>
      <c r="Q870" s="48"/>
      <c r="R870" s="32"/>
      <c r="S870" s="3" t="str">
        <f t="shared" si="184"/>
        <v/>
      </c>
      <c r="T870" s="48"/>
      <c r="U870" s="48"/>
      <c r="V870" s="32"/>
      <c r="W870" s="3" t="str">
        <f t="shared" si="190"/>
        <v/>
      </c>
      <c r="X870" s="48"/>
      <c r="Y870" s="48"/>
      <c r="Z870" s="32"/>
      <c r="AA870" s="3" t="str">
        <f t="shared" si="191"/>
        <v/>
      </c>
      <c r="AB870" s="48"/>
      <c r="AC870" s="48"/>
      <c r="AD870" s="36"/>
      <c r="AE870" s="54"/>
      <c r="AF870" s="3" t="str">
        <f t="shared" si="192"/>
        <v/>
      </c>
      <c r="AG870" s="48"/>
      <c r="AH870" s="48"/>
      <c r="AI870" s="39"/>
      <c r="AJ870" s="79"/>
      <c r="AK870" s="39"/>
      <c r="AL870" s="4">
        <f t="shared" si="185"/>
        <v>0</v>
      </c>
      <c r="AM870" s="4">
        <f t="shared" si="185"/>
        <v>0</v>
      </c>
      <c r="AN870" s="4">
        <f t="shared" si="186"/>
        <v>0</v>
      </c>
      <c r="AO870" s="39"/>
      <c r="AP870" s="8">
        <f t="shared" si="187"/>
        <v>0</v>
      </c>
      <c r="AQ870" s="8">
        <f t="shared" si="187"/>
        <v>0</v>
      </c>
      <c r="AR870" s="8">
        <f t="shared" si="188"/>
        <v>0</v>
      </c>
      <c r="AS870" s="42"/>
      <c r="AT870" s="48"/>
      <c r="AU870" s="48"/>
      <c r="AV870" s="4">
        <f t="shared" si="189"/>
        <v>0</v>
      </c>
      <c r="AW870" s="50" t="str">
        <f t="shared" si="193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56"/>
      <c r="B871" s="54"/>
      <c r="C871" s="56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54"/>
      <c r="O871" s="3" t="str">
        <f t="shared" si="183"/>
        <v/>
      </c>
      <c r="P871" s="48"/>
      <c r="Q871" s="48"/>
      <c r="R871" s="32"/>
      <c r="S871" s="3" t="str">
        <f t="shared" si="184"/>
        <v/>
      </c>
      <c r="T871" s="48"/>
      <c r="U871" s="48"/>
      <c r="V871" s="32"/>
      <c r="W871" s="3" t="str">
        <f t="shared" si="190"/>
        <v/>
      </c>
      <c r="X871" s="48"/>
      <c r="Y871" s="48"/>
      <c r="Z871" s="32"/>
      <c r="AA871" s="3" t="str">
        <f t="shared" si="191"/>
        <v/>
      </c>
      <c r="AB871" s="48"/>
      <c r="AC871" s="48"/>
      <c r="AD871" s="36"/>
      <c r="AE871" s="54"/>
      <c r="AF871" s="3" t="str">
        <f t="shared" si="192"/>
        <v/>
      </c>
      <c r="AG871" s="48"/>
      <c r="AH871" s="48"/>
      <c r="AI871" s="39"/>
      <c r="AJ871" s="79"/>
      <c r="AK871" s="39"/>
      <c r="AL871" s="4">
        <f t="shared" si="185"/>
        <v>0</v>
      </c>
      <c r="AM871" s="4">
        <f t="shared" si="185"/>
        <v>0</v>
      </c>
      <c r="AN871" s="4">
        <f t="shared" si="186"/>
        <v>0</v>
      </c>
      <c r="AO871" s="39"/>
      <c r="AP871" s="8">
        <f t="shared" si="187"/>
        <v>0</v>
      </c>
      <c r="AQ871" s="8">
        <f t="shared" si="187"/>
        <v>0</v>
      </c>
      <c r="AR871" s="8">
        <f t="shared" si="188"/>
        <v>0</v>
      </c>
      <c r="AS871" s="42"/>
      <c r="AT871" s="48"/>
      <c r="AU871" s="48"/>
      <c r="AV871" s="4">
        <f t="shared" si="189"/>
        <v>0</v>
      </c>
      <c r="AW871" s="50" t="str">
        <f t="shared" si="193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56"/>
      <c r="B872" s="54"/>
      <c r="C872" s="56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54"/>
      <c r="O872" s="3" t="str">
        <f t="shared" ref="O872:O935" si="194">IF($A872="","",IF(P872=AZ872,"E","A"))</f>
        <v/>
      </c>
      <c r="P872" s="48"/>
      <c r="Q872" s="48"/>
      <c r="R872" s="32"/>
      <c r="S872" s="3" t="str">
        <f t="shared" si="184"/>
        <v/>
      </c>
      <c r="T872" s="48"/>
      <c r="U872" s="48"/>
      <c r="V872" s="32"/>
      <c r="W872" s="3" t="str">
        <f t="shared" si="190"/>
        <v/>
      </c>
      <c r="X872" s="48"/>
      <c r="Y872" s="48"/>
      <c r="Z872" s="32"/>
      <c r="AA872" s="3" t="str">
        <f t="shared" si="191"/>
        <v/>
      </c>
      <c r="AB872" s="48"/>
      <c r="AC872" s="48"/>
      <c r="AD872" s="36"/>
      <c r="AE872" s="54"/>
      <c r="AF872" s="3" t="str">
        <f t="shared" si="192"/>
        <v/>
      </c>
      <c r="AG872" s="48"/>
      <c r="AH872" s="48"/>
      <c r="AI872" s="39"/>
      <c r="AJ872" s="79"/>
      <c r="AK872" s="39"/>
      <c r="AL872" s="4">
        <f t="shared" si="185"/>
        <v>0</v>
      </c>
      <c r="AM872" s="4">
        <f t="shared" si="185"/>
        <v>0</v>
      </c>
      <c r="AN872" s="4">
        <f t="shared" si="186"/>
        <v>0</v>
      </c>
      <c r="AO872" s="39"/>
      <c r="AP872" s="8">
        <f t="shared" si="187"/>
        <v>0</v>
      </c>
      <c r="AQ872" s="8">
        <f t="shared" si="187"/>
        <v>0</v>
      </c>
      <c r="AR872" s="8">
        <f t="shared" si="188"/>
        <v>0</v>
      </c>
      <c r="AS872" s="42"/>
      <c r="AT872" s="48"/>
      <c r="AU872" s="48"/>
      <c r="AV872" s="4">
        <f t="shared" si="189"/>
        <v>0</v>
      </c>
      <c r="AW872" s="50" t="str">
        <f t="shared" si="193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56"/>
      <c r="B873" s="54"/>
      <c r="C873" s="56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54"/>
      <c r="O873" s="3" t="str">
        <f t="shared" si="194"/>
        <v/>
      </c>
      <c r="P873" s="48"/>
      <c r="Q873" s="48"/>
      <c r="R873" s="32"/>
      <c r="S873" s="3" t="str">
        <f t="shared" si="184"/>
        <v/>
      </c>
      <c r="T873" s="48"/>
      <c r="U873" s="48"/>
      <c r="V873" s="32"/>
      <c r="W873" s="3" t="str">
        <f t="shared" si="190"/>
        <v/>
      </c>
      <c r="X873" s="48"/>
      <c r="Y873" s="48"/>
      <c r="Z873" s="32"/>
      <c r="AA873" s="3" t="str">
        <f t="shared" si="191"/>
        <v/>
      </c>
      <c r="AB873" s="48"/>
      <c r="AC873" s="48"/>
      <c r="AD873" s="36"/>
      <c r="AE873" s="54"/>
      <c r="AF873" s="3" t="str">
        <f t="shared" si="192"/>
        <v/>
      </c>
      <c r="AG873" s="48"/>
      <c r="AH873" s="48"/>
      <c r="AI873" s="39"/>
      <c r="AJ873" s="79"/>
      <c r="AK873" s="39"/>
      <c r="AL873" s="4">
        <f t="shared" si="185"/>
        <v>0</v>
      </c>
      <c r="AM873" s="4">
        <f t="shared" si="185"/>
        <v>0</v>
      </c>
      <c r="AN873" s="4">
        <f t="shared" si="186"/>
        <v>0</v>
      </c>
      <c r="AO873" s="39"/>
      <c r="AP873" s="8">
        <f t="shared" si="187"/>
        <v>0</v>
      </c>
      <c r="AQ873" s="8">
        <f t="shared" si="187"/>
        <v>0</v>
      </c>
      <c r="AR873" s="8">
        <f t="shared" si="188"/>
        <v>0</v>
      </c>
      <c r="AS873" s="42"/>
      <c r="AT873" s="48"/>
      <c r="AU873" s="48"/>
      <c r="AV873" s="4">
        <f t="shared" si="189"/>
        <v>0</v>
      </c>
      <c r="AW873" s="50" t="str">
        <f t="shared" si="193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56"/>
      <c r="B874" s="54"/>
      <c r="C874" s="56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54"/>
      <c r="O874" s="3" t="str">
        <f t="shared" si="194"/>
        <v/>
      </c>
      <c r="P874" s="48"/>
      <c r="Q874" s="48"/>
      <c r="R874" s="32"/>
      <c r="S874" s="3" t="str">
        <f t="shared" si="184"/>
        <v/>
      </c>
      <c r="T874" s="48"/>
      <c r="U874" s="48"/>
      <c r="V874" s="32"/>
      <c r="W874" s="3" t="str">
        <f t="shared" si="190"/>
        <v/>
      </c>
      <c r="X874" s="48"/>
      <c r="Y874" s="48"/>
      <c r="Z874" s="32"/>
      <c r="AA874" s="3" t="str">
        <f t="shared" si="191"/>
        <v/>
      </c>
      <c r="AB874" s="48"/>
      <c r="AC874" s="48"/>
      <c r="AD874" s="36"/>
      <c r="AE874" s="54"/>
      <c r="AF874" s="3" t="str">
        <f t="shared" si="192"/>
        <v/>
      </c>
      <c r="AG874" s="48"/>
      <c r="AH874" s="48"/>
      <c r="AI874" s="39"/>
      <c r="AJ874" s="79"/>
      <c r="AK874" s="39"/>
      <c r="AL874" s="4">
        <f t="shared" si="185"/>
        <v>0</v>
      </c>
      <c r="AM874" s="4">
        <f t="shared" si="185"/>
        <v>0</v>
      </c>
      <c r="AN874" s="4">
        <f t="shared" si="186"/>
        <v>0</v>
      </c>
      <c r="AO874" s="39"/>
      <c r="AP874" s="8">
        <f t="shared" si="187"/>
        <v>0</v>
      </c>
      <c r="AQ874" s="8">
        <f t="shared" si="187"/>
        <v>0</v>
      </c>
      <c r="AR874" s="8">
        <f t="shared" si="188"/>
        <v>0</v>
      </c>
      <c r="AS874" s="42"/>
      <c r="AT874" s="48"/>
      <c r="AU874" s="48"/>
      <c r="AV874" s="4">
        <f t="shared" si="189"/>
        <v>0</v>
      </c>
      <c r="AW874" s="50" t="str">
        <f t="shared" si="193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56"/>
      <c r="B875" s="54"/>
      <c r="C875" s="56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54"/>
      <c r="O875" s="3" t="str">
        <f t="shared" si="194"/>
        <v/>
      </c>
      <c r="P875" s="48"/>
      <c r="Q875" s="48"/>
      <c r="R875" s="32"/>
      <c r="S875" s="3" t="str">
        <f t="shared" ref="S875:S938" si="195">IF($A875="","",IF(T875=BA875,"E","A"))</f>
        <v/>
      </c>
      <c r="T875" s="48"/>
      <c r="U875" s="48"/>
      <c r="V875" s="32"/>
      <c r="W875" s="3" t="str">
        <f t="shared" si="190"/>
        <v/>
      </c>
      <c r="X875" s="48"/>
      <c r="Y875" s="48"/>
      <c r="Z875" s="32"/>
      <c r="AA875" s="3" t="str">
        <f t="shared" si="191"/>
        <v/>
      </c>
      <c r="AB875" s="48"/>
      <c r="AC875" s="48"/>
      <c r="AD875" s="36"/>
      <c r="AE875" s="54"/>
      <c r="AF875" s="3" t="str">
        <f t="shared" si="192"/>
        <v/>
      </c>
      <c r="AG875" s="48"/>
      <c r="AH875" s="48"/>
      <c r="AI875" s="39"/>
      <c r="AJ875" s="79"/>
      <c r="AK875" s="39"/>
      <c r="AL875" s="4">
        <f t="shared" si="185"/>
        <v>0</v>
      </c>
      <c r="AM875" s="4">
        <f t="shared" si="185"/>
        <v>0</v>
      </c>
      <c r="AN875" s="4">
        <f t="shared" si="186"/>
        <v>0</v>
      </c>
      <c r="AO875" s="39"/>
      <c r="AP875" s="8">
        <f t="shared" si="187"/>
        <v>0</v>
      </c>
      <c r="AQ875" s="8">
        <f t="shared" si="187"/>
        <v>0</v>
      </c>
      <c r="AR875" s="8">
        <f t="shared" si="188"/>
        <v>0</v>
      </c>
      <c r="AS875" s="42"/>
      <c r="AT875" s="48"/>
      <c r="AU875" s="48"/>
      <c r="AV875" s="4">
        <f t="shared" si="189"/>
        <v>0</v>
      </c>
      <c r="AW875" s="50" t="str">
        <f t="shared" si="193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56"/>
      <c r="B876" s="54"/>
      <c r="C876" s="56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54"/>
      <c r="O876" s="3" t="str">
        <f t="shared" si="194"/>
        <v/>
      </c>
      <c r="P876" s="48"/>
      <c r="Q876" s="48"/>
      <c r="R876" s="32"/>
      <c r="S876" s="3" t="str">
        <f t="shared" si="195"/>
        <v/>
      </c>
      <c r="T876" s="48"/>
      <c r="U876" s="48"/>
      <c r="V876" s="32"/>
      <c r="W876" s="3" t="str">
        <f t="shared" si="190"/>
        <v/>
      </c>
      <c r="X876" s="48"/>
      <c r="Y876" s="48"/>
      <c r="Z876" s="32"/>
      <c r="AA876" s="3" t="str">
        <f t="shared" si="191"/>
        <v/>
      </c>
      <c r="AB876" s="48"/>
      <c r="AC876" s="48"/>
      <c r="AD876" s="36"/>
      <c r="AE876" s="54"/>
      <c r="AF876" s="3" t="str">
        <f t="shared" si="192"/>
        <v/>
      </c>
      <c r="AG876" s="48"/>
      <c r="AH876" s="48"/>
      <c r="AI876" s="39"/>
      <c r="AJ876" s="79"/>
      <c r="AK876" s="39"/>
      <c r="AL876" s="4">
        <f t="shared" si="185"/>
        <v>0</v>
      </c>
      <c r="AM876" s="4">
        <f t="shared" si="185"/>
        <v>0</v>
      </c>
      <c r="AN876" s="4">
        <f t="shared" si="186"/>
        <v>0</v>
      </c>
      <c r="AO876" s="39"/>
      <c r="AP876" s="8">
        <f t="shared" si="187"/>
        <v>0</v>
      </c>
      <c r="AQ876" s="8">
        <f t="shared" si="187"/>
        <v>0</v>
      </c>
      <c r="AR876" s="8">
        <f t="shared" si="188"/>
        <v>0</v>
      </c>
      <c r="AS876" s="42"/>
      <c r="AT876" s="48"/>
      <c r="AU876" s="48"/>
      <c r="AV876" s="4">
        <f t="shared" si="189"/>
        <v>0</v>
      </c>
      <c r="AW876" s="50" t="str">
        <f t="shared" si="193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56"/>
      <c r="B877" s="54"/>
      <c r="C877" s="56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54"/>
      <c r="O877" s="3" t="str">
        <f t="shared" si="194"/>
        <v/>
      </c>
      <c r="P877" s="48"/>
      <c r="Q877" s="48"/>
      <c r="R877" s="32"/>
      <c r="S877" s="3" t="str">
        <f t="shared" si="195"/>
        <v/>
      </c>
      <c r="T877" s="48"/>
      <c r="U877" s="48"/>
      <c r="V877" s="32"/>
      <c r="W877" s="3" t="str">
        <f t="shared" si="190"/>
        <v/>
      </c>
      <c r="X877" s="48"/>
      <c r="Y877" s="48"/>
      <c r="Z877" s="32"/>
      <c r="AA877" s="3" t="str">
        <f t="shared" si="191"/>
        <v/>
      </c>
      <c r="AB877" s="48"/>
      <c r="AC877" s="48"/>
      <c r="AD877" s="36"/>
      <c r="AE877" s="54"/>
      <c r="AF877" s="3" t="str">
        <f t="shared" si="192"/>
        <v/>
      </c>
      <c r="AG877" s="48"/>
      <c r="AH877" s="48"/>
      <c r="AI877" s="39"/>
      <c r="AJ877" s="79"/>
      <c r="AK877" s="39"/>
      <c r="AL877" s="4">
        <f t="shared" si="185"/>
        <v>0</v>
      </c>
      <c r="AM877" s="4">
        <f t="shared" si="185"/>
        <v>0</v>
      </c>
      <c r="AN877" s="4">
        <f t="shared" si="186"/>
        <v>0</v>
      </c>
      <c r="AO877" s="39"/>
      <c r="AP877" s="8">
        <f t="shared" si="187"/>
        <v>0</v>
      </c>
      <c r="AQ877" s="8">
        <f t="shared" si="187"/>
        <v>0</v>
      </c>
      <c r="AR877" s="8">
        <f t="shared" si="188"/>
        <v>0</v>
      </c>
      <c r="AS877" s="42"/>
      <c r="AT877" s="48"/>
      <c r="AU877" s="48"/>
      <c r="AV877" s="4">
        <f t="shared" si="189"/>
        <v>0</v>
      </c>
      <c r="AW877" s="50" t="str">
        <f t="shared" si="193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56"/>
      <c r="B878" s="54"/>
      <c r="C878" s="56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54"/>
      <c r="O878" s="3" t="str">
        <f t="shared" si="194"/>
        <v/>
      </c>
      <c r="P878" s="48"/>
      <c r="Q878" s="48"/>
      <c r="R878" s="32"/>
      <c r="S878" s="3" t="str">
        <f t="shared" si="195"/>
        <v/>
      </c>
      <c r="T878" s="48"/>
      <c r="U878" s="48"/>
      <c r="V878" s="32"/>
      <c r="W878" s="3" t="str">
        <f t="shared" si="190"/>
        <v/>
      </c>
      <c r="X878" s="48"/>
      <c r="Y878" s="48"/>
      <c r="Z878" s="32"/>
      <c r="AA878" s="3" t="str">
        <f t="shared" si="191"/>
        <v/>
      </c>
      <c r="AB878" s="48"/>
      <c r="AC878" s="48"/>
      <c r="AD878" s="36"/>
      <c r="AE878" s="54"/>
      <c r="AF878" s="3" t="str">
        <f t="shared" si="192"/>
        <v/>
      </c>
      <c r="AG878" s="48"/>
      <c r="AH878" s="48"/>
      <c r="AI878" s="39"/>
      <c r="AJ878" s="79"/>
      <c r="AK878" s="39"/>
      <c r="AL878" s="4">
        <f t="shared" si="185"/>
        <v>0</v>
      </c>
      <c r="AM878" s="4">
        <f t="shared" si="185"/>
        <v>0</v>
      </c>
      <c r="AN878" s="4">
        <f t="shared" si="186"/>
        <v>0</v>
      </c>
      <c r="AO878" s="39"/>
      <c r="AP878" s="8">
        <f t="shared" si="187"/>
        <v>0</v>
      </c>
      <c r="AQ878" s="8">
        <f t="shared" si="187"/>
        <v>0</v>
      </c>
      <c r="AR878" s="8">
        <f t="shared" si="188"/>
        <v>0</v>
      </c>
      <c r="AS878" s="42"/>
      <c r="AT878" s="48"/>
      <c r="AU878" s="48"/>
      <c r="AV878" s="4">
        <f t="shared" si="189"/>
        <v>0</v>
      </c>
      <c r="AW878" s="50" t="str">
        <f t="shared" si="193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56"/>
      <c r="B879" s="54"/>
      <c r="C879" s="56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54"/>
      <c r="O879" s="3" t="str">
        <f t="shared" si="194"/>
        <v/>
      </c>
      <c r="P879" s="48"/>
      <c r="Q879" s="48"/>
      <c r="R879" s="32"/>
      <c r="S879" s="3" t="str">
        <f t="shared" si="195"/>
        <v/>
      </c>
      <c r="T879" s="48"/>
      <c r="U879" s="48"/>
      <c r="V879" s="32"/>
      <c r="W879" s="3" t="str">
        <f t="shared" si="190"/>
        <v/>
      </c>
      <c r="X879" s="48"/>
      <c r="Y879" s="48"/>
      <c r="Z879" s="32"/>
      <c r="AA879" s="3" t="str">
        <f t="shared" si="191"/>
        <v/>
      </c>
      <c r="AB879" s="48"/>
      <c r="AC879" s="48"/>
      <c r="AD879" s="36"/>
      <c r="AE879" s="54"/>
      <c r="AF879" s="3" t="str">
        <f t="shared" si="192"/>
        <v/>
      </c>
      <c r="AG879" s="48"/>
      <c r="AH879" s="48"/>
      <c r="AI879" s="39"/>
      <c r="AJ879" s="79"/>
      <c r="AK879" s="39"/>
      <c r="AL879" s="4">
        <f t="shared" si="185"/>
        <v>0</v>
      </c>
      <c r="AM879" s="4">
        <f t="shared" si="185"/>
        <v>0</v>
      </c>
      <c r="AN879" s="4">
        <f t="shared" si="186"/>
        <v>0</v>
      </c>
      <c r="AO879" s="39"/>
      <c r="AP879" s="8">
        <f t="shared" si="187"/>
        <v>0</v>
      </c>
      <c r="AQ879" s="8">
        <f t="shared" si="187"/>
        <v>0</v>
      </c>
      <c r="AR879" s="8">
        <f t="shared" si="188"/>
        <v>0</v>
      </c>
      <c r="AS879" s="42"/>
      <c r="AT879" s="48"/>
      <c r="AU879" s="48"/>
      <c r="AV879" s="4">
        <f t="shared" si="189"/>
        <v>0</v>
      </c>
      <c r="AW879" s="50" t="str">
        <f t="shared" si="193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56"/>
      <c r="B880" s="54"/>
      <c r="C880" s="56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54"/>
      <c r="O880" s="3" t="str">
        <f t="shared" si="194"/>
        <v/>
      </c>
      <c r="P880" s="48"/>
      <c r="Q880" s="48"/>
      <c r="R880" s="32"/>
      <c r="S880" s="3" t="str">
        <f t="shared" si="195"/>
        <v/>
      </c>
      <c r="T880" s="48"/>
      <c r="U880" s="48"/>
      <c r="V880" s="32"/>
      <c r="W880" s="3" t="str">
        <f t="shared" si="190"/>
        <v/>
      </c>
      <c r="X880" s="48"/>
      <c r="Y880" s="48"/>
      <c r="Z880" s="32"/>
      <c r="AA880" s="3" t="str">
        <f t="shared" si="191"/>
        <v/>
      </c>
      <c r="AB880" s="48"/>
      <c r="AC880" s="48"/>
      <c r="AD880" s="36"/>
      <c r="AE880" s="54"/>
      <c r="AF880" s="3" t="str">
        <f t="shared" si="192"/>
        <v/>
      </c>
      <c r="AG880" s="48"/>
      <c r="AH880" s="48"/>
      <c r="AI880" s="39"/>
      <c r="AJ880" s="79"/>
      <c r="AK880" s="39"/>
      <c r="AL880" s="4">
        <f t="shared" si="185"/>
        <v>0</v>
      </c>
      <c r="AM880" s="4">
        <f t="shared" si="185"/>
        <v>0</v>
      </c>
      <c r="AN880" s="4">
        <f t="shared" si="186"/>
        <v>0</v>
      </c>
      <c r="AO880" s="39"/>
      <c r="AP880" s="8">
        <f t="shared" si="187"/>
        <v>0</v>
      </c>
      <c r="AQ880" s="8">
        <f t="shared" si="187"/>
        <v>0</v>
      </c>
      <c r="AR880" s="8">
        <f t="shared" si="188"/>
        <v>0</v>
      </c>
      <c r="AS880" s="42"/>
      <c r="AT880" s="48"/>
      <c r="AU880" s="48"/>
      <c r="AV880" s="4">
        <f t="shared" si="189"/>
        <v>0</v>
      </c>
      <c r="AW880" s="50" t="str">
        <f t="shared" si="193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56"/>
      <c r="B881" s="54"/>
      <c r="C881" s="56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54"/>
      <c r="O881" s="3" t="str">
        <f t="shared" si="194"/>
        <v/>
      </c>
      <c r="P881" s="48"/>
      <c r="Q881" s="48"/>
      <c r="R881" s="32"/>
      <c r="S881" s="3" t="str">
        <f t="shared" si="195"/>
        <v/>
      </c>
      <c r="T881" s="48"/>
      <c r="U881" s="48"/>
      <c r="V881" s="32"/>
      <c r="W881" s="3" t="str">
        <f t="shared" si="190"/>
        <v/>
      </c>
      <c r="X881" s="48"/>
      <c r="Y881" s="48"/>
      <c r="Z881" s="32"/>
      <c r="AA881" s="3" t="str">
        <f t="shared" si="191"/>
        <v/>
      </c>
      <c r="AB881" s="48"/>
      <c r="AC881" s="48"/>
      <c r="AD881" s="36"/>
      <c r="AE881" s="54"/>
      <c r="AF881" s="3" t="str">
        <f t="shared" si="192"/>
        <v/>
      </c>
      <c r="AG881" s="48"/>
      <c r="AH881" s="48"/>
      <c r="AI881" s="39"/>
      <c r="AJ881" s="79"/>
      <c r="AK881" s="39"/>
      <c r="AL881" s="4">
        <f t="shared" si="185"/>
        <v>0</v>
      </c>
      <c r="AM881" s="4">
        <f t="shared" si="185"/>
        <v>0</v>
      </c>
      <c r="AN881" s="4">
        <f t="shared" si="186"/>
        <v>0</v>
      </c>
      <c r="AO881" s="39"/>
      <c r="AP881" s="8">
        <f t="shared" si="187"/>
        <v>0</v>
      </c>
      <c r="AQ881" s="8">
        <f t="shared" si="187"/>
        <v>0</v>
      </c>
      <c r="AR881" s="8">
        <f t="shared" si="188"/>
        <v>0</v>
      </c>
      <c r="AS881" s="42"/>
      <c r="AT881" s="48"/>
      <c r="AU881" s="48"/>
      <c r="AV881" s="4">
        <f t="shared" si="189"/>
        <v>0</v>
      </c>
      <c r="AW881" s="50" t="str">
        <f t="shared" si="193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56"/>
      <c r="B882" s="54"/>
      <c r="C882" s="56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54"/>
      <c r="O882" s="3" t="str">
        <f t="shared" si="194"/>
        <v/>
      </c>
      <c r="P882" s="48"/>
      <c r="Q882" s="48"/>
      <c r="R882" s="32"/>
      <c r="S882" s="3" t="str">
        <f t="shared" si="195"/>
        <v/>
      </c>
      <c r="T882" s="48"/>
      <c r="U882" s="48"/>
      <c r="V882" s="32"/>
      <c r="W882" s="3" t="str">
        <f t="shared" si="190"/>
        <v/>
      </c>
      <c r="X882" s="48"/>
      <c r="Y882" s="48"/>
      <c r="Z882" s="32"/>
      <c r="AA882" s="3" t="str">
        <f t="shared" si="191"/>
        <v/>
      </c>
      <c r="AB882" s="48"/>
      <c r="AC882" s="48"/>
      <c r="AD882" s="36"/>
      <c r="AE882" s="54"/>
      <c r="AF882" s="3" t="str">
        <f t="shared" si="192"/>
        <v/>
      </c>
      <c r="AG882" s="48"/>
      <c r="AH882" s="48"/>
      <c r="AI882" s="39"/>
      <c r="AJ882" s="79"/>
      <c r="AK882" s="39"/>
      <c r="AL882" s="4">
        <f t="shared" si="185"/>
        <v>0</v>
      </c>
      <c r="AM882" s="4">
        <f t="shared" si="185"/>
        <v>0</v>
      </c>
      <c r="AN882" s="4">
        <f t="shared" si="186"/>
        <v>0</v>
      </c>
      <c r="AO882" s="39"/>
      <c r="AP882" s="8">
        <f t="shared" si="187"/>
        <v>0</v>
      </c>
      <c r="AQ882" s="8">
        <f t="shared" si="187"/>
        <v>0</v>
      </c>
      <c r="AR882" s="8">
        <f t="shared" si="188"/>
        <v>0</v>
      </c>
      <c r="AS882" s="42"/>
      <c r="AT882" s="48"/>
      <c r="AU882" s="48"/>
      <c r="AV882" s="4">
        <f t="shared" si="189"/>
        <v>0</v>
      </c>
      <c r="AW882" s="50" t="str">
        <f t="shared" si="193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56"/>
      <c r="B883" s="54"/>
      <c r="C883" s="56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54"/>
      <c r="O883" s="3" t="str">
        <f t="shared" si="194"/>
        <v/>
      </c>
      <c r="P883" s="48"/>
      <c r="Q883" s="48"/>
      <c r="R883" s="32"/>
      <c r="S883" s="3" t="str">
        <f t="shared" si="195"/>
        <v/>
      </c>
      <c r="T883" s="48"/>
      <c r="U883" s="48"/>
      <c r="V883" s="32"/>
      <c r="W883" s="3" t="str">
        <f t="shared" si="190"/>
        <v/>
      </c>
      <c r="X883" s="48"/>
      <c r="Y883" s="48"/>
      <c r="Z883" s="32"/>
      <c r="AA883" s="3" t="str">
        <f t="shared" si="191"/>
        <v/>
      </c>
      <c r="AB883" s="48"/>
      <c r="AC883" s="48"/>
      <c r="AD883" s="36"/>
      <c r="AE883" s="54"/>
      <c r="AF883" s="3" t="str">
        <f t="shared" si="192"/>
        <v/>
      </c>
      <c r="AG883" s="48"/>
      <c r="AH883" s="48"/>
      <c r="AI883" s="39"/>
      <c r="AJ883" s="79"/>
      <c r="AK883" s="39"/>
      <c r="AL883" s="4">
        <f t="shared" si="185"/>
        <v>0</v>
      </c>
      <c r="AM883" s="4">
        <f t="shared" si="185"/>
        <v>0</v>
      </c>
      <c r="AN883" s="4">
        <f t="shared" si="186"/>
        <v>0</v>
      </c>
      <c r="AO883" s="39"/>
      <c r="AP883" s="8">
        <f t="shared" si="187"/>
        <v>0</v>
      </c>
      <c r="AQ883" s="8">
        <f t="shared" si="187"/>
        <v>0</v>
      </c>
      <c r="AR883" s="8">
        <f t="shared" si="188"/>
        <v>0</v>
      </c>
      <c r="AS883" s="42"/>
      <c r="AT883" s="48"/>
      <c r="AU883" s="48"/>
      <c r="AV883" s="4">
        <f t="shared" si="189"/>
        <v>0</v>
      </c>
      <c r="AW883" s="50" t="str">
        <f t="shared" si="193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56"/>
      <c r="B884" s="54"/>
      <c r="C884" s="56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54"/>
      <c r="O884" s="3" t="str">
        <f t="shared" si="194"/>
        <v/>
      </c>
      <c r="P884" s="48"/>
      <c r="Q884" s="48"/>
      <c r="R884" s="32"/>
      <c r="S884" s="3" t="str">
        <f t="shared" si="195"/>
        <v/>
      </c>
      <c r="T884" s="48"/>
      <c r="U884" s="48"/>
      <c r="V884" s="32"/>
      <c r="W884" s="3" t="str">
        <f t="shared" si="190"/>
        <v/>
      </c>
      <c r="X884" s="48"/>
      <c r="Y884" s="48"/>
      <c r="Z884" s="32"/>
      <c r="AA884" s="3" t="str">
        <f t="shared" si="191"/>
        <v/>
      </c>
      <c r="AB884" s="48"/>
      <c r="AC884" s="48"/>
      <c r="AD884" s="36"/>
      <c r="AE884" s="54"/>
      <c r="AF884" s="3" t="str">
        <f t="shared" si="192"/>
        <v/>
      </c>
      <c r="AG884" s="48"/>
      <c r="AH884" s="48"/>
      <c r="AI884" s="39"/>
      <c r="AJ884" s="79"/>
      <c r="AK884" s="39"/>
      <c r="AL884" s="4">
        <f t="shared" si="185"/>
        <v>0</v>
      </c>
      <c r="AM884" s="4">
        <f t="shared" si="185"/>
        <v>0</v>
      </c>
      <c r="AN884" s="4">
        <f t="shared" si="186"/>
        <v>0</v>
      </c>
      <c r="AO884" s="39"/>
      <c r="AP884" s="8">
        <f t="shared" si="187"/>
        <v>0</v>
      </c>
      <c r="AQ884" s="8">
        <f t="shared" si="187"/>
        <v>0</v>
      </c>
      <c r="AR884" s="8">
        <f t="shared" si="188"/>
        <v>0</v>
      </c>
      <c r="AS884" s="42"/>
      <c r="AT884" s="48"/>
      <c r="AU884" s="48"/>
      <c r="AV884" s="4">
        <f t="shared" si="189"/>
        <v>0</v>
      </c>
      <c r="AW884" s="50" t="str">
        <f t="shared" si="193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56"/>
      <c r="B885" s="54"/>
      <c r="C885" s="56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54"/>
      <c r="O885" s="3" t="str">
        <f t="shared" si="194"/>
        <v/>
      </c>
      <c r="P885" s="48"/>
      <c r="Q885" s="48"/>
      <c r="R885" s="32"/>
      <c r="S885" s="3" t="str">
        <f t="shared" si="195"/>
        <v/>
      </c>
      <c r="T885" s="48"/>
      <c r="U885" s="48"/>
      <c r="V885" s="32"/>
      <c r="W885" s="3" t="str">
        <f t="shared" si="190"/>
        <v/>
      </c>
      <c r="X885" s="48"/>
      <c r="Y885" s="48"/>
      <c r="Z885" s="32"/>
      <c r="AA885" s="3" t="str">
        <f t="shared" si="191"/>
        <v/>
      </c>
      <c r="AB885" s="48"/>
      <c r="AC885" s="48"/>
      <c r="AD885" s="36"/>
      <c r="AE885" s="54"/>
      <c r="AF885" s="3" t="str">
        <f t="shared" si="192"/>
        <v/>
      </c>
      <c r="AG885" s="48"/>
      <c r="AH885" s="48"/>
      <c r="AI885" s="39"/>
      <c r="AJ885" s="79"/>
      <c r="AK885" s="39"/>
      <c r="AL885" s="4">
        <f t="shared" si="185"/>
        <v>0</v>
      </c>
      <c r="AM885" s="4">
        <f t="shared" si="185"/>
        <v>0</v>
      </c>
      <c r="AN885" s="4">
        <f t="shared" si="186"/>
        <v>0</v>
      </c>
      <c r="AO885" s="39"/>
      <c r="AP885" s="8">
        <f t="shared" si="187"/>
        <v>0</v>
      </c>
      <c r="AQ885" s="8">
        <f t="shared" si="187"/>
        <v>0</v>
      </c>
      <c r="AR885" s="8">
        <f t="shared" si="188"/>
        <v>0</v>
      </c>
      <c r="AS885" s="42"/>
      <c r="AT885" s="48"/>
      <c r="AU885" s="48"/>
      <c r="AV885" s="4">
        <f t="shared" si="189"/>
        <v>0</v>
      </c>
      <c r="AW885" s="50" t="str">
        <f t="shared" si="193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56"/>
      <c r="B886" s="54"/>
      <c r="C886" s="56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54"/>
      <c r="O886" s="3" t="str">
        <f t="shared" si="194"/>
        <v/>
      </c>
      <c r="P886" s="48"/>
      <c r="Q886" s="48"/>
      <c r="R886" s="32"/>
      <c r="S886" s="3" t="str">
        <f t="shared" si="195"/>
        <v/>
      </c>
      <c r="T886" s="48"/>
      <c r="U886" s="48"/>
      <c r="V886" s="32"/>
      <c r="W886" s="3" t="str">
        <f t="shared" si="190"/>
        <v/>
      </c>
      <c r="X886" s="48"/>
      <c r="Y886" s="48"/>
      <c r="Z886" s="32"/>
      <c r="AA886" s="3" t="str">
        <f t="shared" si="191"/>
        <v/>
      </c>
      <c r="AB886" s="48"/>
      <c r="AC886" s="48"/>
      <c r="AD886" s="36"/>
      <c r="AE886" s="54"/>
      <c r="AF886" s="3" t="str">
        <f t="shared" si="192"/>
        <v/>
      </c>
      <c r="AG886" s="48"/>
      <c r="AH886" s="48"/>
      <c r="AI886" s="39"/>
      <c r="AJ886" s="79"/>
      <c r="AK886" s="39"/>
      <c r="AL886" s="4">
        <f t="shared" si="185"/>
        <v>0</v>
      </c>
      <c r="AM886" s="4">
        <f t="shared" si="185"/>
        <v>0</v>
      </c>
      <c r="AN886" s="4">
        <f t="shared" si="186"/>
        <v>0</v>
      </c>
      <c r="AO886" s="39"/>
      <c r="AP886" s="8">
        <f t="shared" si="187"/>
        <v>0</v>
      </c>
      <c r="AQ886" s="8">
        <f t="shared" si="187"/>
        <v>0</v>
      </c>
      <c r="AR886" s="8">
        <f t="shared" si="188"/>
        <v>0</v>
      </c>
      <c r="AS886" s="42"/>
      <c r="AT886" s="48"/>
      <c r="AU886" s="48"/>
      <c r="AV886" s="4">
        <f t="shared" si="189"/>
        <v>0</v>
      </c>
      <c r="AW886" s="50" t="str">
        <f t="shared" si="193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56"/>
      <c r="B887" s="54"/>
      <c r="C887" s="56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54"/>
      <c r="O887" s="3" t="str">
        <f t="shared" si="194"/>
        <v/>
      </c>
      <c r="P887" s="48"/>
      <c r="Q887" s="48"/>
      <c r="R887" s="32"/>
      <c r="S887" s="3" t="str">
        <f t="shared" si="195"/>
        <v/>
      </c>
      <c r="T887" s="48"/>
      <c r="U887" s="48"/>
      <c r="V887" s="32"/>
      <c r="W887" s="3" t="str">
        <f t="shared" si="190"/>
        <v/>
      </c>
      <c r="X887" s="48"/>
      <c r="Y887" s="48"/>
      <c r="Z887" s="32"/>
      <c r="AA887" s="3" t="str">
        <f t="shared" si="191"/>
        <v/>
      </c>
      <c r="AB887" s="48"/>
      <c r="AC887" s="48"/>
      <c r="AD887" s="36"/>
      <c r="AE887" s="54"/>
      <c r="AF887" s="3" t="str">
        <f t="shared" si="192"/>
        <v/>
      </c>
      <c r="AG887" s="48"/>
      <c r="AH887" s="48"/>
      <c r="AI887" s="39"/>
      <c r="AJ887" s="79"/>
      <c r="AK887" s="39"/>
      <c r="AL887" s="4">
        <f t="shared" si="185"/>
        <v>0</v>
      </c>
      <c r="AM887" s="4">
        <f t="shared" si="185"/>
        <v>0</v>
      </c>
      <c r="AN887" s="4">
        <f t="shared" si="186"/>
        <v>0</v>
      </c>
      <c r="AO887" s="39"/>
      <c r="AP887" s="8">
        <f t="shared" si="187"/>
        <v>0</v>
      </c>
      <c r="AQ887" s="8">
        <f t="shared" si="187"/>
        <v>0</v>
      </c>
      <c r="AR887" s="8">
        <f t="shared" si="188"/>
        <v>0</v>
      </c>
      <c r="AS887" s="42"/>
      <c r="AT887" s="48"/>
      <c r="AU887" s="48"/>
      <c r="AV887" s="4">
        <f t="shared" si="189"/>
        <v>0</v>
      </c>
      <c r="AW887" s="50" t="str">
        <f t="shared" si="193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56"/>
      <c r="B888" s="54"/>
      <c r="C888" s="56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54"/>
      <c r="O888" s="3" t="str">
        <f t="shared" si="194"/>
        <v/>
      </c>
      <c r="P888" s="48"/>
      <c r="Q888" s="48"/>
      <c r="R888" s="32"/>
      <c r="S888" s="3" t="str">
        <f t="shared" si="195"/>
        <v/>
      </c>
      <c r="T888" s="48"/>
      <c r="U888" s="48"/>
      <c r="V888" s="32"/>
      <c r="W888" s="3" t="str">
        <f t="shared" si="190"/>
        <v/>
      </c>
      <c r="X888" s="48"/>
      <c r="Y888" s="48"/>
      <c r="Z888" s="32"/>
      <c r="AA888" s="3" t="str">
        <f t="shared" si="191"/>
        <v/>
      </c>
      <c r="AB888" s="48"/>
      <c r="AC888" s="48"/>
      <c r="AD888" s="36"/>
      <c r="AE888" s="54"/>
      <c r="AF888" s="3" t="str">
        <f t="shared" si="192"/>
        <v/>
      </c>
      <c r="AG888" s="48"/>
      <c r="AH888" s="48"/>
      <c r="AI888" s="39"/>
      <c r="AJ888" s="79"/>
      <c r="AK888" s="39"/>
      <c r="AL888" s="4">
        <f t="shared" si="185"/>
        <v>0</v>
      </c>
      <c r="AM888" s="4">
        <f t="shared" si="185"/>
        <v>0</v>
      </c>
      <c r="AN888" s="4">
        <f t="shared" si="186"/>
        <v>0</v>
      </c>
      <c r="AO888" s="39"/>
      <c r="AP888" s="8">
        <f t="shared" si="187"/>
        <v>0</v>
      </c>
      <c r="AQ888" s="8">
        <f t="shared" si="187"/>
        <v>0</v>
      </c>
      <c r="AR888" s="8">
        <f t="shared" si="188"/>
        <v>0</v>
      </c>
      <c r="AS888" s="42"/>
      <c r="AT888" s="48"/>
      <c r="AU888" s="48"/>
      <c r="AV888" s="4">
        <f t="shared" si="189"/>
        <v>0</v>
      </c>
      <c r="AW888" s="50" t="str">
        <f t="shared" si="193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56"/>
      <c r="B889" s="54"/>
      <c r="C889" s="56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54"/>
      <c r="O889" s="3" t="str">
        <f t="shared" si="194"/>
        <v/>
      </c>
      <c r="P889" s="48"/>
      <c r="Q889" s="48"/>
      <c r="R889" s="32"/>
      <c r="S889" s="3" t="str">
        <f t="shared" si="195"/>
        <v/>
      </c>
      <c r="T889" s="48"/>
      <c r="U889" s="48"/>
      <c r="V889" s="32"/>
      <c r="W889" s="3" t="str">
        <f t="shared" si="190"/>
        <v/>
      </c>
      <c r="X889" s="48"/>
      <c r="Y889" s="48"/>
      <c r="Z889" s="32"/>
      <c r="AA889" s="3" t="str">
        <f t="shared" si="191"/>
        <v/>
      </c>
      <c r="AB889" s="48"/>
      <c r="AC889" s="48"/>
      <c r="AD889" s="36"/>
      <c r="AE889" s="54"/>
      <c r="AF889" s="3" t="str">
        <f t="shared" si="192"/>
        <v/>
      </c>
      <c r="AG889" s="48"/>
      <c r="AH889" s="48"/>
      <c r="AI889" s="39"/>
      <c r="AJ889" s="79"/>
      <c r="AK889" s="39"/>
      <c r="AL889" s="4">
        <f t="shared" si="185"/>
        <v>0</v>
      </c>
      <c r="AM889" s="4">
        <f t="shared" si="185"/>
        <v>0</v>
      </c>
      <c r="AN889" s="4">
        <f t="shared" si="186"/>
        <v>0</v>
      </c>
      <c r="AO889" s="39"/>
      <c r="AP889" s="8">
        <f t="shared" si="187"/>
        <v>0</v>
      </c>
      <c r="AQ889" s="8">
        <f t="shared" si="187"/>
        <v>0</v>
      </c>
      <c r="AR889" s="8">
        <f t="shared" si="188"/>
        <v>0</v>
      </c>
      <c r="AS889" s="42"/>
      <c r="AT889" s="48"/>
      <c r="AU889" s="48"/>
      <c r="AV889" s="4">
        <f t="shared" si="189"/>
        <v>0</v>
      </c>
      <c r="AW889" s="50" t="str">
        <f t="shared" si="193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56"/>
      <c r="B890" s="54"/>
      <c r="C890" s="56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54"/>
      <c r="O890" s="3" t="str">
        <f t="shared" si="194"/>
        <v/>
      </c>
      <c r="P890" s="48"/>
      <c r="Q890" s="48"/>
      <c r="R890" s="32"/>
      <c r="S890" s="3" t="str">
        <f t="shared" si="195"/>
        <v/>
      </c>
      <c r="T890" s="48"/>
      <c r="U890" s="48"/>
      <c r="V890" s="32"/>
      <c r="W890" s="3" t="str">
        <f t="shared" si="190"/>
        <v/>
      </c>
      <c r="X890" s="48"/>
      <c r="Y890" s="48"/>
      <c r="Z890" s="32"/>
      <c r="AA890" s="3" t="str">
        <f t="shared" si="191"/>
        <v/>
      </c>
      <c r="AB890" s="48"/>
      <c r="AC890" s="48"/>
      <c r="AD890" s="36"/>
      <c r="AE890" s="54"/>
      <c r="AF890" s="3" t="str">
        <f t="shared" si="192"/>
        <v/>
      </c>
      <c r="AG890" s="48"/>
      <c r="AH890" s="48"/>
      <c r="AI890" s="39"/>
      <c r="AJ890" s="79"/>
      <c r="AK890" s="39"/>
      <c r="AL890" s="4">
        <f t="shared" ref="AL890:AM953" si="196">IF($O890="A",P890,0)+IF($S890="A",T890,0)+IF($W890="A",X890,0)+IF($AA890="A",AB890,0)+IF($AF890="A",AG890,0)</f>
        <v>0</v>
      </c>
      <c r="AM890" s="4">
        <f t="shared" si="196"/>
        <v>0</v>
      </c>
      <c r="AN890" s="4">
        <f t="shared" ref="AN890:AN953" si="197">SUM(AL890:AM890)</f>
        <v>0</v>
      </c>
      <c r="AO890" s="39"/>
      <c r="AP890" s="8">
        <f t="shared" ref="AP890:AQ953" si="198">IF($O890="E",P890,0)+IF($S890="E",T890,0)+IF($W890="E",X890,0)+IF($AA890="E",AB890,0)+IF($AF890="E",AG890,0)</f>
        <v>0</v>
      </c>
      <c r="AQ890" s="8">
        <f t="shared" si="198"/>
        <v>0</v>
      </c>
      <c r="AR890" s="8">
        <f t="shared" ref="AR890:AR953" si="199">SUM(AP890:AQ890)</f>
        <v>0</v>
      </c>
      <c r="AS890" s="42"/>
      <c r="AT890" s="48"/>
      <c r="AU890" s="48"/>
      <c r="AV890" s="4">
        <f t="shared" ref="AV890:AV953" si="200">SUM(AT890:AU890)</f>
        <v>0</v>
      </c>
      <c r="AW890" s="50" t="str">
        <f t="shared" si="193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56"/>
      <c r="B891" s="54"/>
      <c r="C891" s="56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54"/>
      <c r="O891" s="3" t="str">
        <f t="shared" si="194"/>
        <v/>
      </c>
      <c r="P891" s="48"/>
      <c r="Q891" s="48"/>
      <c r="R891" s="32"/>
      <c r="S891" s="3" t="str">
        <f t="shared" si="195"/>
        <v/>
      </c>
      <c r="T891" s="48"/>
      <c r="U891" s="48"/>
      <c r="V891" s="32"/>
      <c r="W891" s="3" t="str">
        <f t="shared" si="190"/>
        <v/>
      </c>
      <c r="X891" s="48"/>
      <c r="Y891" s="48"/>
      <c r="Z891" s="32"/>
      <c r="AA891" s="3" t="str">
        <f t="shared" si="191"/>
        <v/>
      </c>
      <c r="AB891" s="48"/>
      <c r="AC891" s="48"/>
      <c r="AD891" s="36"/>
      <c r="AE891" s="54"/>
      <c r="AF891" s="3" t="str">
        <f t="shared" si="192"/>
        <v/>
      </c>
      <c r="AG891" s="48"/>
      <c r="AH891" s="48"/>
      <c r="AI891" s="39"/>
      <c r="AJ891" s="79"/>
      <c r="AK891" s="39"/>
      <c r="AL891" s="4">
        <f t="shared" si="196"/>
        <v>0</v>
      </c>
      <c r="AM891" s="4">
        <f t="shared" si="196"/>
        <v>0</v>
      </c>
      <c r="AN891" s="4">
        <f t="shared" si="197"/>
        <v>0</v>
      </c>
      <c r="AO891" s="39"/>
      <c r="AP891" s="8">
        <f t="shared" si="198"/>
        <v>0</v>
      </c>
      <c r="AQ891" s="8">
        <f t="shared" si="198"/>
        <v>0</v>
      </c>
      <c r="AR891" s="8">
        <f t="shared" si="199"/>
        <v>0</v>
      </c>
      <c r="AS891" s="42"/>
      <c r="AT891" s="48"/>
      <c r="AU891" s="48"/>
      <c r="AV891" s="4">
        <f t="shared" si="200"/>
        <v>0</v>
      </c>
      <c r="AW891" s="50" t="str">
        <f t="shared" si="193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56"/>
      <c r="B892" s="54"/>
      <c r="C892" s="56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54"/>
      <c r="O892" s="3" t="str">
        <f t="shared" si="194"/>
        <v/>
      </c>
      <c r="P892" s="48"/>
      <c r="Q892" s="48"/>
      <c r="R892" s="32"/>
      <c r="S892" s="3" t="str">
        <f t="shared" si="195"/>
        <v/>
      </c>
      <c r="T892" s="48"/>
      <c r="U892" s="48"/>
      <c r="V892" s="32"/>
      <c r="W892" s="3" t="str">
        <f t="shared" si="190"/>
        <v/>
      </c>
      <c r="X892" s="48"/>
      <c r="Y892" s="48"/>
      <c r="Z892" s="32"/>
      <c r="AA892" s="3" t="str">
        <f t="shared" si="191"/>
        <v/>
      </c>
      <c r="AB892" s="48"/>
      <c r="AC892" s="48"/>
      <c r="AD892" s="36"/>
      <c r="AE892" s="54"/>
      <c r="AF892" s="3" t="str">
        <f t="shared" si="192"/>
        <v/>
      </c>
      <c r="AG892" s="48"/>
      <c r="AH892" s="48"/>
      <c r="AI892" s="39"/>
      <c r="AJ892" s="79"/>
      <c r="AK892" s="39"/>
      <c r="AL892" s="4">
        <f t="shared" si="196"/>
        <v>0</v>
      </c>
      <c r="AM892" s="4">
        <f t="shared" si="196"/>
        <v>0</v>
      </c>
      <c r="AN892" s="4">
        <f t="shared" si="197"/>
        <v>0</v>
      </c>
      <c r="AO892" s="39"/>
      <c r="AP892" s="8">
        <f t="shared" si="198"/>
        <v>0</v>
      </c>
      <c r="AQ892" s="8">
        <f t="shared" si="198"/>
        <v>0</v>
      </c>
      <c r="AR892" s="8">
        <f t="shared" si="199"/>
        <v>0</v>
      </c>
      <c r="AS892" s="42"/>
      <c r="AT892" s="48"/>
      <c r="AU892" s="48"/>
      <c r="AV892" s="4">
        <f t="shared" si="200"/>
        <v>0</v>
      </c>
      <c r="AW892" s="50" t="str">
        <f t="shared" si="193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56"/>
      <c r="B893" s="54"/>
      <c r="C893" s="56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54"/>
      <c r="O893" s="3" t="str">
        <f t="shared" si="194"/>
        <v/>
      </c>
      <c r="P893" s="48"/>
      <c r="Q893" s="48"/>
      <c r="R893" s="32"/>
      <c r="S893" s="3" t="str">
        <f t="shared" si="195"/>
        <v/>
      </c>
      <c r="T893" s="48"/>
      <c r="U893" s="48"/>
      <c r="V893" s="32"/>
      <c r="W893" s="3" t="str">
        <f t="shared" si="190"/>
        <v/>
      </c>
      <c r="X893" s="48"/>
      <c r="Y893" s="48"/>
      <c r="Z893" s="32"/>
      <c r="AA893" s="3" t="str">
        <f t="shared" si="191"/>
        <v/>
      </c>
      <c r="AB893" s="48"/>
      <c r="AC893" s="48"/>
      <c r="AD893" s="36"/>
      <c r="AE893" s="54"/>
      <c r="AF893" s="3" t="str">
        <f t="shared" si="192"/>
        <v/>
      </c>
      <c r="AG893" s="48"/>
      <c r="AH893" s="48"/>
      <c r="AI893" s="39"/>
      <c r="AJ893" s="79"/>
      <c r="AK893" s="39"/>
      <c r="AL893" s="4">
        <f t="shared" si="196"/>
        <v>0</v>
      </c>
      <c r="AM893" s="4">
        <f t="shared" si="196"/>
        <v>0</v>
      </c>
      <c r="AN893" s="4">
        <f t="shared" si="197"/>
        <v>0</v>
      </c>
      <c r="AO893" s="39"/>
      <c r="AP893" s="8">
        <f t="shared" si="198"/>
        <v>0</v>
      </c>
      <c r="AQ893" s="8">
        <f t="shared" si="198"/>
        <v>0</v>
      </c>
      <c r="AR893" s="8">
        <f t="shared" si="199"/>
        <v>0</v>
      </c>
      <c r="AS893" s="42"/>
      <c r="AT893" s="48"/>
      <c r="AU893" s="48"/>
      <c r="AV893" s="4">
        <f t="shared" si="200"/>
        <v>0</v>
      </c>
      <c r="AW893" s="50" t="str">
        <f t="shared" si="193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56"/>
      <c r="B894" s="54"/>
      <c r="C894" s="56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54"/>
      <c r="O894" s="3" t="str">
        <f t="shared" si="194"/>
        <v/>
      </c>
      <c r="P894" s="48"/>
      <c r="Q894" s="48"/>
      <c r="R894" s="32"/>
      <c r="S894" s="3" t="str">
        <f t="shared" si="195"/>
        <v/>
      </c>
      <c r="T894" s="48"/>
      <c r="U894" s="48"/>
      <c r="V894" s="32"/>
      <c r="W894" s="3" t="str">
        <f t="shared" si="190"/>
        <v/>
      </c>
      <c r="X894" s="48"/>
      <c r="Y894" s="48"/>
      <c r="Z894" s="32"/>
      <c r="AA894" s="3" t="str">
        <f t="shared" si="191"/>
        <v/>
      </c>
      <c r="AB894" s="48"/>
      <c r="AC894" s="48"/>
      <c r="AD894" s="36"/>
      <c r="AE894" s="54"/>
      <c r="AF894" s="3" t="str">
        <f t="shared" si="192"/>
        <v/>
      </c>
      <c r="AG894" s="48"/>
      <c r="AH894" s="48"/>
      <c r="AI894" s="39"/>
      <c r="AJ894" s="79"/>
      <c r="AK894" s="39"/>
      <c r="AL894" s="4">
        <f t="shared" si="196"/>
        <v>0</v>
      </c>
      <c r="AM894" s="4">
        <f t="shared" si="196"/>
        <v>0</v>
      </c>
      <c r="AN894" s="4">
        <f t="shared" si="197"/>
        <v>0</v>
      </c>
      <c r="AO894" s="39"/>
      <c r="AP894" s="8">
        <f t="shared" si="198"/>
        <v>0</v>
      </c>
      <c r="AQ894" s="8">
        <f t="shared" si="198"/>
        <v>0</v>
      </c>
      <c r="AR894" s="8">
        <f t="shared" si="199"/>
        <v>0</v>
      </c>
      <c r="AS894" s="42"/>
      <c r="AT894" s="48"/>
      <c r="AU894" s="48"/>
      <c r="AV894" s="4">
        <f t="shared" si="200"/>
        <v>0</v>
      </c>
      <c r="AW894" s="50" t="str">
        <f t="shared" si="193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56"/>
      <c r="B895" s="54"/>
      <c r="C895" s="56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54"/>
      <c r="O895" s="3" t="str">
        <f t="shared" si="194"/>
        <v/>
      </c>
      <c r="P895" s="48"/>
      <c r="Q895" s="48"/>
      <c r="R895" s="32"/>
      <c r="S895" s="3" t="str">
        <f t="shared" si="195"/>
        <v/>
      </c>
      <c r="T895" s="48"/>
      <c r="U895" s="48"/>
      <c r="V895" s="32"/>
      <c r="W895" s="3" t="str">
        <f t="shared" si="190"/>
        <v/>
      </c>
      <c r="X895" s="48"/>
      <c r="Y895" s="48"/>
      <c r="Z895" s="32"/>
      <c r="AA895" s="3" t="str">
        <f t="shared" si="191"/>
        <v/>
      </c>
      <c r="AB895" s="48"/>
      <c r="AC895" s="48"/>
      <c r="AD895" s="36"/>
      <c r="AE895" s="54"/>
      <c r="AF895" s="3" t="str">
        <f t="shared" si="192"/>
        <v/>
      </c>
      <c r="AG895" s="48"/>
      <c r="AH895" s="48"/>
      <c r="AI895" s="39"/>
      <c r="AJ895" s="79"/>
      <c r="AK895" s="39"/>
      <c r="AL895" s="4">
        <f t="shared" si="196"/>
        <v>0</v>
      </c>
      <c r="AM895" s="4">
        <f t="shared" si="196"/>
        <v>0</v>
      </c>
      <c r="AN895" s="4">
        <f t="shared" si="197"/>
        <v>0</v>
      </c>
      <c r="AO895" s="39"/>
      <c r="AP895" s="8">
        <f t="shared" si="198"/>
        <v>0</v>
      </c>
      <c r="AQ895" s="8">
        <f t="shared" si="198"/>
        <v>0</v>
      </c>
      <c r="AR895" s="8">
        <f t="shared" si="199"/>
        <v>0</v>
      </c>
      <c r="AS895" s="42"/>
      <c r="AT895" s="48"/>
      <c r="AU895" s="48"/>
      <c r="AV895" s="4">
        <f t="shared" si="200"/>
        <v>0</v>
      </c>
      <c r="AW895" s="50" t="str">
        <f t="shared" si="193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56"/>
      <c r="B896" s="54"/>
      <c r="C896" s="56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54"/>
      <c r="O896" s="3" t="str">
        <f t="shared" si="194"/>
        <v/>
      </c>
      <c r="P896" s="48"/>
      <c r="Q896" s="48"/>
      <c r="R896" s="32"/>
      <c r="S896" s="3" t="str">
        <f t="shared" si="195"/>
        <v/>
      </c>
      <c r="T896" s="48"/>
      <c r="U896" s="48"/>
      <c r="V896" s="32"/>
      <c r="W896" s="3" t="str">
        <f t="shared" si="190"/>
        <v/>
      </c>
      <c r="X896" s="48"/>
      <c r="Y896" s="48"/>
      <c r="Z896" s="32"/>
      <c r="AA896" s="3" t="str">
        <f t="shared" si="191"/>
        <v/>
      </c>
      <c r="AB896" s="48"/>
      <c r="AC896" s="48"/>
      <c r="AD896" s="36"/>
      <c r="AE896" s="54"/>
      <c r="AF896" s="3" t="str">
        <f t="shared" si="192"/>
        <v/>
      </c>
      <c r="AG896" s="48"/>
      <c r="AH896" s="48"/>
      <c r="AI896" s="39"/>
      <c r="AJ896" s="79"/>
      <c r="AK896" s="39"/>
      <c r="AL896" s="4">
        <f t="shared" si="196"/>
        <v>0</v>
      </c>
      <c r="AM896" s="4">
        <f t="shared" si="196"/>
        <v>0</v>
      </c>
      <c r="AN896" s="4">
        <f t="shared" si="197"/>
        <v>0</v>
      </c>
      <c r="AO896" s="39"/>
      <c r="AP896" s="8">
        <f t="shared" si="198"/>
        <v>0</v>
      </c>
      <c r="AQ896" s="8">
        <f t="shared" si="198"/>
        <v>0</v>
      </c>
      <c r="AR896" s="8">
        <f t="shared" si="199"/>
        <v>0</v>
      </c>
      <c r="AS896" s="42"/>
      <c r="AT896" s="48"/>
      <c r="AU896" s="48"/>
      <c r="AV896" s="4">
        <f t="shared" si="200"/>
        <v>0</v>
      </c>
      <c r="AW896" s="50" t="str">
        <f t="shared" si="193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56"/>
      <c r="B897" s="54"/>
      <c r="C897" s="56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54"/>
      <c r="O897" s="3" t="str">
        <f t="shared" si="194"/>
        <v/>
      </c>
      <c r="P897" s="48"/>
      <c r="Q897" s="48"/>
      <c r="R897" s="32"/>
      <c r="S897" s="3" t="str">
        <f t="shared" si="195"/>
        <v/>
      </c>
      <c r="T897" s="48"/>
      <c r="U897" s="48"/>
      <c r="V897" s="32"/>
      <c r="W897" s="3" t="str">
        <f t="shared" si="190"/>
        <v/>
      </c>
      <c r="X897" s="48"/>
      <c r="Y897" s="48"/>
      <c r="Z897" s="32"/>
      <c r="AA897" s="3" t="str">
        <f t="shared" si="191"/>
        <v/>
      </c>
      <c r="AB897" s="48"/>
      <c r="AC897" s="48"/>
      <c r="AD897" s="36"/>
      <c r="AE897" s="54"/>
      <c r="AF897" s="3" t="str">
        <f t="shared" si="192"/>
        <v/>
      </c>
      <c r="AG897" s="48"/>
      <c r="AH897" s="48"/>
      <c r="AI897" s="39"/>
      <c r="AJ897" s="79"/>
      <c r="AK897" s="39"/>
      <c r="AL897" s="4">
        <f t="shared" si="196"/>
        <v>0</v>
      </c>
      <c r="AM897" s="4">
        <f t="shared" si="196"/>
        <v>0</v>
      </c>
      <c r="AN897" s="4">
        <f t="shared" si="197"/>
        <v>0</v>
      </c>
      <c r="AO897" s="39"/>
      <c r="AP897" s="8">
        <f t="shared" si="198"/>
        <v>0</v>
      </c>
      <c r="AQ897" s="8">
        <f t="shared" si="198"/>
        <v>0</v>
      </c>
      <c r="AR897" s="8">
        <f t="shared" si="199"/>
        <v>0</v>
      </c>
      <c r="AS897" s="42"/>
      <c r="AT897" s="48"/>
      <c r="AU897" s="48"/>
      <c r="AV897" s="4">
        <f t="shared" si="200"/>
        <v>0</v>
      </c>
      <c r="AW897" s="50" t="str">
        <f t="shared" si="193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56"/>
      <c r="B898" s="54"/>
      <c r="C898" s="56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54"/>
      <c r="O898" s="3" t="str">
        <f t="shared" si="194"/>
        <v/>
      </c>
      <c r="P898" s="48"/>
      <c r="Q898" s="48"/>
      <c r="R898" s="32"/>
      <c r="S898" s="3" t="str">
        <f t="shared" si="195"/>
        <v/>
      </c>
      <c r="T898" s="48"/>
      <c r="U898" s="48"/>
      <c r="V898" s="32"/>
      <c r="W898" s="3" t="str">
        <f t="shared" si="190"/>
        <v/>
      </c>
      <c r="X898" s="48"/>
      <c r="Y898" s="48"/>
      <c r="Z898" s="32"/>
      <c r="AA898" s="3" t="str">
        <f t="shared" si="191"/>
        <v/>
      </c>
      <c r="AB898" s="48"/>
      <c r="AC898" s="48"/>
      <c r="AD898" s="36"/>
      <c r="AE898" s="54"/>
      <c r="AF898" s="3" t="str">
        <f t="shared" si="192"/>
        <v/>
      </c>
      <c r="AG898" s="48"/>
      <c r="AH898" s="48"/>
      <c r="AI898" s="39"/>
      <c r="AJ898" s="79"/>
      <c r="AK898" s="39"/>
      <c r="AL898" s="4">
        <f t="shared" si="196"/>
        <v>0</v>
      </c>
      <c r="AM898" s="4">
        <f t="shared" si="196"/>
        <v>0</v>
      </c>
      <c r="AN898" s="4">
        <f t="shared" si="197"/>
        <v>0</v>
      </c>
      <c r="AO898" s="39"/>
      <c r="AP898" s="8">
        <f t="shared" si="198"/>
        <v>0</v>
      </c>
      <c r="AQ898" s="8">
        <f t="shared" si="198"/>
        <v>0</v>
      </c>
      <c r="AR898" s="8">
        <f t="shared" si="199"/>
        <v>0</v>
      </c>
      <c r="AS898" s="42"/>
      <c r="AT898" s="48"/>
      <c r="AU898" s="48"/>
      <c r="AV898" s="4">
        <f t="shared" si="200"/>
        <v>0</v>
      </c>
      <c r="AW898" s="50" t="str">
        <f t="shared" si="193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56"/>
      <c r="B899" s="54"/>
      <c r="C899" s="56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54"/>
      <c r="O899" s="3" t="str">
        <f t="shared" si="194"/>
        <v/>
      </c>
      <c r="P899" s="48"/>
      <c r="Q899" s="48"/>
      <c r="R899" s="32"/>
      <c r="S899" s="3" t="str">
        <f t="shared" si="195"/>
        <v/>
      </c>
      <c r="T899" s="48"/>
      <c r="U899" s="48"/>
      <c r="V899" s="32"/>
      <c r="W899" s="3" t="str">
        <f t="shared" si="190"/>
        <v/>
      </c>
      <c r="X899" s="48"/>
      <c r="Y899" s="48"/>
      <c r="Z899" s="32"/>
      <c r="AA899" s="3" t="str">
        <f t="shared" si="191"/>
        <v/>
      </c>
      <c r="AB899" s="48"/>
      <c r="AC899" s="48"/>
      <c r="AD899" s="36"/>
      <c r="AE899" s="54"/>
      <c r="AF899" s="3" t="str">
        <f t="shared" si="192"/>
        <v/>
      </c>
      <c r="AG899" s="48"/>
      <c r="AH899" s="48"/>
      <c r="AI899" s="39"/>
      <c r="AJ899" s="79"/>
      <c r="AK899" s="39"/>
      <c r="AL899" s="4">
        <f t="shared" si="196"/>
        <v>0</v>
      </c>
      <c r="AM899" s="4">
        <f t="shared" si="196"/>
        <v>0</v>
      </c>
      <c r="AN899" s="4">
        <f t="shared" si="197"/>
        <v>0</v>
      </c>
      <c r="AO899" s="39"/>
      <c r="AP899" s="8">
        <f t="shared" si="198"/>
        <v>0</v>
      </c>
      <c r="AQ899" s="8">
        <f t="shared" si="198"/>
        <v>0</v>
      </c>
      <c r="AR899" s="8">
        <f t="shared" si="199"/>
        <v>0</v>
      </c>
      <c r="AS899" s="42"/>
      <c r="AT899" s="48"/>
      <c r="AU899" s="48"/>
      <c r="AV899" s="4">
        <f t="shared" si="200"/>
        <v>0</v>
      </c>
      <c r="AW899" s="50" t="str">
        <f t="shared" si="193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56"/>
      <c r="B900" s="54"/>
      <c r="C900" s="56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54"/>
      <c r="O900" s="3" t="str">
        <f t="shared" si="194"/>
        <v/>
      </c>
      <c r="P900" s="48"/>
      <c r="Q900" s="48"/>
      <c r="R900" s="32"/>
      <c r="S900" s="3" t="str">
        <f t="shared" si="195"/>
        <v/>
      </c>
      <c r="T900" s="48"/>
      <c r="U900" s="48"/>
      <c r="V900" s="32"/>
      <c r="W900" s="3" t="str">
        <f t="shared" si="190"/>
        <v/>
      </c>
      <c r="X900" s="48"/>
      <c r="Y900" s="48"/>
      <c r="Z900" s="32"/>
      <c r="AA900" s="3" t="str">
        <f t="shared" si="191"/>
        <v/>
      </c>
      <c r="AB900" s="48"/>
      <c r="AC900" s="48"/>
      <c r="AD900" s="36"/>
      <c r="AE900" s="54"/>
      <c r="AF900" s="3" t="str">
        <f t="shared" si="192"/>
        <v/>
      </c>
      <c r="AG900" s="48"/>
      <c r="AH900" s="48"/>
      <c r="AI900" s="39"/>
      <c r="AJ900" s="79"/>
      <c r="AK900" s="39"/>
      <c r="AL900" s="4">
        <f t="shared" si="196"/>
        <v>0</v>
      </c>
      <c r="AM900" s="4">
        <f t="shared" si="196"/>
        <v>0</v>
      </c>
      <c r="AN900" s="4">
        <f t="shared" si="197"/>
        <v>0</v>
      </c>
      <c r="AO900" s="39"/>
      <c r="AP900" s="8">
        <f t="shared" si="198"/>
        <v>0</v>
      </c>
      <c r="AQ900" s="8">
        <f t="shared" si="198"/>
        <v>0</v>
      </c>
      <c r="AR900" s="8">
        <f t="shared" si="199"/>
        <v>0</v>
      </c>
      <c r="AS900" s="42"/>
      <c r="AT900" s="48"/>
      <c r="AU900" s="48"/>
      <c r="AV900" s="4">
        <f t="shared" si="200"/>
        <v>0</v>
      </c>
      <c r="AW900" s="50" t="str">
        <f t="shared" si="193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56"/>
      <c r="B901" s="54"/>
      <c r="C901" s="56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54"/>
      <c r="O901" s="3" t="str">
        <f t="shared" si="194"/>
        <v/>
      </c>
      <c r="P901" s="48"/>
      <c r="Q901" s="48"/>
      <c r="R901" s="32"/>
      <c r="S901" s="3" t="str">
        <f t="shared" si="195"/>
        <v/>
      </c>
      <c r="T901" s="48"/>
      <c r="U901" s="48"/>
      <c r="V901" s="32"/>
      <c r="W901" s="3" t="str">
        <f t="shared" si="190"/>
        <v/>
      </c>
      <c r="X901" s="48"/>
      <c r="Y901" s="48"/>
      <c r="Z901" s="32"/>
      <c r="AA901" s="3" t="str">
        <f t="shared" si="191"/>
        <v/>
      </c>
      <c r="AB901" s="48"/>
      <c r="AC901" s="48"/>
      <c r="AD901" s="36"/>
      <c r="AE901" s="54"/>
      <c r="AF901" s="3" t="str">
        <f t="shared" si="192"/>
        <v/>
      </c>
      <c r="AG901" s="48"/>
      <c r="AH901" s="48"/>
      <c r="AI901" s="39"/>
      <c r="AJ901" s="79"/>
      <c r="AK901" s="39"/>
      <c r="AL901" s="4">
        <f t="shared" si="196"/>
        <v>0</v>
      </c>
      <c r="AM901" s="4">
        <f t="shared" si="196"/>
        <v>0</v>
      </c>
      <c r="AN901" s="4">
        <f t="shared" si="197"/>
        <v>0</v>
      </c>
      <c r="AO901" s="39"/>
      <c r="AP901" s="8">
        <f t="shared" si="198"/>
        <v>0</v>
      </c>
      <c r="AQ901" s="8">
        <f t="shared" si="198"/>
        <v>0</v>
      </c>
      <c r="AR901" s="8">
        <f t="shared" si="199"/>
        <v>0</v>
      </c>
      <c r="AS901" s="42"/>
      <c r="AT901" s="48"/>
      <c r="AU901" s="48"/>
      <c r="AV901" s="4">
        <f t="shared" si="200"/>
        <v>0</v>
      </c>
      <c r="AW901" s="50" t="str">
        <f t="shared" si="193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56"/>
      <c r="B902" s="54"/>
      <c r="C902" s="56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54"/>
      <c r="O902" s="3" t="str">
        <f t="shared" si="194"/>
        <v/>
      </c>
      <c r="P902" s="48"/>
      <c r="Q902" s="48"/>
      <c r="R902" s="32"/>
      <c r="S902" s="3" t="str">
        <f t="shared" si="195"/>
        <v/>
      </c>
      <c r="T902" s="48"/>
      <c r="U902" s="48"/>
      <c r="V902" s="32"/>
      <c r="W902" s="3" t="str">
        <f t="shared" si="190"/>
        <v/>
      </c>
      <c r="X902" s="48"/>
      <c r="Y902" s="48"/>
      <c r="Z902" s="32"/>
      <c r="AA902" s="3" t="str">
        <f t="shared" si="191"/>
        <v/>
      </c>
      <c r="AB902" s="48"/>
      <c r="AC902" s="48"/>
      <c r="AD902" s="36"/>
      <c r="AE902" s="54"/>
      <c r="AF902" s="3" t="str">
        <f t="shared" si="192"/>
        <v/>
      </c>
      <c r="AG902" s="48"/>
      <c r="AH902" s="48"/>
      <c r="AI902" s="39"/>
      <c r="AJ902" s="79"/>
      <c r="AK902" s="39"/>
      <c r="AL902" s="4">
        <f t="shared" si="196"/>
        <v>0</v>
      </c>
      <c r="AM902" s="4">
        <f t="shared" si="196"/>
        <v>0</v>
      </c>
      <c r="AN902" s="4">
        <f t="shared" si="197"/>
        <v>0</v>
      </c>
      <c r="AO902" s="39"/>
      <c r="AP902" s="8">
        <f t="shared" si="198"/>
        <v>0</v>
      </c>
      <c r="AQ902" s="8">
        <f t="shared" si="198"/>
        <v>0</v>
      </c>
      <c r="AR902" s="8">
        <f t="shared" si="199"/>
        <v>0</v>
      </c>
      <c r="AS902" s="42"/>
      <c r="AT902" s="48"/>
      <c r="AU902" s="48"/>
      <c r="AV902" s="4">
        <f t="shared" si="200"/>
        <v>0</v>
      </c>
      <c r="AW902" s="50" t="str">
        <f t="shared" si="193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56"/>
      <c r="B903" s="54"/>
      <c r="C903" s="56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54"/>
      <c r="O903" s="3" t="str">
        <f t="shared" si="194"/>
        <v/>
      </c>
      <c r="P903" s="48"/>
      <c r="Q903" s="48"/>
      <c r="R903" s="32"/>
      <c r="S903" s="3" t="str">
        <f t="shared" si="195"/>
        <v/>
      </c>
      <c r="T903" s="48"/>
      <c r="U903" s="48"/>
      <c r="V903" s="32"/>
      <c r="W903" s="3" t="str">
        <f t="shared" si="190"/>
        <v/>
      </c>
      <c r="X903" s="48"/>
      <c r="Y903" s="48"/>
      <c r="Z903" s="32"/>
      <c r="AA903" s="3" t="str">
        <f t="shared" si="191"/>
        <v/>
      </c>
      <c r="AB903" s="48"/>
      <c r="AC903" s="48"/>
      <c r="AD903" s="36"/>
      <c r="AE903" s="54"/>
      <c r="AF903" s="3" t="str">
        <f t="shared" si="192"/>
        <v/>
      </c>
      <c r="AG903" s="48"/>
      <c r="AH903" s="48"/>
      <c r="AI903" s="39"/>
      <c r="AJ903" s="79"/>
      <c r="AK903" s="39"/>
      <c r="AL903" s="4">
        <f t="shared" si="196"/>
        <v>0</v>
      </c>
      <c r="AM903" s="4">
        <f t="shared" si="196"/>
        <v>0</v>
      </c>
      <c r="AN903" s="4">
        <f t="shared" si="197"/>
        <v>0</v>
      </c>
      <c r="AO903" s="39"/>
      <c r="AP903" s="8">
        <f t="shared" si="198"/>
        <v>0</v>
      </c>
      <c r="AQ903" s="8">
        <f t="shared" si="198"/>
        <v>0</v>
      </c>
      <c r="AR903" s="8">
        <f t="shared" si="199"/>
        <v>0</v>
      </c>
      <c r="AS903" s="42"/>
      <c r="AT903" s="48"/>
      <c r="AU903" s="48"/>
      <c r="AV903" s="4">
        <f t="shared" si="200"/>
        <v>0</v>
      </c>
      <c r="AW903" s="50" t="str">
        <f t="shared" si="193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56"/>
      <c r="B904" s="54"/>
      <c r="C904" s="56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54"/>
      <c r="O904" s="3" t="str">
        <f t="shared" si="194"/>
        <v/>
      </c>
      <c r="P904" s="48"/>
      <c r="Q904" s="48"/>
      <c r="R904" s="32"/>
      <c r="S904" s="3" t="str">
        <f t="shared" si="195"/>
        <v/>
      </c>
      <c r="T904" s="48"/>
      <c r="U904" s="48"/>
      <c r="V904" s="32"/>
      <c r="W904" s="3" t="str">
        <f t="shared" ref="W904:W967" si="201">IF($A904="","",IF(X904=0,"A",IF(X904=BB904,"E","A")))</f>
        <v/>
      </c>
      <c r="X904" s="48"/>
      <c r="Y904" s="48"/>
      <c r="Z904" s="32"/>
      <c r="AA904" s="3" t="str">
        <f t="shared" ref="AA904:AA967" si="202">IF($A904="","",IF(AB904=0,"A",IF(AB904=BC904,"E","A")))</f>
        <v/>
      </c>
      <c r="AB904" s="48"/>
      <c r="AC904" s="48"/>
      <c r="AD904" s="36"/>
      <c r="AE904" s="54"/>
      <c r="AF904" s="3" t="str">
        <f t="shared" ref="AF904:AF967" si="203">IF($A904="","",IF(AG904=0,"A",IF(AG904=BD904,"E","A")))</f>
        <v/>
      </c>
      <c r="AG904" s="48"/>
      <c r="AH904" s="48"/>
      <c r="AI904" s="39"/>
      <c r="AJ904" s="79"/>
      <c r="AK904" s="39"/>
      <c r="AL904" s="4">
        <f t="shared" si="196"/>
        <v>0</v>
      </c>
      <c r="AM904" s="4">
        <f t="shared" si="196"/>
        <v>0</v>
      </c>
      <c r="AN904" s="4">
        <f t="shared" si="197"/>
        <v>0</v>
      </c>
      <c r="AO904" s="39"/>
      <c r="AP904" s="8">
        <f t="shared" si="198"/>
        <v>0</v>
      </c>
      <c r="AQ904" s="8">
        <f t="shared" si="198"/>
        <v>0</v>
      </c>
      <c r="AR904" s="8">
        <f t="shared" si="199"/>
        <v>0</v>
      </c>
      <c r="AS904" s="42"/>
      <c r="AT904" s="48"/>
      <c r="AU904" s="48"/>
      <c r="AV904" s="4">
        <f t="shared" si="200"/>
        <v>0</v>
      </c>
      <c r="AW904" s="50" t="str">
        <f t="shared" ref="AW904:AW967" si="204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56"/>
      <c r="B905" s="54"/>
      <c r="C905" s="56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54"/>
      <c r="O905" s="3" t="str">
        <f t="shared" si="194"/>
        <v/>
      </c>
      <c r="P905" s="48"/>
      <c r="Q905" s="48"/>
      <c r="R905" s="32"/>
      <c r="S905" s="3" t="str">
        <f t="shared" si="195"/>
        <v/>
      </c>
      <c r="T905" s="48"/>
      <c r="U905" s="48"/>
      <c r="V905" s="32"/>
      <c r="W905" s="3" t="str">
        <f t="shared" si="201"/>
        <v/>
      </c>
      <c r="X905" s="48"/>
      <c r="Y905" s="48"/>
      <c r="Z905" s="32"/>
      <c r="AA905" s="3" t="str">
        <f t="shared" si="202"/>
        <v/>
      </c>
      <c r="AB905" s="48"/>
      <c r="AC905" s="48"/>
      <c r="AD905" s="36"/>
      <c r="AE905" s="54"/>
      <c r="AF905" s="3" t="str">
        <f t="shared" si="203"/>
        <v/>
      </c>
      <c r="AG905" s="48"/>
      <c r="AH905" s="48"/>
      <c r="AI905" s="39"/>
      <c r="AJ905" s="79"/>
      <c r="AK905" s="39"/>
      <c r="AL905" s="4">
        <f t="shared" si="196"/>
        <v>0</v>
      </c>
      <c r="AM905" s="4">
        <f t="shared" si="196"/>
        <v>0</v>
      </c>
      <c r="AN905" s="4">
        <f t="shared" si="197"/>
        <v>0</v>
      </c>
      <c r="AO905" s="39"/>
      <c r="AP905" s="8">
        <f t="shared" si="198"/>
        <v>0</v>
      </c>
      <c r="AQ905" s="8">
        <f t="shared" si="198"/>
        <v>0</v>
      </c>
      <c r="AR905" s="8">
        <f t="shared" si="199"/>
        <v>0</v>
      </c>
      <c r="AS905" s="42"/>
      <c r="AT905" s="48"/>
      <c r="AU905" s="48"/>
      <c r="AV905" s="4">
        <f t="shared" si="200"/>
        <v>0</v>
      </c>
      <c r="AW905" s="50" t="str">
        <f t="shared" si="204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56"/>
      <c r="B906" s="54"/>
      <c r="C906" s="56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54"/>
      <c r="O906" s="3" t="str">
        <f t="shared" si="194"/>
        <v/>
      </c>
      <c r="P906" s="48"/>
      <c r="Q906" s="48"/>
      <c r="R906" s="32"/>
      <c r="S906" s="3" t="str">
        <f t="shared" si="195"/>
        <v/>
      </c>
      <c r="T906" s="48"/>
      <c r="U906" s="48"/>
      <c r="V906" s="32"/>
      <c r="W906" s="3" t="str">
        <f t="shared" si="201"/>
        <v/>
      </c>
      <c r="X906" s="48"/>
      <c r="Y906" s="48"/>
      <c r="Z906" s="32"/>
      <c r="AA906" s="3" t="str">
        <f t="shared" si="202"/>
        <v/>
      </c>
      <c r="AB906" s="48"/>
      <c r="AC906" s="48"/>
      <c r="AD906" s="36"/>
      <c r="AE906" s="54"/>
      <c r="AF906" s="3" t="str">
        <f t="shared" si="203"/>
        <v/>
      </c>
      <c r="AG906" s="48"/>
      <c r="AH906" s="48"/>
      <c r="AI906" s="39"/>
      <c r="AJ906" s="79"/>
      <c r="AK906" s="39"/>
      <c r="AL906" s="4">
        <f t="shared" si="196"/>
        <v>0</v>
      </c>
      <c r="AM906" s="4">
        <f t="shared" si="196"/>
        <v>0</v>
      </c>
      <c r="AN906" s="4">
        <f t="shared" si="197"/>
        <v>0</v>
      </c>
      <c r="AO906" s="39"/>
      <c r="AP906" s="8">
        <f t="shared" si="198"/>
        <v>0</v>
      </c>
      <c r="AQ906" s="8">
        <f t="shared" si="198"/>
        <v>0</v>
      </c>
      <c r="AR906" s="8">
        <f t="shared" si="199"/>
        <v>0</v>
      </c>
      <c r="AS906" s="42"/>
      <c r="AT906" s="48"/>
      <c r="AU906" s="48"/>
      <c r="AV906" s="4">
        <f t="shared" si="200"/>
        <v>0</v>
      </c>
      <c r="AW906" s="50" t="str">
        <f t="shared" si="204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56"/>
      <c r="B907" s="54"/>
      <c r="C907" s="56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54"/>
      <c r="O907" s="3" t="str">
        <f t="shared" si="194"/>
        <v/>
      </c>
      <c r="P907" s="48"/>
      <c r="Q907" s="48"/>
      <c r="R907" s="32"/>
      <c r="S907" s="3" t="str">
        <f t="shared" si="195"/>
        <v/>
      </c>
      <c r="T907" s="48"/>
      <c r="U907" s="48"/>
      <c r="V907" s="32"/>
      <c r="W907" s="3" t="str">
        <f t="shared" si="201"/>
        <v/>
      </c>
      <c r="X907" s="48"/>
      <c r="Y907" s="48"/>
      <c r="Z907" s="32"/>
      <c r="AA907" s="3" t="str">
        <f t="shared" si="202"/>
        <v/>
      </c>
      <c r="AB907" s="48"/>
      <c r="AC907" s="48"/>
      <c r="AD907" s="36"/>
      <c r="AE907" s="54"/>
      <c r="AF907" s="3" t="str">
        <f t="shared" si="203"/>
        <v/>
      </c>
      <c r="AG907" s="48"/>
      <c r="AH907" s="48"/>
      <c r="AI907" s="39"/>
      <c r="AJ907" s="79"/>
      <c r="AK907" s="39"/>
      <c r="AL907" s="4">
        <f t="shared" si="196"/>
        <v>0</v>
      </c>
      <c r="AM907" s="4">
        <f t="shared" si="196"/>
        <v>0</v>
      </c>
      <c r="AN907" s="4">
        <f t="shared" si="197"/>
        <v>0</v>
      </c>
      <c r="AO907" s="39"/>
      <c r="AP907" s="8">
        <f t="shared" si="198"/>
        <v>0</v>
      </c>
      <c r="AQ907" s="8">
        <f t="shared" si="198"/>
        <v>0</v>
      </c>
      <c r="AR907" s="8">
        <f t="shared" si="199"/>
        <v>0</v>
      </c>
      <c r="AS907" s="42"/>
      <c r="AT907" s="48"/>
      <c r="AU907" s="48"/>
      <c r="AV907" s="4">
        <f t="shared" si="200"/>
        <v>0</v>
      </c>
      <c r="AW907" s="50" t="str">
        <f t="shared" si="204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56"/>
      <c r="B908" s="54"/>
      <c r="C908" s="56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54"/>
      <c r="O908" s="3" t="str">
        <f t="shared" si="194"/>
        <v/>
      </c>
      <c r="P908" s="48"/>
      <c r="Q908" s="48"/>
      <c r="R908" s="32"/>
      <c r="S908" s="3" t="str">
        <f t="shared" si="195"/>
        <v/>
      </c>
      <c r="T908" s="48"/>
      <c r="U908" s="48"/>
      <c r="V908" s="32"/>
      <c r="W908" s="3" t="str">
        <f t="shared" si="201"/>
        <v/>
      </c>
      <c r="X908" s="48"/>
      <c r="Y908" s="48"/>
      <c r="Z908" s="32"/>
      <c r="AA908" s="3" t="str">
        <f t="shared" si="202"/>
        <v/>
      </c>
      <c r="AB908" s="48"/>
      <c r="AC908" s="48"/>
      <c r="AD908" s="36"/>
      <c r="AE908" s="54"/>
      <c r="AF908" s="3" t="str">
        <f t="shared" si="203"/>
        <v/>
      </c>
      <c r="AG908" s="48"/>
      <c r="AH908" s="48"/>
      <c r="AI908" s="39"/>
      <c r="AJ908" s="79"/>
      <c r="AK908" s="39"/>
      <c r="AL908" s="4">
        <f t="shared" si="196"/>
        <v>0</v>
      </c>
      <c r="AM908" s="4">
        <f t="shared" si="196"/>
        <v>0</v>
      </c>
      <c r="AN908" s="4">
        <f t="shared" si="197"/>
        <v>0</v>
      </c>
      <c r="AO908" s="39"/>
      <c r="AP908" s="8">
        <f t="shared" si="198"/>
        <v>0</v>
      </c>
      <c r="AQ908" s="8">
        <f t="shared" si="198"/>
        <v>0</v>
      </c>
      <c r="AR908" s="8">
        <f t="shared" si="199"/>
        <v>0</v>
      </c>
      <c r="AS908" s="42"/>
      <c r="AT908" s="48"/>
      <c r="AU908" s="48"/>
      <c r="AV908" s="4">
        <f t="shared" si="200"/>
        <v>0</v>
      </c>
      <c r="AW908" s="50" t="str">
        <f t="shared" si="204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56"/>
      <c r="B909" s="54"/>
      <c r="C909" s="56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54"/>
      <c r="O909" s="3" t="str">
        <f t="shared" si="194"/>
        <v/>
      </c>
      <c r="P909" s="48"/>
      <c r="Q909" s="48"/>
      <c r="R909" s="32"/>
      <c r="S909" s="3" t="str">
        <f t="shared" si="195"/>
        <v/>
      </c>
      <c r="T909" s="48"/>
      <c r="U909" s="48"/>
      <c r="V909" s="32"/>
      <c r="W909" s="3" t="str">
        <f t="shared" si="201"/>
        <v/>
      </c>
      <c r="X909" s="48"/>
      <c r="Y909" s="48"/>
      <c r="Z909" s="32"/>
      <c r="AA909" s="3" t="str">
        <f t="shared" si="202"/>
        <v/>
      </c>
      <c r="AB909" s="48"/>
      <c r="AC909" s="48"/>
      <c r="AD909" s="36"/>
      <c r="AE909" s="54"/>
      <c r="AF909" s="3" t="str">
        <f t="shared" si="203"/>
        <v/>
      </c>
      <c r="AG909" s="48"/>
      <c r="AH909" s="48"/>
      <c r="AI909" s="39"/>
      <c r="AJ909" s="79"/>
      <c r="AK909" s="39"/>
      <c r="AL909" s="4">
        <f t="shared" si="196"/>
        <v>0</v>
      </c>
      <c r="AM909" s="4">
        <f t="shared" si="196"/>
        <v>0</v>
      </c>
      <c r="AN909" s="4">
        <f t="shared" si="197"/>
        <v>0</v>
      </c>
      <c r="AO909" s="39"/>
      <c r="AP909" s="8">
        <f t="shared" si="198"/>
        <v>0</v>
      </c>
      <c r="AQ909" s="8">
        <f t="shared" si="198"/>
        <v>0</v>
      </c>
      <c r="AR909" s="8">
        <f t="shared" si="199"/>
        <v>0</v>
      </c>
      <c r="AS909" s="42"/>
      <c r="AT909" s="48"/>
      <c r="AU909" s="48"/>
      <c r="AV909" s="4">
        <f t="shared" si="200"/>
        <v>0</v>
      </c>
      <c r="AW909" s="50" t="str">
        <f t="shared" si="204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56"/>
      <c r="B910" s="54"/>
      <c r="C910" s="56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54"/>
      <c r="O910" s="3" t="str">
        <f t="shared" si="194"/>
        <v/>
      </c>
      <c r="P910" s="48"/>
      <c r="Q910" s="48"/>
      <c r="R910" s="32"/>
      <c r="S910" s="3" t="str">
        <f t="shared" si="195"/>
        <v/>
      </c>
      <c r="T910" s="48"/>
      <c r="U910" s="48"/>
      <c r="V910" s="32"/>
      <c r="W910" s="3" t="str">
        <f t="shared" si="201"/>
        <v/>
      </c>
      <c r="X910" s="48"/>
      <c r="Y910" s="48"/>
      <c r="Z910" s="32"/>
      <c r="AA910" s="3" t="str">
        <f t="shared" si="202"/>
        <v/>
      </c>
      <c r="AB910" s="48"/>
      <c r="AC910" s="48"/>
      <c r="AD910" s="36"/>
      <c r="AE910" s="54"/>
      <c r="AF910" s="3" t="str">
        <f t="shared" si="203"/>
        <v/>
      </c>
      <c r="AG910" s="48"/>
      <c r="AH910" s="48"/>
      <c r="AI910" s="39"/>
      <c r="AJ910" s="79"/>
      <c r="AK910" s="39"/>
      <c r="AL910" s="4">
        <f t="shared" si="196"/>
        <v>0</v>
      </c>
      <c r="AM910" s="4">
        <f t="shared" si="196"/>
        <v>0</v>
      </c>
      <c r="AN910" s="4">
        <f t="shared" si="197"/>
        <v>0</v>
      </c>
      <c r="AO910" s="39"/>
      <c r="AP910" s="8">
        <f t="shared" si="198"/>
        <v>0</v>
      </c>
      <c r="AQ910" s="8">
        <f t="shared" si="198"/>
        <v>0</v>
      </c>
      <c r="AR910" s="8">
        <f t="shared" si="199"/>
        <v>0</v>
      </c>
      <c r="AS910" s="42"/>
      <c r="AT910" s="48"/>
      <c r="AU910" s="48"/>
      <c r="AV910" s="4">
        <f t="shared" si="200"/>
        <v>0</v>
      </c>
      <c r="AW910" s="50" t="str">
        <f t="shared" si="204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56"/>
      <c r="B911" s="54"/>
      <c r="C911" s="56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54"/>
      <c r="O911" s="3" t="str">
        <f t="shared" si="194"/>
        <v/>
      </c>
      <c r="P911" s="48"/>
      <c r="Q911" s="48"/>
      <c r="R911" s="32"/>
      <c r="S911" s="3" t="str">
        <f t="shared" si="195"/>
        <v/>
      </c>
      <c r="T911" s="48"/>
      <c r="U911" s="48"/>
      <c r="V911" s="32"/>
      <c r="W911" s="3" t="str">
        <f t="shared" si="201"/>
        <v/>
      </c>
      <c r="X911" s="48"/>
      <c r="Y911" s="48"/>
      <c r="Z911" s="32"/>
      <c r="AA911" s="3" t="str">
        <f t="shared" si="202"/>
        <v/>
      </c>
      <c r="AB911" s="48"/>
      <c r="AC911" s="48"/>
      <c r="AD911" s="36"/>
      <c r="AE911" s="54"/>
      <c r="AF911" s="3" t="str">
        <f t="shared" si="203"/>
        <v/>
      </c>
      <c r="AG911" s="48"/>
      <c r="AH911" s="48"/>
      <c r="AI911" s="39"/>
      <c r="AJ911" s="79"/>
      <c r="AK911" s="39"/>
      <c r="AL911" s="4">
        <f t="shared" si="196"/>
        <v>0</v>
      </c>
      <c r="AM911" s="4">
        <f t="shared" si="196"/>
        <v>0</v>
      </c>
      <c r="AN911" s="4">
        <f t="shared" si="197"/>
        <v>0</v>
      </c>
      <c r="AO911" s="39"/>
      <c r="AP911" s="8">
        <f t="shared" si="198"/>
        <v>0</v>
      </c>
      <c r="AQ911" s="8">
        <f t="shared" si="198"/>
        <v>0</v>
      </c>
      <c r="AR911" s="8">
        <f t="shared" si="199"/>
        <v>0</v>
      </c>
      <c r="AS911" s="42"/>
      <c r="AT911" s="48"/>
      <c r="AU911" s="48"/>
      <c r="AV911" s="4">
        <f t="shared" si="200"/>
        <v>0</v>
      </c>
      <c r="AW911" s="50" t="str">
        <f t="shared" si="204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56"/>
      <c r="B912" s="54"/>
      <c r="C912" s="56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54"/>
      <c r="O912" s="3" t="str">
        <f t="shared" si="194"/>
        <v/>
      </c>
      <c r="P912" s="48"/>
      <c r="Q912" s="48"/>
      <c r="R912" s="32"/>
      <c r="S912" s="3" t="str">
        <f t="shared" si="195"/>
        <v/>
      </c>
      <c r="T912" s="48"/>
      <c r="U912" s="48"/>
      <c r="V912" s="32"/>
      <c r="W912" s="3" t="str">
        <f t="shared" si="201"/>
        <v/>
      </c>
      <c r="X912" s="48"/>
      <c r="Y912" s="48"/>
      <c r="Z912" s="32"/>
      <c r="AA912" s="3" t="str">
        <f t="shared" si="202"/>
        <v/>
      </c>
      <c r="AB912" s="48"/>
      <c r="AC912" s="48"/>
      <c r="AD912" s="36"/>
      <c r="AE912" s="54"/>
      <c r="AF912" s="3" t="str">
        <f t="shared" si="203"/>
        <v/>
      </c>
      <c r="AG912" s="48"/>
      <c r="AH912" s="48"/>
      <c r="AI912" s="39"/>
      <c r="AJ912" s="79"/>
      <c r="AK912" s="39"/>
      <c r="AL912" s="4">
        <f t="shared" si="196"/>
        <v>0</v>
      </c>
      <c r="AM912" s="4">
        <f t="shared" si="196"/>
        <v>0</v>
      </c>
      <c r="AN912" s="4">
        <f t="shared" si="197"/>
        <v>0</v>
      </c>
      <c r="AO912" s="39"/>
      <c r="AP912" s="8">
        <f t="shared" si="198"/>
        <v>0</v>
      </c>
      <c r="AQ912" s="8">
        <f t="shared" si="198"/>
        <v>0</v>
      </c>
      <c r="AR912" s="8">
        <f t="shared" si="199"/>
        <v>0</v>
      </c>
      <c r="AS912" s="42"/>
      <c r="AT912" s="48"/>
      <c r="AU912" s="48"/>
      <c r="AV912" s="4">
        <f t="shared" si="200"/>
        <v>0</v>
      </c>
      <c r="AW912" s="50" t="str">
        <f t="shared" si="204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56"/>
      <c r="B913" s="54"/>
      <c r="C913" s="56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54"/>
      <c r="O913" s="3" t="str">
        <f t="shared" si="194"/>
        <v/>
      </c>
      <c r="P913" s="48"/>
      <c r="Q913" s="48"/>
      <c r="R913" s="32"/>
      <c r="S913" s="3" t="str">
        <f t="shared" si="195"/>
        <v/>
      </c>
      <c r="T913" s="48"/>
      <c r="U913" s="48"/>
      <c r="V913" s="32"/>
      <c r="W913" s="3" t="str">
        <f t="shared" si="201"/>
        <v/>
      </c>
      <c r="X913" s="48"/>
      <c r="Y913" s="48"/>
      <c r="Z913" s="32"/>
      <c r="AA913" s="3" t="str">
        <f t="shared" si="202"/>
        <v/>
      </c>
      <c r="AB913" s="48"/>
      <c r="AC913" s="48"/>
      <c r="AD913" s="36"/>
      <c r="AE913" s="54"/>
      <c r="AF913" s="3" t="str">
        <f t="shared" si="203"/>
        <v/>
      </c>
      <c r="AG913" s="48"/>
      <c r="AH913" s="48"/>
      <c r="AI913" s="39"/>
      <c r="AJ913" s="79"/>
      <c r="AK913" s="39"/>
      <c r="AL913" s="4">
        <f t="shared" si="196"/>
        <v>0</v>
      </c>
      <c r="AM913" s="4">
        <f t="shared" si="196"/>
        <v>0</v>
      </c>
      <c r="AN913" s="4">
        <f t="shared" si="197"/>
        <v>0</v>
      </c>
      <c r="AO913" s="39"/>
      <c r="AP913" s="8">
        <f t="shared" si="198"/>
        <v>0</v>
      </c>
      <c r="AQ913" s="8">
        <f t="shared" si="198"/>
        <v>0</v>
      </c>
      <c r="AR913" s="8">
        <f t="shared" si="199"/>
        <v>0</v>
      </c>
      <c r="AS913" s="42"/>
      <c r="AT913" s="48"/>
      <c r="AU913" s="48"/>
      <c r="AV913" s="4">
        <f t="shared" si="200"/>
        <v>0</v>
      </c>
      <c r="AW913" s="50" t="str">
        <f t="shared" si="204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56"/>
      <c r="B914" s="54"/>
      <c r="C914" s="56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54"/>
      <c r="O914" s="3" t="str">
        <f t="shared" si="194"/>
        <v/>
      </c>
      <c r="P914" s="48"/>
      <c r="Q914" s="48"/>
      <c r="R914" s="32"/>
      <c r="S914" s="3" t="str">
        <f t="shared" si="195"/>
        <v/>
      </c>
      <c r="T914" s="48"/>
      <c r="U914" s="48"/>
      <c r="V914" s="32"/>
      <c r="W914" s="3" t="str">
        <f t="shared" si="201"/>
        <v/>
      </c>
      <c r="X914" s="48"/>
      <c r="Y914" s="48"/>
      <c r="Z914" s="32"/>
      <c r="AA914" s="3" t="str">
        <f t="shared" si="202"/>
        <v/>
      </c>
      <c r="AB914" s="48"/>
      <c r="AC914" s="48"/>
      <c r="AD914" s="36"/>
      <c r="AE914" s="54"/>
      <c r="AF914" s="3" t="str">
        <f t="shared" si="203"/>
        <v/>
      </c>
      <c r="AG914" s="48"/>
      <c r="AH914" s="48"/>
      <c r="AI914" s="39"/>
      <c r="AJ914" s="79"/>
      <c r="AK914" s="39"/>
      <c r="AL914" s="4">
        <f t="shared" si="196"/>
        <v>0</v>
      </c>
      <c r="AM914" s="4">
        <f t="shared" si="196"/>
        <v>0</v>
      </c>
      <c r="AN914" s="4">
        <f t="shared" si="197"/>
        <v>0</v>
      </c>
      <c r="AO914" s="39"/>
      <c r="AP914" s="8">
        <f t="shared" si="198"/>
        <v>0</v>
      </c>
      <c r="AQ914" s="8">
        <f t="shared" si="198"/>
        <v>0</v>
      </c>
      <c r="AR914" s="8">
        <f t="shared" si="199"/>
        <v>0</v>
      </c>
      <c r="AS914" s="42"/>
      <c r="AT914" s="48"/>
      <c r="AU914" s="48"/>
      <c r="AV914" s="4">
        <f t="shared" si="200"/>
        <v>0</v>
      </c>
      <c r="AW914" s="50" t="str">
        <f t="shared" si="204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56"/>
      <c r="B915" s="54"/>
      <c r="C915" s="56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54"/>
      <c r="O915" s="3" t="str">
        <f t="shared" si="194"/>
        <v/>
      </c>
      <c r="P915" s="48"/>
      <c r="Q915" s="48"/>
      <c r="R915" s="32"/>
      <c r="S915" s="3" t="str">
        <f t="shared" si="195"/>
        <v/>
      </c>
      <c r="T915" s="48"/>
      <c r="U915" s="48"/>
      <c r="V915" s="32"/>
      <c r="W915" s="3" t="str">
        <f t="shared" si="201"/>
        <v/>
      </c>
      <c r="X915" s="48"/>
      <c r="Y915" s="48"/>
      <c r="Z915" s="32"/>
      <c r="AA915" s="3" t="str">
        <f t="shared" si="202"/>
        <v/>
      </c>
      <c r="AB915" s="48"/>
      <c r="AC915" s="48"/>
      <c r="AD915" s="36"/>
      <c r="AE915" s="54"/>
      <c r="AF915" s="3" t="str">
        <f t="shared" si="203"/>
        <v/>
      </c>
      <c r="AG915" s="48"/>
      <c r="AH915" s="48"/>
      <c r="AI915" s="39"/>
      <c r="AJ915" s="79"/>
      <c r="AK915" s="39"/>
      <c r="AL915" s="4">
        <f t="shared" si="196"/>
        <v>0</v>
      </c>
      <c r="AM915" s="4">
        <f t="shared" si="196"/>
        <v>0</v>
      </c>
      <c r="AN915" s="4">
        <f t="shared" si="197"/>
        <v>0</v>
      </c>
      <c r="AO915" s="39"/>
      <c r="AP915" s="8">
        <f t="shared" si="198"/>
        <v>0</v>
      </c>
      <c r="AQ915" s="8">
        <f t="shared" si="198"/>
        <v>0</v>
      </c>
      <c r="AR915" s="8">
        <f t="shared" si="199"/>
        <v>0</v>
      </c>
      <c r="AS915" s="42"/>
      <c r="AT915" s="48"/>
      <c r="AU915" s="48"/>
      <c r="AV915" s="4">
        <f t="shared" si="200"/>
        <v>0</v>
      </c>
      <c r="AW915" s="50" t="str">
        <f t="shared" si="204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56"/>
      <c r="B916" s="54"/>
      <c r="C916" s="56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54"/>
      <c r="O916" s="3" t="str">
        <f t="shared" si="194"/>
        <v/>
      </c>
      <c r="P916" s="48"/>
      <c r="Q916" s="48"/>
      <c r="R916" s="32"/>
      <c r="S916" s="3" t="str">
        <f t="shared" si="195"/>
        <v/>
      </c>
      <c r="T916" s="48"/>
      <c r="U916" s="48"/>
      <c r="V916" s="32"/>
      <c r="W916" s="3" t="str">
        <f t="shared" si="201"/>
        <v/>
      </c>
      <c r="X916" s="48"/>
      <c r="Y916" s="48"/>
      <c r="Z916" s="32"/>
      <c r="AA916" s="3" t="str">
        <f t="shared" si="202"/>
        <v/>
      </c>
      <c r="AB916" s="48"/>
      <c r="AC916" s="48"/>
      <c r="AD916" s="36"/>
      <c r="AE916" s="54"/>
      <c r="AF916" s="3" t="str">
        <f t="shared" si="203"/>
        <v/>
      </c>
      <c r="AG916" s="48"/>
      <c r="AH916" s="48"/>
      <c r="AI916" s="39"/>
      <c r="AJ916" s="79"/>
      <c r="AK916" s="39"/>
      <c r="AL916" s="4">
        <f t="shared" si="196"/>
        <v>0</v>
      </c>
      <c r="AM916" s="4">
        <f t="shared" si="196"/>
        <v>0</v>
      </c>
      <c r="AN916" s="4">
        <f t="shared" si="197"/>
        <v>0</v>
      </c>
      <c r="AO916" s="39"/>
      <c r="AP916" s="8">
        <f t="shared" si="198"/>
        <v>0</v>
      </c>
      <c r="AQ916" s="8">
        <f t="shared" si="198"/>
        <v>0</v>
      </c>
      <c r="AR916" s="8">
        <f t="shared" si="199"/>
        <v>0</v>
      </c>
      <c r="AS916" s="42"/>
      <c r="AT916" s="48"/>
      <c r="AU916" s="48"/>
      <c r="AV916" s="4">
        <f t="shared" si="200"/>
        <v>0</v>
      </c>
      <c r="AW916" s="50" t="str">
        <f t="shared" si="204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56"/>
      <c r="B917" s="54"/>
      <c r="C917" s="56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54"/>
      <c r="O917" s="3" t="str">
        <f t="shared" si="194"/>
        <v/>
      </c>
      <c r="P917" s="48"/>
      <c r="Q917" s="48"/>
      <c r="R917" s="32"/>
      <c r="S917" s="3" t="str">
        <f t="shared" si="195"/>
        <v/>
      </c>
      <c r="T917" s="48"/>
      <c r="U917" s="48"/>
      <c r="V917" s="32"/>
      <c r="W917" s="3" t="str">
        <f t="shared" si="201"/>
        <v/>
      </c>
      <c r="X917" s="48"/>
      <c r="Y917" s="48"/>
      <c r="Z917" s="32"/>
      <c r="AA917" s="3" t="str">
        <f t="shared" si="202"/>
        <v/>
      </c>
      <c r="AB917" s="48"/>
      <c r="AC917" s="48"/>
      <c r="AD917" s="36"/>
      <c r="AE917" s="54"/>
      <c r="AF917" s="3" t="str">
        <f t="shared" si="203"/>
        <v/>
      </c>
      <c r="AG917" s="48"/>
      <c r="AH917" s="48"/>
      <c r="AI917" s="39"/>
      <c r="AJ917" s="79"/>
      <c r="AK917" s="39"/>
      <c r="AL917" s="4">
        <f t="shared" si="196"/>
        <v>0</v>
      </c>
      <c r="AM917" s="4">
        <f t="shared" si="196"/>
        <v>0</v>
      </c>
      <c r="AN917" s="4">
        <f t="shared" si="197"/>
        <v>0</v>
      </c>
      <c r="AO917" s="39"/>
      <c r="AP917" s="8">
        <f t="shared" si="198"/>
        <v>0</v>
      </c>
      <c r="AQ917" s="8">
        <f t="shared" si="198"/>
        <v>0</v>
      </c>
      <c r="AR917" s="8">
        <f t="shared" si="199"/>
        <v>0</v>
      </c>
      <c r="AS917" s="42"/>
      <c r="AT917" s="48"/>
      <c r="AU917" s="48"/>
      <c r="AV917" s="4">
        <f t="shared" si="200"/>
        <v>0</v>
      </c>
      <c r="AW917" s="50" t="str">
        <f t="shared" si="204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56"/>
      <c r="B918" s="54"/>
      <c r="C918" s="56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54"/>
      <c r="O918" s="3" t="str">
        <f t="shared" si="194"/>
        <v/>
      </c>
      <c r="P918" s="48"/>
      <c r="Q918" s="48"/>
      <c r="R918" s="32"/>
      <c r="S918" s="3" t="str">
        <f t="shared" si="195"/>
        <v/>
      </c>
      <c r="T918" s="48"/>
      <c r="U918" s="48"/>
      <c r="V918" s="32"/>
      <c r="W918" s="3" t="str">
        <f t="shared" si="201"/>
        <v/>
      </c>
      <c r="X918" s="48"/>
      <c r="Y918" s="48"/>
      <c r="Z918" s="32"/>
      <c r="AA918" s="3" t="str">
        <f t="shared" si="202"/>
        <v/>
      </c>
      <c r="AB918" s="48"/>
      <c r="AC918" s="48"/>
      <c r="AD918" s="36"/>
      <c r="AE918" s="54"/>
      <c r="AF918" s="3" t="str">
        <f t="shared" si="203"/>
        <v/>
      </c>
      <c r="AG918" s="48"/>
      <c r="AH918" s="48"/>
      <c r="AI918" s="39"/>
      <c r="AJ918" s="79"/>
      <c r="AK918" s="39"/>
      <c r="AL918" s="4">
        <f t="shared" si="196"/>
        <v>0</v>
      </c>
      <c r="AM918" s="4">
        <f t="shared" si="196"/>
        <v>0</v>
      </c>
      <c r="AN918" s="4">
        <f t="shared" si="197"/>
        <v>0</v>
      </c>
      <c r="AO918" s="39"/>
      <c r="AP918" s="8">
        <f t="shared" si="198"/>
        <v>0</v>
      </c>
      <c r="AQ918" s="8">
        <f t="shared" si="198"/>
        <v>0</v>
      </c>
      <c r="AR918" s="8">
        <f t="shared" si="199"/>
        <v>0</v>
      </c>
      <c r="AS918" s="42"/>
      <c r="AT918" s="48"/>
      <c r="AU918" s="48"/>
      <c r="AV918" s="4">
        <f t="shared" si="200"/>
        <v>0</v>
      </c>
      <c r="AW918" s="50" t="str">
        <f t="shared" si="204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56"/>
      <c r="B919" s="54"/>
      <c r="C919" s="56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54"/>
      <c r="O919" s="3" t="str">
        <f t="shared" si="194"/>
        <v/>
      </c>
      <c r="P919" s="48"/>
      <c r="Q919" s="48"/>
      <c r="R919" s="32"/>
      <c r="S919" s="3" t="str">
        <f t="shared" si="195"/>
        <v/>
      </c>
      <c r="T919" s="48"/>
      <c r="U919" s="48"/>
      <c r="V919" s="32"/>
      <c r="W919" s="3" t="str">
        <f t="shared" si="201"/>
        <v/>
      </c>
      <c r="X919" s="48"/>
      <c r="Y919" s="48"/>
      <c r="Z919" s="32"/>
      <c r="AA919" s="3" t="str">
        <f t="shared" si="202"/>
        <v/>
      </c>
      <c r="AB919" s="48"/>
      <c r="AC919" s="48"/>
      <c r="AD919" s="36"/>
      <c r="AE919" s="54"/>
      <c r="AF919" s="3" t="str">
        <f t="shared" si="203"/>
        <v/>
      </c>
      <c r="AG919" s="48"/>
      <c r="AH919" s="48"/>
      <c r="AI919" s="39"/>
      <c r="AJ919" s="79"/>
      <c r="AK919" s="39"/>
      <c r="AL919" s="4">
        <f t="shared" si="196"/>
        <v>0</v>
      </c>
      <c r="AM919" s="4">
        <f t="shared" si="196"/>
        <v>0</v>
      </c>
      <c r="AN919" s="4">
        <f t="shared" si="197"/>
        <v>0</v>
      </c>
      <c r="AO919" s="39"/>
      <c r="AP919" s="8">
        <f t="shared" si="198"/>
        <v>0</v>
      </c>
      <c r="AQ919" s="8">
        <f t="shared" si="198"/>
        <v>0</v>
      </c>
      <c r="AR919" s="8">
        <f t="shared" si="199"/>
        <v>0</v>
      </c>
      <c r="AS919" s="42"/>
      <c r="AT919" s="48"/>
      <c r="AU919" s="48"/>
      <c r="AV919" s="4">
        <f t="shared" si="200"/>
        <v>0</v>
      </c>
      <c r="AW919" s="50" t="str">
        <f t="shared" si="204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56"/>
      <c r="B920" s="54"/>
      <c r="C920" s="56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54"/>
      <c r="O920" s="3" t="str">
        <f t="shared" si="194"/>
        <v/>
      </c>
      <c r="P920" s="48"/>
      <c r="Q920" s="48"/>
      <c r="R920" s="32"/>
      <c r="S920" s="3" t="str">
        <f t="shared" si="195"/>
        <v/>
      </c>
      <c r="T920" s="48"/>
      <c r="U920" s="48"/>
      <c r="V920" s="32"/>
      <c r="W920" s="3" t="str">
        <f t="shared" si="201"/>
        <v/>
      </c>
      <c r="X920" s="48"/>
      <c r="Y920" s="48"/>
      <c r="Z920" s="32"/>
      <c r="AA920" s="3" t="str">
        <f t="shared" si="202"/>
        <v/>
      </c>
      <c r="AB920" s="48"/>
      <c r="AC920" s="48"/>
      <c r="AD920" s="36"/>
      <c r="AE920" s="54"/>
      <c r="AF920" s="3" t="str">
        <f t="shared" si="203"/>
        <v/>
      </c>
      <c r="AG920" s="48"/>
      <c r="AH920" s="48"/>
      <c r="AI920" s="39"/>
      <c r="AJ920" s="79"/>
      <c r="AK920" s="39"/>
      <c r="AL920" s="4">
        <f t="shared" si="196"/>
        <v>0</v>
      </c>
      <c r="AM920" s="4">
        <f t="shared" si="196"/>
        <v>0</v>
      </c>
      <c r="AN920" s="4">
        <f t="shared" si="197"/>
        <v>0</v>
      </c>
      <c r="AO920" s="39"/>
      <c r="AP920" s="8">
        <f t="shared" si="198"/>
        <v>0</v>
      </c>
      <c r="AQ920" s="8">
        <f t="shared" si="198"/>
        <v>0</v>
      </c>
      <c r="AR920" s="8">
        <f t="shared" si="199"/>
        <v>0</v>
      </c>
      <c r="AS920" s="42"/>
      <c r="AT920" s="48"/>
      <c r="AU920" s="48"/>
      <c r="AV920" s="4">
        <f t="shared" si="200"/>
        <v>0</v>
      </c>
      <c r="AW920" s="50" t="str">
        <f t="shared" si="204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56"/>
      <c r="B921" s="54"/>
      <c r="C921" s="56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54"/>
      <c r="O921" s="3" t="str">
        <f t="shared" si="194"/>
        <v/>
      </c>
      <c r="P921" s="48"/>
      <c r="Q921" s="48"/>
      <c r="R921" s="32"/>
      <c r="S921" s="3" t="str">
        <f t="shared" si="195"/>
        <v/>
      </c>
      <c r="T921" s="48"/>
      <c r="U921" s="48"/>
      <c r="V921" s="32"/>
      <c r="W921" s="3" t="str">
        <f t="shared" si="201"/>
        <v/>
      </c>
      <c r="X921" s="48"/>
      <c r="Y921" s="48"/>
      <c r="Z921" s="32"/>
      <c r="AA921" s="3" t="str">
        <f t="shared" si="202"/>
        <v/>
      </c>
      <c r="AB921" s="48"/>
      <c r="AC921" s="48"/>
      <c r="AD921" s="36"/>
      <c r="AE921" s="54"/>
      <c r="AF921" s="3" t="str">
        <f t="shared" si="203"/>
        <v/>
      </c>
      <c r="AG921" s="48"/>
      <c r="AH921" s="48"/>
      <c r="AI921" s="39"/>
      <c r="AJ921" s="79"/>
      <c r="AK921" s="39"/>
      <c r="AL921" s="4">
        <f t="shared" si="196"/>
        <v>0</v>
      </c>
      <c r="AM921" s="4">
        <f t="shared" si="196"/>
        <v>0</v>
      </c>
      <c r="AN921" s="4">
        <f t="shared" si="197"/>
        <v>0</v>
      </c>
      <c r="AO921" s="39"/>
      <c r="AP921" s="8">
        <f t="shared" si="198"/>
        <v>0</v>
      </c>
      <c r="AQ921" s="8">
        <f t="shared" si="198"/>
        <v>0</v>
      </c>
      <c r="AR921" s="8">
        <f t="shared" si="199"/>
        <v>0</v>
      </c>
      <c r="AS921" s="42"/>
      <c r="AT921" s="48"/>
      <c r="AU921" s="48"/>
      <c r="AV921" s="4">
        <f t="shared" si="200"/>
        <v>0</v>
      </c>
      <c r="AW921" s="50" t="str">
        <f t="shared" si="204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56"/>
      <c r="B922" s="54"/>
      <c r="C922" s="56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54"/>
      <c r="O922" s="3" t="str">
        <f t="shared" si="194"/>
        <v/>
      </c>
      <c r="P922" s="48"/>
      <c r="Q922" s="48"/>
      <c r="R922" s="32"/>
      <c r="S922" s="3" t="str">
        <f t="shared" si="195"/>
        <v/>
      </c>
      <c r="T922" s="48"/>
      <c r="U922" s="48"/>
      <c r="V922" s="32"/>
      <c r="W922" s="3" t="str">
        <f t="shared" si="201"/>
        <v/>
      </c>
      <c r="X922" s="48"/>
      <c r="Y922" s="48"/>
      <c r="Z922" s="32"/>
      <c r="AA922" s="3" t="str">
        <f t="shared" si="202"/>
        <v/>
      </c>
      <c r="AB922" s="48"/>
      <c r="AC922" s="48"/>
      <c r="AD922" s="36"/>
      <c r="AE922" s="54"/>
      <c r="AF922" s="3" t="str">
        <f t="shared" si="203"/>
        <v/>
      </c>
      <c r="AG922" s="48"/>
      <c r="AH922" s="48"/>
      <c r="AI922" s="39"/>
      <c r="AJ922" s="79"/>
      <c r="AK922" s="39"/>
      <c r="AL922" s="4">
        <f t="shared" si="196"/>
        <v>0</v>
      </c>
      <c r="AM922" s="4">
        <f t="shared" si="196"/>
        <v>0</v>
      </c>
      <c r="AN922" s="4">
        <f t="shared" si="197"/>
        <v>0</v>
      </c>
      <c r="AO922" s="39"/>
      <c r="AP922" s="8">
        <f t="shared" si="198"/>
        <v>0</v>
      </c>
      <c r="AQ922" s="8">
        <f t="shared" si="198"/>
        <v>0</v>
      </c>
      <c r="AR922" s="8">
        <f t="shared" si="199"/>
        <v>0</v>
      </c>
      <c r="AS922" s="42"/>
      <c r="AT922" s="48"/>
      <c r="AU922" s="48"/>
      <c r="AV922" s="4">
        <f t="shared" si="200"/>
        <v>0</v>
      </c>
      <c r="AW922" s="50" t="str">
        <f t="shared" si="204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56"/>
      <c r="B923" s="54"/>
      <c r="C923" s="56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54"/>
      <c r="O923" s="3" t="str">
        <f t="shared" si="194"/>
        <v/>
      </c>
      <c r="P923" s="48"/>
      <c r="Q923" s="48"/>
      <c r="R923" s="32"/>
      <c r="S923" s="3" t="str">
        <f t="shared" si="195"/>
        <v/>
      </c>
      <c r="T923" s="48"/>
      <c r="U923" s="48"/>
      <c r="V923" s="32"/>
      <c r="W923" s="3" t="str">
        <f t="shared" si="201"/>
        <v/>
      </c>
      <c r="X923" s="48"/>
      <c r="Y923" s="48"/>
      <c r="Z923" s="32"/>
      <c r="AA923" s="3" t="str">
        <f t="shared" si="202"/>
        <v/>
      </c>
      <c r="AB923" s="48"/>
      <c r="AC923" s="48"/>
      <c r="AD923" s="36"/>
      <c r="AE923" s="54"/>
      <c r="AF923" s="3" t="str">
        <f t="shared" si="203"/>
        <v/>
      </c>
      <c r="AG923" s="48"/>
      <c r="AH923" s="48"/>
      <c r="AI923" s="39"/>
      <c r="AJ923" s="79"/>
      <c r="AK923" s="39"/>
      <c r="AL923" s="4">
        <f t="shared" si="196"/>
        <v>0</v>
      </c>
      <c r="AM923" s="4">
        <f t="shared" si="196"/>
        <v>0</v>
      </c>
      <c r="AN923" s="4">
        <f t="shared" si="197"/>
        <v>0</v>
      </c>
      <c r="AO923" s="39"/>
      <c r="AP923" s="8">
        <f t="shared" si="198"/>
        <v>0</v>
      </c>
      <c r="AQ923" s="8">
        <f t="shared" si="198"/>
        <v>0</v>
      </c>
      <c r="AR923" s="8">
        <f t="shared" si="199"/>
        <v>0</v>
      </c>
      <c r="AS923" s="42"/>
      <c r="AT923" s="48"/>
      <c r="AU923" s="48"/>
      <c r="AV923" s="4">
        <f t="shared" si="200"/>
        <v>0</v>
      </c>
      <c r="AW923" s="50" t="str">
        <f t="shared" si="204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56"/>
      <c r="B924" s="54"/>
      <c r="C924" s="56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54"/>
      <c r="O924" s="3" t="str">
        <f t="shared" si="194"/>
        <v/>
      </c>
      <c r="P924" s="48"/>
      <c r="Q924" s="48"/>
      <c r="R924" s="32"/>
      <c r="S924" s="3" t="str">
        <f t="shared" si="195"/>
        <v/>
      </c>
      <c r="T924" s="48"/>
      <c r="U924" s="48"/>
      <c r="V924" s="32"/>
      <c r="W924" s="3" t="str">
        <f t="shared" si="201"/>
        <v/>
      </c>
      <c r="X924" s="48"/>
      <c r="Y924" s="48"/>
      <c r="Z924" s="32"/>
      <c r="AA924" s="3" t="str">
        <f t="shared" si="202"/>
        <v/>
      </c>
      <c r="AB924" s="48"/>
      <c r="AC924" s="48"/>
      <c r="AD924" s="36"/>
      <c r="AE924" s="54"/>
      <c r="AF924" s="3" t="str">
        <f t="shared" si="203"/>
        <v/>
      </c>
      <c r="AG924" s="48"/>
      <c r="AH924" s="48"/>
      <c r="AI924" s="39"/>
      <c r="AJ924" s="79"/>
      <c r="AK924" s="39"/>
      <c r="AL924" s="4">
        <f t="shared" si="196"/>
        <v>0</v>
      </c>
      <c r="AM924" s="4">
        <f t="shared" si="196"/>
        <v>0</v>
      </c>
      <c r="AN924" s="4">
        <f t="shared" si="197"/>
        <v>0</v>
      </c>
      <c r="AO924" s="39"/>
      <c r="AP924" s="8">
        <f t="shared" si="198"/>
        <v>0</v>
      </c>
      <c r="AQ924" s="8">
        <f t="shared" si="198"/>
        <v>0</v>
      </c>
      <c r="AR924" s="8">
        <f t="shared" si="199"/>
        <v>0</v>
      </c>
      <c r="AS924" s="42"/>
      <c r="AT924" s="48"/>
      <c r="AU924" s="48"/>
      <c r="AV924" s="4">
        <f t="shared" si="200"/>
        <v>0</v>
      </c>
      <c r="AW924" s="50" t="str">
        <f t="shared" si="204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56"/>
      <c r="B925" s="54"/>
      <c r="C925" s="56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54"/>
      <c r="O925" s="3" t="str">
        <f t="shared" si="194"/>
        <v/>
      </c>
      <c r="P925" s="48"/>
      <c r="Q925" s="48"/>
      <c r="R925" s="32"/>
      <c r="S925" s="3" t="str">
        <f t="shared" si="195"/>
        <v/>
      </c>
      <c r="T925" s="48"/>
      <c r="U925" s="48"/>
      <c r="V925" s="32"/>
      <c r="W925" s="3" t="str">
        <f t="shared" si="201"/>
        <v/>
      </c>
      <c r="X925" s="48"/>
      <c r="Y925" s="48"/>
      <c r="Z925" s="32"/>
      <c r="AA925" s="3" t="str">
        <f t="shared" si="202"/>
        <v/>
      </c>
      <c r="AB925" s="48"/>
      <c r="AC925" s="48"/>
      <c r="AD925" s="36"/>
      <c r="AE925" s="54"/>
      <c r="AF925" s="3" t="str">
        <f t="shared" si="203"/>
        <v/>
      </c>
      <c r="AG925" s="48"/>
      <c r="AH925" s="48"/>
      <c r="AI925" s="39"/>
      <c r="AJ925" s="79"/>
      <c r="AK925" s="39"/>
      <c r="AL925" s="4">
        <f t="shared" si="196"/>
        <v>0</v>
      </c>
      <c r="AM925" s="4">
        <f t="shared" si="196"/>
        <v>0</v>
      </c>
      <c r="AN925" s="4">
        <f t="shared" si="197"/>
        <v>0</v>
      </c>
      <c r="AO925" s="39"/>
      <c r="AP925" s="8">
        <f t="shared" si="198"/>
        <v>0</v>
      </c>
      <c r="AQ925" s="8">
        <f t="shared" si="198"/>
        <v>0</v>
      </c>
      <c r="AR925" s="8">
        <f t="shared" si="199"/>
        <v>0</v>
      </c>
      <c r="AS925" s="42"/>
      <c r="AT925" s="48"/>
      <c r="AU925" s="48"/>
      <c r="AV925" s="4">
        <f t="shared" si="200"/>
        <v>0</v>
      </c>
      <c r="AW925" s="50" t="str">
        <f t="shared" si="204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56"/>
      <c r="B926" s="54"/>
      <c r="C926" s="56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54"/>
      <c r="O926" s="3" t="str">
        <f t="shared" si="194"/>
        <v/>
      </c>
      <c r="P926" s="48"/>
      <c r="Q926" s="48"/>
      <c r="R926" s="32"/>
      <c r="S926" s="3" t="str">
        <f t="shared" si="195"/>
        <v/>
      </c>
      <c r="T926" s="48"/>
      <c r="U926" s="48"/>
      <c r="V926" s="32"/>
      <c r="W926" s="3" t="str">
        <f t="shared" si="201"/>
        <v/>
      </c>
      <c r="X926" s="48"/>
      <c r="Y926" s="48"/>
      <c r="Z926" s="32"/>
      <c r="AA926" s="3" t="str">
        <f t="shared" si="202"/>
        <v/>
      </c>
      <c r="AB926" s="48"/>
      <c r="AC926" s="48"/>
      <c r="AD926" s="36"/>
      <c r="AE926" s="54"/>
      <c r="AF926" s="3" t="str">
        <f t="shared" si="203"/>
        <v/>
      </c>
      <c r="AG926" s="48"/>
      <c r="AH926" s="48"/>
      <c r="AI926" s="39"/>
      <c r="AJ926" s="79"/>
      <c r="AK926" s="39"/>
      <c r="AL926" s="4">
        <f t="shared" si="196"/>
        <v>0</v>
      </c>
      <c r="AM926" s="4">
        <f t="shared" si="196"/>
        <v>0</v>
      </c>
      <c r="AN926" s="4">
        <f t="shared" si="197"/>
        <v>0</v>
      </c>
      <c r="AO926" s="39"/>
      <c r="AP926" s="8">
        <f t="shared" si="198"/>
        <v>0</v>
      </c>
      <c r="AQ926" s="8">
        <f t="shared" si="198"/>
        <v>0</v>
      </c>
      <c r="AR926" s="8">
        <f t="shared" si="199"/>
        <v>0</v>
      </c>
      <c r="AS926" s="42"/>
      <c r="AT926" s="48"/>
      <c r="AU926" s="48"/>
      <c r="AV926" s="4">
        <f t="shared" si="200"/>
        <v>0</v>
      </c>
      <c r="AW926" s="50" t="str">
        <f t="shared" si="204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56"/>
      <c r="B927" s="54"/>
      <c r="C927" s="56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54"/>
      <c r="O927" s="3" t="str">
        <f t="shared" si="194"/>
        <v/>
      </c>
      <c r="P927" s="48"/>
      <c r="Q927" s="48"/>
      <c r="R927" s="32"/>
      <c r="S927" s="3" t="str">
        <f t="shared" si="195"/>
        <v/>
      </c>
      <c r="T927" s="48"/>
      <c r="U927" s="48"/>
      <c r="V927" s="32"/>
      <c r="W927" s="3" t="str">
        <f t="shared" si="201"/>
        <v/>
      </c>
      <c r="X927" s="48"/>
      <c r="Y927" s="48"/>
      <c r="Z927" s="32"/>
      <c r="AA927" s="3" t="str">
        <f t="shared" si="202"/>
        <v/>
      </c>
      <c r="AB927" s="48"/>
      <c r="AC927" s="48"/>
      <c r="AD927" s="36"/>
      <c r="AE927" s="54"/>
      <c r="AF927" s="3" t="str">
        <f t="shared" si="203"/>
        <v/>
      </c>
      <c r="AG927" s="48"/>
      <c r="AH927" s="48"/>
      <c r="AI927" s="39"/>
      <c r="AJ927" s="79"/>
      <c r="AK927" s="39"/>
      <c r="AL927" s="4">
        <f t="shared" si="196"/>
        <v>0</v>
      </c>
      <c r="AM927" s="4">
        <f t="shared" si="196"/>
        <v>0</v>
      </c>
      <c r="AN927" s="4">
        <f t="shared" si="197"/>
        <v>0</v>
      </c>
      <c r="AO927" s="39"/>
      <c r="AP927" s="8">
        <f t="shared" si="198"/>
        <v>0</v>
      </c>
      <c r="AQ927" s="8">
        <f t="shared" si="198"/>
        <v>0</v>
      </c>
      <c r="AR927" s="8">
        <f t="shared" si="199"/>
        <v>0</v>
      </c>
      <c r="AS927" s="42"/>
      <c r="AT927" s="48"/>
      <c r="AU927" s="48"/>
      <c r="AV927" s="4">
        <f t="shared" si="200"/>
        <v>0</v>
      </c>
      <c r="AW927" s="50" t="str">
        <f t="shared" si="204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56"/>
      <c r="B928" s="54"/>
      <c r="C928" s="56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54"/>
      <c r="O928" s="3" t="str">
        <f t="shared" si="194"/>
        <v/>
      </c>
      <c r="P928" s="48"/>
      <c r="Q928" s="48"/>
      <c r="R928" s="32"/>
      <c r="S928" s="3" t="str">
        <f t="shared" si="195"/>
        <v/>
      </c>
      <c r="T928" s="48"/>
      <c r="U928" s="48"/>
      <c r="V928" s="32"/>
      <c r="W928" s="3" t="str">
        <f t="shared" si="201"/>
        <v/>
      </c>
      <c r="X928" s="48"/>
      <c r="Y928" s="48"/>
      <c r="Z928" s="32"/>
      <c r="AA928" s="3" t="str">
        <f t="shared" si="202"/>
        <v/>
      </c>
      <c r="AB928" s="48"/>
      <c r="AC928" s="48"/>
      <c r="AD928" s="36"/>
      <c r="AE928" s="54"/>
      <c r="AF928" s="3" t="str">
        <f t="shared" si="203"/>
        <v/>
      </c>
      <c r="AG928" s="48"/>
      <c r="AH928" s="48"/>
      <c r="AI928" s="39"/>
      <c r="AJ928" s="79"/>
      <c r="AK928" s="39"/>
      <c r="AL928" s="4">
        <f t="shared" si="196"/>
        <v>0</v>
      </c>
      <c r="AM928" s="4">
        <f t="shared" si="196"/>
        <v>0</v>
      </c>
      <c r="AN928" s="4">
        <f t="shared" si="197"/>
        <v>0</v>
      </c>
      <c r="AO928" s="39"/>
      <c r="AP928" s="8">
        <f t="shared" si="198"/>
        <v>0</v>
      </c>
      <c r="AQ928" s="8">
        <f t="shared" si="198"/>
        <v>0</v>
      </c>
      <c r="AR928" s="8">
        <f t="shared" si="199"/>
        <v>0</v>
      </c>
      <c r="AS928" s="42"/>
      <c r="AT928" s="48"/>
      <c r="AU928" s="48"/>
      <c r="AV928" s="4">
        <f t="shared" si="200"/>
        <v>0</v>
      </c>
      <c r="AW928" s="50" t="str">
        <f t="shared" si="204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56"/>
      <c r="B929" s="54"/>
      <c r="C929" s="56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54"/>
      <c r="O929" s="3" t="str">
        <f t="shared" si="194"/>
        <v/>
      </c>
      <c r="P929" s="48"/>
      <c r="Q929" s="48"/>
      <c r="R929" s="32"/>
      <c r="S929" s="3" t="str">
        <f t="shared" si="195"/>
        <v/>
      </c>
      <c r="T929" s="48"/>
      <c r="U929" s="48"/>
      <c r="V929" s="32"/>
      <c r="W929" s="3" t="str">
        <f t="shared" si="201"/>
        <v/>
      </c>
      <c r="X929" s="48"/>
      <c r="Y929" s="48"/>
      <c r="Z929" s="32"/>
      <c r="AA929" s="3" t="str">
        <f t="shared" si="202"/>
        <v/>
      </c>
      <c r="AB929" s="48"/>
      <c r="AC929" s="48"/>
      <c r="AD929" s="36"/>
      <c r="AE929" s="54"/>
      <c r="AF929" s="3" t="str">
        <f t="shared" si="203"/>
        <v/>
      </c>
      <c r="AG929" s="48"/>
      <c r="AH929" s="48"/>
      <c r="AI929" s="39"/>
      <c r="AJ929" s="79"/>
      <c r="AK929" s="39"/>
      <c r="AL929" s="4">
        <f t="shared" si="196"/>
        <v>0</v>
      </c>
      <c r="AM929" s="4">
        <f t="shared" si="196"/>
        <v>0</v>
      </c>
      <c r="AN929" s="4">
        <f t="shared" si="197"/>
        <v>0</v>
      </c>
      <c r="AO929" s="39"/>
      <c r="AP929" s="8">
        <f t="shared" si="198"/>
        <v>0</v>
      </c>
      <c r="AQ929" s="8">
        <f t="shared" si="198"/>
        <v>0</v>
      </c>
      <c r="AR929" s="8">
        <f t="shared" si="199"/>
        <v>0</v>
      </c>
      <c r="AS929" s="42"/>
      <c r="AT929" s="48"/>
      <c r="AU929" s="48"/>
      <c r="AV929" s="4">
        <f t="shared" si="200"/>
        <v>0</v>
      </c>
      <c r="AW929" s="50" t="str">
        <f t="shared" si="204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56"/>
      <c r="B930" s="54"/>
      <c r="C930" s="56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54"/>
      <c r="O930" s="3" t="str">
        <f t="shared" si="194"/>
        <v/>
      </c>
      <c r="P930" s="48"/>
      <c r="Q930" s="48"/>
      <c r="R930" s="32"/>
      <c r="S930" s="3" t="str">
        <f t="shared" si="195"/>
        <v/>
      </c>
      <c r="T930" s="48"/>
      <c r="U930" s="48"/>
      <c r="V930" s="32"/>
      <c r="W930" s="3" t="str">
        <f t="shared" si="201"/>
        <v/>
      </c>
      <c r="X930" s="48"/>
      <c r="Y930" s="48"/>
      <c r="Z930" s="32"/>
      <c r="AA930" s="3" t="str">
        <f t="shared" si="202"/>
        <v/>
      </c>
      <c r="AB930" s="48"/>
      <c r="AC930" s="48"/>
      <c r="AD930" s="36"/>
      <c r="AE930" s="54"/>
      <c r="AF930" s="3" t="str">
        <f t="shared" si="203"/>
        <v/>
      </c>
      <c r="AG930" s="48"/>
      <c r="AH930" s="48"/>
      <c r="AI930" s="39"/>
      <c r="AJ930" s="79"/>
      <c r="AK930" s="39"/>
      <c r="AL930" s="4">
        <f t="shared" si="196"/>
        <v>0</v>
      </c>
      <c r="AM930" s="4">
        <f t="shared" si="196"/>
        <v>0</v>
      </c>
      <c r="AN930" s="4">
        <f t="shared" si="197"/>
        <v>0</v>
      </c>
      <c r="AO930" s="39"/>
      <c r="AP930" s="8">
        <f t="shared" si="198"/>
        <v>0</v>
      </c>
      <c r="AQ930" s="8">
        <f t="shared" si="198"/>
        <v>0</v>
      </c>
      <c r="AR930" s="8">
        <f t="shared" si="199"/>
        <v>0</v>
      </c>
      <c r="AS930" s="42"/>
      <c r="AT930" s="48"/>
      <c r="AU930" s="48"/>
      <c r="AV930" s="4">
        <f t="shared" si="200"/>
        <v>0</v>
      </c>
      <c r="AW930" s="50" t="str">
        <f t="shared" si="204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56"/>
      <c r="B931" s="54"/>
      <c r="C931" s="56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54"/>
      <c r="O931" s="3" t="str">
        <f t="shared" si="194"/>
        <v/>
      </c>
      <c r="P931" s="48"/>
      <c r="Q931" s="48"/>
      <c r="R931" s="32"/>
      <c r="S931" s="3" t="str">
        <f t="shared" si="195"/>
        <v/>
      </c>
      <c r="T931" s="48"/>
      <c r="U931" s="48"/>
      <c r="V931" s="32"/>
      <c r="W931" s="3" t="str">
        <f t="shared" si="201"/>
        <v/>
      </c>
      <c r="X931" s="48"/>
      <c r="Y931" s="48"/>
      <c r="Z931" s="32"/>
      <c r="AA931" s="3" t="str">
        <f t="shared" si="202"/>
        <v/>
      </c>
      <c r="AB931" s="48"/>
      <c r="AC931" s="48"/>
      <c r="AD931" s="36"/>
      <c r="AE931" s="54"/>
      <c r="AF931" s="3" t="str">
        <f t="shared" si="203"/>
        <v/>
      </c>
      <c r="AG931" s="48"/>
      <c r="AH931" s="48"/>
      <c r="AI931" s="39"/>
      <c r="AJ931" s="79"/>
      <c r="AK931" s="39"/>
      <c r="AL931" s="4">
        <f t="shared" si="196"/>
        <v>0</v>
      </c>
      <c r="AM931" s="4">
        <f t="shared" si="196"/>
        <v>0</v>
      </c>
      <c r="AN931" s="4">
        <f t="shared" si="197"/>
        <v>0</v>
      </c>
      <c r="AO931" s="39"/>
      <c r="AP931" s="8">
        <f t="shared" si="198"/>
        <v>0</v>
      </c>
      <c r="AQ931" s="8">
        <f t="shared" si="198"/>
        <v>0</v>
      </c>
      <c r="AR931" s="8">
        <f t="shared" si="199"/>
        <v>0</v>
      </c>
      <c r="AS931" s="42"/>
      <c r="AT931" s="48"/>
      <c r="AU931" s="48"/>
      <c r="AV931" s="4">
        <f t="shared" si="200"/>
        <v>0</v>
      </c>
      <c r="AW931" s="50" t="str">
        <f t="shared" si="204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56"/>
      <c r="B932" s="54"/>
      <c r="C932" s="56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54"/>
      <c r="O932" s="3" t="str">
        <f t="shared" si="194"/>
        <v/>
      </c>
      <c r="P932" s="48"/>
      <c r="Q932" s="48"/>
      <c r="R932" s="32"/>
      <c r="S932" s="3" t="str">
        <f t="shared" si="195"/>
        <v/>
      </c>
      <c r="T932" s="48"/>
      <c r="U932" s="48"/>
      <c r="V932" s="32"/>
      <c r="W932" s="3" t="str">
        <f t="shared" si="201"/>
        <v/>
      </c>
      <c r="X932" s="48"/>
      <c r="Y932" s="48"/>
      <c r="Z932" s="32"/>
      <c r="AA932" s="3" t="str">
        <f t="shared" si="202"/>
        <v/>
      </c>
      <c r="AB932" s="48"/>
      <c r="AC932" s="48"/>
      <c r="AD932" s="36"/>
      <c r="AE932" s="54"/>
      <c r="AF932" s="3" t="str">
        <f t="shared" si="203"/>
        <v/>
      </c>
      <c r="AG932" s="48"/>
      <c r="AH932" s="48"/>
      <c r="AI932" s="39"/>
      <c r="AJ932" s="79"/>
      <c r="AK932" s="39"/>
      <c r="AL932" s="4">
        <f t="shared" si="196"/>
        <v>0</v>
      </c>
      <c r="AM932" s="4">
        <f t="shared" si="196"/>
        <v>0</v>
      </c>
      <c r="AN932" s="4">
        <f t="shared" si="197"/>
        <v>0</v>
      </c>
      <c r="AO932" s="39"/>
      <c r="AP932" s="8">
        <f t="shared" si="198"/>
        <v>0</v>
      </c>
      <c r="AQ932" s="8">
        <f t="shared" si="198"/>
        <v>0</v>
      </c>
      <c r="AR932" s="8">
        <f t="shared" si="199"/>
        <v>0</v>
      </c>
      <c r="AS932" s="42"/>
      <c r="AT932" s="48"/>
      <c r="AU932" s="48"/>
      <c r="AV932" s="4">
        <f t="shared" si="200"/>
        <v>0</v>
      </c>
      <c r="AW932" s="50" t="str">
        <f t="shared" si="204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56"/>
      <c r="B933" s="54"/>
      <c r="C933" s="56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54"/>
      <c r="O933" s="3" t="str">
        <f t="shared" si="194"/>
        <v/>
      </c>
      <c r="P933" s="48"/>
      <c r="Q933" s="48"/>
      <c r="R933" s="32"/>
      <c r="S933" s="3" t="str">
        <f t="shared" si="195"/>
        <v/>
      </c>
      <c r="T933" s="48"/>
      <c r="U933" s="48"/>
      <c r="V933" s="32"/>
      <c r="W933" s="3" t="str">
        <f t="shared" si="201"/>
        <v/>
      </c>
      <c r="X933" s="48"/>
      <c r="Y933" s="48"/>
      <c r="Z933" s="32"/>
      <c r="AA933" s="3" t="str">
        <f t="shared" si="202"/>
        <v/>
      </c>
      <c r="AB933" s="48"/>
      <c r="AC933" s="48"/>
      <c r="AD933" s="36"/>
      <c r="AE933" s="54"/>
      <c r="AF933" s="3" t="str">
        <f t="shared" si="203"/>
        <v/>
      </c>
      <c r="AG933" s="48"/>
      <c r="AH933" s="48"/>
      <c r="AI933" s="39"/>
      <c r="AJ933" s="79"/>
      <c r="AK933" s="39"/>
      <c r="AL933" s="4">
        <f t="shared" si="196"/>
        <v>0</v>
      </c>
      <c r="AM933" s="4">
        <f t="shared" si="196"/>
        <v>0</v>
      </c>
      <c r="AN933" s="4">
        <f t="shared" si="197"/>
        <v>0</v>
      </c>
      <c r="AO933" s="39"/>
      <c r="AP933" s="8">
        <f t="shared" si="198"/>
        <v>0</v>
      </c>
      <c r="AQ933" s="8">
        <f t="shared" si="198"/>
        <v>0</v>
      </c>
      <c r="AR933" s="8">
        <f t="shared" si="199"/>
        <v>0</v>
      </c>
      <c r="AS933" s="42"/>
      <c r="AT933" s="48"/>
      <c r="AU933" s="48"/>
      <c r="AV933" s="4">
        <f t="shared" si="200"/>
        <v>0</v>
      </c>
      <c r="AW933" s="50" t="str">
        <f t="shared" si="204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56"/>
      <c r="B934" s="54"/>
      <c r="C934" s="56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54"/>
      <c r="O934" s="3" t="str">
        <f t="shared" si="194"/>
        <v/>
      </c>
      <c r="P934" s="48"/>
      <c r="Q934" s="48"/>
      <c r="R934" s="32"/>
      <c r="S934" s="3" t="str">
        <f t="shared" si="195"/>
        <v/>
      </c>
      <c r="T934" s="48"/>
      <c r="U934" s="48"/>
      <c r="V934" s="32"/>
      <c r="W934" s="3" t="str">
        <f t="shared" si="201"/>
        <v/>
      </c>
      <c r="X934" s="48"/>
      <c r="Y934" s="48"/>
      <c r="Z934" s="32"/>
      <c r="AA934" s="3" t="str">
        <f t="shared" si="202"/>
        <v/>
      </c>
      <c r="AB934" s="48"/>
      <c r="AC934" s="48"/>
      <c r="AD934" s="36"/>
      <c r="AE934" s="54"/>
      <c r="AF934" s="3" t="str">
        <f t="shared" si="203"/>
        <v/>
      </c>
      <c r="AG934" s="48"/>
      <c r="AH934" s="48"/>
      <c r="AI934" s="39"/>
      <c r="AJ934" s="79"/>
      <c r="AK934" s="39"/>
      <c r="AL934" s="4">
        <f t="shared" si="196"/>
        <v>0</v>
      </c>
      <c r="AM934" s="4">
        <f t="shared" si="196"/>
        <v>0</v>
      </c>
      <c r="AN934" s="4">
        <f t="shared" si="197"/>
        <v>0</v>
      </c>
      <c r="AO934" s="39"/>
      <c r="AP934" s="8">
        <f t="shared" si="198"/>
        <v>0</v>
      </c>
      <c r="AQ934" s="8">
        <f t="shared" si="198"/>
        <v>0</v>
      </c>
      <c r="AR934" s="8">
        <f t="shared" si="199"/>
        <v>0</v>
      </c>
      <c r="AS934" s="42"/>
      <c r="AT934" s="48"/>
      <c r="AU934" s="48"/>
      <c r="AV934" s="4">
        <f t="shared" si="200"/>
        <v>0</v>
      </c>
      <c r="AW934" s="50" t="str">
        <f t="shared" si="204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56"/>
      <c r="B935" s="54"/>
      <c r="C935" s="56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54"/>
      <c r="O935" s="3" t="str">
        <f t="shared" si="194"/>
        <v/>
      </c>
      <c r="P935" s="48"/>
      <c r="Q935" s="48"/>
      <c r="R935" s="32"/>
      <c r="S935" s="3" t="str">
        <f t="shared" si="195"/>
        <v/>
      </c>
      <c r="T935" s="48"/>
      <c r="U935" s="48"/>
      <c r="V935" s="32"/>
      <c r="W935" s="3" t="str">
        <f t="shared" si="201"/>
        <v/>
      </c>
      <c r="X935" s="48"/>
      <c r="Y935" s="48"/>
      <c r="Z935" s="32"/>
      <c r="AA935" s="3" t="str">
        <f t="shared" si="202"/>
        <v/>
      </c>
      <c r="AB935" s="48"/>
      <c r="AC935" s="48"/>
      <c r="AD935" s="36"/>
      <c r="AE935" s="54"/>
      <c r="AF935" s="3" t="str">
        <f t="shared" si="203"/>
        <v/>
      </c>
      <c r="AG935" s="48"/>
      <c r="AH935" s="48"/>
      <c r="AI935" s="39"/>
      <c r="AJ935" s="79"/>
      <c r="AK935" s="39"/>
      <c r="AL935" s="4">
        <f t="shared" si="196"/>
        <v>0</v>
      </c>
      <c r="AM935" s="4">
        <f t="shared" si="196"/>
        <v>0</v>
      </c>
      <c r="AN935" s="4">
        <f t="shared" si="197"/>
        <v>0</v>
      </c>
      <c r="AO935" s="39"/>
      <c r="AP935" s="8">
        <f t="shared" si="198"/>
        <v>0</v>
      </c>
      <c r="AQ935" s="8">
        <f t="shared" si="198"/>
        <v>0</v>
      </c>
      <c r="AR935" s="8">
        <f t="shared" si="199"/>
        <v>0</v>
      </c>
      <c r="AS935" s="42"/>
      <c r="AT935" s="48"/>
      <c r="AU935" s="48"/>
      <c r="AV935" s="4">
        <f t="shared" si="200"/>
        <v>0</v>
      </c>
      <c r="AW935" s="50" t="str">
        <f t="shared" si="204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56"/>
      <c r="B936" s="54"/>
      <c r="C936" s="56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54"/>
      <c r="O936" s="3" t="str">
        <f t="shared" ref="O936:O999" si="205">IF($A936="","",IF(P936=AZ936,"E","A"))</f>
        <v/>
      </c>
      <c r="P936" s="48"/>
      <c r="Q936" s="48"/>
      <c r="R936" s="32"/>
      <c r="S936" s="3" t="str">
        <f t="shared" si="195"/>
        <v/>
      </c>
      <c r="T936" s="48"/>
      <c r="U936" s="48"/>
      <c r="V936" s="32"/>
      <c r="W936" s="3" t="str">
        <f t="shared" si="201"/>
        <v/>
      </c>
      <c r="X936" s="48"/>
      <c r="Y936" s="48"/>
      <c r="Z936" s="32"/>
      <c r="AA936" s="3" t="str">
        <f t="shared" si="202"/>
        <v/>
      </c>
      <c r="AB936" s="48"/>
      <c r="AC936" s="48"/>
      <c r="AD936" s="36"/>
      <c r="AE936" s="54"/>
      <c r="AF936" s="3" t="str">
        <f t="shared" si="203"/>
        <v/>
      </c>
      <c r="AG936" s="48"/>
      <c r="AH936" s="48"/>
      <c r="AI936" s="39"/>
      <c r="AJ936" s="79"/>
      <c r="AK936" s="39"/>
      <c r="AL936" s="4">
        <f t="shared" si="196"/>
        <v>0</v>
      </c>
      <c r="AM936" s="4">
        <f t="shared" si="196"/>
        <v>0</v>
      </c>
      <c r="AN936" s="4">
        <f t="shared" si="197"/>
        <v>0</v>
      </c>
      <c r="AO936" s="39"/>
      <c r="AP936" s="8">
        <f t="shared" si="198"/>
        <v>0</v>
      </c>
      <c r="AQ936" s="8">
        <f t="shared" si="198"/>
        <v>0</v>
      </c>
      <c r="AR936" s="8">
        <f t="shared" si="199"/>
        <v>0</v>
      </c>
      <c r="AS936" s="42"/>
      <c r="AT936" s="48"/>
      <c r="AU936" s="48"/>
      <c r="AV936" s="4">
        <f t="shared" si="200"/>
        <v>0</v>
      </c>
      <c r="AW936" s="50" t="str">
        <f t="shared" si="204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56"/>
      <c r="B937" s="54"/>
      <c r="C937" s="56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54"/>
      <c r="O937" s="3" t="str">
        <f t="shared" si="205"/>
        <v/>
      </c>
      <c r="P937" s="48"/>
      <c r="Q937" s="48"/>
      <c r="R937" s="32"/>
      <c r="S937" s="3" t="str">
        <f t="shared" si="195"/>
        <v/>
      </c>
      <c r="T937" s="48"/>
      <c r="U937" s="48"/>
      <c r="V937" s="32"/>
      <c r="W937" s="3" t="str">
        <f t="shared" si="201"/>
        <v/>
      </c>
      <c r="X937" s="48"/>
      <c r="Y937" s="48"/>
      <c r="Z937" s="32"/>
      <c r="AA937" s="3" t="str">
        <f t="shared" si="202"/>
        <v/>
      </c>
      <c r="AB937" s="48"/>
      <c r="AC937" s="48"/>
      <c r="AD937" s="36"/>
      <c r="AE937" s="54"/>
      <c r="AF937" s="3" t="str">
        <f t="shared" si="203"/>
        <v/>
      </c>
      <c r="AG937" s="48"/>
      <c r="AH937" s="48"/>
      <c r="AI937" s="39"/>
      <c r="AJ937" s="79"/>
      <c r="AK937" s="39"/>
      <c r="AL937" s="4">
        <f t="shared" si="196"/>
        <v>0</v>
      </c>
      <c r="AM937" s="4">
        <f t="shared" si="196"/>
        <v>0</v>
      </c>
      <c r="AN937" s="4">
        <f t="shared" si="197"/>
        <v>0</v>
      </c>
      <c r="AO937" s="39"/>
      <c r="AP937" s="8">
        <f t="shared" si="198"/>
        <v>0</v>
      </c>
      <c r="AQ937" s="8">
        <f t="shared" si="198"/>
        <v>0</v>
      </c>
      <c r="AR937" s="8">
        <f t="shared" si="199"/>
        <v>0</v>
      </c>
      <c r="AS937" s="42"/>
      <c r="AT937" s="48"/>
      <c r="AU937" s="48"/>
      <c r="AV937" s="4">
        <f t="shared" si="200"/>
        <v>0</v>
      </c>
      <c r="AW937" s="50" t="str">
        <f t="shared" si="204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56"/>
      <c r="B938" s="54"/>
      <c r="C938" s="56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54"/>
      <c r="O938" s="3" t="str">
        <f t="shared" si="205"/>
        <v/>
      </c>
      <c r="P938" s="48"/>
      <c r="Q938" s="48"/>
      <c r="R938" s="32"/>
      <c r="S938" s="3" t="str">
        <f t="shared" si="195"/>
        <v/>
      </c>
      <c r="T938" s="48"/>
      <c r="U938" s="48"/>
      <c r="V938" s="32"/>
      <c r="W938" s="3" t="str">
        <f t="shared" si="201"/>
        <v/>
      </c>
      <c r="X938" s="48"/>
      <c r="Y938" s="48"/>
      <c r="Z938" s="32"/>
      <c r="AA938" s="3" t="str">
        <f t="shared" si="202"/>
        <v/>
      </c>
      <c r="AB938" s="48"/>
      <c r="AC938" s="48"/>
      <c r="AD938" s="36"/>
      <c r="AE938" s="54"/>
      <c r="AF938" s="3" t="str">
        <f t="shared" si="203"/>
        <v/>
      </c>
      <c r="AG938" s="48"/>
      <c r="AH938" s="48"/>
      <c r="AI938" s="39"/>
      <c r="AJ938" s="79"/>
      <c r="AK938" s="39"/>
      <c r="AL938" s="4">
        <f t="shared" si="196"/>
        <v>0</v>
      </c>
      <c r="AM938" s="4">
        <f t="shared" si="196"/>
        <v>0</v>
      </c>
      <c r="AN938" s="4">
        <f t="shared" si="197"/>
        <v>0</v>
      </c>
      <c r="AO938" s="39"/>
      <c r="AP938" s="8">
        <f t="shared" si="198"/>
        <v>0</v>
      </c>
      <c r="AQ938" s="8">
        <f t="shared" si="198"/>
        <v>0</v>
      </c>
      <c r="AR938" s="8">
        <f t="shared" si="199"/>
        <v>0</v>
      </c>
      <c r="AS938" s="42"/>
      <c r="AT938" s="48"/>
      <c r="AU938" s="48"/>
      <c r="AV938" s="4">
        <f t="shared" si="200"/>
        <v>0</v>
      </c>
      <c r="AW938" s="50" t="str">
        <f t="shared" si="204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56"/>
      <c r="B939" s="54"/>
      <c r="C939" s="56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54"/>
      <c r="O939" s="3" t="str">
        <f t="shared" si="205"/>
        <v/>
      </c>
      <c r="P939" s="48"/>
      <c r="Q939" s="48"/>
      <c r="R939" s="32"/>
      <c r="S939" s="3" t="str">
        <f t="shared" ref="S939:S999" si="206">IF($A939="","",IF(T939=BA939,"E","A"))</f>
        <v/>
      </c>
      <c r="T939" s="48"/>
      <c r="U939" s="48"/>
      <c r="V939" s="32"/>
      <c r="W939" s="3" t="str">
        <f t="shared" si="201"/>
        <v/>
      </c>
      <c r="X939" s="48"/>
      <c r="Y939" s="48"/>
      <c r="Z939" s="32"/>
      <c r="AA939" s="3" t="str">
        <f t="shared" si="202"/>
        <v/>
      </c>
      <c r="AB939" s="48"/>
      <c r="AC939" s="48"/>
      <c r="AD939" s="36"/>
      <c r="AE939" s="54"/>
      <c r="AF939" s="3" t="str">
        <f t="shared" si="203"/>
        <v/>
      </c>
      <c r="AG939" s="48"/>
      <c r="AH939" s="48"/>
      <c r="AI939" s="39"/>
      <c r="AJ939" s="79"/>
      <c r="AK939" s="39"/>
      <c r="AL939" s="4">
        <f t="shared" si="196"/>
        <v>0</v>
      </c>
      <c r="AM939" s="4">
        <f t="shared" si="196"/>
        <v>0</v>
      </c>
      <c r="AN939" s="4">
        <f t="shared" si="197"/>
        <v>0</v>
      </c>
      <c r="AO939" s="39"/>
      <c r="AP939" s="8">
        <f t="shared" si="198"/>
        <v>0</v>
      </c>
      <c r="AQ939" s="8">
        <f t="shared" si="198"/>
        <v>0</v>
      </c>
      <c r="AR939" s="8">
        <f t="shared" si="199"/>
        <v>0</v>
      </c>
      <c r="AS939" s="42"/>
      <c r="AT939" s="48"/>
      <c r="AU939" s="48"/>
      <c r="AV939" s="4">
        <f t="shared" si="200"/>
        <v>0</v>
      </c>
      <c r="AW939" s="50" t="str">
        <f t="shared" si="204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56"/>
      <c r="B940" s="54"/>
      <c r="C940" s="56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54"/>
      <c r="O940" s="3" t="str">
        <f t="shared" si="205"/>
        <v/>
      </c>
      <c r="P940" s="48"/>
      <c r="Q940" s="48"/>
      <c r="R940" s="32"/>
      <c r="S940" s="3" t="str">
        <f t="shared" si="206"/>
        <v/>
      </c>
      <c r="T940" s="48"/>
      <c r="U940" s="48"/>
      <c r="V940" s="32"/>
      <c r="W940" s="3" t="str">
        <f t="shared" si="201"/>
        <v/>
      </c>
      <c r="X940" s="48"/>
      <c r="Y940" s="48"/>
      <c r="Z940" s="32"/>
      <c r="AA940" s="3" t="str">
        <f t="shared" si="202"/>
        <v/>
      </c>
      <c r="AB940" s="48"/>
      <c r="AC940" s="48"/>
      <c r="AD940" s="36"/>
      <c r="AE940" s="54"/>
      <c r="AF940" s="3" t="str">
        <f t="shared" si="203"/>
        <v/>
      </c>
      <c r="AG940" s="48"/>
      <c r="AH940" s="48"/>
      <c r="AI940" s="39"/>
      <c r="AJ940" s="79"/>
      <c r="AK940" s="39"/>
      <c r="AL940" s="4">
        <f t="shared" si="196"/>
        <v>0</v>
      </c>
      <c r="AM940" s="4">
        <f t="shared" si="196"/>
        <v>0</v>
      </c>
      <c r="AN940" s="4">
        <f t="shared" si="197"/>
        <v>0</v>
      </c>
      <c r="AO940" s="39"/>
      <c r="AP940" s="8">
        <f t="shared" si="198"/>
        <v>0</v>
      </c>
      <c r="AQ940" s="8">
        <f t="shared" si="198"/>
        <v>0</v>
      </c>
      <c r="AR940" s="8">
        <f t="shared" si="199"/>
        <v>0</v>
      </c>
      <c r="AS940" s="42"/>
      <c r="AT940" s="48"/>
      <c r="AU940" s="48"/>
      <c r="AV940" s="4">
        <f t="shared" si="200"/>
        <v>0</v>
      </c>
      <c r="AW940" s="50" t="str">
        <f t="shared" si="204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56"/>
      <c r="B941" s="54"/>
      <c r="C941" s="56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54"/>
      <c r="O941" s="3" t="str">
        <f t="shared" si="205"/>
        <v/>
      </c>
      <c r="P941" s="48"/>
      <c r="Q941" s="48"/>
      <c r="R941" s="32"/>
      <c r="S941" s="3" t="str">
        <f t="shared" si="206"/>
        <v/>
      </c>
      <c r="T941" s="48"/>
      <c r="U941" s="48"/>
      <c r="V941" s="32"/>
      <c r="W941" s="3" t="str">
        <f t="shared" si="201"/>
        <v/>
      </c>
      <c r="X941" s="48"/>
      <c r="Y941" s="48"/>
      <c r="Z941" s="32"/>
      <c r="AA941" s="3" t="str">
        <f t="shared" si="202"/>
        <v/>
      </c>
      <c r="AB941" s="48"/>
      <c r="AC941" s="48"/>
      <c r="AD941" s="36"/>
      <c r="AE941" s="54"/>
      <c r="AF941" s="3" t="str">
        <f t="shared" si="203"/>
        <v/>
      </c>
      <c r="AG941" s="48"/>
      <c r="AH941" s="48"/>
      <c r="AI941" s="39"/>
      <c r="AJ941" s="79"/>
      <c r="AK941" s="39"/>
      <c r="AL941" s="4">
        <f t="shared" si="196"/>
        <v>0</v>
      </c>
      <c r="AM941" s="4">
        <f t="shared" si="196"/>
        <v>0</v>
      </c>
      <c r="AN941" s="4">
        <f t="shared" si="197"/>
        <v>0</v>
      </c>
      <c r="AO941" s="39"/>
      <c r="AP941" s="8">
        <f t="shared" si="198"/>
        <v>0</v>
      </c>
      <c r="AQ941" s="8">
        <f t="shared" si="198"/>
        <v>0</v>
      </c>
      <c r="AR941" s="8">
        <f t="shared" si="199"/>
        <v>0</v>
      </c>
      <c r="AS941" s="42"/>
      <c r="AT941" s="48"/>
      <c r="AU941" s="48"/>
      <c r="AV941" s="4">
        <f t="shared" si="200"/>
        <v>0</v>
      </c>
      <c r="AW941" s="50" t="str">
        <f t="shared" si="204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56"/>
      <c r="B942" s="54"/>
      <c r="C942" s="56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54"/>
      <c r="O942" s="3" t="str">
        <f t="shared" si="205"/>
        <v/>
      </c>
      <c r="P942" s="48"/>
      <c r="Q942" s="48"/>
      <c r="R942" s="32"/>
      <c r="S942" s="3" t="str">
        <f t="shared" si="206"/>
        <v/>
      </c>
      <c r="T942" s="48"/>
      <c r="U942" s="48"/>
      <c r="V942" s="32"/>
      <c r="W942" s="3" t="str">
        <f t="shared" si="201"/>
        <v/>
      </c>
      <c r="X942" s="48"/>
      <c r="Y942" s="48"/>
      <c r="Z942" s="32"/>
      <c r="AA942" s="3" t="str">
        <f t="shared" si="202"/>
        <v/>
      </c>
      <c r="AB942" s="48"/>
      <c r="AC942" s="48"/>
      <c r="AD942" s="36"/>
      <c r="AE942" s="54"/>
      <c r="AF942" s="3" t="str">
        <f t="shared" si="203"/>
        <v/>
      </c>
      <c r="AG942" s="48"/>
      <c r="AH942" s="48"/>
      <c r="AI942" s="39"/>
      <c r="AJ942" s="79"/>
      <c r="AK942" s="39"/>
      <c r="AL942" s="4">
        <f t="shared" si="196"/>
        <v>0</v>
      </c>
      <c r="AM942" s="4">
        <f t="shared" si="196"/>
        <v>0</v>
      </c>
      <c r="AN942" s="4">
        <f t="shared" si="197"/>
        <v>0</v>
      </c>
      <c r="AO942" s="39"/>
      <c r="AP942" s="8">
        <f t="shared" si="198"/>
        <v>0</v>
      </c>
      <c r="AQ942" s="8">
        <f t="shared" si="198"/>
        <v>0</v>
      </c>
      <c r="AR942" s="8">
        <f t="shared" si="199"/>
        <v>0</v>
      </c>
      <c r="AS942" s="42"/>
      <c r="AT942" s="48"/>
      <c r="AU942" s="48"/>
      <c r="AV942" s="4">
        <f t="shared" si="200"/>
        <v>0</v>
      </c>
      <c r="AW942" s="50" t="str">
        <f t="shared" si="204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56"/>
      <c r="B943" s="54"/>
      <c r="C943" s="56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54"/>
      <c r="O943" s="3" t="str">
        <f t="shared" si="205"/>
        <v/>
      </c>
      <c r="P943" s="48"/>
      <c r="Q943" s="48"/>
      <c r="R943" s="32"/>
      <c r="S943" s="3" t="str">
        <f t="shared" si="206"/>
        <v/>
      </c>
      <c r="T943" s="48"/>
      <c r="U943" s="48"/>
      <c r="V943" s="32"/>
      <c r="W943" s="3" t="str">
        <f t="shared" si="201"/>
        <v/>
      </c>
      <c r="X943" s="48"/>
      <c r="Y943" s="48"/>
      <c r="Z943" s="32"/>
      <c r="AA943" s="3" t="str">
        <f t="shared" si="202"/>
        <v/>
      </c>
      <c r="AB943" s="48"/>
      <c r="AC943" s="48"/>
      <c r="AD943" s="36"/>
      <c r="AE943" s="54"/>
      <c r="AF943" s="3" t="str">
        <f t="shared" si="203"/>
        <v/>
      </c>
      <c r="AG943" s="48"/>
      <c r="AH943" s="48"/>
      <c r="AI943" s="39"/>
      <c r="AJ943" s="79"/>
      <c r="AK943" s="39"/>
      <c r="AL943" s="4">
        <f t="shared" si="196"/>
        <v>0</v>
      </c>
      <c r="AM943" s="4">
        <f t="shared" si="196"/>
        <v>0</v>
      </c>
      <c r="AN943" s="4">
        <f t="shared" si="197"/>
        <v>0</v>
      </c>
      <c r="AO943" s="39"/>
      <c r="AP943" s="8">
        <f t="shared" si="198"/>
        <v>0</v>
      </c>
      <c r="AQ943" s="8">
        <f t="shared" si="198"/>
        <v>0</v>
      </c>
      <c r="AR943" s="8">
        <f t="shared" si="199"/>
        <v>0</v>
      </c>
      <c r="AS943" s="42"/>
      <c r="AT943" s="48"/>
      <c r="AU943" s="48"/>
      <c r="AV943" s="4">
        <f t="shared" si="200"/>
        <v>0</v>
      </c>
      <c r="AW943" s="50" t="str">
        <f t="shared" si="204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56"/>
      <c r="B944" s="54"/>
      <c r="C944" s="56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54"/>
      <c r="O944" s="3" t="str">
        <f t="shared" si="205"/>
        <v/>
      </c>
      <c r="P944" s="48"/>
      <c r="Q944" s="48"/>
      <c r="R944" s="32"/>
      <c r="S944" s="3" t="str">
        <f t="shared" si="206"/>
        <v/>
      </c>
      <c r="T944" s="48"/>
      <c r="U944" s="48"/>
      <c r="V944" s="32"/>
      <c r="W944" s="3" t="str">
        <f t="shared" si="201"/>
        <v/>
      </c>
      <c r="X944" s="48"/>
      <c r="Y944" s="48"/>
      <c r="Z944" s="32"/>
      <c r="AA944" s="3" t="str">
        <f t="shared" si="202"/>
        <v/>
      </c>
      <c r="AB944" s="48"/>
      <c r="AC944" s="48"/>
      <c r="AD944" s="36"/>
      <c r="AE944" s="54"/>
      <c r="AF944" s="3" t="str">
        <f t="shared" si="203"/>
        <v/>
      </c>
      <c r="AG944" s="48"/>
      <c r="AH944" s="48"/>
      <c r="AI944" s="39"/>
      <c r="AJ944" s="79"/>
      <c r="AK944" s="39"/>
      <c r="AL944" s="4">
        <f t="shared" si="196"/>
        <v>0</v>
      </c>
      <c r="AM944" s="4">
        <f t="shared" si="196"/>
        <v>0</v>
      </c>
      <c r="AN944" s="4">
        <f t="shared" si="197"/>
        <v>0</v>
      </c>
      <c r="AO944" s="39"/>
      <c r="AP944" s="8">
        <f t="shared" si="198"/>
        <v>0</v>
      </c>
      <c r="AQ944" s="8">
        <f t="shared" si="198"/>
        <v>0</v>
      </c>
      <c r="AR944" s="8">
        <f t="shared" si="199"/>
        <v>0</v>
      </c>
      <c r="AS944" s="42"/>
      <c r="AT944" s="48"/>
      <c r="AU944" s="48"/>
      <c r="AV944" s="4">
        <f t="shared" si="200"/>
        <v>0</v>
      </c>
      <c r="AW944" s="50" t="str">
        <f t="shared" si="204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56"/>
      <c r="B945" s="54"/>
      <c r="C945" s="56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54"/>
      <c r="O945" s="3" t="str">
        <f t="shared" si="205"/>
        <v/>
      </c>
      <c r="P945" s="48"/>
      <c r="Q945" s="48"/>
      <c r="R945" s="32"/>
      <c r="S945" s="3" t="str">
        <f t="shared" si="206"/>
        <v/>
      </c>
      <c r="T945" s="48"/>
      <c r="U945" s="48"/>
      <c r="V945" s="32"/>
      <c r="W945" s="3" t="str">
        <f t="shared" si="201"/>
        <v/>
      </c>
      <c r="X945" s="48"/>
      <c r="Y945" s="48"/>
      <c r="Z945" s="32"/>
      <c r="AA945" s="3" t="str">
        <f t="shared" si="202"/>
        <v/>
      </c>
      <c r="AB945" s="48"/>
      <c r="AC945" s="48"/>
      <c r="AD945" s="36"/>
      <c r="AE945" s="54"/>
      <c r="AF945" s="3" t="str">
        <f t="shared" si="203"/>
        <v/>
      </c>
      <c r="AG945" s="48"/>
      <c r="AH945" s="48"/>
      <c r="AI945" s="39"/>
      <c r="AJ945" s="79"/>
      <c r="AK945" s="39"/>
      <c r="AL945" s="4">
        <f t="shared" si="196"/>
        <v>0</v>
      </c>
      <c r="AM945" s="4">
        <f t="shared" si="196"/>
        <v>0</v>
      </c>
      <c r="AN945" s="4">
        <f t="shared" si="197"/>
        <v>0</v>
      </c>
      <c r="AO945" s="39"/>
      <c r="AP945" s="8">
        <f t="shared" si="198"/>
        <v>0</v>
      </c>
      <c r="AQ945" s="8">
        <f t="shared" si="198"/>
        <v>0</v>
      </c>
      <c r="AR945" s="8">
        <f t="shared" si="199"/>
        <v>0</v>
      </c>
      <c r="AS945" s="42"/>
      <c r="AT945" s="48"/>
      <c r="AU945" s="48"/>
      <c r="AV945" s="4">
        <f t="shared" si="200"/>
        <v>0</v>
      </c>
      <c r="AW945" s="50" t="str">
        <f t="shared" si="204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56"/>
      <c r="B946" s="54"/>
      <c r="C946" s="56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54"/>
      <c r="O946" s="3" t="str">
        <f t="shared" si="205"/>
        <v/>
      </c>
      <c r="P946" s="48"/>
      <c r="Q946" s="48"/>
      <c r="R946" s="32"/>
      <c r="S946" s="3" t="str">
        <f t="shared" si="206"/>
        <v/>
      </c>
      <c r="T946" s="48"/>
      <c r="U946" s="48"/>
      <c r="V946" s="32"/>
      <c r="W946" s="3" t="str">
        <f t="shared" si="201"/>
        <v/>
      </c>
      <c r="X946" s="48"/>
      <c r="Y946" s="48"/>
      <c r="Z946" s="32"/>
      <c r="AA946" s="3" t="str">
        <f t="shared" si="202"/>
        <v/>
      </c>
      <c r="AB946" s="48"/>
      <c r="AC946" s="48"/>
      <c r="AD946" s="36"/>
      <c r="AE946" s="54"/>
      <c r="AF946" s="3" t="str">
        <f t="shared" si="203"/>
        <v/>
      </c>
      <c r="AG946" s="48"/>
      <c r="AH946" s="48"/>
      <c r="AI946" s="39"/>
      <c r="AJ946" s="79"/>
      <c r="AK946" s="39"/>
      <c r="AL946" s="4">
        <f t="shared" si="196"/>
        <v>0</v>
      </c>
      <c r="AM946" s="4">
        <f t="shared" si="196"/>
        <v>0</v>
      </c>
      <c r="AN946" s="4">
        <f t="shared" si="197"/>
        <v>0</v>
      </c>
      <c r="AO946" s="39"/>
      <c r="AP946" s="8">
        <f t="shared" si="198"/>
        <v>0</v>
      </c>
      <c r="AQ946" s="8">
        <f t="shared" si="198"/>
        <v>0</v>
      </c>
      <c r="AR946" s="8">
        <f t="shared" si="199"/>
        <v>0</v>
      </c>
      <c r="AS946" s="42"/>
      <c r="AT946" s="48"/>
      <c r="AU946" s="48"/>
      <c r="AV946" s="4">
        <f t="shared" si="200"/>
        <v>0</v>
      </c>
      <c r="AW946" s="50" t="str">
        <f t="shared" si="204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56"/>
      <c r="B947" s="54"/>
      <c r="C947" s="56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54"/>
      <c r="O947" s="3" t="str">
        <f t="shared" si="205"/>
        <v/>
      </c>
      <c r="P947" s="48"/>
      <c r="Q947" s="48"/>
      <c r="R947" s="32"/>
      <c r="S947" s="3" t="str">
        <f t="shared" si="206"/>
        <v/>
      </c>
      <c r="T947" s="48"/>
      <c r="U947" s="48"/>
      <c r="V947" s="32"/>
      <c r="W947" s="3" t="str">
        <f t="shared" si="201"/>
        <v/>
      </c>
      <c r="X947" s="48"/>
      <c r="Y947" s="48"/>
      <c r="Z947" s="32"/>
      <c r="AA947" s="3" t="str">
        <f t="shared" si="202"/>
        <v/>
      </c>
      <c r="AB947" s="48"/>
      <c r="AC947" s="48"/>
      <c r="AD947" s="36"/>
      <c r="AE947" s="54"/>
      <c r="AF947" s="3" t="str">
        <f t="shared" si="203"/>
        <v/>
      </c>
      <c r="AG947" s="48"/>
      <c r="AH947" s="48"/>
      <c r="AI947" s="39"/>
      <c r="AJ947" s="79"/>
      <c r="AK947" s="39"/>
      <c r="AL947" s="4">
        <f t="shared" si="196"/>
        <v>0</v>
      </c>
      <c r="AM947" s="4">
        <f t="shared" si="196"/>
        <v>0</v>
      </c>
      <c r="AN947" s="4">
        <f t="shared" si="197"/>
        <v>0</v>
      </c>
      <c r="AO947" s="39"/>
      <c r="AP947" s="8">
        <f t="shared" si="198"/>
        <v>0</v>
      </c>
      <c r="AQ947" s="8">
        <f t="shared" si="198"/>
        <v>0</v>
      </c>
      <c r="AR947" s="8">
        <f t="shared" si="199"/>
        <v>0</v>
      </c>
      <c r="AS947" s="42"/>
      <c r="AT947" s="48"/>
      <c r="AU947" s="48"/>
      <c r="AV947" s="4">
        <f t="shared" si="200"/>
        <v>0</v>
      </c>
      <c r="AW947" s="50" t="str">
        <f t="shared" si="204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56"/>
      <c r="B948" s="54"/>
      <c r="C948" s="56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54"/>
      <c r="O948" s="3" t="str">
        <f t="shared" si="205"/>
        <v/>
      </c>
      <c r="P948" s="48"/>
      <c r="Q948" s="48"/>
      <c r="R948" s="32"/>
      <c r="S948" s="3" t="str">
        <f t="shared" si="206"/>
        <v/>
      </c>
      <c r="T948" s="48"/>
      <c r="U948" s="48"/>
      <c r="V948" s="32"/>
      <c r="W948" s="3" t="str">
        <f t="shared" si="201"/>
        <v/>
      </c>
      <c r="X948" s="48"/>
      <c r="Y948" s="48"/>
      <c r="Z948" s="32"/>
      <c r="AA948" s="3" t="str">
        <f t="shared" si="202"/>
        <v/>
      </c>
      <c r="AB948" s="48"/>
      <c r="AC948" s="48"/>
      <c r="AD948" s="36"/>
      <c r="AE948" s="54"/>
      <c r="AF948" s="3" t="str">
        <f t="shared" si="203"/>
        <v/>
      </c>
      <c r="AG948" s="48"/>
      <c r="AH948" s="48"/>
      <c r="AI948" s="39"/>
      <c r="AJ948" s="79"/>
      <c r="AK948" s="39"/>
      <c r="AL948" s="4">
        <f t="shared" si="196"/>
        <v>0</v>
      </c>
      <c r="AM948" s="4">
        <f t="shared" si="196"/>
        <v>0</v>
      </c>
      <c r="AN948" s="4">
        <f t="shared" si="197"/>
        <v>0</v>
      </c>
      <c r="AO948" s="39"/>
      <c r="AP948" s="8">
        <f t="shared" si="198"/>
        <v>0</v>
      </c>
      <c r="AQ948" s="8">
        <f t="shared" si="198"/>
        <v>0</v>
      </c>
      <c r="AR948" s="8">
        <f t="shared" si="199"/>
        <v>0</v>
      </c>
      <c r="AS948" s="42"/>
      <c r="AT948" s="48"/>
      <c r="AU948" s="48"/>
      <c r="AV948" s="4">
        <f t="shared" si="200"/>
        <v>0</v>
      </c>
      <c r="AW948" s="50" t="str">
        <f t="shared" si="204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56"/>
      <c r="B949" s="54"/>
      <c r="C949" s="56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54"/>
      <c r="O949" s="3" t="str">
        <f t="shared" si="205"/>
        <v/>
      </c>
      <c r="P949" s="48"/>
      <c r="Q949" s="48"/>
      <c r="R949" s="32"/>
      <c r="S949" s="3" t="str">
        <f t="shared" si="206"/>
        <v/>
      </c>
      <c r="T949" s="48"/>
      <c r="U949" s="48"/>
      <c r="V949" s="32"/>
      <c r="W949" s="3" t="str">
        <f t="shared" si="201"/>
        <v/>
      </c>
      <c r="X949" s="48"/>
      <c r="Y949" s="48"/>
      <c r="Z949" s="32"/>
      <c r="AA949" s="3" t="str">
        <f t="shared" si="202"/>
        <v/>
      </c>
      <c r="AB949" s="48"/>
      <c r="AC949" s="48"/>
      <c r="AD949" s="36"/>
      <c r="AE949" s="54"/>
      <c r="AF949" s="3" t="str">
        <f t="shared" si="203"/>
        <v/>
      </c>
      <c r="AG949" s="48"/>
      <c r="AH949" s="48"/>
      <c r="AI949" s="39"/>
      <c r="AJ949" s="79"/>
      <c r="AK949" s="39"/>
      <c r="AL949" s="4">
        <f t="shared" si="196"/>
        <v>0</v>
      </c>
      <c r="AM949" s="4">
        <f t="shared" si="196"/>
        <v>0</v>
      </c>
      <c r="AN949" s="4">
        <f t="shared" si="197"/>
        <v>0</v>
      </c>
      <c r="AO949" s="39"/>
      <c r="AP949" s="8">
        <f t="shared" si="198"/>
        <v>0</v>
      </c>
      <c r="AQ949" s="8">
        <f t="shared" si="198"/>
        <v>0</v>
      </c>
      <c r="AR949" s="8">
        <f t="shared" si="199"/>
        <v>0</v>
      </c>
      <c r="AS949" s="42"/>
      <c r="AT949" s="48"/>
      <c r="AU949" s="48"/>
      <c r="AV949" s="4">
        <f t="shared" si="200"/>
        <v>0</v>
      </c>
      <c r="AW949" s="50" t="str">
        <f t="shared" si="204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56"/>
      <c r="B950" s="54"/>
      <c r="C950" s="56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54"/>
      <c r="O950" s="3" t="str">
        <f t="shared" si="205"/>
        <v/>
      </c>
      <c r="P950" s="48"/>
      <c r="Q950" s="48"/>
      <c r="R950" s="32"/>
      <c r="S950" s="3" t="str">
        <f t="shared" si="206"/>
        <v/>
      </c>
      <c r="T950" s="48"/>
      <c r="U950" s="48"/>
      <c r="V950" s="32"/>
      <c r="W950" s="3" t="str">
        <f t="shared" si="201"/>
        <v/>
      </c>
      <c r="X950" s="48"/>
      <c r="Y950" s="48"/>
      <c r="Z950" s="32"/>
      <c r="AA950" s="3" t="str">
        <f t="shared" si="202"/>
        <v/>
      </c>
      <c r="AB950" s="48"/>
      <c r="AC950" s="48"/>
      <c r="AD950" s="36"/>
      <c r="AE950" s="54"/>
      <c r="AF950" s="3" t="str">
        <f t="shared" si="203"/>
        <v/>
      </c>
      <c r="AG950" s="48"/>
      <c r="AH950" s="48"/>
      <c r="AI950" s="39"/>
      <c r="AJ950" s="79"/>
      <c r="AK950" s="39"/>
      <c r="AL950" s="4">
        <f t="shared" si="196"/>
        <v>0</v>
      </c>
      <c r="AM950" s="4">
        <f t="shared" si="196"/>
        <v>0</v>
      </c>
      <c r="AN950" s="4">
        <f t="shared" si="197"/>
        <v>0</v>
      </c>
      <c r="AO950" s="39"/>
      <c r="AP950" s="8">
        <f t="shared" si="198"/>
        <v>0</v>
      </c>
      <c r="AQ950" s="8">
        <f t="shared" si="198"/>
        <v>0</v>
      </c>
      <c r="AR950" s="8">
        <f t="shared" si="199"/>
        <v>0</v>
      </c>
      <c r="AS950" s="42"/>
      <c r="AT950" s="48"/>
      <c r="AU950" s="48"/>
      <c r="AV950" s="4">
        <f t="shared" si="200"/>
        <v>0</v>
      </c>
      <c r="AW950" s="50" t="str">
        <f t="shared" si="204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56"/>
      <c r="B951" s="54"/>
      <c r="C951" s="56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54"/>
      <c r="O951" s="3" t="str">
        <f t="shared" si="205"/>
        <v/>
      </c>
      <c r="P951" s="48"/>
      <c r="Q951" s="48"/>
      <c r="R951" s="32"/>
      <c r="S951" s="3" t="str">
        <f t="shared" si="206"/>
        <v/>
      </c>
      <c r="T951" s="48"/>
      <c r="U951" s="48"/>
      <c r="V951" s="32"/>
      <c r="W951" s="3" t="str">
        <f t="shared" si="201"/>
        <v/>
      </c>
      <c r="X951" s="48"/>
      <c r="Y951" s="48"/>
      <c r="Z951" s="32"/>
      <c r="AA951" s="3" t="str">
        <f t="shared" si="202"/>
        <v/>
      </c>
      <c r="AB951" s="48"/>
      <c r="AC951" s="48"/>
      <c r="AD951" s="36"/>
      <c r="AE951" s="54"/>
      <c r="AF951" s="3" t="str">
        <f t="shared" si="203"/>
        <v/>
      </c>
      <c r="AG951" s="48"/>
      <c r="AH951" s="48"/>
      <c r="AI951" s="39"/>
      <c r="AJ951" s="79"/>
      <c r="AK951" s="39"/>
      <c r="AL951" s="4">
        <f t="shared" si="196"/>
        <v>0</v>
      </c>
      <c r="AM951" s="4">
        <f t="shared" si="196"/>
        <v>0</v>
      </c>
      <c r="AN951" s="4">
        <f t="shared" si="197"/>
        <v>0</v>
      </c>
      <c r="AO951" s="39"/>
      <c r="AP951" s="8">
        <f t="shared" si="198"/>
        <v>0</v>
      </c>
      <c r="AQ951" s="8">
        <f t="shared" si="198"/>
        <v>0</v>
      </c>
      <c r="AR951" s="8">
        <f t="shared" si="199"/>
        <v>0</v>
      </c>
      <c r="AS951" s="42"/>
      <c r="AT951" s="48"/>
      <c r="AU951" s="48"/>
      <c r="AV951" s="4">
        <f t="shared" si="200"/>
        <v>0</v>
      </c>
      <c r="AW951" s="50" t="str">
        <f t="shared" si="204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56"/>
      <c r="B952" s="54"/>
      <c r="C952" s="56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54"/>
      <c r="O952" s="3" t="str">
        <f t="shared" si="205"/>
        <v/>
      </c>
      <c r="P952" s="48"/>
      <c r="Q952" s="48"/>
      <c r="R952" s="32"/>
      <c r="S952" s="3" t="str">
        <f t="shared" si="206"/>
        <v/>
      </c>
      <c r="T952" s="48"/>
      <c r="U952" s="48"/>
      <c r="V952" s="32"/>
      <c r="W952" s="3" t="str">
        <f t="shared" si="201"/>
        <v/>
      </c>
      <c r="X952" s="48"/>
      <c r="Y952" s="48"/>
      <c r="Z952" s="32"/>
      <c r="AA952" s="3" t="str">
        <f t="shared" si="202"/>
        <v/>
      </c>
      <c r="AB952" s="48"/>
      <c r="AC952" s="48"/>
      <c r="AD952" s="36"/>
      <c r="AE952" s="54"/>
      <c r="AF952" s="3" t="str">
        <f t="shared" si="203"/>
        <v/>
      </c>
      <c r="AG952" s="48"/>
      <c r="AH952" s="48"/>
      <c r="AI952" s="39"/>
      <c r="AJ952" s="79"/>
      <c r="AK952" s="39"/>
      <c r="AL952" s="4">
        <f t="shared" si="196"/>
        <v>0</v>
      </c>
      <c r="AM952" s="4">
        <f t="shared" si="196"/>
        <v>0</v>
      </c>
      <c r="AN952" s="4">
        <f t="shared" si="197"/>
        <v>0</v>
      </c>
      <c r="AO952" s="39"/>
      <c r="AP952" s="8">
        <f t="shared" si="198"/>
        <v>0</v>
      </c>
      <c r="AQ952" s="8">
        <f t="shared" si="198"/>
        <v>0</v>
      </c>
      <c r="AR952" s="8">
        <f t="shared" si="199"/>
        <v>0</v>
      </c>
      <c r="AS952" s="42"/>
      <c r="AT952" s="48"/>
      <c r="AU952" s="48"/>
      <c r="AV952" s="4">
        <f t="shared" si="200"/>
        <v>0</v>
      </c>
      <c r="AW952" s="50" t="str">
        <f t="shared" si="204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56"/>
      <c r="B953" s="54"/>
      <c r="C953" s="56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54"/>
      <c r="O953" s="3" t="str">
        <f t="shared" si="205"/>
        <v/>
      </c>
      <c r="P953" s="48"/>
      <c r="Q953" s="48"/>
      <c r="R953" s="32"/>
      <c r="S953" s="3" t="str">
        <f t="shared" si="206"/>
        <v/>
      </c>
      <c r="T953" s="48"/>
      <c r="U953" s="48"/>
      <c r="V953" s="32"/>
      <c r="W953" s="3" t="str">
        <f t="shared" si="201"/>
        <v/>
      </c>
      <c r="X953" s="48"/>
      <c r="Y953" s="48"/>
      <c r="Z953" s="32"/>
      <c r="AA953" s="3" t="str">
        <f t="shared" si="202"/>
        <v/>
      </c>
      <c r="AB953" s="48"/>
      <c r="AC953" s="48"/>
      <c r="AD953" s="36"/>
      <c r="AE953" s="54"/>
      <c r="AF953" s="3" t="str">
        <f t="shared" si="203"/>
        <v/>
      </c>
      <c r="AG953" s="48"/>
      <c r="AH953" s="48"/>
      <c r="AI953" s="39"/>
      <c r="AJ953" s="79"/>
      <c r="AK953" s="39"/>
      <c r="AL953" s="4">
        <f t="shared" si="196"/>
        <v>0</v>
      </c>
      <c r="AM953" s="4">
        <f t="shared" si="196"/>
        <v>0</v>
      </c>
      <c r="AN953" s="4">
        <f t="shared" si="197"/>
        <v>0</v>
      </c>
      <c r="AO953" s="39"/>
      <c r="AP953" s="8">
        <f t="shared" si="198"/>
        <v>0</v>
      </c>
      <c r="AQ953" s="8">
        <f t="shared" si="198"/>
        <v>0</v>
      </c>
      <c r="AR953" s="8">
        <f t="shared" si="199"/>
        <v>0</v>
      </c>
      <c r="AS953" s="42"/>
      <c r="AT953" s="48"/>
      <c r="AU953" s="48"/>
      <c r="AV953" s="4">
        <f t="shared" si="200"/>
        <v>0</v>
      </c>
      <c r="AW953" s="50" t="str">
        <f t="shared" si="204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56"/>
      <c r="B954" s="54"/>
      <c r="C954" s="56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54"/>
      <c r="O954" s="3" t="str">
        <f t="shared" si="205"/>
        <v/>
      </c>
      <c r="P954" s="48"/>
      <c r="Q954" s="48"/>
      <c r="R954" s="32"/>
      <c r="S954" s="3" t="str">
        <f t="shared" si="206"/>
        <v/>
      </c>
      <c r="T954" s="48"/>
      <c r="U954" s="48"/>
      <c r="V954" s="32"/>
      <c r="W954" s="3" t="str">
        <f t="shared" si="201"/>
        <v/>
      </c>
      <c r="X954" s="48"/>
      <c r="Y954" s="48"/>
      <c r="Z954" s="32"/>
      <c r="AA954" s="3" t="str">
        <f t="shared" si="202"/>
        <v/>
      </c>
      <c r="AB954" s="48"/>
      <c r="AC954" s="48"/>
      <c r="AD954" s="36"/>
      <c r="AE954" s="54"/>
      <c r="AF954" s="3" t="str">
        <f t="shared" si="203"/>
        <v/>
      </c>
      <c r="AG954" s="48"/>
      <c r="AH954" s="48"/>
      <c r="AI954" s="39"/>
      <c r="AJ954" s="79"/>
      <c r="AK954" s="39"/>
      <c r="AL954" s="4">
        <f t="shared" ref="AL954:AM999" si="207">IF($O954="A",P954,0)+IF($S954="A",T954,0)+IF($W954="A",X954,0)+IF($AA954="A",AB954,0)+IF($AF954="A",AG954,0)</f>
        <v>0</v>
      </c>
      <c r="AM954" s="4">
        <f t="shared" si="207"/>
        <v>0</v>
      </c>
      <c r="AN954" s="4">
        <f t="shared" ref="AN954:AN999" si="208">SUM(AL954:AM954)</f>
        <v>0</v>
      </c>
      <c r="AO954" s="39"/>
      <c r="AP954" s="8">
        <f t="shared" ref="AP954:AQ999" si="209">IF($O954="E",P954,0)+IF($S954="E",T954,0)+IF($W954="E",X954,0)+IF($AA954="E",AB954,0)+IF($AF954="E",AG954,0)</f>
        <v>0</v>
      </c>
      <c r="AQ954" s="8">
        <f t="shared" si="209"/>
        <v>0</v>
      </c>
      <c r="AR954" s="8">
        <f t="shared" ref="AR954:AR999" si="210">SUM(AP954:AQ954)</f>
        <v>0</v>
      </c>
      <c r="AS954" s="42"/>
      <c r="AT954" s="48"/>
      <c r="AU954" s="48"/>
      <c r="AV954" s="4">
        <f t="shared" ref="AV954:AV999" si="211">SUM(AT954:AU954)</f>
        <v>0</v>
      </c>
      <c r="AW954" s="50" t="str">
        <f t="shared" si="204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56"/>
      <c r="B955" s="54"/>
      <c r="C955" s="56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54"/>
      <c r="O955" s="3" t="str">
        <f t="shared" si="205"/>
        <v/>
      </c>
      <c r="P955" s="48"/>
      <c r="Q955" s="48"/>
      <c r="R955" s="32"/>
      <c r="S955" s="3" t="str">
        <f t="shared" si="206"/>
        <v/>
      </c>
      <c r="T955" s="48"/>
      <c r="U955" s="48"/>
      <c r="V955" s="32"/>
      <c r="W955" s="3" t="str">
        <f t="shared" si="201"/>
        <v/>
      </c>
      <c r="X955" s="48"/>
      <c r="Y955" s="48"/>
      <c r="Z955" s="32"/>
      <c r="AA955" s="3" t="str">
        <f t="shared" si="202"/>
        <v/>
      </c>
      <c r="AB955" s="48"/>
      <c r="AC955" s="48"/>
      <c r="AD955" s="36"/>
      <c r="AE955" s="54"/>
      <c r="AF955" s="3" t="str">
        <f t="shared" si="203"/>
        <v/>
      </c>
      <c r="AG955" s="48"/>
      <c r="AH955" s="48"/>
      <c r="AI955" s="39"/>
      <c r="AJ955" s="79"/>
      <c r="AK955" s="39"/>
      <c r="AL955" s="4">
        <f t="shared" si="207"/>
        <v>0</v>
      </c>
      <c r="AM955" s="4">
        <f t="shared" si="207"/>
        <v>0</v>
      </c>
      <c r="AN955" s="4">
        <f t="shared" si="208"/>
        <v>0</v>
      </c>
      <c r="AO955" s="39"/>
      <c r="AP955" s="8">
        <f t="shared" si="209"/>
        <v>0</v>
      </c>
      <c r="AQ955" s="8">
        <f t="shared" si="209"/>
        <v>0</v>
      </c>
      <c r="AR955" s="8">
        <f t="shared" si="210"/>
        <v>0</v>
      </c>
      <c r="AS955" s="42"/>
      <c r="AT955" s="48"/>
      <c r="AU955" s="48"/>
      <c r="AV955" s="4">
        <f t="shared" si="211"/>
        <v>0</v>
      </c>
      <c r="AW955" s="50" t="str">
        <f t="shared" si="204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56"/>
      <c r="B956" s="54"/>
      <c r="C956" s="56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54"/>
      <c r="O956" s="3" t="str">
        <f t="shared" si="205"/>
        <v/>
      </c>
      <c r="P956" s="48"/>
      <c r="Q956" s="48"/>
      <c r="R956" s="32"/>
      <c r="S956" s="3" t="str">
        <f t="shared" si="206"/>
        <v/>
      </c>
      <c r="T956" s="48"/>
      <c r="U956" s="48"/>
      <c r="V956" s="32"/>
      <c r="W956" s="3" t="str">
        <f t="shared" si="201"/>
        <v/>
      </c>
      <c r="X956" s="48"/>
      <c r="Y956" s="48"/>
      <c r="Z956" s="32"/>
      <c r="AA956" s="3" t="str">
        <f t="shared" si="202"/>
        <v/>
      </c>
      <c r="AB956" s="48"/>
      <c r="AC956" s="48"/>
      <c r="AD956" s="36"/>
      <c r="AE956" s="54"/>
      <c r="AF956" s="3" t="str">
        <f t="shared" si="203"/>
        <v/>
      </c>
      <c r="AG956" s="48"/>
      <c r="AH956" s="48"/>
      <c r="AI956" s="39"/>
      <c r="AJ956" s="79"/>
      <c r="AK956" s="39"/>
      <c r="AL956" s="4">
        <f t="shared" si="207"/>
        <v>0</v>
      </c>
      <c r="AM956" s="4">
        <f t="shared" si="207"/>
        <v>0</v>
      </c>
      <c r="AN956" s="4">
        <f t="shared" si="208"/>
        <v>0</v>
      </c>
      <c r="AO956" s="39"/>
      <c r="AP956" s="8">
        <f t="shared" si="209"/>
        <v>0</v>
      </c>
      <c r="AQ956" s="8">
        <f t="shared" si="209"/>
        <v>0</v>
      </c>
      <c r="AR956" s="8">
        <f t="shared" si="210"/>
        <v>0</v>
      </c>
      <c r="AS956" s="42"/>
      <c r="AT956" s="48"/>
      <c r="AU956" s="48"/>
      <c r="AV956" s="4">
        <f t="shared" si="211"/>
        <v>0</v>
      </c>
      <c r="AW956" s="50" t="str">
        <f t="shared" si="204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56"/>
      <c r="B957" s="54"/>
      <c r="C957" s="56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54"/>
      <c r="O957" s="3" t="str">
        <f t="shared" si="205"/>
        <v/>
      </c>
      <c r="P957" s="48"/>
      <c r="Q957" s="48"/>
      <c r="R957" s="32"/>
      <c r="S957" s="3" t="str">
        <f t="shared" si="206"/>
        <v/>
      </c>
      <c r="T957" s="48"/>
      <c r="U957" s="48"/>
      <c r="V957" s="32"/>
      <c r="W957" s="3" t="str">
        <f t="shared" si="201"/>
        <v/>
      </c>
      <c r="X957" s="48"/>
      <c r="Y957" s="48"/>
      <c r="Z957" s="32"/>
      <c r="AA957" s="3" t="str">
        <f t="shared" si="202"/>
        <v/>
      </c>
      <c r="AB957" s="48"/>
      <c r="AC957" s="48"/>
      <c r="AD957" s="36"/>
      <c r="AE957" s="54"/>
      <c r="AF957" s="3" t="str">
        <f t="shared" si="203"/>
        <v/>
      </c>
      <c r="AG957" s="48"/>
      <c r="AH957" s="48"/>
      <c r="AI957" s="39"/>
      <c r="AJ957" s="79"/>
      <c r="AK957" s="39"/>
      <c r="AL957" s="4">
        <f t="shared" si="207"/>
        <v>0</v>
      </c>
      <c r="AM957" s="4">
        <f t="shared" si="207"/>
        <v>0</v>
      </c>
      <c r="AN957" s="4">
        <f t="shared" si="208"/>
        <v>0</v>
      </c>
      <c r="AO957" s="39"/>
      <c r="AP957" s="8">
        <f t="shared" si="209"/>
        <v>0</v>
      </c>
      <c r="AQ957" s="8">
        <f t="shared" si="209"/>
        <v>0</v>
      </c>
      <c r="AR957" s="8">
        <f t="shared" si="210"/>
        <v>0</v>
      </c>
      <c r="AS957" s="42"/>
      <c r="AT957" s="48"/>
      <c r="AU957" s="48"/>
      <c r="AV957" s="4">
        <f t="shared" si="211"/>
        <v>0</v>
      </c>
      <c r="AW957" s="50" t="str">
        <f t="shared" si="204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56"/>
      <c r="B958" s="54"/>
      <c r="C958" s="56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54"/>
      <c r="O958" s="3" t="str">
        <f t="shared" si="205"/>
        <v/>
      </c>
      <c r="P958" s="48"/>
      <c r="Q958" s="48"/>
      <c r="R958" s="32"/>
      <c r="S958" s="3" t="str">
        <f t="shared" si="206"/>
        <v/>
      </c>
      <c r="T958" s="48"/>
      <c r="U958" s="48"/>
      <c r="V958" s="32"/>
      <c r="W958" s="3" t="str">
        <f t="shared" si="201"/>
        <v/>
      </c>
      <c r="X958" s="48"/>
      <c r="Y958" s="48"/>
      <c r="Z958" s="32"/>
      <c r="AA958" s="3" t="str">
        <f t="shared" si="202"/>
        <v/>
      </c>
      <c r="AB958" s="48"/>
      <c r="AC958" s="48"/>
      <c r="AD958" s="36"/>
      <c r="AE958" s="54"/>
      <c r="AF958" s="3" t="str">
        <f t="shared" si="203"/>
        <v/>
      </c>
      <c r="AG958" s="48"/>
      <c r="AH958" s="48"/>
      <c r="AI958" s="39"/>
      <c r="AJ958" s="79"/>
      <c r="AK958" s="39"/>
      <c r="AL958" s="4">
        <f t="shared" si="207"/>
        <v>0</v>
      </c>
      <c r="AM958" s="4">
        <f t="shared" si="207"/>
        <v>0</v>
      </c>
      <c r="AN958" s="4">
        <f t="shared" si="208"/>
        <v>0</v>
      </c>
      <c r="AO958" s="39"/>
      <c r="AP958" s="8">
        <f t="shared" si="209"/>
        <v>0</v>
      </c>
      <c r="AQ958" s="8">
        <f t="shared" si="209"/>
        <v>0</v>
      </c>
      <c r="AR958" s="8">
        <f t="shared" si="210"/>
        <v>0</v>
      </c>
      <c r="AS958" s="42"/>
      <c r="AT958" s="48"/>
      <c r="AU958" s="48"/>
      <c r="AV958" s="4">
        <f t="shared" si="211"/>
        <v>0</v>
      </c>
      <c r="AW958" s="50" t="str">
        <f t="shared" si="204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56"/>
      <c r="B959" s="54"/>
      <c r="C959" s="56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54"/>
      <c r="O959" s="3" t="str">
        <f t="shared" si="205"/>
        <v/>
      </c>
      <c r="P959" s="48"/>
      <c r="Q959" s="48"/>
      <c r="R959" s="32"/>
      <c r="S959" s="3" t="str">
        <f t="shared" si="206"/>
        <v/>
      </c>
      <c r="T959" s="48"/>
      <c r="U959" s="48"/>
      <c r="V959" s="32"/>
      <c r="W959" s="3" t="str">
        <f t="shared" si="201"/>
        <v/>
      </c>
      <c r="X959" s="48"/>
      <c r="Y959" s="48"/>
      <c r="Z959" s="32"/>
      <c r="AA959" s="3" t="str">
        <f t="shared" si="202"/>
        <v/>
      </c>
      <c r="AB959" s="48"/>
      <c r="AC959" s="48"/>
      <c r="AD959" s="36"/>
      <c r="AE959" s="54"/>
      <c r="AF959" s="3" t="str">
        <f t="shared" si="203"/>
        <v/>
      </c>
      <c r="AG959" s="48"/>
      <c r="AH959" s="48"/>
      <c r="AI959" s="39"/>
      <c r="AJ959" s="79"/>
      <c r="AK959" s="39"/>
      <c r="AL959" s="4">
        <f t="shared" si="207"/>
        <v>0</v>
      </c>
      <c r="AM959" s="4">
        <f t="shared" si="207"/>
        <v>0</v>
      </c>
      <c r="AN959" s="4">
        <f t="shared" si="208"/>
        <v>0</v>
      </c>
      <c r="AO959" s="39"/>
      <c r="AP959" s="8">
        <f t="shared" si="209"/>
        <v>0</v>
      </c>
      <c r="AQ959" s="8">
        <f t="shared" si="209"/>
        <v>0</v>
      </c>
      <c r="AR959" s="8">
        <f t="shared" si="210"/>
        <v>0</v>
      </c>
      <c r="AS959" s="42"/>
      <c r="AT959" s="48"/>
      <c r="AU959" s="48"/>
      <c r="AV959" s="4">
        <f t="shared" si="211"/>
        <v>0</v>
      </c>
      <c r="AW959" s="50" t="str">
        <f t="shared" si="204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56"/>
      <c r="B960" s="54"/>
      <c r="C960" s="56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54"/>
      <c r="O960" s="3" t="str">
        <f t="shared" si="205"/>
        <v/>
      </c>
      <c r="P960" s="48"/>
      <c r="Q960" s="48"/>
      <c r="R960" s="32"/>
      <c r="S960" s="3" t="str">
        <f t="shared" si="206"/>
        <v/>
      </c>
      <c r="T960" s="48"/>
      <c r="U960" s="48"/>
      <c r="V960" s="32"/>
      <c r="W960" s="3" t="str">
        <f t="shared" si="201"/>
        <v/>
      </c>
      <c r="X960" s="48"/>
      <c r="Y960" s="48"/>
      <c r="Z960" s="32"/>
      <c r="AA960" s="3" t="str">
        <f t="shared" si="202"/>
        <v/>
      </c>
      <c r="AB960" s="48"/>
      <c r="AC960" s="48"/>
      <c r="AD960" s="36"/>
      <c r="AE960" s="54"/>
      <c r="AF960" s="3" t="str">
        <f t="shared" si="203"/>
        <v/>
      </c>
      <c r="AG960" s="48"/>
      <c r="AH960" s="48"/>
      <c r="AI960" s="39"/>
      <c r="AJ960" s="79"/>
      <c r="AK960" s="39"/>
      <c r="AL960" s="4">
        <f t="shared" si="207"/>
        <v>0</v>
      </c>
      <c r="AM960" s="4">
        <f t="shared" si="207"/>
        <v>0</v>
      </c>
      <c r="AN960" s="4">
        <f t="shared" si="208"/>
        <v>0</v>
      </c>
      <c r="AO960" s="39"/>
      <c r="AP960" s="8">
        <f t="shared" si="209"/>
        <v>0</v>
      </c>
      <c r="AQ960" s="8">
        <f t="shared" si="209"/>
        <v>0</v>
      </c>
      <c r="AR960" s="8">
        <f t="shared" si="210"/>
        <v>0</v>
      </c>
      <c r="AS960" s="42"/>
      <c r="AT960" s="48"/>
      <c r="AU960" s="48"/>
      <c r="AV960" s="4">
        <f t="shared" si="211"/>
        <v>0</v>
      </c>
      <c r="AW960" s="50" t="str">
        <f t="shared" si="204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56"/>
      <c r="B961" s="54"/>
      <c r="C961" s="56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54"/>
      <c r="O961" s="3" t="str">
        <f t="shared" si="205"/>
        <v/>
      </c>
      <c r="P961" s="48"/>
      <c r="Q961" s="48"/>
      <c r="R961" s="32"/>
      <c r="S961" s="3" t="str">
        <f t="shared" si="206"/>
        <v/>
      </c>
      <c r="T961" s="48"/>
      <c r="U961" s="48"/>
      <c r="V961" s="32"/>
      <c r="W961" s="3" t="str">
        <f t="shared" si="201"/>
        <v/>
      </c>
      <c r="X961" s="48"/>
      <c r="Y961" s="48"/>
      <c r="Z961" s="32"/>
      <c r="AA961" s="3" t="str">
        <f t="shared" si="202"/>
        <v/>
      </c>
      <c r="AB961" s="48"/>
      <c r="AC961" s="48"/>
      <c r="AD961" s="36"/>
      <c r="AE961" s="54"/>
      <c r="AF961" s="3" t="str">
        <f t="shared" si="203"/>
        <v/>
      </c>
      <c r="AG961" s="48"/>
      <c r="AH961" s="48"/>
      <c r="AI961" s="39"/>
      <c r="AJ961" s="79"/>
      <c r="AK961" s="39"/>
      <c r="AL961" s="4">
        <f t="shared" si="207"/>
        <v>0</v>
      </c>
      <c r="AM961" s="4">
        <f t="shared" si="207"/>
        <v>0</v>
      </c>
      <c r="AN961" s="4">
        <f t="shared" si="208"/>
        <v>0</v>
      </c>
      <c r="AO961" s="39"/>
      <c r="AP961" s="8">
        <f t="shared" si="209"/>
        <v>0</v>
      </c>
      <c r="AQ961" s="8">
        <f t="shared" si="209"/>
        <v>0</v>
      </c>
      <c r="AR961" s="8">
        <f t="shared" si="210"/>
        <v>0</v>
      </c>
      <c r="AS961" s="42"/>
      <c r="AT961" s="48"/>
      <c r="AU961" s="48"/>
      <c r="AV961" s="4">
        <f t="shared" si="211"/>
        <v>0</v>
      </c>
      <c r="AW961" s="50" t="str">
        <f t="shared" si="204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56"/>
      <c r="B962" s="54"/>
      <c r="C962" s="56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54"/>
      <c r="O962" s="3" t="str">
        <f t="shared" si="205"/>
        <v/>
      </c>
      <c r="P962" s="48"/>
      <c r="Q962" s="48"/>
      <c r="R962" s="32"/>
      <c r="S962" s="3" t="str">
        <f t="shared" si="206"/>
        <v/>
      </c>
      <c r="T962" s="48"/>
      <c r="U962" s="48"/>
      <c r="V962" s="32"/>
      <c r="W962" s="3" t="str">
        <f t="shared" si="201"/>
        <v/>
      </c>
      <c r="X962" s="48"/>
      <c r="Y962" s="48"/>
      <c r="Z962" s="32"/>
      <c r="AA962" s="3" t="str">
        <f t="shared" si="202"/>
        <v/>
      </c>
      <c r="AB962" s="48"/>
      <c r="AC962" s="48"/>
      <c r="AD962" s="36"/>
      <c r="AE962" s="54"/>
      <c r="AF962" s="3" t="str">
        <f t="shared" si="203"/>
        <v/>
      </c>
      <c r="AG962" s="48"/>
      <c r="AH962" s="48"/>
      <c r="AI962" s="39"/>
      <c r="AJ962" s="79"/>
      <c r="AK962" s="39"/>
      <c r="AL962" s="4">
        <f t="shared" si="207"/>
        <v>0</v>
      </c>
      <c r="AM962" s="4">
        <f t="shared" si="207"/>
        <v>0</v>
      </c>
      <c r="AN962" s="4">
        <f t="shared" si="208"/>
        <v>0</v>
      </c>
      <c r="AO962" s="39"/>
      <c r="AP962" s="8">
        <f t="shared" si="209"/>
        <v>0</v>
      </c>
      <c r="AQ962" s="8">
        <f t="shared" si="209"/>
        <v>0</v>
      </c>
      <c r="AR962" s="8">
        <f t="shared" si="210"/>
        <v>0</v>
      </c>
      <c r="AS962" s="42"/>
      <c r="AT962" s="48"/>
      <c r="AU962" s="48"/>
      <c r="AV962" s="4">
        <f t="shared" si="211"/>
        <v>0</v>
      </c>
      <c r="AW962" s="50" t="str">
        <f t="shared" si="204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56"/>
      <c r="B963" s="54"/>
      <c r="C963" s="56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54"/>
      <c r="O963" s="3" t="str">
        <f t="shared" si="205"/>
        <v/>
      </c>
      <c r="P963" s="48"/>
      <c r="Q963" s="48"/>
      <c r="R963" s="32"/>
      <c r="S963" s="3" t="str">
        <f t="shared" si="206"/>
        <v/>
      </c>
      <c r="T963" s="48"/>
      <c r="U963" s="48"/>
      <c r="V963" s="32"/>
      <c r="W963" s="3" t="str">
        <f t="shared" si="201"/>
        <v/>
      </c>
      <c r="X963" s="48"/>
      <c r="Y963" s="48"/>
      <c r="Z963" s="32"/>
      <c r="AA963" s="3" t="str">
        <f t="shared" si="202"/>
        <v/>
      </c>
      <c r="AB963" s="48"/>
      <c r="AC963" s="48"/>
      <c r="AD963" s="36"/>
      <c r="AE963" s="54"/>
      <c r="AF963" s="3" t="str">
        <f t="shared" si="203"/>
        <v/>
      </c>
      <c r="AG963" s="48"/>
      <c r="AH963" s="48"/>
      <c r="AI963" s="39"/>
      <c r="AJ963" s="79"/>
      <c r="AK963" s="39"/>
      <c r="AL963" s="4">
        <f t="shared" si="207"/>
        <v>0</v>
      </c>
      <c r="AM963" s="4">
        <f t="shared" si="207"/>
        <v>0</v>
      </c>
      <c r="AN963" s="4">
        <f t="shared" si="208"/>
        <v>0</v>
      </c>
      <c r="AO963" s="39"/>
      <c r="AP963" s="8">
        <f t="shared" si="209"/>
        <v>0</v>
      </c>
      <c r="AQ963" s="8">
        <f t="shared" si="209"/>
        <v>0</v>
      </c>
      <c r="AR963" s="8">
        <f t="shared" si="210"/>
        <v>0</v>
      </c>
      <c r="AS963" s="42"/>
      <c r="AT963" s="48"/>
      <c r="AU963" s="48"/>
      <c r="AV963" s="4">
        <f t="shared" si="211"/>
        <v>0</v>
      </c>
      <c r="AW963" s="50" t="str">
        <f t="shared" si="204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56"/>
      <c r="B964" s="54"/>
      <c r="C964" s="56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54"/>
      <c r="O964" s="3" t="str">
        <f t="shared" si="205"/>
        <v/>
      </c>
      <c r="P964" s="48"/>
      <c r="Q964" s="48"/>
      <c r="R964" s="32"/>
      <c r="S964" s="3" t="str">
        <f t="shared" si="206"/>
        <v/>
      </c>
      <c r="T964" s="48"/>
      <c r="U964" s="48"/>
      <c r="V964" s="32"/>
      <c r="W964" s="3" t="str">
        <f t="shared" si="201"/>
        <v/>
      </c>
      <c r="X964" s="48"/>
      <c r="Y964" s="48"/>
      <c r="Z964" s="32"/>
      <c r="AA964" s="3" t="str">
        <f t="shared" si="202"/>
        <v/>
      </c>
      <c r="AB964" s="48"/>
      <c r="AC964" s="48"/>
      <c r="AD964" s="36"/>
      <c r="AE964" s="54"/>
      <c r="AF964" s="3" t="str">
        <f t="shared" si="203"/>
        <v/>
      </c>
      <c r="AG964" s="48"/>
      <c r="AH964" s="48"/>
      <c r="AI964" s="39"/>
      <c r="AJ964" s="79"/>
      <c r="AK964" s="39"/>
      <c r="AL964" s="4">
        <f t="shared" si="207"/>
        <v>0</v>
      </c>
      <c r="AM964" s="4">
        <f t="shared" si="207"/>
        <v>0</v>
      </c>
      <c r="AN964" s="4">
        <f t="shared" si="208"/>
        <v>0</v>
      </c>
      <c r="AO964" s="39"/>
      <c r="AP964" s="8">
        <f t="shared" si="209"/>
        <v>0</v>
      </c>
      <c r="AQ964" s="8">
        <f t="shared" si="209"/>
        <v>0</v>
      </c>
      <c r="AR964" s="8">
        <f t="shared" si="210"/>
        <v>0</v>
      </c>
      <c r="AS964" s="42"/>
      <c r="AT964" s="48"/>
      <c r="AU964" s="48"/>
      <c r="AV964" s="4">
        <f t="shared" si="211"/>
        <v>0</v>
      </c>
      <c r="AW964" s="50" t="str">
        <f t="shared" si="204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56"/>
      <c r="B965" s="54"/>
      <c r="C965" s="56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54"/>
      <c r="O965" s="3" t="str">
        <f t="shared" si="205"/>
        <v/>
      </c>
      <c r="P965" s="48"/>
      <c r="Q965" s="48"/>
      <c r="R965" s="32"/>
      <c r="S965" s="3" t="str">
        <f t="shared" si="206"/>
        <v/>
      </c>
      <c r="T965" s="48"/>
      <c r="U965" s="48"/>
      <c r="V965" s="32"/>
      <c r="W965" s="3" t="str">
        <f t="shared" si="201"/>
        <v/>
      </c>
      <c r="X965" s="48"/>
      <c r="Y965" s="48"/>
      <c r="Z965" s="32"/>
      <c r="AA965" s="3" t="str">
        <f t="shared" si="202"/>
        <v/>
      </c>
      <c r="AB965" s="48"/>
      <c r="AC965" s="48"/>
      <c r="AD965" s="36"/>
      <c r="AE965" s="54"/>
      <c r="AF965" s="3" t="str">
        <f t="shared" si="203"/>
        <v/>
      </c>
      <c r="AG965" s="48"/>
      <c r="AH965" s="48"/>
      <c r="AI965" s="39"/>
      <c r="AJ965" s="79"/>
      <c r="AK965" s="39"/>
      <c r="AL965" s="4">
        <f t="shared" si="207"/>
        <v>0</v>
      </c>
      <c r="AM965" s="4">
        <f t="shared" si="207"/>
        <v>0</v>
      </c>
      <c r="AN965" s="4">
        <f t="shared" si="208"/>
        <v>0</v>
      </c>
      <c r="AO965" s="39"/>
      <c r="AP965" s="8">
        <f t="shared" si="209"/>
        <v>0</v>
      </c>
      <c r="AQ965" s="8">
        <f t="shared" si="209"/>
        <v>0</v>
      </c>
      <c r="AR965" s="8">
        <f t="shared" si="210"/>
        <v>0</v>
      </c>
      <c r="AS965" s="42"/>
      <c r="AT965" s="48"/>
      <c r="AU965" s="48"/>
      <c r="AV965" s="4">
        <f t="shared" si="211"/>
        <v>0</v>
      </c>
      <c r="AW965" s="50" t="str">
        <f t="shared" si="204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56"/>
      <c r="B966" s="54"/>
      <c r="C966" s="56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54"/>
      <c r="O966" s="3" t="str">
        <f t="shared" si="205"/>
        <v/>
      </c>
      <c r="P966" s="48"/>
      <c r="Q966" s="48"/>
      <c r="R966" s="32"/>
      <c r="S966" s="3" t="str">
        <f t="shared" si="206"/>
        <v/>
      </c>
      <c r="T966" s="48"/>
      <c r="U966" s="48"/>
      <c r="V966" s="32"/>
      <c r="W966" s="3" t="str">
        <f t="shared" si="201"/>
        <v/>
      </c>
      <c r="X966" s="48"/>
      <c r="Y966" s="48"/>
      <c r="Z966" s="32"/>
      <c r="AA966" s="3" t="str">
        <f t="shared" si="202"/>
        <v/>
      </c>
      <c r="AB966" s="48"/>
      <c r="AC966" s="48"/>
      <c r="AD966" s="36"/>
      <c r="AE966" s="54"/>
      <c r="AF966" s="3" t="str">
        <f t="shared" si="203"/>
        <v/>
      </c>
      <c r="AG966" s="48"/>
      <c r="AH966" s="48"/>
      <c r="AI966" s="39"/>
      <c r="AJ966" s="79"/>
      <c r="AK966" s="39"/>
      <c r="AL966" s="4">
        <f t="shared" si="207"/>
        <v>0</v>
      </c>
      <c r="AM966" s="4">
        <f t="shared" si="207"/>
        <v>0</v>
      </c>
      <c r="AN966" s="4">
        <f t="shared" si="208"/>
        <v>0</v>
      </c>
      <c r="AO966" s="39"/>
      <c r="AP966" s="8">
        <f t="shared" si="209"/>
        <v>0</v>
      </c>
      <c r="AQ966" s="8">
        <f t="shared" si="209"/>
        <v>0</v>
      </c>
      <c r="AR966" s="8">
        <f t="shared" si="210"/>
        <v>0</v>
      </c>
      <c r="AS966" s="42"/>
      <c r="AT966" s="48"/>
      <c r="AU966" s="48"/>
      <c r="AV966" s="4">
        <f t="shared" si="211"/>
        <v>0</v>
      </c>
      <c r="AW966" s="50" t="str">
        <f t="shared" si="204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56"/>
      <c r="B967" s="54"/>
      <c r="C967" s="56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54"/>
      <c r="O967" s="3" t="str">
        <f t="shared" si="205"/>
        <v/>
      </c>
      <c r="P967" s="48"/>
      <c r="Q967" s="48"/>
      <c r="R967" s="32"/>
      <c r="S967" s="3" t="str">
        <f t="shared" si="206"/>
        <v/>
      </c>
      <c r="T967" s="48"/>
      <c r="U967" s="48"/>
      <c r="V967" s="32"/>
      <c r="W967" s="3" t="str">
        <f t="shared" si="201"/>
        <v/>
      </c>
      <c r="X967" s="48"/>
      <c r="Y967" s="48"/>
      <c r="Z967" s="32"/>
      <c r="AA967" s="3" t="str">
        <f t="shared" si="202"/>
        <v/>
      </c>
      <c r="AB967" s="48"/>
      <c r="AC967" s="48"/>
      <c r="AD967" s="36"/>
      <c r="AE967" s="54"/>
      <c r="AF967" s="3" t="str">
        <f t="shared" si="203"/>
        <v/>
      </c>
      <c r="AG967" s="48"/>
      <c r="AH967" s="48"/>
      <c r="AI967" s="39"/>
      <c r="AJ967" s="79"/>
      <c r="AK967" s="39"/>
      <c r="AL967" s="4">
        <f t="shared" si="207"/>
        <v>0</v>
      </c>
      <c r="AM967" s="4">
        <f t="shared" si="207"/>
        <v>0</v>
      </c>
      <c r="AN967" s="4">
        <f t="shared" si="208"/>
        <v>0</v>
      </c>
      <c r="AO967" s="39"/>
      <c r="AP967" s="8">
        <f t="shared" si="209"/>
        <v>0</v>
      </c>
      <c r="AQ967" s="8">
        <f t="shared" si="209"/>
        <v>0</v>
      </c>
      <c r="AR967" s="8">
        <f t="shared" si="210"/>
        <v>0</v>
      </c>
      <c r="AS967" s="42"/>
      <c r="AT967" s="48"/>
      <c r="AU967" s="48"/>
      <c r="AV967" s="4">
        <f t="shared" si="211"/>
        <v>0</v>
      </c>
      <c r="AW967" s="50" t="str">
        <f t="shared" si="204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56"/>
      <c r="B968" s="54"/>
      <c r="C968" s="56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54"/>
      <c r="O968" s="3" t="str">
        <f t="shared" si="205"/>
        <v/>
      </c>
      <c r="P968" s="48"/>
      <c r="Q968" s="48"/>
      <c r="R968" s="32"/>
      <c r="S968" s="3" t="str">
        <f t="shared" si="206"/>
        <v/>
      </c>
      <c r="T968" s="48"/>
      <c r="U968" s="48"/>
      <c r="V968" s="32"/>
      <c r="W968" s="3" t="str">
        <f t="shared" ref="W968:W999" si="212">IF($A968="","",IF(X968=0,"A",IF(X968=BB968,"E","A")))</f>
        <v/>
      </c>
      <c r="X968" s="48"/>
      <c r="Y968" s="48"/>
      <c r="Z968" s="32"/>
      <c r="AA968" s="3" t="str">
        <f t="shared" ref="AA968:AA999" si="213">IF($A968="","",IF(AB968=0,"A",IF(AB968=BC968,"E","A")))</f>
        <v/>
      </c>
      <c r="AB968" s="48"/>
      <c r="AC968" s="48"/>
      <c r="AD968" s="36"/>
      <c r="AE968" s="54"/>
      <c r="AF968" s="3" t="str">
        <f t="shared" ref="AF968:AF999" si="214">IF($A968="","",IF(AG968=0,"A",IF(AG968=BD968,"E","A")))</f>
        <v/>
      </c>
      <c r="AG968" s="48"/>
      <c r="AH968" s="48"/>
      <c r="AI968" s="39"/>
      <c r="AJ968" s="79"/>
      <c r="AK968" s="39"/>
      <c r="AL968" s="4">
        <f t="shared" si="207"/>
        <v>0</v>
      </c>
      <c r="AM968" s="4">
        <f t="shared" si="207"/>
        <v>0</v>
      </c>
      <c r="AN968" s="4">
        <f t="shared" si="208"/>
        <v>0</v>
      </c>
      <c r="AO968" s="39"/>
      <c r="AP968" s="8">
        <f t="shared" si="209"/>
        <v>0</v>
      </c>
      <c r="AQ968" s="8">
        <f t="shared" si="209"/>
        <v>0</v>
      </c>
      <c r="AR968" s="8">
        <f t="shared" si="210"/>
        <v>0</v>
      </c>
      <c r="AS968" s="42"/>
      <c r="AT968" s="48"/>
      <c r="AU968" s="48"/>
      <c r="AV968" s="4">
        <f t="shared" si="211"/>
        <v>0</v>
      </c>
      <c r="AW968" s="50" t="str">
        <f t="shared" ref="AW968:AW999" si="215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56"/>
      <c r="B969" s="54"/>
      <c r="C969" s="56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54"/>
      <c r="O969" s="3" t="str">
        <f t="shared" si="205"/>
        <v/>
      </c>
      <c r="P969" s="48"/>
      <c r="Q969" s="48"/>
      <c r="R969" s="32"/>
      <c r="S969" s="3" t="str">
        <f t="shared" si="206"/>
        <v/>
      </c>
      <c r="T969" s="48"/>
      <c r="U969" s="48"/>
      <c r="V969" s="32"/>
      <c r="W969" s="3" t="str">
        <f t="shared" si="212"/>
        <v/>
      </c>
      <c r="X969" s="48"/>
      <c r="Y969" s="48"/>
      <c r="Z969" s="32"/>
      <c r="AA969" s="3" t="str">
        <f t="shared" si="213"/>
        <v/>
      </c>
      <c r="AB969" s="48"/>
      <c r="AC969" s="48"/>
      <c r="AD969" s="36"/>
      <c r="AE969" s="54"/>
      <c r="AF969" s="3" t="str">
        <f t="shared" si="214"/>
        <v/>
      </c>
      <c r="AG969" s="48"/>
      <c r="AH969" s="48"/>
      <c r="AI969" s="39"/>
      <c r="AJ969" s="79"/>
      <c r="AK969" s="39"/>
      <c r="AL969" s="4">
        <f t="shared" si="207"/>
        <v>0</v>
      </c>
      <c r="AM969" s="4">
        <f t="shared" si="207"/>
        <v>0</v>
      </c>
      <c r="AN969" s="4">
        <f t="shared" si="208"/>
        <v>0</v>
      </c>
      <c r="AO969" s="39"/>
      <c r="AP969" s="8">
        <f t="shared" si="209"/>
        <v>0</v>
      </c>
      <c r="AQ969" s="8">
        <f t="shared" si="209"/>
        <v>0</v>
      </c>
      <c r="AR969" s="8">
        <f t="shared" si="210"/>
        <v>0</v>
      </c>
      <c r="AS969" s="42"/>
      <c r="AT969" s="48"/>
      <c r="AU969" s="48"/>
      <c r="AV969" s="4">
        <f t="shared" si="211"/>
        <v>0</v>
      </c>
      <c r="AW969" s="50" t="str">
        <f t="shared" si="215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56"/>
      <c r="B970" s="54"/>
      <c r="C970" s="56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54"/>
      <c r="O970" s="3" t="str">
        <f t="shared" si="205"/>
        <v/>
      </c>
      <c r="P970" s="48"/>
      <c r="Q970" s="48"/>
      <c r="R970" s="32"/>
      <c r="S970" s="3" t="str">
        <f t="shared" si="206"/>
        <v/>
      </c>
      <c r="T970" s="48"/>
      <c r="U970" s="48"/>
      <c r="V970" s="32"/>
      <c r="W970" s="3" t="str">
        <f t="shared" si="212"/>
        <v/>
      </c>
      <c r="X970" s="48"/>
      <c r="Y970" s="48"/>
      <c r="Z970" s="32"/>
      <c r="AA970" s="3" t="str">
        <f t="shared" si="213"/>
        <v/>
      </c>
      <c r="AB970" s="48"/>
      <c r="AC970" s="48"/>
      <c r="AD970" s="36"/>
      <c r="AE970" s="54"/>
      <c r="AF970" s="3" t="str">
        <f t="shared" si="214"/>
        <v/>
      </c>
      <c r="AG970" s="48"/>
      <c r="AH970" s="48"/>
      <c r="AI970" s="39"/>
      <c r="AJ970" s="79"/>
      <c r="AK970" s="39"/>
      <c r="AL970" s="4">
        <f t="shared" si="207"/>
        <v>0</v>
      </c>
      <c r="AM970" s="4">
        <f t="shared" si="207"/>
        <v>0</v>
      </c>
      <c r="AN970" s="4">
        <f t="shared" si="208"/>
        <v>0</v>
      </c>
      <c r="AO970" s="39"/>
      <c r="AP970" s="8">
        <f t="shared" si="209"/>
        <v>0</v>
      </c>
      <c r="AQ970" s="8">
        <f t="shared" si="209"/>
        <v>0</v>
      </c>
      <c r="AR970" s="8">
        <f t="shared" si="210"/>
        <v>0</v>
      </c>
      <c r="AS970" s="42"/>
      <c r="AT970" s="48"/>
      <c r="AU970" s="48"/>
      <c r="AV970" s="4">
        <f t="shared" si="211"/>
        <v>0</v>
      </c>
      <c r="AW970" s="50" t="str">
        <f t="shared" si="215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56"/>
      <c r="B971" s="54"/>
      <c r="C971" s="56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54"/>
      <c r="O971" s="3" t="str">
        <f t="shared" si="205"/>
        <v/>
      </c>
      <c r="P971" s="48"/>
      <c r="Q971" s="48"/>
      <c r="R971" s="32"/>
      <c r="S971" s="3" t="str">
        <f t="shared" si="206"/>
        <v/>
      </c>
      <c r="T971" s="48"/>
      <c r="U971" s="48"/>
      <c r="V971" s="32"/>
      <c r="W971" s="3" t="str">
        <f t="shared" si="212"/>
        <v/>
      </c>
      <c r="X971" s="48"/>
      <c r="Y971" s="48"/>
      <c r="Z971" s="32"/>
      <c r="AA971" s="3" t="str">
        <f t="shared" si="213"/>
        <v/>
      </c>
      <c r="AB971" s="48"/>
      <c r="AC971" s="48"/>
      <c r="AD971" s="36"/>
      <c r="AE971" s="54"/>
      <c r="AF971" s="3" t="str">
        <f t="shared" si="214"/>
        <v/>
      </c>
      <c r="AG971" s="48"/>
      <c r="AH971" s="48"/>
      <c r="AI971" s="39"/>
      <c r="AJ971" s="79"/>
      <c r="AK971" s="39"/>
      <c r="AL971" s="4">
        <f t="shared" si="207"/>
        <v>0</v>
      </c>
      <c r="AM971" s="4">
        <f t="shared" si="207"/>
        <v>0</v>
      </c>
      <c r="AN971" s="4">
        <f t="shared" si="208"/>
        <v>0</v>
      </c>
      <c r="AO971" s="39"/>
      <c r="AP971" s="8">
        <f t="shared" si="209"/>
        <v>0</v>
      </c>
      <c r="AQ971" s="8">
        <f t="shared" si="209"/>
        <v>0</v>
      </c>
      <c r="AR971" s="8">
        <f t="shared" si="210"/>
        <v>0</v>
      </c>
      <c r="AS971" s="42"/>
      <c r="AT971" s="48"/>
      <c r="AU971" s="48"/>
      <c r="AV971" s="4">
        <f t="shared" si="211"/>
        <v>0</v>
      </c>
      <c r="AW971" s="50" t="str">
        <f t="shared" si="215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56"/>
      <c r="B972" s="54"/>
      <c r="C972" s="56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54"/>
      <c r="O972" s="3" t="str">
        <f t="shared" si="205"/>
        <v/>
      </c>
      <c r="P972" s="48"/>
      <c r="Q972" s="48"/>
      <c r="R972" s="32"/>
      <c r="S972" s="3" t="str">
        <f t="shared" si="206"/>
        <v/>
      </c>
      <c r="T972" s="48"/>
      <c r="U972" s="48"/>
      <c r="V972" s="32"/>
      <c r="W972" s="3" t="str">
        <f t="shared" si="212"/>
        <v/>
      </c>
      <c r="X972" s="48"/>
      <c r="Y972" s="48"/>
      <c r="Z972" s="32"/>
      <c r="AA972" s="3" t="str">
        <f t="shared" si="213"/>
        <v/>
      </c>
      <c r="AB972" s="48"/>
      <c r="AC972" s="48"/>
      <c r="AD972" s="36"/>
      <c r="AE972" s="54"/>
      <c r="AF972" s="3" t="str">
        <f t="shared" si="214"/>
        <v/>
      </c>
      <c r="AG972" s="48"/>
      <c r="AH972" s="48"/>
      <c r="AI972" s="39"/>
      <c r="AJ972" s="79"/>
      <c r="AK972" s="39"/>
      <c r="AL972" s="4">
        <f t="shared" si="207"/>
        <v>0</v>
      </c>
      <c r="AM972" s="4">
        <f t="shared" si="207"/>
        <v>0</v>
      </c>
      <c r="AN972" s="4">
        <f t="shared" si="208"/>
        <v>0</v>
      </c>
      <c r="AO972" s="39"/>
      <c r="AP972" s="8">
        <f t="shared" si="209"/>
        <v>0</v>
      </c>
      <c r="AQ972" s="8">
        <f t="shared" si="209"/>
        <v>0</v>
      </c>
      <c r="AR972" s="8">
        <f t="shared" si="210"/>
        <v>0</v>
      </c>
      <c r="AS972" s="42"/>
      <c r="AT972" s="48"/>
      <c r="AU972" s="48"/>
      <c r="AV972" s="4">
        <f t="shared" si="211"/>
        <v>0</v>
      </c>
      <c r="AW972" s="50" t="str">
        <f t="shared" si="215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56"/>
      <c r="B973" s="54"/>
      <c r="C973" s="56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54"/>
      <c r="O973" s="3" t="str">
        <f t="shared" si="205"/>
        <v/>
      </c>
      <c r="P973" s="48"/>
      <c r="Q973" s="48"/>
      <c r="R973" s="32"/>
      <c r="S973" s="3" t="str">
        <f t="shared" si="206"/>
        <v/>
      </c>
      <c r="T973" s="48"/>
      <c r="U973" s="48"/>
      <c r="V973" s="32"/>
      <c r="W973" s="3" t="str">
        <f t="shared" si="212"/>
        <v/>
      </c>
      <c r="X973" s="48"/>
      <c r="Y973" s="48"/>
      <c r="Z973" s="32"/>
      <c r="AA973" s="3" t="str">
        <f t="shared" si="213"/>
        <v/>
      </c>
      <c r="AB973" s="48"/>
      <c r="AC973" s="48"/>
      <c r="AD973" s="36"/>
      <c r="AE973" s="54"/>
      <c r="AF973" s="3" t="str">
        <f t="shared" si="214"/>
        <v/>
      </c>
      <c r="AG973" s="48"/>
      <c r="AH973" s="48"/>
      <c r="AI973" s="39"/>
      <c r="AJ973" s="79"/>
      <c r="AK973" s="39"/>
      <c r="AL973" s="4">
        <f t="shared" si="207"/>
        <v>0</v>
      </c>
      <c r="AM973" s="4">
        <f t="shared" si="207"/>
        <v>0</v>
      </c>
      <c r="AN973" s="4">
        <f t="shared" si="208"/>
        <v>0</v>
      </c>
      <c r="AO973" s="39"/>
      <c r="AP973" s="8">
        <f t="shared" si="209"/>
        <v>0</v>
      </c>
      <c r="AQ973" s="8">
        <f t="shared" si="209"/>
        <v>0</v>
      </c>
      <c r="AR973" s="8">
        <f t="shared" si="210"/>
        <v>0</v>
      </c>
      <c r="AS973" s="42"/>
      <c r="AT973" s="48"/>
      <c r="AU973" s="48"/>
      <c r="AV973" s="4">
        <f t="shared" si="211"/>
        <v>0</v>
      </c>
      <c r="AW973" s="50" t="str">
        <f t="shared" si="215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56"/>
      <c r="B974" s="54"/>
      <c r="C974" s="56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54"/>
      <c r="O974" s="3" t="str">
        <f t="shared" si="205"/>
        <v/>
      </c>
      <c r="P974" s="48"/>
      <c r="Q974" s="48"/>
      <c r="R974" s="32"/>
      <c r="S974" s="3" t="str">
        <f t="shared" si="206"/>
        <v/>
      </c>
      <c r="T974" s="48"/>
      <c r="U974" s="48"/>
      <c r="V974" s="32"/>
      <c r="W974" s="3" t="str">
        <f t="shared" si="212"/>
        <v/>
      </c>
      <c r="X974" s="48"/>
      <c r="Y974" s="48"/>
      <c r="Z974" s="32"/>
      <c r="AA974" s="3" t="str">
        <f t="shared" si="213"/>
        <v/>
      </c>
      <c r="AB974" s="48"/>
      <c r="AC974" s="48"/>
      <c r="AD974" s="36"/>
      <c r="AE974" s="54"/>
      <c r="AF974" s="3" t="str">
        <f t="shared" si="214"/>
        <v/>
      </c>
      <c r="AG974" s="48"/>
      <c r="AH974" s="48"/>
      <c r="AI974" s="39"/>
      <c r="AJ974" s="79"/>
      <c r="AK974" s="39"/>
      <c r="AL974" s="4">
        <f t="shared" si="207"/>
        <v>0</v>
      </c>
      <c r="AM974" s="4">
        <f t="shared" si="207"/>
        <v>0</v>
      </c>
      <c r="AN974" s="4">
        <f t="shared" si="208"/>
        <v>0</v>
      </c>
      <c r="AO974" s="39"/>
      <c r="AP974" s="8">
        <f t="shared" si="209"/>
        <v>0</v>
      </c>
      <c r="AQ974" s="8">
        <f t="shared" si="209"/>
        <v>0</v>
      </c>
      <c r="AR974" s="8">
        <f t="shared" si="210"/>
        <v>0</v>
      </c>
      <c r="AS974" s="42"/>
      <c r="AT974" s="48"/>
      <c r="AU974" s="48"/>
      <c r="AV974" s="4">
        <f t="shared" si="211"/>
        <v>0</v>
      </c>
      <c r="AW974" s="50" t="str">
        <f t="shared" si="215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56"/>
      <c r="B975" s="54"/>
      <c r="C975" s="56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54"/>
      <c r="O975" s="3" t="str">
        <f t="shared" si="205"/>
        <v/>
      </c>
      <c r="P975" s="48"/>
      <c r="Q975" s="48"/>
      <c r="R975" s="32"/>
      <c r="S975" s="3" t="str">
        <f t="shared" si="206"/>
        <v/>
      </c>
      <c r="T975" s="48"/>
      <c r="U975" s="48"/>
      <c r="V975" s="32"/>
      <c r="W975" s="3" t="str">
        <f t="shared" si="212"/>
        <v/>
      </c>
      <c r="X975" s="48"/>
      <c r="Y975" s="48"/>
      <c r="Z975" s="32"/>
      <c r="AA975" s="3" t="str">
        <f t="shared" si="213"/>
        <v/>
      </c>
      <c r="AB975" s="48"/>
      <c r="AC975" s="48"/>
      <c r="AD975" s="36"/>
      <c r="AE975" s="54"/>
      <c r="AF975" s="3" t="str">
        <f t="shared" si="214"/>
        <v/>
      </c>
      <c r="AG975" s="48"/>
      <c r="AH975" s="48"/>
      <c r="AI975" s="39"/>
      <c r="AJ975" s="79"/>
      <c r="AK975" s="39"/>
      <c r="AL975" s="4">
        <f t="shared" si="207"/>
        <v>0</v>
      </c>
      <c r="AM975" s="4">
        <f t="shared" si="207"/>
        <v>0</v>
      </c>
      <c r="AN975" s="4">
        <f t="shared" si="208"/>
        <v>0</v>
      </c>
      <c r="AO975" s="39"/>
      <c r="AP975" s="8">
        <f t="shared" si="209"/>
        <v>0</v>
      </c>
      <c r="AQ975" s="8">
        <f t="shared" si="209"/>
        <v>0</v>
      </c>
      <c r="AR975" s="8">
        <f t="shared" si="210"/>
        <v>0</v>
      </c>
      <c r="AS975" s="42"/>
      <c r="AT975" s="48"/>
      <c r="AU975" s="48"/>
      <c r="AV975" s="4">
        <f t="shared" si="211"/>
        <v>0</v>
      </c>
      <c r="AW975" s="50" t="str">
        <f t="shared" si="215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56"/>
      <c r="B976" s="54"/>
      <c r="C976" s="56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54"/>
      <c r="O976" s="3" t="str">
        <f t="shared" si="205"/>
        <v/>
      </c>
      <c r="P976" s="48"/>
      <c r="Q976" s="48"/>
      <c r="R976" s="32"/>
      <c r="S976" s="3" t="str">
        <f t="shared" si="206"/>
        <v/>
      </c>
      <c r="T976" s="48"/>
      <c r="U976" s="48"/>
      <c r="V976" s="32"/>
      <c r="W976" s="3" t="str">
        <f t="shared" si="212"/>
        <v/>
      </c>
      <c r="X976" s="48"/>
      <c r="Y976" s="48"/>
      <c r="Z976" s="32"/>
      <c r="AA976" s="3" t="str">
        <f t="shared" si="213"/>
        <v/>
      </c>
      <c r="AB976" s="48"/>
      <c r="AC976" s="48"/>
      <c r="AD976" s="36"/>
      <c r="AE976" s="54"/>
      <c r="AF976" s="3" t="str">
        <f t="shared" si="214"/>
        <v/>
      </c>
      <c r="AG976" s="48"/>
      <c r="AH976" s="48"/>
      <c r="AI976" s="39"/>
      <c r="AJ976" s="79"/>
      <c r="AK976" s="39"/>
      <c r="AL976" s="4">
        <f t="shared" si="207"/>
        <v>0</v>
      </c>
      <c r="AM976" s="4">
        <f t="shared" si="207"/>
        <v>0</v>
      </c>
      <c r="AN976" s="4">
        <f t="shared" si="208"/>
        <v>0</v>
      </c>
      <c r="AO976" s="39"/>
      <c r="AP976" s="8">
        <f t="shared" si="209"/>
        <v>0</v>
      </c>
      <c r="AQ976" s="8">
        <f t="shared" si="209"/>
        <v>0</v>
      </c>
      <c r="AR976" s="8">
        <f t="shared" si="210"/>
        <v>0</v>
      </c>
      <c r="AS976" s="42"/>
      <c r="AT976" s="48"/>
      <c r="AU976" s="48"/>
      <c r="AV976" s="4">
        <f t="shared" si="211"/>
        <v>0</v>
      </c>
      <c r="AW976" s="50" t="str">
        <f t="shared" si="215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56"/>
      <c r="B977" s="54"/>
      <c r="C977" s="56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54"/>
      <c r="O977" s="3" t="str">
        <f t="shared" si="205"/>
        <v/>
      </c>
      <c r="P977" s="48"/>
      <c r="Q977" s="48"/>
      <c r="R977" s="32"/>
      <c r="S977" s="3" t="str">
        <f t="shared" si="206"/>
        <v/>
      </c>
      <c r="T977" s="48"/>
      <c r="U977" s="48"/>
      <c r="V977" s="32"/>
      <c r="W977" s="3" t="str">
        <f t="shared" si="212"/>
        <v/>
      </c>
      <c r="X977" s="48"/>
      <c r="Y977" s="48"/>
      <c r="Z977" s="32"/>
      <c r="AA977" s="3" t="str">
        <f t="shared" si="213"/>
        <v/>
      </c>
      <c r="AB977" s="48"/>
      <c r="AC977" s="48"/>
      <c r="AD977" s="36"/>
      <c r="AE977" s="54"/>
      <c r="AF977" s="3" t="str">
        <f t="shared" si="214"/>
        <v/>
      </c>
      <c r="AG977" s="48"/>
      <c r="AH977" s="48"/>
      <c r="AI977" s="39"/>
      <c r="AJ977" s="79"/>
      <c r="AK977" s="39"/>
      <c r="AL977" s="4">
        <f t="shared" si="207"/>
        <v>0</v>
      </c>
      <c r="AM977" s="4">
        <f t="shared" si="207"/>
        <v>0</v>
      </c>
      <c r="AN977" s="4">
        <f t="shared" si="208"/>
        <v>0</v>
      </c>
      <c r="AO977" s="39"/>
      <c r="AP977" s="8">
        <f t="shared" si="209"/>
        <v>0</v>
      </c>
      <c r="AQ977" s="8">
        <f t="shared" si="209"/>
        <v>0</v>
      </c>
      <c r="AR977" s="8">
        <f t="shared" si="210"/>
        <v>0</v>
      </c>
      <c r="AS977" s="42"/>
      <c r="AT977" s="48"/>
      <c r="AU977" s="48"/>
      <c r="AV977" s="4">
        <f t="shared" si="211"/>
        <v>0</v>
      </c>
      <c r="AW977" s="50" t="str">
        <f t="shared" si="215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56"/>
      <c r="B978" s="54"/>
      <c r="C978" s="56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54"/>
      <c r="O978" s="3" t="str">
        <f t="shared" si="205"/>
        <v/>
      </c>
      <c r="P978" s="48"/>
      <c r="Q978" s="48"/>
      <c r="R978" s="32"/>
      <c r="S978" s="3" t="str">
        <f t="shared" si="206"/>
        <v/>
      </c>
      <c r="T978" s="48"/>
      <c r="U978" s="48"/>
      <c r="V978" s="32"/>
      <c r="W978" s="3" t="str">
        <f t="shared" si="212"/>
        <v/>
      </c>
      <c r="X978" s="48"/>
      <c r="Y978" s="48"/>
      <c r="Z978" s="32"/>
      <c r="AA978" s="3" t="str">
        <f t="shared" si="213"/>
        <v/>
      </c>
      <c r="AB978" s="48"/>
      <c r="AC978" s="48"/>
      <c r="AD978" s="36"/>
      <c r="AE978" s="54"/>
      <c r="AF978" s="3" t="str">
        <f t="shared" si="214"/>
        <v/>
      </c>
      <c r="AG978" s="48"/>
      <c r="AH978" s="48"/>
      <c r="AI978" s="39"/>
      <c r="AJ978" s="79"/>
      <c r="AK978" s="39"/>
      <c r="AL978" s="4">
        <f t="shared" si="207"/>
        <v>0</v>
      </c>
      <c r="AM978" s="4">
        <f t="shared" si="207"/>
        <v>0</v>
      </c>
      <c r="AN978" s="4">
        <f t="shared" si="208"/>
        <v>0</v>
      </c>
      <c r="AO978" s="39"/>
      <c r="AP978" s="8">
        <f t="shared" si="209"/>
        <v>0</v>
      </c>
      <c r="AQ978" s="8">
        <f t="shared" si="209"/>
        <v>0</v>
      </c>
      <c r="AR978" s="8">
        <f t="shared" si="210"/>
        <v>0</v>
      </c>
      <c r="AS978" s="42"/>
      <c r="AT978" s="48"/>
      <c r="AU978" s="48"/>
      <c r="AV978" s="4">
        <f t="shared" si="211"/>
        <v>0</v>
      </c>
      <c r="AW978" s="50" t="str">
        <f t="shared" si="215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56"/>
      <c r="B979" s="54"/>
      <c r="C979" s="56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54"/>
      <c r="O979" s="3" t="str">
        <f t="shared" si="205"/>
        <v/>
      </c>
      <c r="P979" s="48"/>
      <c r="Q979" s="48"/>
      <c r="R979" s="32"/>
      <c r="S979" s="3" t="str">
        <f t="shared" si="206"/>
        <v/>
      </c>
      <c r="T979" s="48"/>
      <c r="U979" s="48"/>
      <c r="V979" s="32"/>
      <c r="W979" s="3" t="str">
        <f t="shared" si="212"/>
        <v/>
      </c>
      <c r="X979" s="48"/>
      <c r="Y979" s="48"/>
      <c r="Z979" s="32"/>
      <c r="AA979" s="3" t="str">
        <f t="shared" si="213"/>
        <v/>
      </c>
      <c r="AB979" s="48"/>
      <c r="AC979" s="48"/>
      <c r="AD979" s="36"/>
      <c r="AE979" s="54"/>
      <c r="AF979" s="3" t="str">
        <f t="shared" si="214"/>
        <v/>
      </c>
      <c r="AG979" s="48"/>
      <c r="AH979" s="48"/>
      <c r="AI979" s="39"/>
      <c r="AJ979" s="79"/>
      <c r="AK979" s="39"/>
      <c r="AL979" s="4">
        <f t="shared" si="207"/>
        <v>0</v>
      </c>
      <c r="AM979" s="4">
        <f t="shared" si="207"/>
        <v>0</v>
      </c>
      <c r="AN979" s="4">
        <f t="shared" si="208"/>
        <v>0</v>
      </c>
      <c r="AO979" s="39"/>
      <c r="AP979" s="8">
        <f t="shared" si="209"/>
        <v>0</v>
      </c>
      <c r="AQ979" s="8">
        <f t="shared" si="209"/>
        <v>0</v>
      </c>
      <c r="AR979" s="8">
        <f t="shared" si="210"/>
        <v>0</v>
      </c>
      <c r="AS979" s="42"/>
      <c r="AT979" s="48"/>
      <c r="AU979" s="48"/>
      <c r="AV979" s="4">
        <f t="shared" si="211"/>
        <v>0</v>
      </c>
      <c r="AW979" s="50" t="str">
        <f t="shared" si="215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56"/>
      <c r="B980" s="54"/>
      <c r="C980" s="56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54"/>
      <c r="O980" s="3" t="str">
        <f t="shared" si="205"/>
        <v/>
      </c>
      <c r="P980" s="48"/>
      <c r="Q980" s="48"/>
      <c r="R980" s="32"/>
      <c r="S980" s="3" t="str">
        <f t="shared" si="206"/>
        <v/>
      </c>
      <c r="T980" s="48"/>
      <c r="U980" s="48"/>
      <c r="V980" s="32"/>
      <c r="W980" s="3" t="str">
        <f t="shared" si="212"/>
        <v/>
      </c>
      <c r="X980" s="48"/>
      <c r="Y980" s="48"/>
      <c r="Z980" s="32"/>
      <c r="AA980" s="3" t="str">
        <f t="shared" si="213"/>
        <v/>
      </c>
      <c r="AB980" s="48"/>
      <c r="AC980" s="48"/>
      <c r="AD980" s="36"/>
      <c r="AE980" s="54"/>
      <c r="AF980" s="3" t="str">
        <f t="shared" si="214"/>
        <v/>
      </c>
      <c r="AG980" s="48"/>
      <c r="AH980" s="48"/>
      <c r="AI980" s="39"/>
      <c r="AJ980" s="79"/>
      <c r="AK980" s="39"/>
      <c r="AL980" s="4">
        <f t="shared" si="207"/>
        <v>0</v>
      </c>
      <c r="AM980" s="4">
        <f t="shared" si="207"/>
        <v>0</v>
      </c>
      <c r="AN980" s="4">
        <f t="shared" si="208"/>
        <v>0</v>
      </c>
      <c r="AO980" s="39"/>
      <c r="AP980" s="8">
        <f t="shared" si="209"/>
        <v>0</v>
      </c>
      <c r="AQ980" s="8">
        <f t="shared" si="209"/>
        <v>0</v>
      </c>
      <c r="AR980" s="8">
        <f t="shared" si="210"/>
        <v>0</v>
      </c>
      <c r="AS980" s="42"/>
      <c r="AT980" s="48"/>
      <c r="AU980" s="48"/>
      <c r="AV980" s="4">
        <f t="shared" si="211"/>
        <v>0</v>
      </c>
      <c r="AW980" s="50" t="str">
        <f t="shared" si="215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56"/>
      <c r="B981" s="54"/>
      <c r="C981" s="56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54"/>
      <c r="O981" s="3" t="str">
        <f t="shared" si="205"/>
        <v/>
      </c>
      <c r="P981" s="48"/>
      <c r="Q981" s="48"/>
      <c r="R981" s="32"/>
      <c r="S981" s="3" t="str">
        <f t="shared" si="206"/>
        <v/>
      </c>
      <c r="T981" s="48"/>
      <c r="U981" s="48"/>
      <c r="V981" s="32"/>
      <c r="W981" s="3" t="str">
        <f t="shared" si="212"/>
        <v/>
      </c>
      <c r="X981" s="48"/>
      <c r="Y981" s="48"/>
      <c r="Z981" s="32"/>
      <c r="AA981" s="3" t="str">
        <f t="shared" si="213"/>
        <v/>
      </c>
      <c r="AB981" s="48"/>
      <c r="AC981" s="48"/>
      <c r="AD981" s="36"/>
      <c r="AE981" s="54"/>
      <c r="AF981" s="3" t="str">
        <f t="shared" si="214"/>
        <v/>
      </c>
      <c r="AG981" s="48"/>
      <c r="AH981" s="48"/>
      <c r="AI981" s="39"/>
      <c r="AJ981" s="79"/>
      <c r="AK981" s="39"/>
      <c r="AL981" s="4">
        <f t="shared" si="207"/>
        <v>0</v>
      </c>
      <c r="AM981" s="4">
        <f t="shared" si="207"/>
        <v>0</v>
      </c>
      <c r="AN981" s="4">
        <f t="shared" si="208"/>
        <v>0</v>
      </c>
      <c r="AO981" s="39"/>
      <c r="AP981" s="8">
        <f t="shared" si="209"/>
        <v>0</v>
      </c>
      <c r="AQ981" s="8">
        <f t="shared" si="209"/>
        <v>0</v>
      </c>
      <c r="AR981" s="8">
        <f t="shared" si="210"/>
        <v>0</v>
      </c>
      <c r="AS981" s="42"/>
      <c r="AT981" s="48"/>
      <c r="AU981" s="48"/>
      <c r="AV981" s="4">
        <f t="shared" si="211"/>
        <v>0</v>
      </c>
      <c r="AW981" s="50" t="str">
        <f t="shared" si="215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56"/>
      <c r="B982" s="54"/>
      <c r="C982" s="56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54"/>
      <c r="O982" s="3" t="str">
        <f t="shared" si="205"/>
        <v/>
      </c>
      <c r="P982" s="48"/>
      <c r="Q982" s="48"/>
      <c r="R982" s="32"/>
      <c r="S982" s="3" t="str">
        <f t="shared" si="206"/>
        <v/>
      </c>
      <c r="T982" s="48"/>
      <c r="U982" s="48"/>
      <c r="V982" s="32"/>
      <c r="W982" s="3" t="str">
        <f t="shared" si="212"/>
        <v/>
      </c>
      <c r="X982" s="48"/>
      <c r="Y982" s="48"/>
      <c r="Z982" s="32"/>
      <c r="AA982" s="3" t="str">
        <f t="shared" si="213"/>
        <v/>
      </c>
      <c r="AB982" s="48"/>
      <c r="AC982" s="48"/>
      <c r="AD982" s="36"/>
      <c r="AE982" s="54"/>
      <c r="AF982" s="3" t="str">
        <f t="shared" si="214"/>
        <v/>
      </c>
      <c r="AG982" s="48"/>
      <c r="AH982" s="48"/>
      <c r="AI982" s="39"/>
      <c r="AJ982" s="79"/>
      <c r="AK982" s="39"/>
      <c r="AL982" s="4">
        <f t="shared" si="207"/>
        <v>0</v>
      </c>
      <c r="AM982" s="4">
        <f t="shared" si="207"/>
        <v>0</v>
      </c>
      <c r="AN982" s="4">
        <f t="shared" si="208"/>
        <v>0</v>
      </c>
      <c r="AO982" s="39"/>
      <c r="AP982" s="8">
        <f t="shared" si="209"/>
        <v>0</v>
      </c>
      <c r="AQ982" s="8">
        <f t="shared" si="209"/>
        <v>0</v>
      </c>
      <c r="AR982" s="8">
        <f t="shared" si="210"/>
        <v>0</v>
      </c>
      <c r="AS982" s="42"/>
      <c r="AT982" s="48"/>
      <c r="AU982" s="48"/>
      <c r="AV982" s="4">
        <f t="shared" si="211"/>
        <v>0</v>
      </c>
      <c r="AW982" s="50" t="str">
        <f t="shared" si="215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56"/>
      <c r="B983" s="54"/>
      <c r="C983" s="56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54"/>
      <c r="O983" s="3" t="str">
        <f t="shared" si="205"/>
        <v/>
      </c>
      <c r="P983" s="48"/>
      <c r="Q983" s="48"/>
      <c r="R983" s="32"/>
      <c r="S983" s="3" t="str">
        <f t="shared" si="206"/>
        <v/>
      </c>
      <c r="T983" s="48"/>
      <c r="U983" s="48"/>
      <c r="V983" s="32"/>
      <c r="W983" s="3" t="str">
        <f t="shared" si="212"/>
        <v/>
      </c>
      <c r="X983" s="48"/>
      <c r="Y983" s="48"/>
      <c r="Z983" s="32"/>
      <c r="AA983" s="3" t="str">
        <f t="shared" si="213"/>
        <v/>
      </c>
      <c r="AB983" s="48"/>
      <c r="AC983" s="48"/>
      <c r="AD983" s="36"/>
      <c r="AE983" s="54"/>
      <c r="AF983" s="3" t="str">
        <f t="shared" si="214"/>
        <v/>
      </c>
      <c r="AG983" s="48"/>
      <c r="AH983" s="48"/>
      <c r="AI983" s="39"/>
      <c r="AJ983" s="79"/>
      <c r="AK983" s="39"/>
      <c r="AL983" s="4">
        <f t="shared" si="207"/>
        <v>0</v>
      </c>
      <c r="AM983" s="4">
        <f t="shared" si="207"/>
        <v>0</v>
      </c>
      <c r="AN983" s="4">
        <f t="shared" si="208"/>
        <v>0</v>
      </c>
      <c r="AO983" s="39"/>
      <c r="AP983" s="8">
        <f t="shared" si="209"/>
        <v>0</v>
      </c>
      <c r="AQ983" s="8">
        <f t="shared" si="209"/>
        <v>0</v>
      </c>
      <c r="AR983" s="8">
        <f t="shared" si="210"/>
        <v>0</v>
      </c>
      <c r="AS983" s="42"/>
      <c r="AT983" s="48"/>
      <c r="AU983" s="48"/>
      <c r="AV983" s="4">
        <f t="shared" si="211"/>
        <v>0</v>
      </c>
      <c r="AW983" s="50" t="str">
        <f t="shared" si="215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56"/>
      <c r="B984" s="54"/>
      <c r="C984" s="56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54"/>
      <c r="O984" s="3" t="str">
        <f t="shared" si="205"/>
        <v/>
      </c>
      <c r="P984" s="48"/>
      <c r="Q984" s="48"/>
      <c r="R984" s="32"/>
      <c r="S984" s="3" t="str">
        <f t="shared" si="206"/>
        <v/>
      </c>
      <c r="T984" s="48"/>
      <c r="U984" s="48"/>
      <c r="V984" s="32"/>
      <c r="W984" s="3" t="str">
        <f t="shared" si="212"/>
        <v/>
      </c>
      <c r="X984" s="48"/>
      <c r="Y984" s="48"/>
      <c r="Z984" s="32"/>
      <c r="AA984" s="3" t="str">
        <f t="shared" si="213"/>
        <v/>
      </c>
      <c r="AB984" s="48"/>
      <c r="AC984" s="48"/>
      <c r="AD984" s="36"/>
      <c r="AE984" s="54"/>
      <c r="AF984" s="3" t="str">
        <f t="shared" si="214"/>
        <v/>
      </c>
      <c r="AG984" s="48"/>
      <c r="AH984" s="48"/>
      <c r="AI984" s="39"/>
      <c r="AJ984" s="79"/>
      <c r="AK984" s="39"/>
      <c r="AL984" s="4">
        <f t="shared" si="207"/>
        <v>0</v>
      </c>
      <c r="AM984" s="4">
        <f t="shared" si="207"/>
        <v>0</v>
      </c>
      <c r="AN984" s="4">
        <f t="shared" si="208"/>
        <v>0</v>
      </c>
      <c r="AO984" s="39"/>
      <c r="AP984" s="8">
        <f t="shared" si="209"/>
        <v>0</v>
      </c>
      <c r="AQ984" s="8">
        <f t="shared" si="209"/>
        <v>0</v>
      </c>
      <c r="AR984" s="8">
        <f t="shared" si="210"/>
        <v>0</v>
      </c>
      <c r="AS984" s="42"/>
      <c r="AT984" s="48"/>
      <c r="AU984" s="48"/>
      <c r="AV984" s="4">
        <f t="shared" si="211"/>
        <v>0</v>
      </c>
      <c r="AW984" s="50" t="str">
        <f t="shared" si="215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56"/>
      <c r="B985" s="54"/>
      <c r="C985" s="56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54"/>
      <c r="O985" s="3" t="str">
        <f t="shared" si="205"/>
        <v/>
      </c>
      <c r="P985" s="48"/>
      <c r="Q985" s="48"/>
      <c r="R985" s="32"/>
      <c r="S985" s="3" t="str">
        <f t="shared" si="206"/>
        <v/>
      </c>
      <c r="T985" s="48"/>
      <c r="U985" s="48"/>
      <c r="V985" s="32"/>
      <c r="W985" s="3" t="str">
        <f t="shared" si="212"/>
        <v/>
      </c>
      <c r="X985" s="48"/>
      <c r="Y985" s="48"/>
      <c r="Z985" s="32"/>
      <c r="AA985" s="3" t="str">
        <f t="shared" si="213"/>
        <v/>
      </c>
      <c r="AB985" s="48"/>
      <c r="AC985" s="48"/>
      <c r="AD985" s="36"/>
      <c r="AE985" s="54"/>
      <c r="AF985" s="3" t="str">
        <f t="shared" si="214"/>
        <v/>
      </c>
      <c r="AG985" s="48"/>
      <c r="AH985" s="48"/>
      <c r="AI985" s="39"/>
      <c r="AJ985" s="79"/>
      <c r="AK985" s="39"/>
      <c r="AL985" s="4">
        <f t="shared" si="207"/>
        <v>0</v>
      </c>
      <c r="AM985" s="4">
        <f t="shared" si="207"/>
        <v>0</v>
      </c>
      <c r="AN985" s="4">
        <f t="shared" si="208"/>
        <v>0</v>
      </c>
      <c r="AO985" s="39"/>
      <c r="AP985" s="8">
        <f t="shared" si="209"/>
        <v>0</v>
      </c>
      <c r="AQ985" s="8">
        <f t="shared" si="209"/>
        <v>0</v>
      </c>
      <c r="AR985" s="8">
        <f t="shared" si="210"/>
        <v>0</v>
      </c>
      <c r="AS985" s="42"/>
      <c r="AT985" s="48"/>
      <c r="AU985" s="48"/>
      <c r="AV985" s="4">
        <f t="shared" si="211"/>
        <v>0</v>
      </c>
      <c r="AW985" s="50" t="str">
        <f t="shared" si="215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56"/>
      <c r="B986" s="54"/>
      <c r="C986" s="56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54"/>
      <c r="O986" s="3" t="str">
        <f t="shared" si="205"/>
        <v/>
      </c>
      <c r="P986" s="48"/>
      <c r="Q986" s="48"/>
      <c r="R986" s="32"/>
      <c r="S986" s="3" t="str">
        <f t="shared" si="206"/>
        <v/>
      </c>
      <c r="T986" s="48"/>
      <c r="U986" s="48"/>
      <c r="V986" s="32"/>
      <c r="W986" s="3" t="str">
        <f t="shared" si="212"/>
        <v/>
      </c>
      <c r="X986" s="48"/>
      <c r="Y986" s="48"/>
      <c r="Z986" s="32"/>
      <c r="AA986" s="3" t="str">
        <f t="shared" si="213"/>
        <v/>
      </c>
      <c r="AB986" s="48"/>
      <c r="AC986" s="48"/>
      <c r="AD986" s="36"/>
      <c r="AE986" s="54"/>
      <c r="AF986" s="3" t="str">
        <f t="shared" si="214"/>
        <v/>
      </c>
      <c r="AG986" s="48"/>
      <c r="AH986" s="48"/>
      <c r="AI986" s="39"/>
      <c r="AJ986" s="79"/>
      <c r="AK986" s="39"/>
      <c r="AL986" s="4">
        <f t="shared" si="207"/>
        <v>0</v>
      </c>
      <c r="AM986" s="4">
        <f t="shared" si="207"/>
        <v>0</v>
      </c>
      <c r="AN986" s="4">
        <f t="shared" si="208"/>
        <v>0</v>
      </c>
      <c r="AO986" s="39"/>
      <c r="AP986" s="8">
        <f t="shared" si="209"/>
        <v>0</v>
      </c>
      <c r="AQ986" s="8">
        <f t="shared" si="209"/>
        <v>0</v>
      </c>
      <c r="AR986" s="8">
        <f t="shared" si="210"/>
        <v>0</v>
      </c>
      <c r="AS986" s="42"/>
      <c r="AT986" s="48"/>
      <c r="AU986" s="48"/>
      <c r="AV986" s="4">
        <f t="shared" si="211"/>
        <v>0</v>
      </c>
      <c r="AW986" s="50" t="str">
        <f t="shared" si="215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56"/>
      <c r="B987" s="54"/>
      <c r="C987" s="56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54"/>
      <c r="O987" s="3" t="str">
        <f t="shared" si="205"/>
        <v/>
      </c>
      <c r="P987" s="48"/>
      <c r="Q987" s="48"/>
      <c r="R987" s="32"/>
      <c r="S987" s="3" t="str">
        <f t="shared" si="206"/>
        <v/>
      </c>
      <c r="T987" s="48"/>
      <c r="U987" s="48"/>
      <c r="V987" s="32"/>
      <c r="W987" s="3" t="str">
        <f t="shared" si="212"/>
        <v/>
      </c>
      <c r="X987" s="48"/>
      <c r="Y987" s="48"/>
      <c r="Z987" s="32"/>
      <c r="AA987" s="3" t="str">
        <f t="shared" si="213"/>
        <v/>
      </c>
      <c r="AB987" s="48"/>
      <c r="AC987" s="48"/>
      <c r="AD987" s="36"/>
      <c r="AE987" s="54"/>
      <c r="AF987" s="3" t="str">
        <f t="shared" si="214"/>
        <v/>
      </c>
      <c r="AG987" s="48"/>
      <c r="AH987" s="48"/>
      <c r="AI987" s="39"/>
      <c r="AJ987" s="79"/>
      <c r="AK987" s="39"/>
      <c r="AL987" s="4">
        <f t="shared" si="207"/>
        <v>0</v>
      </c>
      <c r="AM987" s="4">
        <f t="shared" si="207"/>
        <v>0</v>
      </c>
      <c r="AN987" s="4">
        <f t="shared" si="208"/>
        <v>0</v>
      </c>
      <c r="AO987" s="39"/>
      <c r="AP987" s="8">
        <f t="shared" si="209"/>
        <v>0</v>
      </c>
      <c r="AQ987" s="8">
        <f t="shared" si="209"/>
        <v>0</v>
      </c>
      <c r="AR987" s="8">
        <f t="shared" si="210"/>
        <v>0</v>
      </c>
      <c r="AS987" s="42"/>
      <c r="AT987" s="48"/>
      <c r="AU987" s="48"/>
      <c r="AV987" s="4">
        <f t="shared" si="211"/>
        <v>0</v>
      </c>
      <c r="AW987" s="50" t="str">
        <f t="shared" si="215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56"/>
      <c r="B988" s="54"/>
      <c r="C988" s="56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54"/>
      <c r="O988" s="3" t="str">
        <f t="shared" si="205"/>
        <v/>
      </c>
      <c r="P988" s="48"/>
      <c r="Q988" s="48"/>
      <c r="R988" s="32"/>
      <c r="S988" s="3" t="str">
        <f t="shared" si="206"/>
        <v/>
      </c>
      <c r="T988" s="48"/>
      <c r="U988" s="48"/>
      <c r="V988" s="32"/>
      <c r="W988" s="3" t="str">
        <f t="shared" si="212"/>
        <v/>
      </c>
      <c r="X988" s="48"/>
      <c r="Y988" s="48"/>
      <c r="Z988" s="32"/>
      <c r="AA988" s="3" t="str">
        <f t="shared" si="213"/>
        <v/>
      </c>
      <c r="AB988" s="48"/>
      <c r="AC988" s="48"/>
      <c r="AD988" s="36"/>
      <c r="AE988" s="54"/>
      <c r="AF988" s="3" t="str">
        <f t="shared" si="214"/>
        <v/>
      </c>
      <c r="AG988" s="48"/>
      <c r="AH988" s="48"/>
      <c r="AI988" s="39"/>
      <c r="AJ988" s="79"/>
      <c r="AK988" s="39"/>
      <c r="AL988" s="4">
        <f t="shared" si="207"/>
        <v>0</v>
      </c>
      <c r="AM988" s="4">
        <f t="shared" si="207"/>
        <v>0</v>
      </c>
      <c r="AN988" s="4">
        <f t="shared" si="208"/>
        <v>0</v>
      </c>
      <c r="AO988" s="39"/>
      <c r="AP988" s="8">
        <f t="shared" si="209"/>
        <v>0</v>
      </c>
      <c r="AQ988" s="8">
        <f t="shared" si="209"/>
        <v>0</v>
      </c>
      <c r="AR988" s="8">
        <f t="shared" si="210"/>
        <v>0</v>
      </c>
      <c r="AS988" s="42"/>
      <c r="AT988" s="48"/>
      <c r="AU988" s="48"/>
      <c r="AV988" s="4">
        <f t="shared" si="211"/>
        <v>0</v>
      </c>
      <c r="AW988" s="50" t="str">
        <f t="shared" si="215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56"/>
      <c r="B989" s="54"/>
      <c r="C989" s="56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54"/>
      <c r="O989" s="3" t="str">
        <f t="shared" si="205"/>
        <v/>
      </c>
      <c r="P989" s="48"/>
      <c r="Q989" s="48"/>
      <c r="R989" s="32"/>
      <c r="S989" s="3" t="str">
        <f t="shared" si="206"/>
        <v/>
      </c>
      <c r="T989" s="48"/>
      <c r="U989" s="48"/>
      <c r="V989" s="32"/>
      <c r="W989" s="3" t="str">
        <f t="shared" si="212"/>
        <v/>
      </c>
      <c r="X989" s="48"/>
      <c r="Y989" s="48"/>
      <c r="Z989" s="32"/>
      <c r="AA989" s="3" t="str">
        <f t="shared" si="213"/>
        <v/>
      </c>
      <c r="AB989" s="48"/>
      <c r="AC989" s="48"/>
      <c r="AD989" s="36"/>
      <c r="AE989" s="54"/>
      <c r="AF989" s="3" t="str">
        <f t="shared" si="214"/>
        <v/>
      </c>
      <c r="AG989" s="48"/>
      <c r="AH989" s="48"/>
      <c r="AI989" s="39"/>
      <c r="AJ989" s="79"/>
      <c r="AK989" s="39"/>
      <c r="AL989" s="4">
        <f t="shared" si="207"/>
        <v>0</v>
      </c>
      <c r="AM989" s="4">
        <f t="shared" si="207"/>
        <v>0</v>
      </c>
      <c r="AN989" s="4">
        <f t="shared" si="208"/>
        <v>0</v>
      </c>
      <c r="AO989" s="39"/>
      <c r="AP989" s="8">
        <f t="shared" si="209"/>
        <v>0</v>
      </c>
      <c r="AQ989" s="8">
        <f t="shared" si="209"/>
        <v>0</v>
      </c>
      <c r="AR989" s="8">
        <f t="shared" si="210"/>
        <v>0</v>
      </c>
      <c r="AS989" s="42"/>
      <c r="AT989" s="48"/>
      <c r="AU989" s="48"/>
      <c r="AV989" s="4">
        <f t="shared" si="211"/>
        <v>0</v>
      </c>
      <c r="AW989" s="50" t="str">
        <f t="shared" si="215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56"/>
      <c r="B990" s="54"/>
      <c r="C990" s="56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54"/>
      <c r="O990" s="3" t="str">
        <f t="shared" si="205"/>
        <v/>
      </c>
      <c r="P990" s="48"/>
      <c r="Q990" s="48"/>
      <c r="R990" s="32"/>
      <c r="S990" s="3" t="str">
        <f t="shared" si="206"/>
        <v/>
      </c>
      <c r="T990" s="48"/>
      <c r="U990" s="48"/>
      <c r="V990" s="32"/>
      <c r="W990" s="3" t="str">
        <f t="shared" si="212"/>
        <v/>
      </c>
      <c r="X990" s="48"/>
      <c r="Y990" s="48"/>
      <c r="Z990" s="32"/>
      <c r="AA990" s="3" t="str">
        <f t="shared" si="213"/>
        <v/>
      </c>
      <c r="AB990" s="48"/>
      <c r="AC990" s="48"/>
      <c r="AD990" s="36"/>
      <c r="AE990" s="54"/>
      <c r="AF990" s="3" t="str">
        <f t="shared" si="214"/>
        <v/>
      </c>
      <c r="AG990" s="48"/>
      <c r="AH990" s="48"/>
      <c r="AI990" s="39"/>
      <c r="AJ990" s="79"/>
      <c r="AK990" s="39"/>
      <c r="AL990" s="4">
        <f t="shared" si="207"/>
        <v>0</v>
      </c>
      <c r="AM990" s="4">
        <f t="shared" si="207"/>
        <v>0</v>
      </c>
      <c r="AN990" s="4">
        <f t="shared" si="208"/>
        <v>0</v>
      </c>
      <c r="AO990" s="39"/>
      <c r="AP990" s="8">
        <f t="shared" si="209"/>
        <v>0</v>
      </c>
      <c r="AQ990" s="8">
        <f t="shared" si="209"/>
        <v>0</v>
      </c>
      <c r="AR990" s="8">
        <f t="shared" si="210"/>
        <v>0</v>
      </c>
      <c r="AS990" s="42"/>
      <c r="AT990" s="48"/>
      <c r="AU990" s="48"/>
      <c r="AV990" s="4">
        <f t="shared" si="211"/>
        <v>0</v>
      </c>
      <c r="AW990" s="50" t="str">
        <f t="shared" si="215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56"/>
      <c r="B991" s="54"/>
      <c r="C991" s="56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54"/>
      <c r="O991" s="3" t="str">
        <f t="shared" si="205"/>
        <v/>
      </c>
      <c r="P991" s="48"/>
      <c r="Q991" s="48"/>
      <c r="R991" s="32"/>
      <c r="S991" s="3" t="str">
        <f t="shared" si="206"/>
        <v/>
      </c>
      <c r="T991" s="48"/>
      <c r="U991" s="48"/>
      <c r="V991" s="32"/>
      <c r="W991" s="3" t="str">
        <f t="shared" si="212"/>
        <v/>
      </c>
      <c r="X991" s="48"/>
      <c r="Y991" s="48"/>
      <c r="Z991" s="32"/>
      <c r="AA991" s="3" t="str">
        <f t="shared" si="213"/>
        <v/>
      </c>
      <c r="AB991" s="48"/>
      <c r="AC991" s="48"/>
      <c r="AD991" s="36"/>
      <c r="AE991" s="54"/>
      <c r="AF991" s="3" t="str">
        <f t="shared" si="214"/>
        <v/>
      </c>
      <c r="AG991" s="48"/>
      <c r="AH991" s="48"/>
      <c r="AI991" s="39"/>
      <c r="AJ991" s="79"/>
      <c r="AK991" s="39"/>
      <c r="AL991" s="4">
        <f t="shared" si="207"/>
        <v>0</v>
      </c>
      <c r="AM991" s="4">
        <f t="shared" si="207"/>
        <v>0</v>
      </c>
      <c r="AN991" s="4">
        <f t="shared" si="208"/>
        <v>0</v>
      </c>
      <c r="AO991" s="39"/>
      <c r="AP991" s="8">
        <f t="shared" si="209"/>
        <v>0</v>
      </c>
      <c r="AQ991" s="8">
        <f t="shared" si="209"/>
        <v>0</v>
      </c>
      <c r="AR991" s="8">
        <f t="shared" si="210"/>
        <v>0</v>
      </c>
      <c r="AS991" s="42"/>
      <c r="AT991" s="48"/>
      <c r="AU991" s="48"/>
      <c r="AV991" s="4">
        <f t="shared" si="211"/>
        <v>0</v>
      </c>
      <c r="AW991" s="50" t="str">
        <f t="shared" si="215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56"/>
      <c r="B992" s="54"/>
      <c r="C992" s="56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54"/>
      <c r="O992" s="3" t="str">
        <f t="shared" si="205"/>
        <v/>
      </c>
      <c r="P992" s="48"/>
      <c r="Q992" s="48"/>
      <c r="R992" s="32"/>
      <c r="S992" s="3" t="str">
        <f t="shared" si="206"/>
        <v/>
      </c>
      <c r="T992" s="48"/>
      <c r="U992" s="48"/>
      <c r="V992" s="32"/>
      <c r="W992" s="3" t="str">
        <f t="shared" si="212"/>
        <v/>
      </c>
      <c r="X992" s="48"/>
      <c r="Y992" s="48"/>
      <c r="Z992" s="32"/>
      <c r="AA992" s="3" t="str">
        <f t="shared" si="213"/>
        <v/>
      </c>
      <c r="AB992" s="48"/>
      <c r="AC992" s="48"/>
      <c r="AD992" s="36"/>
      <c r="AE992" s="54"/>
      <c r="AF992" s="3" t="str">
        <f t="shared" si="214"/>
        <v/>
      </c>
      <c r="AG992" s="48"/>
      <c r="AH992" s="48"/>
      <c r="AI992" s="39"/>
      <c r="AJ992" s="79"/>
      <c r="AK992" s="39"/>
      <c r="AL992" s="4">
        <f t="shared" si="207"/>
        <v>0</v>
      </c>
      <c r="AM992" s="4">
        <f t="shared" si="207"/>
        <v>0</v>
      </c>
      <c r="AN992" s="4">
        <f t="shared" si="208"/>
        <v>0</v>
      </c>
      <c r="AO992" s="39"/>
      <c r="AP992" s="8">
        <f t="shared" si="209"/>
        <v>0</v>
      </c>
      <c r="AQ992" s="8">
        <f t="shared" si="209"/>
        <v>0</v>
      </c>
      <c r="AR992" s="8">
        <f t="shared" si="210"/>
        <v>0</v>
      </c>
      <c r="AS992" s="42"/>
      <c r="AT992" s="48"/>
      <c r="AU992" s="48"/>
      <c r="AV992" s="4">
        <f t="shared" si="211"/>
        <v>0</v>
      </c>
      <c r="AW992" s="50" t="str">
        <f t="shared" si="215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56"/>
      <c r="B993" s="54"/>
      <c r="C993" s="56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54"/>
      <c r="O993" s="3" t="str">
        <f t="shared" si="205"/>
        <v/>
      </c>
      <c r="P993" s="48"/>
      <c r="Q993" s="48"/>
      <c r="R993" s="32"/>
      <c r="S993" s="3" t="str">
        <f t="shared" si="206"/>
        <v/>
      </c>
      <c r="T993" s="48"/>
      <c r="U993" s="48"/>
      <c r="V993" s="32"/>
      <c r="W993" s="3" t="str">
        <f t="shared" si="212"/>
        <v/>
      </c>
      <c r="X993" s="48"/>
      <c r="Y993" s="48"/>
      <c r="Z993" s="32"/>
      <c r="AA993" s="3" t="str">
        <f t="shared" si="213"/>
        <v/>
      </c>
      <c r="AB993" s="48"/>
      <c r="AC993" s="48"/>
      <c r="AD993" s="36"/>
      <c r="AE993" s="54"/>
      <c r="AF993" s="3" t="str">
        <f t="shared" si="214"/>
        <v/>
      </c>
      <c r="AG993" s="48"/>
      <c r="AH993" s="48"/>
      <c r="AI993" s="39"/>
      <c r="AJ993" s="79"/>
      <c r="AK993" s="39"/>
      <c r="AL993" s="4">
        <f t="shared" si="207"/>
        <v>0</v>
      </c>
      <c r="AM993" s="4">
        <f t="shared" si="207"/>
        <v>0</v>
      </c>
      <c r="AN993" s="4">
        <f t="shared" si="208"/>
        <v>0</v>
      </c>
      <c r="AO993" s="39"/>
      <c r="AP993" s="8">
        <f t="shared" si="209"/>
        <v>0</v>
      </c>
      <c r="AQ993" s="8">
        <f t="shared" si="209"/>
        <v>0</v>
      </c>
      <c r="AR993" s="8">
        <f t="shared" si="210"/>
        <v>0</v>
      </c>
      <c r="AS993" s="42"/>
      <c r="AT993" s="48"/>
      <c r="AU993" s="48"/>
      <c r="AV993" s="4">
        <f t="shared" si="211"/>
        <v>0</v>
      </c>
      <c r="AW993" s="50" t="str">
        <f t="shared" si="215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56"/>
      <c r="B994" s="54"/>
      <c r="C994" s="56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54"/>
      <c r="O994" s="3" t="str">
        <f t="shared" si="205"/>
        <v/>
      </c>
      <c r="P994" s="48"/>
      <c r="Q994" s="48"/>
      <c r="R994" s="32"/>
      <c r="S994" s="3" t="str">
        <f t="shared" si="206"/>
        <v/>
      </c>
      <c r="T994" s="48"/>
      <c r="U994" s="48"/>
      <c r="V994" s="32"/>
      <c r="W994" s="3" t="str">
        <f t="shared" si="212"/>
        <v/>
      </c>
      <c r="X994" s="48"/>
      <c r="Y994" s="48"/>
      <c r="Z994" s="32"/>
      <c r="AA994" s="3" t="str">
        <f t="shared" si="213"/>
        <v/>
      </c>
      <c r="AB994" s="48"/>
      <c r="AC994" s="48"/>
      <c r="AD994" s="36"/>
      <c r="AE994" s="54"/>
      <c r="AF994" s="3" t="str">
        <f t="shared" si="214"/>
        <v/>
      </c>
      <c r="AG994" s="48"/>
      <c r="AH994" s="48"/>
      <c r="AI994" s="39"/>
      <c r="AJ994" s="79"/>
      <c r="AK994" s="39"/>
      <c r="AL994" s="4">
        <f t="shared" si="207"/>
        <v>0</v>
      </c>
      <c r="AM994" s="4">
        <f t="shared" si="207"/>
        <v>0</v>
      </c>
      <c r="AN994" s="4">
        <f t="shared" si="208"/>
        <v>0</v>
      </c>
      <c r="AO994" s="39"/>
      <c r="AP994" s="8">
        <f t="shared" si="209"/>
        <v>0</v>
      </c>
      <c r="AQ994" s="8">
        <f t="shared" si="209"/>
        <v>0</v>
      </c>
      <c r="AR994" s="8">
        <f t="shared" si="210"/>
        <v>0</v>
      </c>
      <c r="AS994" s="42"/>
      <c r="AT994" s="48"/>
      <c r="AU994" s="48"/>
      <c r="AV994" s="4">
        <f t="shared" si="211"/>
        <v>0</v>
      </c>
      <c r="AW994" s="50" t="str">
        <f t="shared" si="215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56"/>
      <c r="B995" s="54"/>
      <c r="C995" s="56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54"/>
      <c r="O995" s="3" t="str">
        <f t="shared" si="205"/>
        <v/>
      </c>
      <c r="P995" s="48"/>
      <c r="Q995" s="48"/>
      <c r="R995" s="32"/>
      <c r="S995" s="3" t="str">
        <f t="shared" si="206"/>
        <v/>
      </c>
      <c r="T995" s="48"/>
      <c r="U995" s="48"/>
      <c r="V995" s="32"/>
      <c r="W995" s="3" t="str">
        <f t="shared" si="212"/>
        <v/>
      </c>
      <c r="X995" s="48"/>
      <c r="Y995" s="48"/>
      <c r="Z995" s="32"/>
      <c r="AA995" s="3" t="str">
        <f t="shared" si="213"/>
        <v/>
      </c>
      <c r="AB995" s="48"/>
      <c r="AC995" s="48"/>
      <c r="AD995" s="36"/>
      <c r="AE995" s="54"/>
      <c r="AF995" s="3" t="str">
        <f t="shared" si="214"/>
        <v/>
      </c>
      <c r="AG995" s="48"/>
      <c r="AH995" s="48"/>
      <c r="AI995" s="39"/>
      <c r="AJ995" s="79"/>
      <c r="AK995" s="39"/>
      <c r="AL995" s="4">
        <f t="shared" si="207"/>
        <v>0</v>
      </c>
      <c r="AM995" s="4">
        <f t="shared" si="207"/>
        <v>0</v>
      </c>
      <c r="AN995" s="4">
        <f t="shared" si="208"/>
        <v>0</v>
      </c>
      <c r="AO995" s="39"/>
      <c r="AP995" s="8">
        <f t="shared" si="209"/>
        <v>0</v>
      </c>
      <c r="AQ995" s="8">
        <f t="shared" si="209"/>
        <v>0</v>
      </c>
      <c r="AR995" s="8">
        <f t="shared" si="210"/>
        <v>0</v>
      </c>
      <c r="AS995" s="42"/>
      <c r="AT995" s="48"/>
      <c r="AU995" s="48"/>
      <c r="AV995" s="4">
        <f t="shared" si="211"/>
        <v>0</v>
      </c>
      <c r="AW995" s="50" t="str">
        <f t="shared" si="215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56"/>
      <c r="B996" s="54"/>
      <c r="C996" s="56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54"/>
      <c r="O996" s="3" t="str">
        <f t="shared" si="205"/>
        <v/>
      </c>
      <c r="P996" s="48"/>
      <c r="Q996" s="48"/>
      <c r="R996" s="32"/>
      <c r="S996" s="3" t="str">
        <f t="shared" si="206"/>
        <v/>
      </c>
      <c r="T996" s="48"/>
      <c r="U996" s="48"/>
      <c r="V996" s="32"/>
      <c r="W996" s="3" t="str">
        <f t="shared" si="212"/>
        <v/>
      </c>
      <c r="X996" s="48"/>
      <c r="Y996" s="48"/>
      <c r="Z996" s="32"/>
      <c r="AA996" s="3" t="str">
        <f t="shared" si="213"/>
        <v/>
      </c>
      <c r="AB996" s="48"/>
      <c r="AC996" s="48"/>
      <c r="AD996" s="36"/>
      <c r="AE996" s="54"/>
      <c r="AF996" s="3" t="str">
        <f t="shared" si="214"/>
        <v/>
      </c>
      <c r="AG996" s="48"/>
      <c r="AH996" s="48"/>
      <c r="AI996" s="39"/>
      <c r="AJ996" s="79"/>
      <c r="AK996" s="39"/>
      <c r="AL996" s="4">
        <f t="shared" si="207"/>
        <v>0</v>
      </c>
      <c r="AM996" s="4">
        <f t="shared" si="207"/>
        <v>0</v>
      </c>
      <c r="AN996" s="4">
        <f t="shared" si="208"/>
        <v>0</v>
      </c>
      <c r="AO996" s="39"/>
      <c r="AP996" s="8">
        <f t="shared" si="209"/>
        <v>0</v>
      </c>
      <c r="AQ996" s="8">
        <f t="shared" si="209"/>
        <v>0</v>
      </c>
      <c r="AR996" s="8">
        <f t="shared" si="210"/>
        <v>0</v>
      </c>
      <c r="AS996" s="42"/>
      <c r="AT996" s="48"/>
      <c r="AU996" s="48"/>
      <c r="AV996" s="4">
        <f t="shared" si="211"/>
        <v>0</v>
      </c>
      <c r="AW996" s="50" t="str">
        <f t="shared" si="215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56"/>
      <c r="B997" s="54"/>
      <c r="C997" s="56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54"/>
      <c r="O997" s="3" t="str">
        <f t="shared" si="205"/>
        <v/>
      </c>
      <c r="P997" s="48"/>
      <c r="Q997" s="48"/>
      <c r="R997" s="32"/>
      <c r="S997" s="3" t="str">
        <f t="shared" si="206"/>
        <v/>
      </c>
      <c r="T997" s="48"/>
      <c r="U997" s="48"/>
      <c r="V997" s="32"/>
      <c r="W997" s="3" t="str">
        <f t="shared" si="212"/>
        <v/>
      </c>
      <c r="X997" s="48"/>
      <c r="Y997" s="48"/>
      <c r="Z997" s="32"/>
      <c r="AA997" s="3" t="str">
        <f t="shared" si="213"/>
        <v/>
      </c>
      <c r="AB997" s="48"/>
      <c r="AC997" s="48"/>
      <c r="AD997" s="36"/>
      <c r="AE997" s="54"/>
      <c r="AF997" s="3" t="str">
        <f t="shared" si="214"/>
        <v/>
      </c>
      <c r="AG997" s="48"/>
      <c r="AH997" s="48"/>
      <c r="AI997" s="39"/>
      <c r="AJ997" s="79"/>
      <c r="AK997" s="39"/>
      <c r="AL997" s="4">
        <f t="shared" si="207"/>
        <v>0</v>
      </c>
      <c r="AM997" s="4">
        <f t="shared" si="207"/>
        <v>0</v>
      </c>
      <c r="AN997" s="4">
        <f t="shared" si="208"/>
        <v>0</v>
      </c>
      <c r="AO997" s="39"/>
      <c r="AP997" s="8">
        <f t="shared" si="209"/>
        <v>0</v>
      </c>
      <c r="AQ997" s="8">
        <f t="shared" si="209"/>
        <v>0</v>
      </c>
      <c r="AR997" s="8">
        <f t="shared" si="210"/>
        <v>0</v>
      </c>
      <c r="AS997" s="42"/>
      <c r="AT997" s="48"/>
      <c r="AU997" s="48"/>
      <c r="AV997" s="4">
        <f t="shared" si="211"/>
        <v>0</v>
      </c>
      <c r="AW997" s="50" t="str">
        <f t="shared" si="215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56"/>
      <c r="B998" s="54"/>
      <c r="C998" s="56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54"/>
      <c r="O998" s="3" t="str">
        <f t="shared" si="205"/>
        <v/>
      </c>
      <c r="P998" s="48"/>
      <c r="Q998" s="48"/>
      <c r="R998" s="32"/>
      <c r="S998" s="3" t="str">
        <f t="shared" si="206"/>
        <v/>
      </c>
      <c r="T998" s="48"/>
      <c r="U998" s="48"/>
      <c r="V998" s="32"/>
      <c r="W998" s="3" t="str">
        <f t="shared" si="212"/>
        <v/>
      </c>
      <c r="X998" s="48"/>
      <c r="Y998" s="48"/>
      <c r="Z998" s="32"/>
      <c r="AA998" s="3" t="str">
        <f t="shared" si="213"/>
        <v/>
      </c>
      <c r="AB998" s="48"/>
      <c r="AC998" s="48"/>
      <c r="AD998" s="36"/>
      <c r="AE998" s="54"/>
      <c r="AF998" s="3" t="str">
        <f t="shared" si="214"/>
        <v/>
      </c>
      <c r="AG998" s="48"/>
      <c r="AH998" s="48"/>
      <c r="AI998" s="39"/>
      <c r="AJ998" s="79"/>
      <c r="AK998" s="39"/>
      <c r="AL998" s="4">
        <f t="shared" si="207"/>
        <v>0</v>
      </c>
      <c r="AM998" s="4">
        <f t="shared" si="207"/>
        <v>0</v>
      </c>
      <c r="AN998" s="4">
        <f t="shared" si="208"/>
        <v>0</v>
      </c>
      <c r="AO998" s="39"/>
      <c r="AP998" s="8">
        <f t="shared" si="209"/>
        <v>0</v>
      </c>
      <c r="AQ998" s="8">
        <f t="shared" si="209"/>
        <v>0</v>
      </c>
      <c r="AR998" s="8">
        <f t="shared" si="210"/>
        <v>0</v>
      </c>
      <c r="AS998" s="42"/>
      <c r="AT998" s="48"/>
      <c r="AU998" s="48"/>
      <c r="AV998" s="4">
        <f t="shared" si="211"/>
        <v>0</v>
      </c>
      <c r="AW998" s="50" t="str">
        <f t="shared" si="215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56"/>
      <c r="B999" s="54"/>
      <c r="C999" s="56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54"/>
      <c r="O999" s="3" t="str">
        <f t="shared" si="205"/>
        <v/>
      </c>
      <c r="P999" s="48"/>
      <c r="Q999" s="48"/>
      <c r="R999" s="32"/>
      <c r="S999" s="3" t="str">
        <f t="shared" si="206"/>
        <v/>
      </c>
      <c r="T999" s="48"/>
      <c r="U999" s="48"/>
      <c r="V999" s="32"/>
      <c r="W999" s="3" t="str">
        <f t="shared" si="212"/>
        <v/>
      </c>
      <c r="X999" s="48"/>
      <c r="Y999" s="48"/>
      <c r="Z999" s="32"/>
      <c r="AA999" s="3" t="str">
        <f t="shared" si="213"/>
        <v/>
      </c>
      <c r="AB999" s="48"/>
      <c r="AC999" s="48"/>
      <c r="AD999" s="36"/>
      <c r="AE999" s="54"/>
      <c r="AF999" s="3" t="str">
        <f t="shared" si="214"/>
        <v/>
      </c>
      <c r="AG999" s="48"/>
      <c r="AH999" s="48"/>
      <c r="AI999" s="39"/>
      <c r="AJ999" s="79"/>
      <c r="AK999" s="39"/>
      <c r="AL999" s="4">
        <f t="shared" si="207"/>
        <v>0</v>
      </c>
      <c r="AM999" s="4">
        <f t="shared" si="207"/>
        <v>0</v>
      </c>
      <c r="AN999" s="4">
        <f t="shared" si="208"/>
        <v>0</v>
      </c>
      <c r="AO999" s="39"/>
      <c r="AP999" s="8">
        <f t="shared" si="209"/>
        <v>0</v>
      </c>
      <c r="AQ999" s="8">
        <f t="shared" si="209"/>
        <v>0</v>
      </c>
      <c r="AR999" s="8">
        <f t="shared" si="210"/>
        <v>0</v>
      </c>
      <c r="AS999" s="42"/>
      <c r="AT999" s="48"/>
      <c r="AU999" s="48"/>
      <c r="AV999" s="4">
        <f t="shared" si="211"/>
        <v>0</v>
      </c>
      <c r="AW999" s="50" t="str">
        <f t="shared" si="215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</mergeCells>
  <conditionalFormatting sqref="A8:AW999">
    <cfRule type="expression" dxfId="1" priority="3">
      <formula>$AW8="W"</formula>
    </cfRule>
  </conditionalFormatting>
  <conditionalFormatting sqref="AJ8:AJ999">
    <cfRule type="cellIs" dxfId="0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Adjust-0</vt:lpstr>
      <vt:lpstr>Adjust-1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Vandermat</dc:creator>
  <cp:lastModifiedBy>Junrey Padilla</cp:lastModifiedBy>
  <dcterms:created xsi:type="dcterms:W3CDTF">2010-07-20T04:01:36Z</dcterms:created>
  <dcterms:modified xsi:type="dcterms:W3CDTF">2025-07-23T15:16:02Z</dcterms:modified>
</cp:coreProperties>
</file>